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updateLinks="never"/>
  <xr:revisionPtr revIDLastSave="0" documentId="8_{D85A5BC6-3CC2-44F5-ACCD-F2997E09A819}" xr6:coauthVersionLast="47" xr6:coauthVersionMax="47" xr10:uidLastSave="{00000000-0000-0000-0000-000000000000}"/>
  <bookViews>
    <workbookView xWindow="240" yWindow="105" windowWidth="14805" windowHeight="8010" firstSheet="1" activeTab="1" xr2:uid="{00000000-000D-0000-FFFF-FFFF00000000}"/>
  </bookViews>
  <sheets>
    <sheet name="ReadMe" sheetId="7" r:id="rId1"/>
    <sheet name="India_Lab" sheetId="29" r:id="rId2"/>
    <sheet name="India_lab_(duplicate)" sheetId="23" r:id="rId3"/>
    <sheet name="exclusion" sheetId="26" r:id="rId4"/>
    <sheet name="CONTROL" sheetId="3" r:id="rId5"/>
    <sheet name="COT" sheetId="5" r:id="rId6"/>
    <sheet name="CTN" sheetId="4" r:id="rId7"/>
    <sheet name="CS" sheetId="6" r:id="rId8"/>
    <sheet name="Cohort" sheetId="8" r:id="rId9"/>
    <sheet name="Diabetes" sheetId="21" r:id="rId10"/>
    <sheet name="UK_Lab" sheetId="17" r:id="rId11"/>
    <sheet name="Imperial_CRC" sheetId="15" r:id="rId12"/>
    <sheet name="Manchester_lung" sheetId="16" r:id="rId13"/>
    <sheet name="Case lebel validation" sheetId="24" r:id="rId14"/>
    <sheet name="For Vikas" sheetId="27" r:id="rId15"/>
    <sheet name="Seq log" sheetId="28" r:id="rId16"/>
    <sheet name="DNA list" sheetId="25" r:id="rId17"/>
    <sheet name="Report" sheetId="30" r:id="rId18"/>
  </sheets>
  <externalReferences>
    <externalReference r:id="rId19"/>
  </externalReferences>
  <definedNames>
    <definedName name="_xlnm._FilterDatabase" localSheetId="9" hidden="1">Diabetes!$A$1:$J$146</definedName>
    <definedName name="_xlnm._FilterDatabase" localSheetId="2" hidden="1">'India_lab_(duplicate)'!$H$1223:$H$1223</definedName>
    <definedName name="_xlnm._FilterDatabase" localSheetId="1" hidden="1">'India_lab_(duplicate)'!$H$1223:$H$1223</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3" i="7" l="1"/>
  <c r="AG4" i="7"/>
  <c r="AG5" i="7"/>
  <c r="AG6" i="7"/>
  <c r="AG7" i="7"/>
  <c r="AG8" i="7"/>
  <c r="AG9" i="7"/>
  <c r="AG10" i="7"/>
  <c r="AG11" i="7"/>
  <c r="AG12" i="7"/>
  <c r="AG13" i="7"/>
  <c r="AG14" i="7"/>
  <c r="AG15" i="7"/>
  <c r="AG16" i="7"/>
  <c r="AG17" i="7"/>
  <c r="AG18" i="7"/>
  <c r="AG19" i="7"/>
  <c r="AG20" i="7"/>
  <c r="AG21" i="7"/>
  <c r="AG22" i="7"/>
  <c r="AG23" i="7"/>
  <c r="AG24" i="7"/>
  <c r="AG25" i="7"/>
  <c r="AG26" i="7"/>
  <c r="AG27" i="7"/>
  <c r="AG28" i="7"/>
  <c r="AG29" i="7"/>
  <c r="AG30" i="7"/>
  <c r="AG31" i="7"/>
  <c r="AG2" i="7"/>
  <c r="AH32" i="7"/>
  <c r="AJ32" i="7"/>
  <c r="AI32" i="7"/>
  <c r="AG32" i="7"/>
  <c r="AM2" i="7"/>
  <c r="AM4" i="7"/>
  <c r="AM5" i="7"/>
  <c r="AM6" i="7"/>
  <c r="AM7" i="7"/>
  <c r="AM8" i="7"/>
  <c r="AM9" i="7"/>
  <c r="AM10" i="7"/>
  <c r="AM11" i="7"/>
  <c r="AM12" i="7"/>
  <c r="AM13" i="7"/>
  <c r="AM14" i="7"/>
  <c r="AM15" i="7"/>
  <c r="AM16" i="7"/>
  <c r="AM17" i="7"/>
  <c r="AM18" i="7"/>
  <c r="AM19" i="7"/>
  <c r="AM20" i="7"/>
  <c r="AM21" i="7"/>
  <c r="AM22" i="7"/>
  <c r="AM23" i="7"/>
  <c r="AM24" i="7"/>
  <c r="AM25" i="7"/>
  <c r="AM26" i="7"/>
  <c r="AM27" i="7"/>
  <c r="AM28" i="7"/>
  <c r="AM29" i="7"/>
  <c r="AM30" i="7"/>
  <c r="AM31" i="7"/>
  <c r="AM32" i="7"/>
  <c r="AM33" i="7"/>
  <c r="AM34" i="7"/>
  <c r="AM35" i="7"/>
  <c r="AM36" i="7"/>
  <c r="AM37" i="7"/>
  <c r="AM38" i="7"/>
  <c r="AM3" i="7"/>
  <c r="AM39" i="7" s="1"/>
  <c r="Q14" i="7"/>
  <c r="Z3" i="7"/>
  <c r="Z4" i="7"/>
  <c r="Z6" i="7"/>
  <c r="Z8" i="7"/>
  <c r="Z9" i="7"/>
  <c r="Z10" i="7"/>
  <c r="Z11" i="7"/>
  <c r="Z12" i="7"/>
  <c r="Z13" i="7"/>
  <c r="Z14" i="7"/>
  <c r="Z15" i="7"/>
  <c r="Z16" i="7"/>
  <c r="Z17" i="7"/>
  <c r="Z19" i="7"/>
  <c r="Z20" i="7"/>
  <c r="Z21" i="7"/>
  <c r="Z22" i="7"/>
  <c r="Z23" i="7"/>
  <c r="Z24" i="7"/>
  <c r="Z25" i="7"/>
  <c r="Z26" i="7"/>
  <c r="Z27" i="7"/>
  <c r="Z28" i="7"/>
  <c r="Z29" i="7"/>
  <c r="Z30" i="7"/>
  <c r="Z31" i="7"/>
  <c r="Z32" i="7"/>
  <c r="Z33" i="7"/>
  <c r="Z34" i="7"/>
  <c r="Z35" i="7"/>
  <c r="Z36" i="7"/>
  <c r="Z37" i="7"/>
  <c r="Z38" i="7"/>
  <c r="Z39" i="7"/>
  <c r="Z40" i="7"/>
  <c r="Z41" i="7"/>
  <c r="Z42" i="7"/>
  <c r="Z2" i="7"/>
  <c r="AA1218" i="23"/>
  <c r="AA1217" i="23"/>
  <c r="AA1216" i="23"/>
  <c r="AA1215" i="23"/>
  <c r="AA1214" i="23"/>
  <c r="AA1213" i="23"/>
  <c r="AA1212" i="23"/>
  <c r="AA1211" i="23"/>
  <c r="AA1210" i="23"/>
  <c r="AA1209" i="23"/>
  <c r="AA1208" i="23"/>
  <c r="AA1207" i="23"/>
  <c r="AA1206" i="23"/>
  <c r="AA1205" i="23"/>
  <c r="AA1204" i="23"/>
  <c r="AA1203" i="23"/>
  <c r="AA1202" i="23"/>
  <c r="AA1201" i="23"/>
  <c r="AA1200" i="23"/>
  <c r="AA1199" i="23"/>
  <c r="AA1198" i="23"/>
  <c r="AA1197" i="23"/>
  <c r="AA1196" i="23"/>
  <c r="AA1195" i="23"/>
  <c r="AA1194" i="23"/>
  <c r="AA1193" i="23"/>
  <c r="AA1192" i="23"/>
  <c r="AA1191" i="23"/>
  <c r="AA1190" i="23"/>
  <c r="AA1189" i="23"/>
  <c r="AA1188" i="23"/>
  <c r="AA1187" i="23"/>
  <c r="AA1186" i="23"/>
  <c r="AA1185" i="23"/>
  <c r="AA1184" i="23"/>
  <c r="AA1183" i="23"/>
  <c r="AA1182" i="23"/>
  <c r="AA1181" i="23"/>
  <c r="AA1180" i="23"/>
  <c r="AA1179" i="23"/>
  <c r="AA1178" i="23"/>
  <c r="AA1177" i="23"/>
  <c r="AA1176" i="23"/>
  <c r="AA1175" i="23"/>
  <c r="AA1174" i="23"/>
  <c r="AA1173" i="23"/>
  <c r="AA1172" i="23"/>
  <c r="AA1171" i="23"/>
  <c r="AA1170" i="23"/>
  <c r="AA1169" i="23"/>
  <c r="AA1168" i="23"/>
  <c r="AA1167" i="23"/>
  <c r="AA1166" i="23"/>
  <c r="AA1165" i="23"/>
  <c r="AA1164" i="23"/>
  <c r="AA1163" i="23"/>
  <c r="AA1162" i="23"/>
  <c r="AA1161" i="23"/>
  <c r="AA1160" i="23"/>
  <c r="AA1159" i="23"/>
  <c r="AA1158" i="23"/>
  <c r="AA1157" i="23"/>
  <c r="AA1156" i="23"/>
  <c r="AA1155" i="23"/>
  <c r="AA1154" i="23"/>
  <c r="AA1153" i="23"/>
  <c r="AA1152" i="23"/>
  <c r="AA1151" i="23"/>
  <c r="AA1150" i="23"/>
  <c r="AA1149" i="23"/>
  <c r="AA1148" i="23"/>
  <c r="AA1147" i="23"/>
  <c r="AA1146" i="23"/>
  <c r="AA1145" i="23"/>
  <c r="AA1144" i="23"/>
  <c r="AA1143" i="23"/>
  <c r="AA1142" i="23"/>
  <c r="AA1141" i="23"/>
  <c r="AA1140" i="23"/>
  <c r="AA1139" i="23"/>
  <c r="AA1138" i="23"/>
  <c r="AA1137" i="23"/>
  <c r="AA1136" i="23"/>
  <c r="AA1135" i="23"/>
  <c r="AA1134" i="23"/>
  <c r="AA1133" i="23"/>
  <c r="AA1132" i="23"/>
  <c r="AA1131" i="23"/>
  <c r="AA1130" i="23"/>
  <c r="AA1129" i="23"/>
  <c r="AA1128" i="23"/>
  <c r="AA1127" i="23"/>
  <c r="AA1126" i="23"/>
  <c r="AA1125" i="23"/>
  <c r="AA1124" i="23"/>
  <c r="AA1123" i="23"/>
  <c r="AA1122" i="23"/>
  <c r="AA1121" i="23"/>
  <c r="AA1120" i="23"/>
  <c r="AA1119" i="23"/>
  <c r="AA1118" i="23"/>
  <c r="AA1117" i="23"/>
  <c r="AA1116" i="23"/>
  <c r="AA1115" i="23"/>
  <c r="AA1114" i="23"/>
  <c r="AA1113" i="23"/>
  <c r="AA1112" i="23"/>
  <c r="AA1111" i="23"/>
  <c r="AA1110" i="23"/>
  <c r="AA1109" i="23"/>
  <c r="AA1108" i="23"/>
  <c r="AA1107" i="23"/>
  <c r="AA1106" i="23"/>
  <c r="AA1105" i="23"/>
  <c r="AA1104" i="23"/>
  <c r="AA1103" i="23"/>
  <c r="AA1102" i="23"/>
  <c r="AA1101" i="23"/>
  <c r="AA1100" i="23"/>
  <c r="AA1099" i="23"/>
  <c r="AA1098" i="23"/>
  <c r="AA1097" i="23"/>
  <c r="AA1096" i="23"/>
  <c r="AA1095" i="23"/>
  <c r="AA1094" i="23"/>
  <c r="AA1093" i="23"/>
  <c r="AA1092" i="23"/>
  <c r="AA1091" i="23"/>
  <c r="AA1090" i="23"/>
  <c r="AA1089" i="23"/>
  <c r="AA1088" i="23"/>
  <c r="Z1218" i="23"/>
  <c r="Z1217" i="23"/>
  <c r="Z1216" i="23"/>
  <c r="Z1215" i="23"/>
  <c r="Z1214" i="23"/>
  <c r="Z1213" i="23"/>
  <c r="Z1212" i="23"/>
  <c r="Z1211" i="23"/>
  <c r="Z1210" i="23"/>
  <c r="Z1209" i="23"/>
  <c r="Z1208" i="23"/>
  <c r="Z1207" i="23"/>
  <c r="Z1206" i="23"/>
  <c r="Z1205" i="23"/>
  <c r="Z1204" i="23"/>
  <c r="Z1203" i="23"/>
  <c r="Z1202" i="23"/>
  <c r="Z1201" i="23"/>
  <c r="Z1200" i="23"/>
  <c r="Z1199" i="23"/>
  <c r="Z1198" i="23"/>
  <c r="Z1197" i="23"/>
  <c r="Z1196" i="23"/>
  <c r="Z1195" i="23"/>
  <c r="Z1194" i="23"/>
  <c r="Z1193" i="23"/>
  <c r="Z1192" i="23"/>
  <c r="Z1191" i="23"/>
  <c r="Z1190" i="23"/>
  <c r="Z1189" i="23"/>
  <c r="Z1188" i="23"/>
  <c r="Z1187" i="23"/>
  <c r="Z1186" i="23"/>
  <c r="Z1185" i="23"/>
  <c r="Z1184" i="23"/>
  <c r="Z1183" i="23"/>
  <c r="Z1182" i="23"/>
  <c r="Z1181" i="23"/>
  <c r="Z1180" i="23"/>
  <c r="Z1179" i="23"/>
  <c r="Z1178" i="23"/>
  <c r="Z1177" i="23"/>
  <c r="Z1176" i="23"/>
  <c r="Z1175" i="23"/>
  <c r="Z1174" i="23"/>
  <c r="Z1173" i="23"/>
  <c r="Z1172" i="23"/>
  <c r="Z1171" i="23"/>
  <c r="Z1170" i="23"/>
  <c r="Z1169" i="23"/>
  <c r="Z1168" i="23"/>
  <c r="Z1167" i="23"/>
  <c r="Z1166" i="23"/>
  <c r="Z1165" i="23"/>
  <c r="Z1164" i="23"/>
  <c r="Z1163" i="23"/>
  <c r="Z1162" i="23"/>
  <c r="Z1161" i="23"/>
  <c r="Z1160" i="23"/>
  <c r="Z1159" i="23"/>
  <c r="Z1158" i="23"/>
  <c r="Z1157" i="23"/>
  <c r="Z1156" i="23"/>
  <c r="Z1155" i="23"/>
  <c r="Z1154" i="23"/>
  <c r="Z1153" i="23"/>
  <c r="Z1152" i="23"/>
  <c r="Z1151" i="23"/>
  <c r="Z1150" i="23"/>
  <c r="Z1149" i="23"/>
  <c r="Z1148" i="23"/>
  <c r="Z1147" i="23"/>
  <c r="Z1146" i="23"/>
  <c r="Z1145" i="23"/>
  <c r="Z1144" i="23"/>
  <c r="Z1143" i="23"/>
  <c r="Z1142" i="23"/>
  <c r="Z1141" i="23"/>
  <c r="Z1140" i="23"/>
  <c r="Z1139" i="23"/>
  <c r="Z1138" i="23"/>
  <c r="Z1137" i="23"/>
  <c r="Z1136" i="23"/>
  <c r="Z1135" i="23"/>
  <c r="Z1134" i="23"/>
  <c r="Z1133" i="23"/>
  <c r="Z1132" i="23"/>
  <c r="Z1131" i="23"/>
  <c r="Z1130" i="23"/>
  <c r="Z1129" i="23"/>
  <c r="Z1128" i="23"/>
  <c r="Z1127" i="23"/>
  <c r="Z1126" i="23"/>
  <c r="Z1125" i="23"/>
  <c r="Z1124" i="23"/>
  <c r="Z1123" i="23"/>
  <c r="Z1122" i="23"/>
  <c r="Z1121" i="23"/>
  <c r="Z1120" i="23"/>
  <c r="Z1119" i="23"/>
  <c r="Z1118" i="23"/>
  <c r="Z1117" i="23"/>
  <c r="Z1116" i="23"/>
  <c r="Z1115" i="23"/>
  <c r="Z1114" i="23"/>
  <c r="Z1113" i="23"/>
  <c r="Z1112" i="23"/>
  <c r="Z1111" i="23"/>
  <c r="Z1110" i="23"/>
  <c r="Z1109" i="23"/>
  <c r="Z1108" i="23"/>
  <c r="Z1107" i="23"/>
  <c r="Z1106" i="23"/>
  <c r="Z1105" i="23"/>
  <c r="Z1104" i="23"/>
  <c r="Z1103" i="23"/>
  <c r="Z1102" i="23"/>
  <c r="Z1101" i="23"/>
  <c r="Z1100" i="23"/>
  <c r="Z1099" i="23"/>
  <c r="Z1098" i="23"/>
  <c r="Z1097" i="23"/>
  <c r="Z1096" i="23"/>
  <c r="Z1095" i="23"/>
  <c r="Z1094" i="23"/>
  <c r="Z1093" i="23"/>
  <c r="Z1092" i="23"/>
  <c r="Z1091" i="23"/>
  <c r="Z1090" i="23"/>
  <c r="Z1089" i="23"/>
  <c r="Z1088" i="23"/>
  <c r="Q1218" i="23"/>
  <c r="Q1217" i="23"/>
  <c r="Q1216" i="23"/>
  <c r="Q1215" i="23"/>
  <c r="Q1214" i="23"/>
  <c r="Q1213" i="23"/>
  <c r="Q1212" i="23"/>
  <c r="Q1211" i="23"/>
  <c r="Q1210" i="23"/>
  <c r="Q1209" i="23"/>
  <c r="Q1208" i="23"/>
  <c r="Q1207" i="23"/>
  <c r="Q1206" i="23"/>
  <c r="Q1205" i="23"/>
  <c r="Q1204" i="23"/>
  <c r="Q1203" i="23"/>
  <c r="Q1202" i="23"/>
  <c r="Q1201" i="23"/>
  <c r="Q1200" i="23"/>
  <c r="Q1199" i="23"/>
  <c r="Q1198" i="23"/>
  <c r="Q1197" i="23"/>
  <c r="Q1196" i="23"/>
  <c r="Q1195" i="23"/>
  <c r="Q1194" i="23"/>
  <c r="Q1193" i="23"/>
  <c r="Q1192" i="23"/>
  <c r="Q1191" i="23"/>
  <c r="Q1190" i="23"/>
  <c r="Q1189" i="23"/>
  <c r="Q1188" i="23"/>
  <c r="Q1187" i="23"/>
  <c r="Q1186" i="23"/>
  <c r="Q1185" i="23"/>
  <c r="Q1184" i="23"/>
  <c r="Q1183" i="23"/>
  <c r="Q1182" i="23"/>
  <c r="Q1181" i="23"/>
  <c r="Q1180" i="23"/>
  <c r="Q1179" i="23"/>
  <c r="Q1178" i="23"/>
  <c r="Q1177" i="23"/>
  <c r="Q1176" i="23"/>
  <c r="Q1175" i="23"/>
  <c r="Q1174" i="23"/>
  <c r="Q1173" i="23"/>
  <c r="Q1172" i="23"/>
  <c r="Q1171" i="23"/>
  <c r="Q1170" i="23"/>
  <c r="Q1169" i="23"/>
  <c r="Q1168" i="23"/>
  <c r="Q1167" i="23"/>
  <c r="Q1166" i="23"/>
  <c r="Q1165" i="23"/>
  <c r="Q1164" i="23"/>
  <c r="Q1163" i="23"/>
  <c r="Q1162" i="23"/>
  <c r="Q1161" i="23"/>
  <c r="Q1160" i="23"/>
  <c r="Q1159" i="23"/>
  <c r="Q1158" i="23"/>
  <c r="Q1157" i="23"/>
  <c r="Q1156" i="23"/>
  <c r="Q1155" i="23"/>
  <c r="Q1154" i="23"/>
  <c r="Q1153" i="23"/>
  <c r="Q1152" i="23"/>
  <c r="Q1151" i="23"/>
  <c r="Q1150" i="23"/>
  <c r="Q1149" i="23"/>
  <c r="Q1148" i="23"/>
  <c r="Q1147" i="23"/>
  <c r="Q1146" i="23"/>
  <c r="Q1145" i="23"/>
  <c r="Q1144" i="23"/>
  <c r="Q1143" i="23"/>
  <c r="Q1142" i="23"/>
  <c r="Q1141" i="23"/>
  <c r="Q1140" i="23"/>
  <c r="Q1139" i="23"/>
  <c r="Q1138" i="23"/>
  <c r="Q1137" i="23"/>
  <c r="Q1136" i="23"/>
  <c r="Q1135" i="23"/>
  <c r="Q1134" i="23"/>
  <c r="Q1133" i="23"/>
  <c r="Q1132" i="23"/>
  <c r="Q1131" i="23"/>
  <c r="Q1130" i="23"/>
  <c r="Q1129" i="23"/>
  <c r="Q1128" i="23"/>
  <c r="Q1127" i="23"/>
  <c r="Q1126" i="23"/>
  <c r="Q1125" i="23"/>
  <c r="Q1124" i="23"/>
  <c r="Q1123" i="23"/>
  <c r="Q1122" i="23"/>
  <c r="Q1121" i="23"/>
  <c r="Q1120" i="23"/>
  <c r="Q1119" i="23"/>
  <c r="Q1118" i="23"/>
  <c r="Q1117" i="23"/>
  <c r="Q1116" i="23"/>
  <c r="Q1115" i="23"/>
  <c r="Q1114" i="23"/>
  <c r="Q1113" i="23"/>
  <c r="Q1112" i="23"/>
  <c r="Q1111" i="23"/>
  <c r="Q1110" i="23"/>
  <c r="Q1109" i="23"/>
  <c r="Q1108" i="23"/>
  <c r="Q1107" i="23"/>
  <c r="Q1106" i="23"/>
  <c r="Q1105" i="23"/>
  <c r="Q1104" i="23"/>
  <c r="Q1103" i="23"/>
  <c r="Q1102" i="23"/>
  <c r="Q1101" i="23"/>
  <c r="Q1100" i="23"/>
  <c r="Q1099" i="23"/>
  <c r="Q1098" i="23"/>
  <c r="Q1097" i="23"/>
  <c r="Q1096" i="23"/>
  <c r="Q1095" i="23"/>
  <c r="Q1094" i="23"/>
  <c r="Q1093" i="23"/>
  <c r="Q1092" i="23"/>
  <c r="Q1091" i="23"/>
  <c r="Q1090" i="23"/>
  <c r="Q1089" i="23"/>
  <c r="Q1088" i="23"/>
  <c r="U33" i="28"/>
  <c r="U32" i="28"/>
  <c r="U31" i="28"/>
  <c r="U30" i="28"/>
  <c r="U29" i="28"/>
  <c r="U28" i="28"/>
  <c r="U27" i="28"/>
  <c r="U26" i="28"/>
  <c r="U25" i="28"/>
  <c r="U24" i="28"/>
  <c r="U23" i="28"/>
  <c r="U22" i="28"/>
  <c r="U21" i="28"/>
  <c r="U20" i="28"/>
  <c r="U19" i="28"/>
  <c r="U18" i="28"/>
  <c r="U17" i="28"/>
  <c r="U16" i="28"/>
  <c r="U15" i="28"/>
  <c r="U14" i="28"/>
  <c r="U13" i="28"/>
  <c r="U12" i="28"/>
  <c r="U11" i="28"/>
  <c r="U10" i="28"/>
  <c r="U9" i="28"/>
  <c r="U8" i="28"/>
  <c r="U7" i="28"/>
  <c r="U6" i="28"/>
  <c r="U5" i="28"/>
  <c r="U4" i="28"/>
  <c r="U3" i="28"/>
  <c r="U2" i="28"/>
  <c r="C26" i="7"/>
  <c r="B26" i="7"/>
  <c r="C25" i="7"/>
  <c r="B25" i="7"/>
  <c r="C24" i="7"/>
  <c r="B24" i="7"/>
  <c r="I140" i="7"/>
  <c r="H140" i="7"/>
  <c r="I139" i="7"/>
  <c r="H139" i="7"/>
  <c r="I138" i="7"/>
  <c r="H138" i="7"/>
  <c r="N140" i="7"/>
  <c r="M140" i="7"/>
  <c r="N139" i="7"/>
  <c r="M139" i="7"/>
  <c r="N138" i="7"/>
  <c r="M138" i="7"/>
  <c r="C140" i="7"/>
  <c r="B140" i="7"/>
  <c r="C139" i="7"/>
  <c r="B139" i="7"/>
  <c r="C138" i="7"/>
  <c r="B138" i="7"/>
  <c r="AA43" i="7"/>
  <c r="AB43" i="7"/>
  <c r="AC43" i="7"/>
  <c r="N16" i="7"/>
  <c r="Q16" i="7"/>
  <c r="N14" i="7"/>
  <c r="W12" i="7"/>
  <c r="F132" i="7"/>
  <c r="F133" i="7"/>
  <c r="F121" i="7"/>
  <c r="F120" i="7"/>
  <c r="F119" i="7"/>
  <c r="F118" i="7"/>
  <c r="F117" i="7"/>
  <c r="F134" i="7"/>
  <c r="F116" i="7"/>
  <c r="F115" i="7"/>
  <c r="F114" i="7"/>
  <c r="F113" i="7"/>
  <c r="F112" i="7"/>
  <c r="F111" i="7"/>
  <c r="F110" i="7"/>
  <c r="F109" i="7"/>
  <c r="F108" i="7"/>
  <c r="F107" i="7"/>
  <c r="F106" i="7"/>
  <c r="F105" i="7"/>
  <c r="F104" i="7"/>
  <c r="F103" i="7"/>
  <c r="F102" i="7"/>
  <c r="F101" i="7"/>
  <c r="F100" i="7"/>
  <c r="F99" i="7"/>
  <c r="F98" i="7"/>
  <c r="F97" i="7"/>
  <c r="F96" i="7"/>
  <c r="F95" i="7"/>
  <c r="F94" i="7"/>
  <c r="F93" i="7"/>
  <c r="F91" i="7"/>
  <c r="F90" i="7"/>
  <c r="F87" i="7"/>
  <c r="F89" i="7"/>
  <c r="F88" i="7"/>
  <c r="F86" i="7"/>
  <c r="F85" i="7"/>
  <c r="F84" i="7"/>
  <c r="F83" i="7"/>
  <c r="F82" i="7"/>
  <c r="F81" i="7"/>
  <c r="F80" i="7"/>
  <c r="F79" i="7"/>
  <c r="F78" i="7"/>
  <c r="F129" i="7"/>
  <c r="F77" i="7"/>
  <c r="F76" i="7"/>
  <c r="F75" i="7"/>
  <c r="F74" i="7"/>
  <c r="F73" i="7"/>
  <c r="F72" i="7"/>
  <c r="F71" i="7"/>
  <c r="F70" i="7"/>
  <c r="F69" i="7"/>
  <c r="F68" i="7"/>
  <c r="F67" i="7"/>
  <c r="F66" i="7"/>
  <c r="F65" i="7"/>
  <c r="F64" i="7"/>
  <c r="F63" i="7"/>
  <c r="F62" i="7"/>
  <c r="F61" i="7"/>
  <c r="F60" i="7"/>
  <c r="F59" i="7"/>
  <c r="F58" i="7"/>
  <c r="F125" i="7"/>
  <c r="F57" i="7"/>
  <c r="F56" i="7"/>
  <c r="F55" i="7"/>
  <c r="F54" i="7"/>
  <c r="F53" i="7"/>
  <c r="F52" i="7"/>
  <c r="F51" i="7"/>
  <c r="F124" i="7"/>
  <c r="F50" i="7"/>
  <c r="F49" i="7"/>
  <c r="F48" i="7"/>
  <c r="F123" i="7"/>
  <c r="F122" i="7"/>
  <c r="F47" i="7"/>
  <c r="F46" i="7"/>
  <c r="F45" i="7"/>
  <c r="F44" i="7"/>
  <c r="F43" i="7"/>
  <c r="F42" i="7"/>
  <c r="F131" i="7"/>
  <c r="F130" i="7"/>
  <c r="F128" i="7"/>
  <c r="F127" i="7"/>
  <c r="F126" i="7"/>
  <c r="F92" i="7"/>
  <c r="D138" i="7"/>
  <c r="D139" i="7"/>
  <c r="B141" i="7"/>
  <c r="C141" i="7"/>
  <c r="O140" i="7"/>
  <c r="O139" i="7"/>
  <c r="N141" i="7"/>
  <c r="J140" i="7"/>
  <c r="J139" i="7"/>
  <c r="I141" i="7"/>
  <c r="C35" i="7"/>
  <c r="B35" i="7"/>
  <c r="D35" i="7" s="1"/>
  <c r="C34" i="7"/>
  <c r="B33" i="7"/>
  <c r="D26" i="7"/>
  <c r="D25" i="7"/>
  <c r="C27" i="7"/>
  <c r="B225" i="7"/>
  <c r="B224" i="7"/>
  <c r="B235" i="7"/>
  <c r="B232" i="7"/>
  <c r="M230" i="7"/>
  <c r="I230" i="7"/>
  <c r="F230" i="7"/>
  <c r="B230" i="7"/>
  <c r="I232" i="7"/>
  <c r="F232" i="7"/>
  <c r="B237" i="7"/>
  <c r="B243" i="7"/>
  <c r="B223" i="7"/>
  <c r="B222" i="7"/>
  <c r="B221" i="7"/>
  <c r="B220" i="7"/>
  <c r="B207" i="7"/>
  <c r="B219" i="7"/>
  <c r="B218" i="7"/>
  <c r="B216" i="7"/>
  <c r="B208" i="7"/>
  <c r="B210" i="7"/>
  <c r="B212" i="7"/>
  <c r="N12" i="7"/>
  <c r="T12" i="7"/>
  <c r="Q12" i="7"/>
  <c r="B260" i="7"/>
  <c r="B258" i="7"/>
  <c r="B12" i="7"/>
  <c r="K12" i="7"/>
  <c r="B205" i="7"/>
  <c r="B206" i="7"/>
  <c r="B217" i="7"/>
  <c r="B215" i="7"/>
  <c r="B214" i="7"/>
  <c r="B213" i="7"/>
  <c r="B211" i="7"/>
  <c r="B209" i="7"/>
  <c r="B251" i="7"/>
  <c r="B252" i="7"/>
  <c r="B250" i="7"/>
  <c r="B244" i="7"/>
  <c r="B245" i="7"/>
  <c r="H12" i="7"/>
  <c r="E12" i="7"/>
  <c r="K16" i="7"/>
  <c r="K15" i="7"/>
  <c r="K14" i="7"/>
  <c r="H16" i="7"/>
  <c r="H15" i="7"/>
  <c r="H14" i="7"/>
  <c r="E16" i="7"/>
  <c r="E15" i="7"/>
  <c r="E14" i="7"/>
  <c r="B16" i="7"/>
  <c r="B15" i="7"/>
  <c r="B14" i="7"/>
  <c r="K17" i="7"/>
  <c r="H17" i="7"/>
  <c r="E17" i="7"/>
  <c r="B17" i="7"/>
  <c r="Z43" i="7" l="1"/>
  <c r="C33" i="7"/>
  <c r="B34" i="7"/>
  <c r="B27" i="7"/>
  <c r="D24" i="7"/>
  <c r="H141" i="7"/>
  <c r="J138" i="7"/>
  <c r="M141" i="7"/>
  <c r="O138" i="7"/>
  <c r="B203" i="7"/>
  <c r="B227" i="7"/>
  <c r="B5" i="7"/>
  <c r="B8" i="7" s="1"/>
  <c r="B253" i="7"/>
  <c r="D34" i="7" l="1"/>
  <c r="B36" i="7"/>
  <c r="C36" i="7"/>
  <c r="D33" i="7"/>
  <c r="D140" i="7"/>
</calcChain>
</file>

<file path=xl/sharedStrings.xml><?xml version="1.0" encoding="utf-8"?>
<sst xmlns="http://schemas.openxmlformats.org/spreadsheetml/2006/main" count="51106" uniqueCount="5647">
  <si>
    <t>Mannual</t>
  </si>
  <si>
    <t>Cancer Organ Type</t>
  </si>
  <si>
    <t>All Cancer</t>
  </si>
  <si>
    <t>CTN</t>
  </si>
  <si>
    <t>COT</t>
  </si>
  <si>
    <t>CS</t>
  </si>
  <si>
    <t>INDIA LAB</t>
  </si>
  <si>
    <t>non cancer (CON)</t>
  </si>
  <si>
    <t>Adnexael cancer</t>
  </si>
  <si>
    <t>Cancer (223)</t>
  </si>
  <si>
    <t>Anal canal cancer</t>
  </si>
  <si>
    <t>Bladder cancer</t>
  </si>
  <si>
    <t>DNA Total</t>
  </si>
  <si>
    <t>Blood cancer</t>
  </si>
  <si>
    <t>Brain cancer</t>
  </si>
  <si>
    <t>Benign</t>
  </si>
  <si>
    <t>Breast cancer</t>
  </si>
  <si>
    <t>INDIAN ETHNICITY</t>
  </si>
  <si>
    <t>HR</t>
  </si>
  <si>
    <t>Cervical cancer</t>
  </si>
  <si>
    <t>ND</t>
  </si>
  <si>
    <t>Colon cancer</t>
  </si>
  <si>
    <t>CRC</t>
  </si>
  <si>
    <t>Sequencing Done</t>
  </si>
  <si>
    <t>NDD</t>
  </si>
  <si>
    <t>Colo rectal cancer</t>
  </si>
  <si>
    <t>Eye Cancer</t>
  </si>
  <si>
    <t>D</t>
  </si>
  <si>
    <t>Gall bladder cancer</t>
  </si>
  <si>
    <t>Esophagus cancer</t>
  </si>
  <si>
    <t>CONTROL</t>
  </si>
  <si>
    <t>High Risk</t>
  </si>
  <si>
    <t>Diabetes</t>
  </si>
  <si>
    <t>TOTAL</t>
  </si>
  <si>
    <t>Gastroesophegial cancer</t>
  </si>
  <si>
    <t>AGE</t>
  </si>
  <si>
    <t>Total</t>
  </si>
  <si>
    <t>Head and Neck cancer</t>
  </si>
  <si>
    <t xml:space="preserve">18 to 30 </t>
  </si>
  <si>
    <t>Screening</t>
  </si>
  <si>
    <t>Gastroesophegeal cancer</t>
  </si>
  <si>
    <t>Liver cancer</t>
  </si>
  <si>
    <t>Hepatocellular carcinoma</t>
  </si>
  <si>
    <t>31 to  60</t>
  </si>
  <si>
    <t>Head and neck</t>
  </si>
  <si>
    <t>Lung cancer</t>
  </si>
  <si>
    <t xml:space="preserve">60+ </t>
  </si>
  <si>
    <t xml:space="preserve">61 + </t>
  </si>
  <si>
    <t>?</t>
  </si>
  <si>
    <t>Ovarian cancer</t>
  </si>
  <si>
    <t>Total samples</t>
  </si>
  <si>
    <t>Perianal Cancer</t>
  </si>
  <si>
    <t>Nasopharynx cancer</t>
  </si>
  <si>
    <t>Pancreas cancer</t>
  </si>
  <si>
    <t>Oral cancer</t>
  </si>
  <si>
    <t>Prostate cancer</t>
  </si>
  <si>
    <t>AGE - GENDER Distribution ( Excluding Other Ethnicity)</t>
  </si>
  <si>
    <t>PUO</t>
  </si>
  <si>
    <t>Sarcoma</t>
  </si>
  <si>
    <t>Stomach cancer</t>
  </si>
  <si>
    <t>Male</t>
  </si>
  <si>
    <t>Femaie</t>
  </si>
  <si>
    <t>Testicular cancer</t>
  </si>
  <si>
    <t>Rectal cancer</t>
  </si>
  <si>
    <t xml:space="preserve">Thyroid cancer </t>
  </si>
  <si>
    <t>Rectum cancer</t>
  </si>
  <si>
    <t>Gastrointestinal cancer</t>
  </si>
  <si>
    <t>Kidney cancer</t>
  </si>
  <si>
    <t>Perihilar cholangiocarcinoma</t>
  </si>
  <si>
    <t>Endometrial cancer</t>
  </si>
  <si>
    <t>Uterine Carcinosarcoma</t>
  </si>
  <si>
    <t>Tongue cancer</t>
  </si>
  <si>
    <t>CANCER</t>
  </si>
  <si>
    <t>Neuroendocrine Gland cancer</t>
  </si>
  <si>
    <t>Intestine cancer</t>
  </si>
  <si>
    <t>Female</t>
  </si>
  <si>
    <t>Salivary Gland cancer</t>
  </si>
  <si>
    <t>Follicular ameloblastoma</t>
  </si>
  <si>
    <t>Uterine carcinosarcoma</t>
  </si>
  <si>
    <t>Cancer types</t>
  </si>
  <si>
    <t>Acute leukemia</t>
  </si>
  <si>
    <t>Adenocarcinoma upper rectum</t>
  </si>
  <si>
    <t>Auto- Immune Thyroid Disease</t>
  </si>
  <si>
    <t>B cell lymphoma</t>
  </si>
  <si>
    <t>B-CELL MALT Lymphoma (Jejunum)</t>
  </si>
  <si>
    <t>B-Cell Non-Hodkgins Lymphoma</t>
  </si>
  <si>
    <t>Bladder Cancer</t>
  </si>
  <si>
    <t>Breast</t>
  </si>
  <si>
    <t>Breast  (Invasive Duct Carcinoma)</t>
  </si>
  <si>
    <t>Breast Cancer</t>
  </si>
  <si>
    <t>Chronic Essential thrombocythemia/Neoplasm</t>
  </si>
  <si>
    <t>Chronic lymphoid leukemia</t>
  </si>
  <si>
    <t>Colon Cancer</t>
  </si>
  <si>
    <t>Colorectal Cancer</t>
  </si>
  <si>
    <t>Female Reproductive Organ  (Adnexae)</t>
  </si>
  <si>
    <t>Female Reproductive Organ  (Cervix, carcinoma)</t>
  </si>
  <si>
    <t>Female Reproductive Organ  (Cervix, Squamous Cell Carcinoma)</t>
  </si>
  <si>
    <t>Female Reproductive Organ (Endometriosis)</t>
  </si>
  <si>
    <t>Female Reproductive Organ (Uterine Fibroids)</t>
  </si>
  <si>
    <t>Follicular Ameloblastoma</t>
  </si>
  <si>
    <t>Gastroesophageal junction Adenocarcinoma</t>
  </si>
  <si>
    <t>GI  (Colon)</t>
  </si>
  <si>
    <t>GI  (Oesophagus, Squamous Cell Carcinoma)</t>
  </si>
  <si>
    <t>GI  (Rectum, Adenocarcinoma)</t>
  </si>
  <si>
    <t>GI  (Stomach, neuroendocrine)</t>
  </si>
  <si>
    <t>GI (Colon?)</t>
  </si>
  <si>
    <t>GI (Stomach, Neuroendocrine Tumor)</t>
  </si>
  <si>
    <t>GI (Stomach, Signet Ring Carcinoma)</t>
  </si>
  <si>
    <t>GIST</t>
  </si>
  <si>
    <t>Glioblastoma</t>
  </si>
  <si>
    <t>Granulosa Cell Tumor of Ovary</t>
  </si>
  <si>
    <t>Hairy Cell Leukemia</t>
  </si>
  <si>
    <t>Head &amp; Neck  (Oral Cavity, Leimyosarcoma)</t>
  </si>
  <si>
    <t>Head &amp; Neck  (Tongue, SCC)</t>
  </si>
  <si>
    <t>Hepatobilliary System (Liver, Hemangioma)</t>
  </si>
  <si>
    <t>Hodgkin Lymphoma</t>
  </si>
  <si>
    <t>Hodgkins Lymphoma</t>
  </si>
  <si>
    <t>Lung  (Adenocarcinoma)</t>
  </si>
  <si>
    <t>Lung  (Non Small Cell Carcinoma/ Squamous Cell Carcioma)</t>
  </si>
  <si>
    <t>Lung (Non Small Cell Carcinoma)</t>
  </si>
  <si>
    <t>Lung Cancer</t>
  </si>
  <si>
    <t>Male Reproductive Organ  (Prostate)</t>
  </si>
  <si>
    <t>Male Reproductive Organ  (Prostate, Adenocarcinoma)</t>
  </si>
  <si>
    <t>Male Reproductive Organ (Prostate)</t>
  </si>
  <si>
    <t>Metastatic adenocarcinoma of the lung</t>
  </si>
  <si>
    <t>Metastatic lobular carcinoma of breast</t>
  </si>
  <si>
    <t>Mucoepidermoid carcinoma</t>
  </si>
  <si>
    <t>Non Hodgkin's Lymphoma</t>
  </si>
  <si>
    <t>Non-hodgkin lymphoma</t>
  </si>
  <si>
    <t>Oral Cancer</t>
  </si>
  <si>
    <t>Ovarian Cancer</t>
  </si>
  <si>
    <t>Ovarian carcinoma, metastatic</t>
  </si>
  <si>
    <t>Pancreatic neuroendocrine tumor</t>
  </si>
  <si>
    <t>Periampullary carcinoma</t>
  </si>
  <si>
    <t>Perianal squamous cell carcinoma</t>
  </si>
  <si>
    <t>Perihilar Cholangiocarcinoma</t>
  </si>
  <si>
    <t>Pleomorphic Adenoma</t>
  </si>
  <si>
    <t>Prostate adenocarcinoma</t>
  </si>
  <si>
    <t>Prostate, bladder, bone</t>
  </si>
  <si>
    <t>Rectal Cancer</t>
  </si>
  <si>
    <t>Rectum Cancer</t>
  </si>
  <si>
    <t>Remission for Sarcoidosis since 27, Thyroid disease</t>
  </si>
  <si>
    <t>Renal cell carcinoma</t>
  </si>
  <si>
    <t>SCC Anal Canal</t>
  </si>
  <si>
    <t>Sigmoid Colon</t>
  </si>
  <si>
    <t>Soft Tissue (Cyst near rib cage)</t>
  </si>
  <si>
    <t>Soft Tissue (Lipoma)</t>
  </si>
  <si>
    <t>Soft Tissue (Pilar Cyst)</t>
  </si>
  <si>
    <t>Testicular Cancer</t>
  </si>
  <si>
    <t xml:space="preserve">Thoracic esophagus and gastroesophageal junction growth squamous cell carcinoma </t>
  </si>
  <si>
    <t>Triple negative breast cancer</t>
  </si>
  <si>
    <t>Urinary Bladder cancer</t>
  </si>
  <si>
    <t>Benign Prostate Hyperplasia</t>
  </si>
  <si>
    <t>Bening tumor on right upper eyelid</t>
  </si>
  <si>
    <t>Breast (Lump)</t>
  </si>
  <si>
    <t>Endometriosis</t>
  </si>
  <si>
    <t>Female Reproductive Organ (Fibroids)</t>
  </si>
  <si>
    <t>Female Reproductive Organ (PCOD)</t>
  </si>
  <si>
    <t>Fibroid, kidney cyst</t>
  </si>
  <si>
    <t>Hepatobilliary System (Fatty Liver)</t>
  </si>
  <si>
    <t>Hepatobilliary System (Gall Bladder Lesion)</t>
  </si>
  <si>
    <t>Hepatobilliary System (Gall Bladder)</t>
  </si>
  <si>
    <t>Lipoma</t>
  </si>
  <si>
    <t>Male Reproductive Organ (Benign Enlarged Prostate)</t>
  </si>
  <si>
    <t>Suspected case of Intraductal papillary mucinous neoplasm (IPMN), Dementia, Diabetes</t>
  </si>
  <si>
    <t xml:space="preserve">1 to 30 </t>
  </si>
  <si>
    <t>DIABETES</t>
  </si>
  <si>
    <t>Type 1 Diabetes Mellitus</t>
  </si>
  <si>
    <t>Type 2 Diabetes Mellitus</t>
  </si>
  <si>
    <t>Hyperthyroidism</t>
  </si>
  <si>
    <t>Pancreatic Diabetes Mellitus</t>
  </si>
  <si>
    <t>Juvenile Diabetes Mellitus</t>
  </si>
  <si>
    <t>Transient Neonatal Diabetes Mellitus</t>
  </si>
  <si>
    <t>Grade i Obesity</t>
  </si>
  <si>
    <t>Grade ii Obesity</t>
  </si>
  <si>
    <t>Obesity</t>
  </si>
  <si>
    <t>Pancreatic DM</t>
  </si>
  <si>
    <t>Refractory Hyperthyroidism</t>
  </si>
  <si>
    <t>Mixed</t>
  </si>
  <si>
    <t>Not Documented yet</t>
  </si>
  <si>
    <t>PCOS</t>
  </si>
  <si>
    <t>Type A insulin resistance with PCOS</t>
  </si>
  <si>
    <t>Pancreatic Cancer</t>
  </si>
  <si>
    <t>Prediabetes</t>
  </si>
  <si>
    <t>Thyroid</t>
  </si>
  <si>
    <t>OTHER ETHINICITY</t>
  </si>
  <si>
    <t>PROJECT: IMPERIAL_CRC</t>
  </si>
  <si>
    <t>CAN</t>
  </si>
  <si>
    <t>CON</t>
  </si>
  <si>
    <t>PROJECT: MANCHESTER_LUNG</t>
  </si>
  <si>
    <t>InDeterminate</t>
  </si>
  <si>
    <t>UK LAB</t>
  </si>
  <si>
    <t>UK Paid</t>
  </si>
  <si>
    <t>HrC Genomics</t>
  </si>
  <si>
    <t>USA LAB</t>
  </si>
  <si>
    <t>l</t>
  </si>
  <si>
    <t>AOB ID</t>
  </si>
  <si>
    <t>SID</t>
  </si>
  <si>
    <t>Name</t>
  </si>
  <si>
    <t>Age</t>
  </si>
  <si>
    <t>Gender</t>
  </si>
  <si>
    <t>Patient ID</t>
  </si>
  <si>
    <t>New Case label</t>
  </si>
  <si>
    <t>Additional</t>
  </si>
  <si>
    <t>Source</t>
  </si>
  <si>
    <t>Detail Disease</t>
  </si>
  <si>
    <t>Organ Type</t>
  </si>
  <si>
    <t>Comorbidity</t>
  </si>
  <si>
    <t>Family history</t>
  </si>
  <si>
    <t>Metastasis</t>
  </si>
  <si>
    <t>Patient status</t>
  </si>
  <si>
    <t>Sample Collection Date</t>
  </si>
  <si>
    <t>DNA availability</t>
  </si>
  <si>
    <t>Sequencing</t>
  </si>
  <si>
    <t>DIN</t>
  </si>
  <si>
    <t>Research/Report</t>
  </si>
  <si>
    <t>Sequencing partner (E)</t>
  </si>
  <si>
    <t>Data received (E)</t>
  </si>
  <si>
    <t>TMR-E  (Gbp)</t>
  </si>
  <si>
    <t>Data analysed-E (Som)</t>
  </si>
  <si>
    <t>Data analysed-E (Germ)</t>
  </si>
  <si>
    <t>Sample lebeling</t>
  </si>
  <si>
    <t>Analysis</t>
  </si>
  <si>
    <t>Report (made/release)</t>
  </si>
  <si>
    <t>Report Release Date</t>
  </si>
  <si>
    <t>Comments (report sample ID)</t>
  </si>
  <si>
    <t>Consultation</t>
  </si>
  <si>
    <t>2022-2025</t>
  </si>
  <si>
    <t>-</t>
  </si>
  <si>
    <t xml:space="preserve">Sujay </t>
  </si>
  <si>
    <t>NA</t>
  </si>
  <si>
    <t> </t>
  </si>
  <si>
    <t>Exhausted</t>
  </si>
  <si>
    <t>Done</t>
  </si>
  <si>
    <t>Research</t>
  </si>
  <si>
    <t>Medgenome</t>
  </si>
  <si>
    <t>122.16 (18.44)</t>
  </si>
  <si>
    <t>Yes</t>
  </si>
  <si>
    <t>6b</t>
  </si>
  <si>
    <t>1A0027</t>
  </si>
  <si>
    <t>Jyoti Pujari</t>
  </si>
  <si>
    <t>J000019</t>
  </si>
  <si>
    <t>79.99 (12)</t>
  </si>
  <si>
    <t>9b</t>
  </si>
  <si>
    <t>1A0029</t>
  </si>
  <si>
    <t>Priya Parsekar</t>
  </si>
  <si>
    <t>&gt;45</t>
  </si>
  <si>
    <t>P000004</t>
  </si>
  <si>
    <t>81.29 (12.2)</t>
  </si>
  <si>
    <t>11b, 11d</t>
  </si>
  <si>
    <t>1A0041</t>
  </si>
  <si>
    <t xml:space="preserve">Neepa dalal </t>
  </si>
  <si>
    <t>N000002</t>
  </si>
  <si>
    <t>Diabetes, Thyroid, Osteoporosis &amp; Parents have diabetes, heart diseases and cancer</t>
  </si>
  <si>
    <t>77.41 (11.6)</t>
  </si>
  <si>
    <t>14b, 14d</t>
  </si>
  <si>
    <t>1A0061</t>
  </si>
  <si>
    <t>Rita Gurwada</t>
  </si>
  <si>
    <t>R000005</t>
  </si>
  <si>
    <t>59.75 (9)</t>
  </si>
  <si>
    <t>24b, 24d</t>
  </si>
  <si>
    <t>1A0154</t>
  </si>
  <si>
    <t>Kapil Agarwal</t>
  </si>
  <si>
    <t>K000006</t>
  </si>
  <si>
    <t>T.N Breast Cancer  (Mother)</t>
  </si>
  <si>
    <t>56.16 (8.4)</t>
  </si>
  <si>
    <t>27b</t>
  </si>
  <si>
    <t>1A0166</t>
  </si>
  <si>
    <t xml:space="preserve">Leela E. Shinde </t>
  </si>
  <si>
    <t>L000003</t>
  </si>
  <si>
    <t>73.19 (11)</t>
  </si>
  <si>
    <t>32b, 32d</t>
  </si>
  <si>
    <t>1A0169</t>
  </si>
  <si>
    <t xml:space="preserve">Nitu Kumari </t>
  </si>
  <si>
    <t>N000010</t>
  </si>
  <si>
    <t>66.55 (10)</t>
  </si>
  <si>
    <t>34b, 34d</t>
  </si>
  <si>
    <t>1A0168</t>
  </si>
  <si>
    <t xml:space="preserve">Pramod Shinde </t>
  </si>
  <si>
    <t>P000015</t>
  </si>
  <si>
    <t>Cancer-Family History</t>
  </si>
  <si>
    <t>59.43 (8.8)</t>
  </si>
  <si>
    <t>36b</t>
  </si>
  <si>
    <t>1A0159</t>
  </si>
  <si>
    <t xml:space="preserve">Satish Shukla </t>
  </si>
  <si>
    <t>S000040</t>
  </si>
  <si>
    <t>73.78 (11)</t>
  </si>
  <si>
    <t>37b</t>
  </si>
  <si>
    <t>1A0155</t>
  </si>
  <si>
    <t xml:space="preserve">Rohit Kachroo </t>
  </si>
  <si>
    <t>R000010</t>
  </si>
  <si>
    <t>75.18 (11.2)</t>
  </si>
  <si>
    <t>38b, 38d</t>
  </si>
  <si>
    <t>1A0347</t>
  </si>
  <si>
    <t>V Krishnan</t>
  </si>
  <si>
    <t>K000017</t>
  </si>
  <si>
    <t>Elevated PSA</t>
  </si>
  <si>
    <t>PSA high</t>
  </si>
  <si>
    <t>Report</t>
  </si>
  <si>
    <t>72.92 (11)</t>
  </si>
  <si>
    <t>43b, 43d</t>
  </si>
  <si>
    <t>1A0348</t>
  </si>
  <si>
    <t xml:space="preserve">Aparna </t>
  </si>
  <si>
    <t>A000045</t>
  </si>
  <si>
    <t>53.31 (8)</t>
  </si>
  <si>
    <t>44b, 44d</t>
  </si>
  <si>
    <t>1A0458</t>
  </si>
  <si>
    <t xml:space="preserve">Gunjan Bajpai </t>
  </si>
  <si>
    <t>G000012</t>
  </si>
  <si>
    <t>YES</t>
  </si>
  <si>
    <t>39.11 (5.8)</t>
  </si>
  <si>
    <t>56b, 56d_R</t>
  </si>
  <si>
    <t>1A0459</t>
  </si>
  <si>
    <t xml:space="preserve">Amit Bajpai </t>
  </si>
  <si>
    <t>A000054</t>
  </si>
  <si>
    <t>87.84 (13.2)</t>
  </si>
  <si>
    <t>57b, 57d_R</t>
  </si>
  <si>
    <t>2A0027</t>
  </si>
  <si>
    <t xml:space="preserve">Meena Sawant </t>
  </si>
  <si>
    <t>M000034</t>
  </si>
  <si>
    <t>56.56 (8.4)</t>
  </si>
  <si>
    <t>77b, 77d</t>
  </si>
  <si>
    <t>2A0087</t>
  </si>
  <si>
    <t>Dr G. S. Toteja</t>
  </si>
  <si>
    <t>T000013</t>
  </si>
  <si>
    <t>103.48 ()</t>
  </si>
  <si>
    <t>91b, 91d</t>
  </si>
  <si>
    <t>2A0440</t>
  </si>
  <si>
    <t>Neha Ajay Hirlekar</t>
  </si>
  <si>
    <t>N000044</t>
  </si>
  <si>
    <t>Her Grandfather  (mother side), Uncle  (mother side)</t>
  </si>
  <si>
    <t>79.14 (11.8)</t>
  </si>
  <si>
    <t>136d/148d</t>
  </si>
  <si>
    <t>2A0057</t>
  </si>
  <si>
    <t>Amruta Ghag</t>
  </si>
  <si>
    <t>A000062</t>
  </si>
  <si>
    <t xml:space="preserve">Diabetes and HTN; Mother- colon cancer; Brother-pancreas </t>
  </si>
  <si>
    <t>68.68 (10.2)</t>
  </si>
  <si>
    <t xml:space="preserve">2A0760 </t>
  </si>
  <si>
    <t xml:space="preserve">Radhika Radia </t>
  </si>
  <si>
    <t>R000022</t>
  </si>
  <si>
    <t>Brother- Prostate Cancer</t>
  </si>
  <si>
    <t>59.6 (8.8)</t>
  </si>
  <si>
    <t>161b, 161d</t>
  </si>
  <si>
    <t>2A1063</t>
  </si>
  <si>
    <t>Ravikant Ruia</t>
  </si>
  <si>
    <t>R000075</t>
  </si>
  <si>
    <t>Male Reproductive Organ (Prostate, BPH), Multiple benign cystic lesions</t>
  </si>
  <si>
    <t>Prostate</t>
  </si>
  <si>
    <t>Adenomatous prostate hyperplasia with multiple benign cystic lesions</t>
  </si>
  <si>
    <t>Clinical history of patient - Adenomatous prostate hyperplasia with multiple benign cystic lesions  (MRI, dated 23/1/218) and benign prostate hyperplasia  (MRI, dated 14/9/219); Serum PSA: 1.16 ng/mL, dated 11/11/223; Serum cancer marker: AFP-α, CA15.3, CA19.9, CEA &amp; Thyroglobulin  (All in normal range), dated 11/11/223; On hormone therapy: past 2-3 years. Family history of cancer - Brother: Lung Cancer, Sister: Myelodysplastic syndrome, Sister: Cancer  (type not provided)._x000D_</t>
  </si>
  <si>
    <t>61.67 (9.2)</t>
  </si>
  <si>
    <t>166b, 166d</t>
  </si>
  <si>
    <t>Released</t>
  </si>
  <si>
    <t>3A0724</t>
  </si>
  <si>
    <t>2A1100</t>
  </si>
  <si>
    <t>Madhu Ruia</t>
  </si>
  <si>
    <t>M000094</t>
  </si>
  <si>
    <t>Liver</t>
  </si>
  <si>
    <t>Clinical history of patient - Hemangioma in liver  (Report not provided). On hormone therapy  (Estrogen/Progesterone). Cancer serum marker done  (Report not provided). Tonsillectomy at the age of 11/12 years.</t>
  </si>
  <si>
    <t>78.99 (11.8)</t>
  </si>
  <si>
    <t>167b, 167d</t>
  </si>
  <si>
    <t xml:space="preserve">3A0860 </t>
  </si>
  <si>
    <t>2A0810</t>
  </si>
  <si>
    <t>Bhavna Roy</t>
  </si>
  <si>
    <t>B000032</t>
  </si>
  <si>
    <t>57.19 (8.6)</t>
  </si>
  <si>
    <t>163b, 163d</t>
  </si>
  <si>
    <t>3A0326</t>
  </si>
  <si>
    <t>Kavita Nalawade</t>
  </si>
  <si>
    <t>K000010</t>
  </si>
  <si>
    <t>Father- cancer</t>
  </si>
  <si>
    <t>8.9  (100X)</t>
  </si>
  <si>
    <t>61.28 (9.2)</t>
  </si>
  <si>
    <t>189b, 189d</t>
  </si>
  <si>
    <t>3A0350</t>
  </si>
  <si>
    <t>Dheeraj Ahluwalia</t>
  </si>
  <si>
    <t>D000071</t>
  </si>
  <si>
    <t>Enlarged prostate</t>
  </si>
  <si>
    <t>BPH</t>
  </si>
  <si>
    <t>Diabetes, cholesterol, enlarged prostate</t>
  </si>
  <si>
    <t xml:space="preserve">Family history of cancer: Father - Brain cancer at 79 Years, Paternal Grandfather - Blood cancer at 78 Years; Other health conditions  (Current Medications): Elevated cholesterol  (Lipitor), Diabetes  (Linagliptin, Empagliflozin, Glucophage XR), Enlarged prostrate  (Tamsulosin Hydrochloride) </t>
  </si>
  <si>
    <t>9.2  (250X)</t>
  </si>
  <si>
    <t>62.6 (9.4)</t>
  </si>
  <si>
    <t>190b, 190d</t>
  </si>
  <si>
    <t>3A0454</t>
  </si>
  <si>
    <t>Mehar Bajaj</t>
  </si>
  <si>
    <t>M000132</t>
  </si>
  <si>
    <t xml:space="preserve">Clinical history of patient: No relevant clinical history of concern. Family history of cancer: Maternal Grandfather - Lung cancer at age of 7 years, Maternal great grandfather and great grandmother - Ear cancer </t>
  </si>
  <si>
    <t>8.7  (250X)</t>
  </si>
  <si>
    <t>156.79 (23.6)</t>
  </si>
  <si>
    <t>192b, 192d</t>
  </si>
  <si>
    <t>3A1080</t>
  </si>
  <si>
    <t>3A0631</t>
  </si>
  <si>
    <t>Nirali Gurwada</t>
  </si>
  <si>
    <t>N000092</t>
  </si>
  <si>
    <t>8.2  (250X)</t>
  </si>
  <si>
    <t>193.85 (29.2)</t>
  </si>
  <si>
    <t>201b, 201d</t>
  </si>
  <si>
    <t>3A0700</t>
  </si>
  <si>
    <t>Vijay Shah</t>
  </si>
  <si>
    <t>V000001</t>
  </si>
  <si>
    <t>Diabetes, hypertension</t>
  </si>
  <si>
    <t>Clinical history of patient
• Diabetes and high BP in the last 1 year: On Rx drug for 4 months, now stopped.
• Sudden transient rise in BP in working hours 4 months back, high CPK MB levels:
2 U/I in blood dated 17th Apr 224, HS troponin 1 level is in normal range dated
17th Apr 224
• Smoking since last 1 years: 2-3 per day and occasional drinking  (stopped from the
last 2 months)
• Supplements: - Formula 1 from HERBALIFE - Personalised Protein powder, shakes,
nutritional supplements, cell activator tablets  (Antioxidant/ Alpha-lipoic acid
tablet) as a meal replacement; Probiotics  (Bacillus Coagulans) for gut health; XAR-
XAP 2 times a day daily
Family history of cancer
• NA</t>
  </si>
  <si>
    <t>8.6  (100X)</t>
  </si>
  <si>
    <t>69.62 (10.4)</t>
  </si>
  <si>
    <t>204b, 204d</t>
  </si>
  <si>
    <t>3A0723</t>
  </si>
  <si>
    <t>Shweta Devendra</t>
  </si>
  <si>
    <t>S000411</t>
  </si>
  <si>
    <t>8.4  (100X)</t>
  </si>
  <si>
    <t>80.46 (12)</t>
  </si>
  <si>
    <t>205b, 205d</t>
  </si>
  <si>
    <t>3A0753</t>
  </si>
  <si>
    <t>Shailesh HariBhakti</t>
  </si>
  <si>
    <t>S000221</t>
  </si>
  <si>
    <t>Diabetes, Heart disease</t>
  </si>
  <si>
    <t>Clinical History
 Bypass surgery in 24, pacemaker in 222, both eyes cataract surgery
 Diabetes-taking insulin  (dose was titrating based on sugar level)
 XAR-XAP for last 5 years  (dose: during covid 3 times each/day, now once/day); Nova
rapid bulds; Shelcal 5; Galvin met 5/5; Rozuvas cv Seloken XL 12.5 mg
Family history of cancer
 Mother- diabetes, cardiovascular problem</t>
  </si>
  <si>
    <t>7.9  (250X)</t>
  </si>
  <si>
    <t>160.7 (24.2)</t>
  </si>
  <si>
    <t>209b, 209d</t>
  </si>
  <si>
    <t>24/09/2024</t>
  </si>
  <si>
    <t>3A0819</t>
  </si>
  <si>
    <t>Niteen Tulpule</t>
  </si>
  <si>
    <t xml:space="preserve">Male </t>
  </si>
  <si>
    <t>N000101</t>
  </si>
  <si>
    <t>Hypertension</t>
  </si>
  <si>
    <t>8.4  (250X)</t>
  </si>
  <si>
    <t>132.77 (20)</t>
  </si>
  <si>
    <t>213b, 213d</t>
  </si>
  <si>
    <t>3A1093</t>
  </si>
  <si>
    <t>Kavita Singh</t>
  </si>
  <si>
    <t>K000101</t>
  </si>
  <si>
    <t>Dr Nadeem</t>
  </si>
  <si>
    <t>69.64 (10.4)</t>
  </si>
  <si>
    <t>249b, 249d</t>
  </si>
  <si>
    <t>3A1167</t>
  </si>
  <si>
    <t>Mahesh Agrawal</t>
  </si>
  <si>
    <t>M000008</t>
  </si>
  <si>
    <t>Male Reproductive Organ (Benign Prostate Hyperplasia), exophytic cyst in the upper pole of left kidney</t>
  </si>
  <si>
    <t>Prostate, kidney</t>
  </si>
  <si>
    <t>Hypothyroidism</t>
  </si>
  <si>
    <t>Paid Report</t>
  </si>
  <si>
    <t>155.86 (23.4)</t>
  </si>
  <si>
    <t>276b, 276d</t>
  </si>
  <si>
    <t>3A1108</t>
  </si>
  <si>
    <t>3A1248</t>
  </si>
  <si>
    <t xml:space="preserve">Ashish Gupta  </t>
  </si>
  <si>
    <t>A000300</t>
  </si>
  <si>
    <t>79.48 (12)</t>
  </si>
  <si>
    <t>301b, 301d</t>
  </si>
  <si>
    <t>3A1288</t>
  </si>
  <si>
    <t>Shiv Nayak</t>
  </si>
  <si>
    <t>S000506</t>
  </si>
  <si>
    <t>63.6 (9.6)</t>
  </si>
  <si>
    <t>322b, 322d</t>
  </si>
  <si>
    <t>3A1342</t>
  </si>
  <si>
    <t>Komal Dharmani</t>
  </si>
  <si>
    <t>K000114</t>
  </si>
  <si>
    <t>Female Reproductive Organ (Endometriosis and Uterine Fibroids)</t>
  </si>
  <si>
    <t>Uterus</t>
  </si>
  <si>
    <t>Endometriosis, fibroid surgery in 2019</t>
  </si>
  <si>
    <t>76.31 (11.4)</t>
  </si>
  <si>
    <t>359b, 359d</t>
  </si>
  <si>
    <t>3A1273</t>
  </si>
  <si>
    <t>3A1343</t>
  </si>
  <si>
    <t>Lalit Dharmani</t>
  </si>
  <si>
    <t>L000039</t>
  </si>
  <si>
    <t>360b, 360d</t>
  </si>
  <si>
    <t>4A0414</t>
  </si>
  <si>
    <t>Arun Madhu</t>
  </si>
  <si>
    <t>A000355</t>
  </si>
  <si>
    <t>Bradycardia, Sleep apnoea</t>
  </si>
  <si>
    <t>MiBiome</t>
  </si>
  <si>
    <t>66.84 (10)</t>
  </si>
  <si>
    <t>4A0415</t>
  </si>
  <si>
    <t>Nipa Sheth</t>
  </si>
  <si>
    <t>N000008</t>
  </si>
  <si>
    <t>76.71 (11.4)</t>
  </si>
  <si>
    <t>4A0416</t>
  </si>
  <si>
    <t>Beerud Sheth</t>
  </si>
  <si>
    <t>B000094</t>
  </si>
  <si>
    <t>66.47 (10)</t>
  </si>
  <si>
    <t>3A1358</t>
  </si>
  <si>
    <t>Ashish Tripathi Junior</t>
  </si>
  <si>
    <t>A000356</t>
  </si>
  <si>
    <t>Benign??</t>
  </si>
  <si>
    <t>66.79 (10)</t>
  </si>
  <si>
    <t>399d</t>
  </si>
  <si>
    <t>3A1081</t>
  </si>
  <si>
    <t>S. S. Bhandari</t>
  </si>
  <si>
    <t>S000206</t>
  </si>
  <si>
    <t>66.44 (10)</t>
  </si>
  <si>
    <t>243d</t>
  </si>
  <si>
    <t>4A0451</t>
  </si>
  <si>
    <t>Venus Khanna</t>
  </si>
  <si>
    <t>V000138</t>
  </si>
  <si>
    <t>Pre-diabetes</t>
  </si>
  <si>
    <t>76.42 (11.4)</t>
  </si>
  <si>
    <t>4A0451_T</t>
  </si>
  <si>
    <t>4A0302</t>
  </si>
  <si>
    <t>4A0452</t>
  </si>
  <si>
    <t>Manish Khanna</t>
  </si>
  <si>
    <t>M000213</t>
  </si>
  <si>
    <t>Hypertension (Mild)</t>
  </si>
  <si>
    <t>67.10 (10)</t>
  </si>
  <si>
    <t>4A0452_T</t>
  </si>
  <si>
    <t>4A0459</t>
  </si>
  <si>
    <t xml:space="preserve">Mohit Lalvani </t>
  </si>
  <si>
    <t>M000214</t>
  </si>
  <si>
    <t>66.48 (10)</t>
  </si>
  <si>
    <t>4A0459_T</t>
  </si>
  <si>
    <t>4A0492</t>
  </si>
  <si>
    <t>Samrat Patil</t>
  </si>
  <si>
    <t>S000607</t>
  </si>
  <si>
    <t>Report/Research</t>
  </si>
  <si>
    <t>74.77 (11.2)</t>
  </si>
  <si>
    <t>00158_S39,  4A0492_E_MB_S26</t>
  </si>
  <si>
    <t>4A0608</t>
  </si>
  <si>
    <t>Chhaya Saini</t>
  </si>
  <si>
    <t>C000007</t>
  </si>
  <si>
    <t>95.260822 (66.74 (10)</t>
  </si>
  <si>
    <t>4A0608_T_S14, 4A0608_E_MB_S29</t>
  </si>
  <si>
    <t>4A0652</t>
  </si>
  <si>
    <t>Sunanda Kadam</t>
  </si>
  <si>
    <t>S000645</t>
  </si>
  <si>
    <t>Soft Tissue (Pilar Cyst), Lesion on scalp</t>
  </si>
  <si>
    <t>Head</t>
  </si>
  <si>
    <t>Diabetes, Hypertension</t>
  </si>
  <si>
    <t>75.94 (11.4)</t>
  </si>
  <si>
    <t>4A0652_T_MB_S57, 4A0652_E_MB_S30</t>
  </si>
  <si>
    <t>4A0725</t>
  </si>
  <si>
    <t>Suryakant Dabilkar</t>
  </si>
  <si>
    <t>S000654</t>
  </si>
  <si>
    <t>Hepatobilliary System (Pancreas, Ampulary Carcinoma)</t>
  </si>
  <si>
    <t>Hypertension, Chronic liver disease</t>
  </si>
  <si>
    <t>66.22 (9.8)</t>
  </si>
  <si>
    <t>4A0725_T_MB_S43, 4A0725_E_MB_S32</t>
  </si>
  <si>
    <t>4A0030</t>
  </si>
  <si>
    <t>Laxmi Buchiya</t>
  </si>
  <si>
    <t>L000041</t>
  </si>
  <si>
    <t>85.19 (12.8)</t>
  </si>
  <si>
    <t>4A0030_T_MB_S8, 4A0030_E_MB_S33</t>
  </si>
  <si>
    <t>4A0122</t>
  </si>
  <si>
    <t>Shubhangi Gole</t>
  </si>
  <si>
    <t>S000545</t>
  </si>
  <si>
    <t>93.21 (14)</t>
  </si>
  <si>
    <t>4A0122_T_MB_S9, 4A0122_E_MB_S34</t>
  </si>
  <si>
    <t>1A0461</t>
  </si>
  <si>
    <t>4A0128</t>
  </si>
  <si>
    <t>Ramanlal Wagh</t>
  </si>
  <si>
    <t>R000236</t>
  </si>
  <si>
    <t>78.74 (11.8)</t>
  </si>
  <si>
    <t>4A0128_T_MB_S10, 4A0128_E_MB_S35</t>
  </si>
  <si>
    <t>4A916A</t>
  </si>
  <si>
    <t>4A0916</t>
  </si>
  <si>
    <t>Arslam Goni</t>
  </si>
  <si>
    <t>A000408</t>
  </si>
  <si>
    <t>97.1 (14.6)</t>
  </si>
  <si>
    <t>4A0916A_T_MB_S12</t>
  </si>
  <si>
    <t>4A1001</t>
  </si>
  <si>
    <t>Shivam Singh</t>
  </si>
  <si>
    <t>S000699</t>
  </si>
  <si>
    <t>Lump in neck</t>
  </si>
  <si>
    <t>Neck</t>
  </si>
  <si>
    <t>86.38 (13)</t>
  </si>
  <si>
    <t>4A1001_T, 4A1001_E_MB_S40</t>
  </si>
  <si>
    <t>4A1015</t>
  </si>
  <si>
    <t>Rakesh Surana</t>
  </si>
  <si>
    <t>R000308</t>
  </si>
  <si>
    <t>86.93 (13)</t>
  </si>
  <si>
    <t>4A1015_T, 4A1015_E_MB_S42</t>
  </si>
  <si>
    <t>4A1022</t>
  </si>
  <si>
    <t>Shivani Bhardwaj</t>
  </si>
  <si>
    <t>S000704</t>
  </si>
  <si>
    <t>97.92 (14.6)</t>
  </si>
  <si>
    <t>4A1022_T, 4A1022_E_MB_S43</t>
  </si>
  <si>
    <t>4A1023</t>
  </si>
  <si>
    <t>Sandeep Bhardwaj</t>
  </si>
  <si>
    <t>S000705</t>
  </si>
  <si>
    <t>89.45 (13.4)</t>
  </si>
  <si>
    <t>4A1023_T, 4A1023_E_MB_S44</t>
  </si>
  <si>
    <t>4A0963</t>
  </si>
  <si>
    <t>Nanda Gawade</t>
  </si>
  <si>
    <t>N000154</t>
  </si>
  <si>
    <t>Under Evaluation</t>
  </si>
  <si>
    <t>Mouth ulcer since a month Acute infection, such as cold, cough, fever (viral infection)</t>
  </si>
  <si>
    <t>72.93 (11)</t>
  </si>
  <si>
    <t>Not analysed</t>
  </si>
  <si>
    <t>4A0963_E_MB_S54</t>
  </si>
  <si>
    <t>4A1113</t>
  </si>
  <si>
    <t>Nutan Dhuri</t>
  </si>
  <si>
    <t>N000159</t>
  </si>
  <si>
    <t>92.53 (13.8)</t>
  </si>
  <si>
    <t>4A1113_E_MB_S38</t>
  </si>
  <si>
    <t xml:space="preserve">3A0884 </t>
  </si>
  <si>
    <t>4A1114</t>
  </si>
  <si>
    <t>Gaurangi Dhuri</t>
  </si>
  <si>
    <t>G000097</t>
  </si>
  <si>
    <t>84.41 (12.6)</t>
  </si>
  <si>
    <t>4A1114_E_MB_S39</t>
  </si>
  <si>
    <t>3A0885</t>
  </si>
  <si>
    <t>4A1115</t>
  </si>
  <si>
    <t>Dattaram Dhuri</t>
  </si>
  <si>
    <t>D000148</t>
  </si>
  <si>
    <t>85.29 (12.8)</t>
  </si>
  <si>
    <t>4A1115_E_MB_S40</t>
  </si>
  <si>
    <t>4A0425</t>
  </si>
  <si>
    <t xml:space="preserve">Mallika Dahiya </t>
  </si>
  <si>
    <t>M000209</t>
  </si>
  <si>
    <t>97.37 (14.6)</t>
  </si>
  <si>
    <t>4A0425_T, 4A0425_E_MB_S11</t>
  </si>
  <si>
    <t>4A0468</t>
  </si>
  <si>
    <t>Ruhi Baig</t>
  </si>
  <si>
    <t>R000264</t>
  </si>
  <si>
    <t>100.56 (15)</t>
  </si>
  <si>
    <t>4A0468_E_MB_S24</t>
  </si>
  <si>
    <t>3A1259</t>
  </si>
  <si>
    <t>Sangita Chavan</t>
  </si>
  <si>
    <t>S000502</t>
  </si>
  <si>
    <t>Spec Lab</t>
  </si>
  <si>
    <t>95.02 (14.2)</t>
  </si>
  <si>
    <t>403b_MB_S42</t>
  </si>
  <si>
    <t>3A1356</t>
  </si>
  <si>
    <t>Minakshi Paygude</t>
  </si>
  <si>
    <t>M000181</t>
  </si>
  <si>
    <t>95.56 (14.4)</t>
  </si>
  <si>
    <t>408b_MB_S48</t>
  </si>
  <si>
    <t>4A0671</t>
  </si>
  <si>
    <t>Mangesh Mahadik</t>
  </si>
  <si>
    <t>M000001</t>
  </si>
  <si>
    <t>87.52 (13.2)</t>
  </si>
  <si>
    <t>4A0671_E_MB_S37</t>
  </si>
  <si>
    <t>4A0873</t>
  </si>
  <si>
    <t>Ryan Patel</t>
  </si>
  <si>
    <t>R000297</t>
  </si>
  <si>
    <t>74.56 (11.2)</t>
  </si>
  <si>
    <t>4A0873_T_MB_S7, 4A0873_E_MB_S48</t>
  </si>
  <si>
    <t>4A0918</t>
  </si>
  <si>
    <t>Zainab Patel</t>
  </si>
  <si>
    <t>Z000010</t>
  </si>
  <si>
    <t>78.37 (11.8)</t>
  </si>
  <si>
    <t>4A0918_T_MB_S9, 4A0918_E_MB_S51</t>
  </si>
  <si>
    <t>4A0935</t>
  </si>
  <si>
    <t>Shabina Patel</t>
  </si>
  <si>
    <t>S000690</t>
  </si>
  <si>
    <t xml:space="preserve"> </t>
  </si>
  <si>
    <t>60.96 (9.2)</t>
  </si>
  <si>
    <t>4A0935_T_MB_S11, 4A0935_E_MB_S53</t>
  </si>
  <si>
    <t>4A0580</t>
  </si>
  <si>
    <t>Shivani Tripathi</t>
  </si>
  <si>
    <t>S000017</t>
  </si>
  <si>
    <t>Mibiome</t>
  </si>
  <si>
    <t>82.52 (12.4)</t>
  </si>
  <si>
    <t>4A0580_E_MB_S46</t>
  </si>
  <si>
    <t>4A0433</t>
  </si>
  <si>
    <t>Gurpreet Pande</t>
  </si>
  <si>
    <t>G000078</t>
  </si>
  <si>
    <t>Grade II obesity</t>
  </si>
  <si>
    <t>87.23 (13)</t>
  </si>
  <si>
    <t>4A0433_T</t>
  </si>
  <si>
    <t>4A0421</t>
  </si>
  <si>
    <t>Ragini Awasthi</t>
  </si>
  <si>
    <t>R000261</t>
  </si>
  <si>
    <t>82.04 (12.2)</t>
  </si>
  <si>
    <t>4A0421_E_MB_S19</t>
  </si>
  <si>
    <t>4A0607</t>
  </si>
  <si>
    <t>Vijay Taparia</t>
  </si>
  <si>
    <t>V000147</t>
  </si>
  <si>
    <t>80.15 (12)</t>
  </si>
  <si>
    <t>4A0607_T_S13, 4A0607_E_S51</t>
  </si>
  <si>
    <t>4A0527</t>
  </si>
  <si>
    <t>Jyoti Kolambekar</t>
  </si>
  <si>
    <t>J000032</t>
  </si>
  <si>
    <t>81.07 (12.2)</t>
  </si>
  <si>
    <t>4A0527_E_MB_S40</t>
  </si>
  <si>
    <t>4A0603</t>
  </si>
  <si>
    <t>Ayesha Khan</t>
  </si>
  <si>
    <t>A000378</t>
  </si>
  <si>
    <t>grandmother-breast cancer (age 52)</t>
  </si>
  <si>
    <t>77.83 (11.6)</t>
  </si>
  <si>
    <t>4A0603_E_MB_S6</t>
  </si>
  <si>
    <t>4A0440</t>
  </si>
  <si>
    <t>Subham Chatterjee</t>
  </si>
  <si>
    <t>S000600</t>
  </si>
  <si>
    <t>85.65 (12.8)</t>
  </si>
  <si>
    <t>4A0440_E_MB_S25</t>
  </si>
  <si>
    <t>4A0420</t>
  </si>
  <si>
    <t>Pandurang Awasthi</t>
  </si>
  <si>
    <t>P000179</t>
  </si>
  <si>
    <t>87.08 (13)</t>
  </si>
  <si>
    <t>4A0420_E_MB_S18</t>
  </si>
  <si>
    <t>4A0601</t>
  </si>
  <si>
    <t>Achyut Gavkhadkar</t>
  </si>
  <si>
    <t>A000103</t>
  </si>
  <si>
    <t>75.74 (11.4)</t>
  </si>
  <si>
    <t>4A0601_E_MB_S49</t>
  </si>
  <si>
    <t>4A0431</t>
  </si>
  <si>
    <t>Ekta Nitin Waghela</t>
  </si>
  <si>
    <t>E000016</t>
  </si>
  <si>
    <t>80.85 (12.2)</t>
  </si>
  <si>
    <t>4A0431_E_MB_S23</t>
  </si>
  <si>
    <t>4A0430</t>
  </si>
  <si>
    <t>Mayuri Khade</t>
  </si>
  <si>
    <t>M000211</t>
  </si>
  <si>
    <t>85.44 (12.8)</t>
  </si>
  <si>
    <t>4A0430_E_MB_S22</t>
  </si>
  <si>
    <t>4A0429</t>
  </si>
  <si>
    <t>Meghana Naik</t>
  </si>
  <si>
    <t>M000210</t>
  </si>
  <si>
    <t>80 (12)</t>
  </si>
  <si>
    <t>4A0429_E_MB_S21</t>
  </si>
  <si>
    <t>4A0525</t>
  </si>
  <si>
    <t>Veselin Mareshki</t>
  </si>
  <si>
    <t>V000141</t>
  </si>
  <si>
    <t>80.69 (12)</t>
  </si>
  <si>
    <t>4A0525_E_MB_S38</t>
  </si>
  <si>
    <t>4A1136</t>
  </si>
  <si>
    <t>Neelam Shinde</t>
  </si>
  <si>
    <t>N000009</t>
  </si>
  <si>
    <t>76.65 (11.4)</t>
  </si>
  <si>
    <t>4A1136A_T_MB_S26, 4A1136_E_MB_S3</t>
  </si>
  <si>
    <t>4A0460</t>
  </si>
  <si>
    <t>Aparna Menon</t>
  </si>
  <si>
    <t>A000359</t>
  </si>
  <si>
    <t>90.65 (13.6)</t>
  </si>
  <si>
    <t>4A0460_E_MB_S31</t>
  </si>
  <si>
    <t>4A0432</t>
  </si>
  <si>
    <t>Dipika Vijay Lokhande</t>
  </si>
  <si>
    <t>D000127</t>
  </si>
  <si>
    <t>81.51 (12.2)</t>
  </si>
  <si>
    <t>4A0432_E_MB_S24</t>
  </si>
  <si>
    <t>4A0576</t>
  </si>
  <si>
    <t>Shaima Rifaie</t>
  </si>
  <si>
    <t>S000081</t>
  </si>
  <si>
    <t>grandmother- stomach (54)</t>
  </si>
  <si>
    <t>95.83 (14.4)</t>
  </si>
  <si>
    <t>4A0576_E_MB_S45</t>
  </si>
  <si>
    <t>4A0444</t>
  </si>
  <si>
    <t>Sonia Jain</t>
  </si>
  <si>
    <t>S000601</t>
  </si>
  <si>
    <t>73.56 (11)</t>
  </si>
  <si>
    <t>4A0444_E_MB_S27</t>
  </si>
  <si>
    <t>4A1134</t>
  </si>
  <si>
    <t>Shaira Khan</t>
  </si>
  <si>
    <t>S000724</t>
  </si>
  <si>
    <t>72.44 (10.8)</t>
  </si>
  <si>
    <t>4A1134_E_MB_S2</t>
  </si>
  <si>
    <t>4A0582</t>
  </si>
  <si>
    <t xml:space="preserve">Dinesh Gurav </t>
  </si>
  <si>
    <t>D000002</t>
  </si>
  <si>
    <t>Heart disease</t>
  </si>
  <si>
    <t>71.01 (10.6)</t>
  </si>
  <si>
    <t>4A0582_E_MB_S48</t>
  </si>
  <si>
    <t>4A0443</t>
  </si>
  <si>
    <t>Manish Jain</t>
  </si>
  <si>
    <t>M000212</t>
  </si>
  <si>
    <t>87.22 (13)</t>
  </si>
  <si>
    <t>4A0443_E_MB_S26</t>
  </si>
  <si>
    <t>4A0428</t>
  </si>
  <si>
    <t>Naresh Naik</t>
  </si>
  <si>
    <t>N000131</t>
  </si>
  <si>
    <t>87.39 (13)</t>
  </si>
  <si>
    <t>4A0428_E_MB_S20</t>
  </si>
  <si>
    <t>4A0526</t>
  </si>
  <si>
    <t>Ali Lehra</t>
  </si>
  <si>
    <t>A000366</t>
  </si>
  <si>
    <t>80.49 (12)</t>
  </si>
  <si>
    <t>4A0526_E_MB_S39</t>
  </si>
  <si>
    <t>4A0309</t>
  </si>
  <si>
    <t>Indrajeet Yadav</t>
  </si>
  <si>
    <t>I000021</t>
  </si>
  <si>
    <t>79.94 (12)</t>
  </si>
  <si>
    <t>4A0309_E_MB_S7</t>
  </si>
  <si>
    <t>4A0609</t>
  </si>
  <si>
    <t>Tehzeeb Shamji</t>
  </si>
  <si>
    <t>T000065</t>
  </si>
  <si>
    <t>87.53 (13.2)</t>
  </si>
  <si>
    <t>4A0609_E_S52</t>
  </si>
  <si>
    <t>4A0602</t>
  </si>
  <si>
    <t>Sakshi Kamble</t>
  </si>
  <si>
    <t>S000226</t>
  </si>
  <si>
    <t>83.7 (12.6)</t>
  </si>
  <si>
    <t>4A0602_E_S50</t>
  </si>
  <si>
    <t>4A0461</t>
  </si>
  <si>
    <t>Shlok Shivkar</t>
  </si>
  <si>
    <t>S000605</t>
  </si>
  <si>
    <t>81.89 (12.2)</t>
  </si>
  <si>
    <t>4A0461_E_MB_S32</t>
  </si>
  <si>
    <t>4A0511</t>
  </si>
  <si>
    <t xml:space="preserve">Shibani Bathija </t>
  </si>
  <si>
    <t>S000610</t>
  </si>
  <si>
    <t>80.51 (12)</t>
  </si>
  <si>
    <t>4A0511_E_MB_S36</t>
  </si>
  <si>
    <t>4A0020</t>
  </si>
  <si>
    <t>Percy Daruwalla​</t>
  </si>
  <si>
    <t>P000151</t>
  </si>
  <si>
    <t>Haystack</t>
  </si>
  <si>
    <t>194.52 (29)</t>
  </si>
  <si>
    <t>4A0020_E_HS</t>
  </si>
  <si>
    <t>4A0528</t>
  </si>
  <si>
    <t>Mohd Sharukh Salim Varyala</t>
  </si>
  <si>
    <t>M000009</t>
  </si>
  <si>
    <t>77.18 (11.6)</t>
  </si>
  <si>
    <t>4A0528_E_MB_S41</t>
  </si>
  <si>
    <t>4A0506</t>
  </si>
  <si>
    <t>Vandana Pai Sharucha</t>
  </si>
  <si>
    <t>V000140</t>
  </si>
  <si>
    <t>82.17 (12.4)</t>
  </si>
  <si>
    <t>4A0506_E_MB_S35</t>
  </si>
  <si>
    <t>1A0035</t>
  </si>
  <si>
    <t xml:space="preserve">Anish Tripathi </t>
  </si>
  <si>
    <t>A000004</t>
  </si>
  <si>
    <t>53.04 (8)</t>
  </si>
  <si>
    <t>1b, 1d</t>
  </si>
  <si>
    <t>2A0809</t>
  </si>
  <si>
    <t>Meeta Tripathi</t>
  </si>
  <si>
    <t>M000013</t>
  </si>
  <si>
    <t>63.29 (9.4)</t>
  </si>
  <si>
    <t>162b, 162d</t>
  </si>
  <si>
    <t>3A0534</t>
  </si>
  <si>
    <t>Anand Hinduja</t>
  </si>
  <si>
    <t>A000180</t>
  </si>
  <si>
    <t>MLH1 Germline positive</t>
  </si>
  <si>
    <t xml:space="preserve">Grade 3 Fatty Liver, Migrane, Thalassemia minor, </t>
  </si>
  <si>
    <t>NAFLD, High Risk</t>
  </si>
  <si>
    <t>Clinical history of patient: Grade 3 Fatty Liver  (from last 2yrs) - NAFLD- fibro Scan done dated 13/4/224; Migraine, BP – slightly on the higher side; Thalassemia minor  (report not available); High-sensitivity C-reactive protein  (hsCRP) - High  (report not available); Vit D, calcium - on lower side  (report not available); Nutrigenomics - Gut biome test from Gene Box - Report not documented; Current Medication: Canagliflozin 3 mg. Family History: Father - 1st primary CRC at age 52; 2nd primary Prostate at age 63; Died because of cardiac arrest in 22; Mother - Dilated cardiomyopathy Rheumatoid arthritis, Diabetic; Maternal Uncle 1 - Throat Cancer at age 5; Maternal Uncle 2 - Urinary bladder cancer</t>
  </si>
  <si>
    <t>8.5  (250X)</t>
  </si>
  <si>
    <t>142.27 (21.4)</t>
  </si>
  <si>
    <t>198b, 198d</t>
  </si>
  <si>
    <t>3A1071</t>
  </si>
  <si>
    <t>Samidha Tendulkar</t>
  </si>
  <si>
    <t>S000479</t>
  </si>
  <si>
    <t>49.66 (7.4)</t>
  </si>
  <si>
    <t>237d</t>
  </si>
  <si>
    <t>3A1205</t>
  </si>
  <si>
    <t xml:space="preserve">Sayali Shetty </t>
  </si>
  <si>
    <t>S000495</t>
  </si>
  <si>
    <t>51.27 (7.6)</t>
  </si>
  <si>
    <t>294b, 294d</t>
  </si>
  <si>
    <t>3A1325</t>
  </si>
  <si>
    <t>Nikita Sethia</t>
  </si>
  <si>
    <t>N000071</t>
  </si>
  <si>
    <t>Thyroid issue</t>
  </si>
  <si>
    <t>167.37 (25)</t>
  </si>
  <si>
    <t>3A1325_E_HS</t>
  </si>
  <si>
    <t>4A0150</t>
  </si>
  <si>
    <t>Aman Gurwada</t>
  </si>
  <si>
    <t>A000008</t>
  </si>
  <si>
    <t>110.77  (16.6)</t>
  </si>
  <si>
    <t>4A0150_T</t>
  </si>
  <si>
    <t>4A0673</t>
  </si>
  <si>
    <t>Vikas Yadav</t>
  </si>
  <si>
    <t>V000060</t>
  </si>
  <si>
    <t>70.21 (10.6)</t>
  </si>
  <si>
    <t>4A0673_E_MB_S55</t>
  </si>
  <si>
    <t>4A0745</t>
  </si>
  <si>
    <t>Vivek Mathur</t>
  </si>
  <si>
    <t>V000156</t>
  </si>
  <si>
    <t>62.27 (9.4)</t>
  </si>
  <si>
    <t>4A0745_T_MB_S1, 4A0745_E_MB_S60</t>
  </si>
  <si>
    <t>4A0857</t>
  </si>
  <si>
    <t>Khojeste Mistree</t>
  </si>
  <si>
    <t>K000162</t>
  </si>
  <si>
    <t>53.304418 (63.55 (9.4)</t>
  </si>
  <si>
    <t>4A0857_T_MB_S6, 4A0857_E_MB_S62</t>
  </si>
  <si>
    <t>1A0157</t>
  </si>
  <si>
    <t>Soumya Sahoo</t>
  </si>
  <si>
    <t>S000039</t>
  </si>
  <si>
    <t>Male Reproductive Organ (Testicular), Grade 2 mucositis 2022</t>
  </si>
  <si>
    <t>73.47 (11)</t>
  </si>
  <si>
    <t>28b</t>
  </si>
  <si>
    <t>4A0383</t>
  </si>
  <si>
    <t>84.56  (12.6)</t>
  </si>
  <si>
    <t>Made</t>
  </si>
  <si>
    <t>1A0162</t>
  </si>
  <si>
    <t xml:space="preserve">Pankaj Singh </t>
  </si>
  <si>
    <t>P000014</t>
  </si>
  <si>
    <t>GI (Rectal), Rectal Cancer stage 4, metastasis</t>
  </si>
  <si>
    <t>Lungs: Multiple  (at least 1) subcentimetre sized nodular densities are seen in the random distribution in bilateral lung parenchyma, much more on the right side - appear metastatic. Pleura: No effusions. Thoracic lymph nodes: Multiple enlarged left supraclavicular, prevascular, para and pretracheal, subcarinal, left axillary lymph nodes are seen, largest measuring 2.8 x 2.6 cm metastatic  (as on 22/4/222). Mutations are detected and characterized by a combination of PCR amplification and direct sequencing of exons 2, 3 and 4 of KRAS,NRAS gene and exons 2, 3 of HRAS gene. Gene specific PCR and cycle sequencing was performed on Veriti Thermal cycler  (ABI). Sequencing product purification was done using Big Dye X-Terminator Kit  (ABI) and was subjected to sequencing on 35 Genetic Analyzer  (ABI).The chromatograms were analyzed on Sequence Analysis software. No mutations were detected at exons 2, 3 and 4 of KRAS, exons 2, 3 and 4 of NRAS gene and exons 3 of HRAS gene. Hence the sample is considered as wild type. HRAS exon 2 is uninterpretable due to non -readable sequence.</t>
  </si>
  <si>
    <t>Lungs</t>
  </si>
  <si>
    <t>50.49 (7.6)</t>
  </si>
  <si>
    <t>30b</t>
  </si>
  <si>
    <t>1A0478</t>
  </si>
  <si>
    <t xml:space="preserve">Bharatbai Kamble </t>
  </si>
  <si>
    <t>B000010</t>
  </si>
  <si>
    <t>Spect Lab</t>
  </si>
  <si>
    <t>Lung (Adenocarcinoma)</t>
  </si>
  <si>
    <t>Adenocarcinoma Lung, Right lung upper lobe mass 74x79x55 mm 16.12.222  (primary) and multiple lung nodules and deposits  (metastatic)</t>
  </si>
  <si>
    <t>Marrow lesions- right iliac bone  (8.47), right supra acetabulum Gastrohepatic 8 mm  (5.43), retrocaval 1 mm  (3.78), aortocaval 6 mm  (2.4);  (493),- left iliac bone  (5.65), neck of left femur  (2.44); left ala of sacrum  (3.15), left anterior acetabulum</t>
  </si>
  <si>
    <t>71.26 (10.6)</t>
  </si>
  <si>
    <t>61b, 61d</t>
  </si>
  <si>
    <t>1A0486</t>
  </si>
  <si>
    <t xml:space="preserve">Meena Malekar </t>
  </si>
  <si>
    <t>M000035</t>
  </si>
  <si>
    <t>Lung (Adenosquamous Carcinoma)</t>
  </si>
  <si>
    <t>Adenosquamous carcinoma of lung, treatment naive, known immunocompromised, Soft tissue mass in the right lung lower lobe with central necrosis  measures 62 x 61 mm</t>
  </si>
  <si>
    <t>Muscular and skeletal deposits</t>
  </si>
  <si>
    <t>73.9 (11)</t>
  </si>
  <si>
    <t>67b, 67d</t>
  </si>
  <si>
    <t>2A0004</t>
  </si>
  <si>
    <t>Ramesh Uttarkar</t>
  </si>
  <si>
    <t>R000037</t>
  </si>
  <si>
    <t>Lung</t>
  </si>
  <si>
    <t>Metastatic, malignant, swelling under investigation, treatment naive. Soft tissue lesion 49x22x25 mm inapicoposterior segment of left upper lobe</t>
  </si>
  <si>
    <t>Adrenal, skeletal and brain deposits</t>
  </si>
  <si>
    <t>62.65 (9.4)</t>
  </si>
  <si>
    <t>76b, 76d</t>
  </si>
  <si>
    <t>2A0126</t>
  </si>
  <si>
    <t>Yuvraj Paradhe</t>
  </si>
  <si>
    <t>Y000004</t>
  </si>
  <si>
    <t>GI (Rectum)</t>
  </si>
  <si>
    <t>Histology report awaited, treatment naive</t>
  </si>
  <si>
    <t>90.18 ()</t>
  </si>
  <si>
    <t>2A0144</t>
  </si>
  <si>
    <t>Vijay Mhalagi</t>
  </si>
  <si>
    <t>V000028</t>
  </si>
  <si>
    <t>GI (Colon, Adenocarcinoma)</t>
  </si>
  <si>
    <t>Reduction in size and metabolic activity in previously seen  peri-hepatic peritoneal deposit nearfossa 9 x 7 mm  (prev. 16x13mm) with metabolic resolution of subhepatic deposit {prev. 13x18mm; Ill defined mesenteric nodularity - lienorenal ligament 7 mm  (prev. 18x13mm). "HPE messenteric LN  (11/9/222) - numerous areas of perinodal invasion and lymphovascular emboli, surounding colon shows mucosal polyps showing adenomatous hanges  (pT4N1bMx), excision biopsy of colonic mass at splenic flexure HPE  (11/9/222) - moderately diff. adenocarcinoma of colon; Transverse colon resection specimen HPE  (15/9/222) - features of perforated peritonitis with numerous diverticuli and hyperplastic polypoidal mucosa"</t>
  </si>
  <si>
    <t>73.96 ()</t>
  </si>
  <si>
    <t>99b, 99d</t>
  </si>
  <si>
    <t>2A0168</t>
  </si>
  <si>
    <t>Bhima Nana Rankhambe</t>
  </si>
  <si>
    <t>B000016</t>
  </si>
  <si>
    <t>Spect lab</t>
  </si>
  <si>
    <t>Head &amp; Neck (Buccal Mucosa, Squamous Cell Carcinoma)</t>
  </si>
  <si>
    <t>Head &amp; Neck cancer</t>
  </si>
  <si>
    <t>Squamous cell carcinoma of right buccal mucosa; Thickening in right lower buccal mucosa- extending to lower gingiobuccal sulcus-adjoining floor of mouth with mandibular erosion and right cervical nodes.  CT scan on date? - 21x25x2mm lesion in right inferior gingivobuccal sulcus. PET CT on 27/1/23: thickening in right lower buccal mucosa- extending to lower gingiobuccal sulcus- adjoining floor of mouth- 23 x 24 x 39 mm; adjoining cervical nodes invloved Nodes- right Ib 14 mm  (2.87); right level II 9 mm  (3.98).</t>
  </si>
  <si>
    <t>67.86 (10.2)</t>
  </si>
  <si>
    <t>106b, 106d</t>
  </si>
  <si>
    <t>2A0214</t>
  </si>
  <si>
    <t>Ramrao Bamgar</t>
  </si>
  <si>
    <t>R000054</t>
  </si>
  <si>
    <t>GI (Colon, Signet Ring Carcinoma)</t>
  </si>
  <si>
    <t>Signet ring cell carcinoma of colon; Mild metabolic regression in previously seen FDG avid transverse colon-descending colon wall thickening. Persistent omental nodularity and fat stranding; Previously seen FDG avid wall thickening involving proximal descending colon and transverse colon shows metabolic and mild morphologic response; measuring 75 x 14mm on 2.2.23   (prev 74 x 23mm on 25.11.222)</t>
  </si>
  <si>
    <t>62.36 (9.4)</t>
  </si>
  <si>
    <t>114b, 114d</t>
  </si>
  <si>
    <t>2A0263</t>
  </si>
  <si>
    <t>Anjali Jadhav</t>
  </si>
  <si>
    <t>A000077</t>
  </si>
  <si>
    <t>Female Reproductive Organ (Adnexae)</t>
  </si>
  <si>
    <t xml:space="preserve">Weakly metabolic bilateral adnexal masses; enlarged supradiaphragmatic and infradiaphragmatic nodes. Multiple scattered nodules in both lungs. Diffuse FDG activity in bone marrow of axial and appendicular skeleton.D/D lymphoma; post splenectomy reactionary lymphadenopathy.  CT - 1.11.22 - bilateral lobulated multicystic adnexal masses with solid components  (right - 88x5x56mm, left 32x29x24mm); PET CT on 7/2/223- Right adnexa with solid cystic component, 83 x 44 mm; Left adnexa 21 x 29 mm and multiple enlarged supradiaphragmatic and infradiaphragmatic nodes; Multiple scattered nodules in both lungs in left lower lobe upto 7 mm; </t>
  </si>
  <si>
    <t>Lungs, bone marrow of axial and appendicular skeleton</t>
  </si>
  <si>
    <t>100.68 (15.2)</t>
  </si>
  <si>
    <t>115b, 115d</t>
  </si>
  <si>
    <t>2A0270</t>
  </si>
  <si>
    <t>Sham Bansi Dhar</t>
  </si>
  <si>
    <t>S000177</t>
  </si>
  <si>
    <t>GI (Rectum, Adenocarcinoma)</t>
  </si>
  <si>
    <t>Moderately differentiated adenocarcinoma of rectum; asymmetric circumferential thickening in mid- lower rectum; perilesional fat stranding and weakly metabolic regional nodes; asymmetric circumferential thickening in mid- lower rectum- 5 x 26 x 62 mm; Nodes- mesorectal- 4 mm; presacral- 14 mm</t>
  </si>
  <si>
    <t>100.75 (15.2)</t>
  </si>
  <si>
    <t>116b, 116d</t>
  </si>
  <si>
    <t>2A0287</t>
  </si>
  <si>
    <t>Sangeeta Parkhande</t>
  </si>
  <si>
    <t>S000183</t>
  </si>
  <si>
    <t>GI (Colorectal, Adenocarcinoma), Metastasis</t>
  </si>
  <si>
    <t>Metastatic Adenocarcinoma Colorectal  (likely primary); Asymmetric circumferential thickening in hepatic flexture  (primary) and mesenteric nodes; lesion in left adnexal operative bed.; weakly metabolic right adnexal lesion.; pelvic- inguinal nodes.; liver- adrenal- lung or skeletal metastasis; asymmetric circumferential thickening in hepatic flexture- 42 x 32 mm; Mesenteric nodes- 17 x 18 mm  (4.14); 8 mm  (3.33); Right adnexa measures 42 x 39 mm; HP  (2.1.23)- deposits of moderately differentiated adenocarcinoma; positive for CK-2; SATB-2; CDX-2; negative for CK-7; PAX-8; primary colorectal</t>
  </si>
  <si>
    <t>Pelvic, inguinal nodes, liver, adrenal, lung, skeletal</t>
  </si>
  <si>
    <t>69.98 (10.4)</t>
  </si>
  <si>
    <t>117b, 117d</t>
  </si>
  <si>
    <t>2A0305</t>
  </si>
  <si>
    <t>Bhanudas Lashkar</t>
  </si>
  <si>
    <t>B000023</t>
  </si>
  <si>
    <t>GI (Colon, Squamous Cell Carcinoma); GI</t>
  </si>
  <si>
    <t>Invasive moderately differentiated squamous cell carcinoma; Serosal deposit along posterior margin of transverse colon 25 x 12 mm; Omental nodule at level of spleen -4 mm; FDG avid perihepatic deposit- 16 mm; FDG avid deposit anterior to right psoas- at level of L4- 2 mm; at level of L5- 25 x 41 mm; Presacral nodules- 42 x 31 mm; 31 x 25 mm; Deposit in rectopouch- 33 x 54 mm; Right external iliac node- 12 mm  (prev. Ametabolic tubular structure is seen in the pelvis situated between the seminal vesicles and wall of rectum on either side, 35 x 16 mm); Prostate measures 51 x 42 mm  (prev. Nodes:Small ametabolic mesenteric nodes upto 15 mm. Right junctional iliac node 16 x 9 mm ametabolic. Left junctional iliac node 13 x 1 mm ametabolic)</t>
  </si>
  <si>
    <t>Peritoneal- mesenteric- omental deposits</t>
  </si>
  <si>
    <t>97.84 (14.6)</t>
  </si>
  <si>
    <t>122b, 122d</t>
  </si>
  <si>
    <t>2A0319</t>
  </si>
  <si>
    <t>Ranjendra Salunkhe</t>
  </si>
  <si>
    <t>R000059</t>
  </si>
  <si>
    <t>Moderately differentiated mucin secreting adenocarcinoma invading serosa; Ca anal canal; MRI in 221 -circumferential wall thickening, ma thickness 12mm, length 8-9 cm noted in anal canal extending along lower and mid rectum; PETCT 17.8.22- clear; HPE taken  (9/2/223)- neoplastic lesion of epitheleal origin;Subcutaneous tissue of right parieto-occipital region shows an FDG avid soft tissue lesion; measuring 33 x 17mm New right occipital node 13mm</t>
  </si>
  <si>
    <t>Right occipital region  (brain)</t>
  </si>
  <si>
    <t>110.43 (16.6)</t>
  </si>
  <si>
    <t>123b, 123d</t>
  </si>
  <si>
    <t>2A0330</t>
  </si>
  <si>
    <t>Renuka Kambale</t>
  </si>
  <si>
    <t>R000061</t>
  </si>
  <si>
    <t>GI (Colon, Mucinous Adenocarcinoma)</t>
  </si>
  <si>
    <t>No evidence of any FDG avid lesions seen in pelvis. No FDG avid lesion in vaginal stump  (16/2/23). "IHC- positive for PAN CK; cytokeratin 2; WT-1- metastatic mucin secreting adenocarcinoma showing colonic differentiation"</t>
  </si>
  <si>
    <t>Serosal and omental nodules, lesion in hepatic flexure</t>
  </si>
  <si>
    <t>76.59 (11.4)</t>
  </si>
  <si>
    <t>124b, 124d</t>
  </si>
  <si>
    <t>2A0335</t>
  </si>
  <si>
    <t>Nitin Shah</t>
  </si>
  <si>
    <t>N000038</t>
  </si>
  <si>
    <t>GI (Colon)</t>
  </si>
  <si>
    <t>Sigmoid Colon Cancer; Large lobulated altered signal intensity lesion in the sigmoid colon. The lesion is extending in the pericolic region. It extends over a length of 7.5 cm.  Its maximum wall thickness measures 2.3 cm. Asymmetric circumferential thickening in mid sigmoid forming a mass along right lateral pelvic wall- 6 x 51 mm. The right lower ureter is entrapped within the mass causing right hydro-uretero- nephrosis. Adjoining right junctional nodes- 12 mm; right common iliac nodes- 8 mm.</t>
  </si>
  <si>
    <t>Ureter</t>
  </si>
  <si>
    <t>69.23 ()</t>
  </si>
  <si>
    <t>127b, 127d</t>
  </si>
  <si>
    <t>2A0373</t>
  </si>
  <si>
    <t>Anita Sanap</t>
  </si>
  <si>
    <t>A000094</t>
  </si>
  <si>
    <t>Female Reproductive Organ (Cervix, Squamous Cell Carcinoma)</t>
  </si>
  <si>
    <t>Active Cancer Detect Cervical Cancer On 21/2/223; Keratinizing squamous cell carcinoma  (GradeII) involving the cervix; 14/2/223: enlarged bilateral iliac  (right&gt;left), mesorectal, and retroperitoneal lymphnodes ; largest measuring approx 2.5*2.2 cm; 2/2/223: largest conglomerated paraaortic lymph nodal mass measuring 1.6*1.5*11.3 cm; mesorectal node measuring 2.6*1.9 cm; All the fragments consist of a tumor composed of wavy islands of polygonal squamous cells showing keratinizing cytoplasm and pleomorphic mitotically active nuclei. In regions the tumor reveals papillary arrangement.  (21/2/223)</t>
  </si>
  <si>
    <t xml:space="preserve">Right distal Ureter;  pelic, mesorectal and retroperitoneal nodes present </t>
  </si>
  <si>
    <t>91.05 (13.6)</t>
  </si>
  <si>
    <t>132b, 132d</t>
  </si>
  <si>
    <t>2A0593</t>
  </si>
  <si>
    <t>Milind Dhulekar</t>
  </si>
  <si>
    <t>M000069</t>
  </si>
  <si>
    <t>Moderately diffferentiated Adenocarcinoma of colon; 21/4/223: Sigmoid growth at 4 cm</t>
  </si>
  <si>
    <t>102.94 (15.4)</t>
  </si>
  <si>
    <t>142d</t>
  </si>
  <si>
    <t>1A0518</t>
  </si>
  <si>
    <t xml:space="preserve">Shivaji Pawar </t>
  </si>
  <si>
    <t>S000113</t>
  </si>
  <si>
    <t>Adenocarcinoma Lung; Spiculated mass is seen in the perihilar region of right lung upper lobe 41x37x34 mm</t>
  </si>
  <si>
    <t>Extensive Bone mets</t>
  </si>
  <si>
    <t>78.27 (11.8)</t>
  </si>
  <si>
    <t>2A0662</t>
  </si>
  <si>
    <t>Namitha A. Kumar</t>
  </si>
  <si>
    <t>N000051</t>
  </si>
  <si>
    <t>Hepatobilliary System (Liver)</t>
  </si>
  <si>
    <t>Clinical history of patient - Diagnosed δβ-thalassemia intermedia at age of 4 yrs. Under blood transfusion and iron chelation therapy. Splenectomy at the age of 6  (1984). Diagnosed transfusion hemosiderosis related diabetes, chronic liver disease due to HCV infection and hemochromatosis. History of Epileptic seizures. Diagnosed amenorrhea, under treatment with HRT. History of low bone density with multiple fractures. History of hepatic encephalopathy. Diagnosed gall bladder bilirubin stones and peripheral neuropathy. Diagnosed liver lesions in segment VII of right lobe and abutting in right hepatic vein and intrahepatic inferior vena cava and in thoracic spine, pre-sacral region  (CT/MRI, dated May 223). AFP - 12.6 ng/mL  (normal range &lt;7 ng/mL), dated May 223. DCP  (Des-gamma-carboxy-prothrombin PIVKAII) - 1533.24 mAU/mL  (normal range-17.36 - 5.9 mAU/mL), dated May 223. CEA-Carcinoembryonic antigen - 2.21 ng/mL  (normal range &lt;5 ng/mL), dated May 223. Family history of cancer - Paternal Grandfather - Non-Hodgkins Lymphoma, Maternal Grandfather - Liver cancer.</t>
  </si>
  <si>
    <t>Bones</t>
  </si>
  <si>
    <t>68.43 (10.2)</t>
  </si>
  <si>
    <t>154b, 154d</t>
  </si>
  <si>
    <t>2A1171</t>
  </si>
  <si>
    <t>Hetal More</t>
  </si>
  <si>
    <t>H000024</t>
  </si>
  <si>
    <t>Breast (Invasive Breast Carcinoma)</t>
  </si>
  <si>
    <t>61.24 (9.2)</t>
  </si>
  <si>
    <t>171b, 171d</t>
  </si>
  <si>
    <t>2A1172</t>
  </si>
  <si>
    <t>Sudhakar Patil</t>
  </si>
  <si>
    <t>S000293</t>
  </si>
  <si>
    <t>Hematological and Lymphoid (Non Hodgkins Lymphoma)</t>
  </si>
  <si>
    <t>60.39 (9)</t>
  </si>
  <si>
    <t>172b, 172d</t>
  </si>
  <si>
    <t>2A1209</t>
  </si>
  <si>
    <t>Waseem Ahmed</t>
  </si>
  <si>
    <t>W000004</t>
  </si>
  <si>
    <t>GI (Ileo-caecal, Adenocarcinoma)</t>
  </si>
  <si>
    <t>73.49 (11)</t>
  </si>
  <si>
    <t>175b, 175d</t>
  </si>
  <si>
    <t>3A0479</t>
  </si>
  <si>
    <t>Male Reproductive Organ (Prostate, Acinar Adenocarcinoma)</t>
  </si>
  <si>
    <t>Clinical history of patient: 26th Mar 224: Indication of elevated PSA  (23) - MRI of upper abdomen- No abnormal finding, MRI of prostate- diffuse signal in the right peripheral zone in the base, mid gland &amp; apex with secondary extension to the transitional zone base &amp; mid gland with restricted diffusion &amp; enhancement with type II contrast kinetics as well as effacement of the right seminal vesicle angle due to extension of this lesion  (PIRADS 5). Lesser degree of such signal, restricted diffusion and enhancement in the left peripheral zone  (PIRADS 4). 5th Apr 224: Histopathology  (prostate biopsy)- Atypical ductal hyperplasia in lateral left apex and right base, Acinar adenocarcinoma in right mid and right apex. 27th Apr 224: Diagnosis- Pathology  (Radical prostatectomy with pelvic nodes) and cytology - Acinar Adenocarcinoma of Prostate  (pT3b N), Tumour involves both the right and left lobes of the prostate and constitutes approximately 6 to 7% of total submitted volume, Lymphovascular emboli seen, Perineural invasion present, Extraprostatic extension  (non-focal) is seen along right anterior, right posterior and left posterior surfaces, Right seminal vesicle, involved by tumour extension, Urinary bladder neck invasion identified. 8th May 224: Biochemistry: PSA in serum- .771 ng/mL; Free PSA in serum-.22 ng/mL</t>
  </si>
  <si>
    <t>175.25 (26.4)</t>
  </si>
  <si>
    <t>196b, 196d</t>
  </si>
  <si>
    <t>3A0689</t>
  </si>
  <si>
    <t>Hamid Iqbal</t>
  </si>
  <si>
    <t>H000032</t>
  </si>
  <si>
    <t>Hematological and Lymphoid System (Diffuse B Cell Lymphoma)</t>
  </si>
  <si>
    <t>7.7  (100X)</t>
  </si>
  <si>
    <t>74.08 (11)</t>
  </si>
  <si>
    <t>202b, 202d</t>
  </si>
  <si>
    <t>3A0693</t>
  </si>
  <si>
    <t>Abdul Barbhuiya</t>
  </si>
  <si>
    <t>A000230</t>
  </si>
  <si>
    <t>7  (100X)</t>
  </si>
  <si>
    <t>63.52 (9.4)</t>
  </si>
  <si>
    <t>203b, 203d</t>
  </si>
  <si>
    <t>3A0728</t>
  </si>
  <si>
    <t>Ruksana Bee</t>
  </si>
  <si>
    <t>R000160</t>
  </si>
  <si>
    <t>Soft Tissue (Synovial Sarcoma)</t>
  </si>
  <si>
    <t>8.5  (100X)</t>
  </si>
  <si>
    <t>70.57 (10.6)</t>
  </si>
  <si>
    <t>207b, 207d</t>
  </si>
  <si>
    <t>3A0762</t>
  </si>
  <si>
    <t xml:space="preserve">Salim ali Sk </t>
  </si>
  <si>
    <t>S000414</t>
  </si>
  <si>
    <t>Hepatobilliary System (Liver, Cholangiocarcinoma)</t>
  </si>
  <si>
    <t>Diabetes, Thyroid</t>
  </si>
  <si>
    <t>92.72 (14)</t>
  </si>
  <si>
    <t>210b, 210d</t>
  </si>
  <si>
    <t>3A0814</t>
  </si>
  <si>
    <t>Sunil Marye</t>
  </si>
  <si>
    <t>S000424</t>
  </si>
  <si>
    <t>7.8  (250X)</t>
  </si>
  <si>
    <t>133.12 (20)</t>
  </si>
  <si>
    <t>211b, 211d</t>
  </si>
  <si>
    <t xml:space="preserve">3A0850 </t>
  </si>
  <si>
    <t>Tatheer Rizvi</t>
  </si>
  <si>
    <t>T000042</t>
  </si>
  <si>
    <t>Primary colorectal cancer</t>
  </si>
  <si>
    <t>17.48 (26.2)</t>
  </si>
  <si>
    <t>224b, 224d</t>
  </si>
  <si>
    <t xml:space="preserve">3A0861 </t>
  </si>
  <si>
    <t>Jateen Tanna</t>
  </si>
  <si>
    <t>J000072</t>
  </si>
  <si>
    <t>158.64 (23.8)</t>
  </si>
  <si>
    <t>225b, 225d</t>
  </si>
  <si>
    <t>3A1100</t>
  </si>
  <si>
    <t>Choudhary D.G</t>
  </si>
  <si>
    <t>C000033</t>
  </si>
  <si>
    <t>Hematological and Lymphoid System (Acute Leukemia)</t>
  </si>
  <si>
    <t>136.94 (20.6)</t>
  </si>
  <si>
    <t>251b, 251d</t>
  </si>
  <si>
    <t>3A1136</t>
  </si>
  <si>
    <t>Mangse Sunita</t>
  </si>
  <si>
    <t>M000163</t>
  </si>
  <si>
    <t>63.03 (9.4)</t>
  </si>
  <si>
    <t>263b, 263d</t>
  </si>
  <si>
    <t>3A1149</t>
  </si>
  <si>
    <t>Alpa Togadiya</t>
  </si>
  <si>
    <t xml:space="preserve">Female </t>
  </si>
  <si>
    <t>A000289</t>
  </si>
  <si>
    <t>GI (GE Junction, Squamous Cell Carcinoma)</t>
  </si>
  <si>
    <t>Gastroesophageal cancer</t>
  </si>
  <si>
    <t>Complimentary</t>
  </si>
  <si>
    <t>168.29 (25.4)</t>
  </si>
  <si>
    <t>290b, 290d</t>
  </si>
  <si>
    <t>3A1291</t>
  </si>
  <si>
    <t>Himatlal Dholakia</t>
  </si>
  <si>
    <t>H000042</t>
  </si>
  <si>
    <t>Hepatobilliary System (Liver, Hepatocellular Carcinoma)</t>
  </si>
  <si>
    <t>Diabetes, Hypertension, Heart Disease</t>
  </si>
  <si>
    <t>60.84 (9)</t>
  </si>
  <si>
    <t>323b, 323d</t>
  </si>
  <si>
    <t>15_S5</t>
  </si>
  <si>
    <t>3A1282</t>
  </si>
  <si>
    <t>Bansode Pramita</t>
  </si>
  <si>
    <t>B000077</t>
  </si>
  <si>
    <t>Lung  cancer</t>
  </si>
  <si>
    <t>89.80​  (13.4)</t>
  </si>
  <si>
    <t>00105_S5</t>
  </si>
  <si>
    <t>3A1253</t>
  </si>
  <si>
    <t>Ghopal Nandu</t>
  </si>
  <si>
    <t>G000067</t>
  </si>
  <si>
    <t>Head &amp; Neck (Tongue, SCC)</t>
  </si>
  <si>
    <t>77.13 (11.6)</t>
  </si>
  <si>
    <t>00195_S4</t>
  </si>
  <si>
    <t>3A1256</t>
  </si>
  <si>
    <t>Anita Gaikwad</t>
  </si>
  <si>
    <t>A000302</t>
  </si>
  <si>
    <t>GI (Stomach, neuroendocrine)</t>
  </si>
  <si>
    <t>85.07 (12.8)</t>
  </si>
  <si>
    <t>00196_S5</t>
  </si>
  <si>
    <t>3A1264</t>
  </si>
  <si>
    <t>Mahabala Moolya</t>
  </si>
  <si>
    <t>M000177</t>
  </si>
  <si>
    <t>Male Reproductive Organ (Prostate, Adenocarcinoma)</t>
  </si>
  <si>
    <t>87.43 (13.2)</t>
  </si>
  <si>
    <t>00198_S7</t>
  </si>
  <si>
    <t>3A1270</t>
  </si>
  <si>
    <t>Laxman Adhagle</t>
  </si>
  <si>
    <t>L000037</t>
  </si>
  <si>
    <t>82.98 (12.4)</t>
  </si>
  <si>
    <t>00199_S8</t>
  </si>
  <si>
    <t>3A1280</t>
  </si>
  <si>
    <t>Dinkar Shenavi</t>
  </si>
  <si>
    <t>D000109</t>
  </si>
  <si>
    <t>62.98 (9.4)</t>
  </si>
  <si>
    <t>00200_S9</t>
  </si>
  <si>
    <t>3A1287</t>
  </si>
  <si>
    <t>Endait Margal</t>
  </si>
  <si>
    <t>E000014</t>
  </si>
  <si>
    <t>Female Reproductive Organ (Cervix, carcinoma)</t>
  </si>
  <si>
    <t>82.19 (12.4)</t>
  </si>
  <si>
    <t>00202_S11</t>
  </si>
  <si>
    <t>3A1301</t>
  </si>
  <si>
    <t>Ratan Sakhare</t>
  </si>
  <si>
    <t>R000214</t>
  </si>
  <si>
    <t>Breast (Invasive Duct Carcinoma)</t>
  </si>
  <si>
    <t>90.96 (13.6)</t>
  </si>
  <si>
    <t>00203_S12</t>
  </si>
  <si>
    <t>3A1304</t>
  </si>
  <si>
    <t>Vijay Ghare</t>
  </si>
  <si>
    <t>V000111</t>
  </si>
  <si>
    <t>78.6 (11.8)</t>
  </si>
  <si>
    <t>00204_S13</t>
  </si>
  <si>
    <t>3A1305</t>
  </si>
  <si>
    <t>Ram Jagdale</t>
  </si>
  <si>
    <t>R000215</t>
  </si>
  <si>
    <t>85.34 (12.8)</t>
  </si>
  <si>
    <t>00205_S14</t>
  </si>
  <si>
    <t>3A1307</t>
  </si>
  <si>
    <t>Baban Jadhav</t>
  </si>
  <si>
    <t>B000079</t>
  </si>
  <si>
    <t>79.26 (11.8)</t>
  </si>
  <si>
    <t>00206_S15</t>
  </si>
  <si>
    <t>3A1321</t>
  </si>
  <si>
    <t>Gaikwad Namdev</t>
  </si>
  <si>
    <t>G000069</t>
  </si>
  <si>
    <t>78.12 (11.6)</t>
  </si>
  <si>
    <t>00207_S16</t>
  </si>
  <si>
    <t>3A1328</t>
  </si>
  <si>
    <t>Vijaya Wani</t>
  </si>
  <si>
    <t>V000113</t>
  </si>
  <si>
    <t>GI (Oesophagus, Squamous Cell Carcinoma)</t>
  </si>
  <si>
    <t>68.15 (10.2)</t>
  </si>
  <si>
    <t>00208_S17</t>
  </si>
  <si>
    <t>3A1329</t>
  </si>
  <si>
    <t>Rajput Nutan</t>
  </si>
  <si>
    <t>R000219</t>
  </si>
  <si>
    <t>Head &amp; Neck (Thyroid)</t>
  </si>
  <si>
    <t>Thyroid cancer</t>
  </si>
  <si>
    <t>60.51 (9)</t>
  </si>
  <si>
    <t>00209_S18</t>
  </si>
  <si>
    <t>3A1339</t>
  </si>
  <si>
    <t>Borhade Leelavati</t>
  </si>
  <si>
    <t>B000080</t>
  </si>
  <si>
    <t>71.16 (10.6)</t>
  </si>
  <si>
    <t>00210_S19</t>
  </si>
  <si>
    <t>3A1352</t>
  </si>
  <si>
    <t>Urmila Chauhan</t>
  </si>
  <si>
    <t>U000029</t>
  </si>
  <si>
    <t>Head &amp; Neck (Oral Cavity, Leimyosarcoma)</t>
  </si>
  <si>
    <t>94.53 (14.2)</t>
  </si>
  <si>
    <t>00212_S21</t>
  </si>
  <si>
    <t>3A1353</t>
  </si>
  <si>
    <t>Sunita Sase</t>
  </si>
  <si>
    <t>S000519</t>
  </si>
  <si>
    <t>86.88 (13)</t>
  </si>
  <si>
    <t>00213_S22</t>
  </si>
  <si>
    <t>3A1355</t>
  </si>
  <si>
    <t>Lalita Patil</t>
  </si>
  <si>
    <t>L000040</t>
  </si>
  <si>
    <t>83.47 (12.6)</t>
  </si>
  <si>
    <t>00214_S23</t>
  </si>
  <si>
    <t>33_S146</t>
  </si>
  <si>
    <t>4A0001</t>
  </si>
  <si>
    <t>Tambare Ratan</t>
  </si>
  <si>
    <t>T000053</t>
  </si>
  <si>
    <t>00303_S146</t>
  </si>
  <si>
    <t>179_S29</t>
  </si>
  <si>
    <t>4A0418</t>
  </si>
  <si>
    <t>Kanishka Bajpai</t>
  </si>
  <si>
    <t>K000137</t>
  </si>
  <si>
    <t>93.13  (14)</t>
  </si>
  <si>
    <t>00179_S29</t>
  </si>
  <si>
    <t>3A1267</t>
  </si>
  <si>
    <t>Neeta Bhagat</t>
  </si>
  <si>
    <t>N000114</t>
  </si>
  <si>
    <t>Breast (Mixed Infiltrating Carcinoma and Invasive Lobular Carcinoma)</t>
  </si>
  <si>
    <t>102.32 (15.4)</t>
  </si>
  <si>
    <t>404b_MB_S43</t>
  </si>
  <si>
    <t>3A1286</t>
  </si>
  <si>
    <t>Sangita Bhoite</t>
  </si>
  <si>
    <t>S000505</t>
  </si>
  <si>
    <t>81.25 (12.2)</t>
  </si>
  <si>
    <t>406b_MB_S45</t>
  </si>
  <si>
    <t>3A1320</t>
  </si>
  <si>
    <t>Kanitkar Vishwanat</t>
  </si>
  <si>
    <t>K000112</t>
  </si>
  <si>
    <t>Head &amp; Neck (Brain)</t>
  </si>
  <si>
    <t>85.16 (12.8)</t>
  </si>
  <si>
    <t>407b_MB_S46</t>
  </si>
  <si>
    <t>2A0388</t>
  </si>
  <si>
    <t>Motiram Pandgale</t>
  </si>
  <si>
    <t>M000061</t>
  </si>
  <si>
    <t>Male Reprductive Organ (Prostate)</t>
  </si>
  <si>
    <t>84.71 (12.6)</t>
  </si>
  <si>
    <t>2A0388_E_MB_S59</t>
  </si>
  <si>
    <t>2A0390</t>
  </si>
  <si>
    <t xml:space="preserve">Krushnabai Patil </t>
  </si>
  <si>
    <t>K000046</t>
  </si>
  <si>
    <t>72.3 (10.8)</t>
  </si>
  <si>
    <t>2A0390_E_MB_S61</t>
  </si>
  <si>
    <t>2A0396</t>
  </si>
  <si>
    <t>Vilas Ganpat Pawar</t>
  </si>
  <si>
    <t>V000047</t>
  </si>
  <si>
    <t>83.67 (12.6)</t>
  </si>
  <si>
    <t>2A0396_E_MB_S62</t>
  </si>
  <si>
    <t>2A0397</t>
  </si>
  <si>
    <t>Bhagwat Dhengle</t>
  </si>
  <si>
    <t>B000026</t>
  </si>
  <si>
    <t>97.22 (14.6)</t>
  </si>
  <si>
    <t>2A0397_E_MB_S63</t>
  </si>
  <si>
    <t>2A0400</t>
  </si>
  <si>
    <t>Arti Deshpande</t>
  </si>
  <si>
    <t>A000097</t>
  </si>
  <si>
    <t>Breast (Invasive Ductal Carcinoma)</t>
  </si>
  <si>
    <t>105.33 (15.8)</t>
  </si>
  <si>
    <t>2A0400_E_MB_S2</t>
  </si>
  <si>
    <t>2A0402</t>
  </si>
  <si>
    <t>Chaya Ransingh</t>
  </si>
  <si>
    <t>C000014</t>
  </si>
  <si>
    <t>105.51 (15.8)</t>
  </si>
  <si>
    <t>2A0402_E_MB_S4</t>
  </si>
  <si>
    <t>4A0007</t>
  </si>
  <si>
    <t>Pandurang Dahiphale</t>
  </si>
  <si>
    <t>P000147</t>
  </si>
  <si>
    <t>84.32 (12.6)</t>
  </si>
  <si>
    <t>4A0007_E_MB_S12</t>
  </si>
  <si>
    <t>4A0018</t>
  </si>
  <si>
    <t>Puri Rameshwar</t>
  </si>
  <si>
    <t>P000150</t>
  </si>
  <si>
    <t>90.39 (13.6)</t>
  </si>
  <si>
    <t>4A0018_T_MB_S44</t>
  </si>
  <si>
    <t>1A0233</t>
  </si>
  <si>
    <t xml:space="preserve">Mamta Dubey </t>
  </si>
  <si>
    <t>M000010</t>
  </si>
  <si>
    <t>Low BP, high blood sugar - father, High BP; Thoracic cancer - mother</t>
  </si>
  <si>
    <t>78.71 (11.8)</t>
  </si>
  <si>
    <t>40b, 40d</t>
  </si>
  <si>
    <t>2A0345</t>
  </si>
  <si>
    <t>Shiveppa Diwakar</t>
  </si>
  <si>
    <t>S000194</t>
  </si>
  <si>
    <t>Seg 6/7: 8.6*6.2 *7; nodules in the lungs  (nodules of the lower lobe has increased  (4 mm; previously 2 mm) in size without any new developement).</t>
  </si>
  <si>
    <t>Bilateral Lung parenchymal lesions with largest measuring 8 mm</t>
  </si>
  <si>
    <t>62.44 ()</t>
  </si>
  <si>
    <t>129b, 129d</t>
  </si>
  <si>
    <t>4A0672</t>
  </si>
  <si>
    <t>Hrishikesh Sawant</t>
  </si>
  <si>
    <t>H000002</t>
  </si>
  <si>
    <t>Mother cervical cancer</t>
  </si>
  <si>
    <t>65.81 (9.8)</t>
  </si>
  <si>
    <t>4A0672_E_MB_S50</t>
  </si>
  <si>
    <t>M Venugopal</t>
  </si>
  <si>
    <t>Cancer of unknown primary (CUP)</t>
  </si>
  <si>
    <t>CUP</t>
  </si>
  <si>
    <t>Bone</t>
  </si>
  <si>
    <t>1A0044</t>
  </si>
  <si>
    <t>Pushpa Shah</t>
  </si>
  <si>
    <t>P000005</t>
  </si>
  <si>
    <t>Hematological and Lymphoid (Chronic Lymphocytic Leukemia)</t>
  </si>
  <si>
    <t>Heart enlargement, edema &amp; father had high blood pressure, kidney problems, mother also had heart issues</t>
  </si>
  <si>
    <t>Deceased</t>
  </si>
  <si>
    <t>78.49 (11.8)</t>
  </si>
  <si>
    <t>15b, 15d</t>
  </si>
  <si>
    <t>1A0258</t>
  </si>
  <si>
    <t xml:space="preserve">Laxmi Singh </t>
  </si>
  <si>
    <t>L000002</t>
  </si>
  <si>
    <t>Hepatobilliary System (Liver, Adenocarcinoma)</t>
  </si>
  <si>
    <t>Stage 4  (Ongoing Immunotherapy), TB in 211</t>
  </si>
  <si>
    <t>33b</t>
  </si>
  <si>
    <t>1A0156</t>
  </si>
  <si>
    <t xml:space="preserve">Amrita Raina Kachroo </t>
  </si>
  <si>
    <t>A000029</t>
  </si>
  <si>
    <t>63.79 (9.6)</t>
  </si>
  <si>
    <t>35b, 35d</t>
  </si>
  <si>
    <t>1A0329</t>
  </si>
  <si>
    <t xml:space="preserve">Rahee Joshi </t>
  </si>
  <si>
    <t>R000016</t>
  </si>
  <si>
    <t>Female Reproductive Organ (Ovary, Granulosa Cell Tumor)</t>
  </si>
  <si>
    <t>Serosal avid lesion is noted involving right side of pelvis measuring approximately 58*41*34 mm. Peripheral FDG uptake is noted SUV 1.2. Central necrotic component is noted. The lesion shows regular margins and is seen medial to illiac vessels with distinct fat planes. the lesion is closely abutting pelvic small bowel loops with preserved fat planes at most places. 19/1/222: incidentally, seen non fdg avid nodular lesion in right breast in retroareolar region appears benign lesion. It measures 9*9 mm. 7/8/212: Tumor cells express calretinin, and CK  (very focally). They are immunonegative for EMA. 4/11/222: IHC: ER-7% positive; PR-8% positive</t>
  </si>
  <si>
    <t>Cancer recurrence</t>
  </si>
  <si>
    <t>77.25 (11.6)</t>
  </si>
  <si>
    <t>42b, 42d</t>
  </si>
  <si>
    <t>1A0388</t>
  </si>
  <si>
    <t xml:space="preserve">Shivshankar Vibhute </t>
  </si>
  <si>
    <t>S000088</t>
  </si>
  <si>
    <t>GI (Rectum, Signet Ring Carcinoma)</t>
  </si>
  <si>
    <t xml:space="preserve">Signet ring cell carcinoma  (poorly differentaited adenocarcinoma).  (Radiotherapy completed in March 222, Surgery in May 222, additional chemotherapy till October 222, no recurrence or metastasis). Rectal thickening measured 42 x 28 x 75 mm  (5.1), mesorectal and presacral nodes upto 12 mm on 2/5/222; Post-operative resolution of previosly seen FDG avid circumferential thickening in rectum and regional nodes 22/11/222. </t>
  </si>
  <si>
    <t>71.04 (10.6)</t>
  </si>
  <si>
    <t>48b, 48d</t>
  </si>
  <si>
    <t>1A0422</t>
  </si>
  <si>
    <t>Sunita Kamble</t>
  </si>
  <si>
    <t>S000098</t>
  </si>
  <si>
    <t xml:space="preserve">Metastatic, disease progression, completed 9 cycles of chemothreapy till March 222). Left lung lower lobe mass  (initial size:  61 x 31 mm on 14.5.222; post scan size:  73 x 38 mm 3.11.222). Right lung nodules have increased in size; Skeletal deposits are persistent with a new deposit in right ilium posteriorly. last scan date 3/11/222  </t>
  </si>
  <si>
    <t>Metastatic lesions in mediastinal, internal mammary, left costophrenic deposits, right lung nodule, left iliac bone</t>
  </si>
  <si>
    <t>51b, 51d</t>
  </si>
  <si>
    <t>1A0424</t>
  </si>
  <si>
    <t>Rajeshwari Moral</t>
  </si>
  <si>
    <t>R000028</t>
  </si>
  <si>
    <t>Completed 3 cycles chemotherapy in November 221, additional chemotherapy completed in April 222, partial response to treatment. Right lower lobe mass 33 x 35 x 38 mm; soft tissue lesion in lower lobe of right lung, involving segmental lower lobe bronchus with distal atelectasis, now measures 15 x 1 mm on 3.11.222 {previous 1x16 mm on 11.5.222; initial 15x1 mm).</t>
  </si>
  <si>
    <t>Right lobe liver lesions 26 x 16 mm; Ametabolic hilar - mediastinal - abdominal nodes remain more or less unchanged</t>
  </si>
  <si>
    <t>52.6 (7.8)</t>
  </si>
  <si>
    <t>52b, 52d</t>
  </si>
  <si>
    <t>1A0436</t>
  </si>
  <si>
    <t>Deepak Merchant</t>
  </si>
  <si>
    <t>D000025</t>
  </si>
  <si>
    <t>Prostate Cancer</t>
  </si>
  <si>
    <t>83.22 (12.4)</t>
  </si>
  <si>
    <t>53b, 53d</t>
  </si>
  <si>
    <t>1A0466</t>
  </si>
  <si>
    <t xml:space="preserve">Swati A Shah </t>
  </si>
  <si>
    <t>S000107</t>
  </si>
  <si>
    <t>Detected and operated in 219, completed 4 cycles chemotherapy in 219, stable disease), Right lung lower zone nodule - at 8 oclock 5 mm {prev. 5 mm initial 5 mm}; left lung upper lobe nodule - 6 mm {prev. 7 mm} - likely inflammatory first scan in 219 post surgery and follow-up scan in 222</t>
  </si>
  <si>
    <t>54.56 (8.2)</t>
  </si>
  <si>
    <t>59b, 59d</t>
  </si>
  <si>
    <t>1A0474</t>
  </si>
  <si>
    <t xml:space="preserve">Vimla Mishra </t>
  </si>
  <si>
    <t>V000021</t>
  </si>
  <si>
    <t>Breast (Carcinoma); Lung (Adenocarcinoma)</t>
  </si>
  <si>
    <t>Operated for breast cancer in 216, Lung cancer detected in January 222, undergone chemotherapy 6 cycles, possible pseudoprogression Operated for breast cancer in 216, PET CT in 217: right breast post-operative changes.  PET CET in 221: increase in the size of the left lung lesion. PET CET in Jan 222: mass in left lung upper lobe involving pleura  (likely second primary) with left hilar- mediastinal nodes. PET CT done in Jul 222: redution in size of the left lung mass. PET CT in Dec 222: mass in apicoposterior segment of left lung upper lobe- 43 x 36 mm  (9.5) {prev.m 21 x 25 mm  (6.3)- Pseudoprogression indicated, poorly differentiated adenocarcinoma; ERBB2 +,</t>
  </si>
  <si>
    <t>75.93 (11.4)</t>
  </si>
  <si>
    <t>60b, 60d</t>
  </si>
  <si>
    <t>1A0447</t>
  </si>
  <si>
    <t>Kamlabai Dokrar</t>
  </si>
  <si>
    <t>K000025</t>
  </si>
  <si>
    <t>Breast (Infiltrating Duct Carcinoma)</t>
  </si>
  <si>
    <t>55.13 (8.2)</t>
  </si>
  <si>
    <t>62b, 62d</t>
  </si>
  <si>
    <t>1A0505</t>
  </si>
  <si>
    <t xml:space="preserve">Sarika Bothare </t>
  </si>
  <si>
    <t>S000111</t>
  </si>
  <si>
    <t xml:space="preserve">Malignant right pleural effusion  (adenocarcinoma); surgery done in December 222; PET CT in Dec 222: lesion in collpased right lung middle lobe 11 mm; Various mediastinal- cervical nodes; avid bilateral adnexal lesions  (?second primary/ Kruckenberg); Suggest- CA 125; </t>
  </si>
  <si>
    <t>Adrenal, adnexal, pelvic and abdominal nodes</t>
  </si>
  <si>
    <t>68.1 (10.2)</t>
  </si>
  <si>
    <t>69b, 69d</t>
  </si>
  <si>
    <t>1A0506</t>
  </si>
  <si>
    <t>Mahadev Bhalerao</t>
  </si>
  <si>
    <t>M000036</t>
  </si>
  <si>
    <t>GI (Rectum, Carcinoma)</t>
  </si>
  <si>
    <t>Detected in 22, operated in march 221, undergone 6 cycles of chemotherapy, recurremce in Novemebr 221, undergone 7 cycles chemotherapy till April 222, partial response to treatment, disease progreession July 222, undergone radiation therapy till October 222, overall disease progression. Metabolic resolution of previously seen thickening in pre-sacral fascia - {prev. 22 x 44 x 46 mm initial 14 x 2 x 25 mm}.; Increase in size and metabolic activity in previously seen FDG avid soft tissue at left common iliac station along operative sutures  (5 x 52 mm {prev. 4 x 29 mm; initial 23 x 24 mm}.Increase in number; size and metabolic activity in previously seen FDG avid abdominal nodes; omental nodules- new omental- serosal deposits  (28 x 27 mm). New FDG avid right retrocrural node  (9 mm). New ascites,  (18.11.21)- recurrence</t>
  </si>
  <si>
    <t>66.1 (9.8)</t>
  </si>
  <si>
    <t>70b, 70d</t>
  </si>
  <si>
    <t>1A0525</t>
  </si>
  <si>
    <t>Haranbai Maruti Pawar</t>
  </si>
  <si>
    <t>H000008</t>
  </si>
  <si>
    <t>Cervical Cancer</t>
  </si>
  <si>
    <t>Squamous cell carcinoma of Cervix; Grade 2; moderately differentiated; Liver Biopsy shows fibrous tissue showing fibroblastic proliferation, acute inflammatory infiltrate comprising of neutrophils, and few lymphocytes and foci of necrosis and haemorrhage; Negative for malignancy, Hypermetabolic nodular lesion seen in perineum on right side of vagina</t>
  </si>
  <si>
    <t>Hypermetabolic nodular thickening oseen in left pelvis along obturator internus muscle. Increased metabolic activity seen in left ischium and acetabulum-likely metastatic; Hypermetabolic multiple liver lesions-likely metastatic; Multiple bilateral lung nodules-likely metastatic; Hypermetabolic right hilar lesion- likely metastatic</t>
  </si>
  <si>
    <t>93.93 (14)</t>
  </si>
  <si>
    <t>73b, 73d</t>
  </si>
  <si>
    <t>2A0049</t>
  </si>
  <si>
    <t>Janabai Jogdand</t>
  </si>
  <si>
    <t>J000005</t>
  </si>
  <si>
    <t>Lung (Carcinoma)</t>
  </si>
  <si>
    <t>Cancer diagnosed on 25/1/222; high grade carcinoma; Completed 3 cycles chemotherapy on 14/11/222, Also given Receft &amp; derphyline; lung nodules are metastatic, residual viable disease; 26/1/222 large well defined soft tissue density lesion 3.6 x 3.4 cm</t>
  </si>
  <si>
    <t>Mild asymmetric uptake in left adrenal</t>
  </si>
  <si>
    <t>72.02 ()</t>
  </si>
  <si>
    <t>88b, 88d</t>
  </si>
  <si>
    <t>2A0094</t>
  </si>
  <si>
    <t>Jayavant Patil</t>
  </si>
  <si>
    <t>J000014</t>
  </si>
  <si>
    <t>Adenocarcinoma of left lung  (1 cycles Radiation completed in April 22,  on gefitinib + Inj Zolendronic acid since last scan; increase in skeletal deposits, left peri-hilar lesion and few of the regional nodes; scan suggests disease progression). Mass on either side of oblique fissure hilar- infrahilar region of superior lingular segment upper lobe- superior segment lower lobe left lung- 6 x 25 mm on 13.3.22 scan on 17.1.223 showed 2x14 mm mass.</t>
  </si>
  <si>
    <t>Adrenal  and Skeletal deposits</t>
  </si>
  <si>
    <t>97.76 ()</t>
  </si>
  <si>
    <t>93b, 93d</t>
  </si>
  <si>
    <t>2A0097</t>
  </si>
  <si>
    <t>Rushikesh Mhatre</t>
  </si>
  <si>
    <t>R000043</t>
  </si>
  <si>
    <t>Surgery done, chemotherapy completed in Decemer 222, residual viable disease</t>
  </si>
  <si>
    <t>Colon</t>
  </si>
  <si>
    <t>82.05 ()</t>
  </si>
  <si>
    <t>94b, 94d</t>
  </si>
  <si>
    <t>2A0098</t>
  </si>
  <si>
    <t>Juleka Tamboli</t>
  </si>
  <si>
    <t>J000016</t>
  </si>
  <si>
    <t>Adenocarcinoma of sigmoid colon; intramural calcified leiomyoma; high grade dysplasia of cervix  ( (2/11/21); histopath (21/3/22)-Adenocarcinoma, surgery done in 221, no adjuvant therapy, thickening in distal sigmoid- thickness 12 mm- length 62 mm; Adjoining presacral calcific nodal mass-58 x 53 mm; Multiple pelvic omental nodules- upto 1 mm; deposit in left lobe of liver- 7 mm; Lung nodules- right lung upper lobe 4 mm; 6 mm;  left lung- upper lobe 3 mm; 5 mm; lower lobe 6 mm</t>
  </si>
  <si>
    <t>Liver and lungs</t>
  </si>
  <si>
    <t>88.38 ()</t>
  </si>
  <si>
    <t>95b, 95d</t>
  </si>
  <si>
    <t>2A0115</t>
  </si>
  <si>
    <t>Mahadev Kanse</t>
  </si>
  <si>
    <t>M000044</t>
  </si>
  <si>
    <t>Completed 6 cycles chemotherapy in December 222, Few scattered bilateral lung nodules; suspicious skeletal deposits; partial response to treatment; "24.8.22 - Right parahilar mass 37x3x29 mm, 19.1.223- Ill defined right perihilar lesion 23x15 mm"</t>
  </si>
  <si>
    <t xml:space="preserve">Few suspicious weakly metabolic skeletal deposits; perihepatic peritoneal nodularity </t>
  </si>
  <si>
    <t>81.43 ()</t>
  </si>
  <si>
    <t>96b, 96d</t>
  </si>
  <si>
    <t>2A0127</t>
  </si>
  <si>
    <t>Sayaji Sahebrao Mane</t>
  </si>
  <si>
    <t>S000141</t>
  </si>
  <si>
    <t>Radiation therapy completed in December 222, good response to treatment.  (24.1.222) - Abnormal thickening and enhancement involving the rectum, commencing 7 cm proximal to anal verge and involving 6-7 cm segment of rectum 28/1/222); Decrease in extent and FDG activity of previously seen thickening in the proximal-mid rectum and rectosigmoid, now max thickness 8 mm, length 3.7 cm  (2/1/223). "HPE - 28.1.22 - well differentiated adenocarcinoma colon."</t>
  </si>
  <si>
    <t>Pelvic nodes</t>
  </si>
  <si>
    <t>82.58 ()</t>
  </si>
  <si>
    <t>98b, 98d</t>
  </si>
  <si>
    <t>2A0156</t>
  </si>
  <si>
    <t>Tarabai Gawade</t>
  </si>
  <si>
    <t>T000014</t>
  </si>
  <si>
    <t>"Adenocarcinoma of lungs diagnosed in 221; Positive: EPCAM, PANCK, NAPSIN A, CK-7. EGFR positive;  Started on Geftinib; scans showed partial treatment response; Received 2 Ij. zolendronic acid  (last on 17/3/222). On Tab. Gefitinib; scans showed disease progression; started on Tab Osimertinib and Inj Denosumab; scans showed Significant Partial Treatment Response; started on Denosumab + Osimertinib till Oct 22; scans showed increase in size of lesion; started on Tab Afatinib.; scans showed Increase in size &amp; metabolic activity of bil lung nodules - persistent mediastinal right retrocrural nodes, persistent minimal right pleural effusion, increase in metabolic activity of sacral and
left iliac bone lesions; started on Chemotherapy on 13.1.23  (Pemetrexed+ carboplatin+ zolendronic acid+ Geftinib). Two cycles till 3.2.23.; scans showed Persistent scattered lung nodules with variable metabolic activity. A few nodules have increased in sizes, Persistent FDG avid skeletal deposits. Persistent mediastinal nodes, No new FDG avid lesion seen; Overall, pseudoprogression." mass in left lung lower lobe involving costal pleura- 14 x 7 mm; Nodes- left hilar 12 mm; precarinal 5 mm</t>
  </si>
  <si>
    <t>Left hilar- mediastinal nodes and extensive FDG avid skeletal metastases</t>
  </si>
  <si>
    <t>84.76 (12.6)</t>
  </si>
  <si>
    <t>2A0157</t>
  </si>
  <si>
    <t>Bhausaheb Sule</t>
  </si>
  <si>
    <t>B000015</t>
  </si>
  <si>
    <t>6 cycles of chemotherapy  (till 4.12.22);Persistent weakly metabolic spiculated nodule in right lung along major fissure, right pleural nodules and regional nodes.  Spiculated nodule in right lung along major fissure, measured 11 x 9 mm  (28.11.222); now measures 1 x 9 mm  (24.1.223)</t>
  </si>
  <si>
    <t xml:space="preserve">Regional nodules and local spread; No distant organ involvement </t>
  </si>
  <si>
    <t>68.08 (10.2)</t>
  </si>
  <si>
    <t>103b, 103d</t>
  </si>
  <si>
    <t>2A0166</t>
  </si>
  <si>
    <t xml:space="preserve">Rambhau Sutar </t>
  </si>
  <si>
    <t>R000049</t>
  </si>
  <si>
    <t>Last Chemotherapy on Jan 223, Decrease in size and metabolic activity of FDG avid lesion in left lung as well as mediastinal and cervical nodes. Lesion in left lung with transfissural extension, 31 x 23 mm; previously 38 x 25 mm</t>
  </si>
  <si>
    <t>81.41 (12.2)</t>
  </si>
  <si>
    <t>104b, 104d</t>
  </si>
  <si>
    <t>2A0167</t>
  </si>
  <si>
    <t>Dam Bisht</t>
  </si>
  <si>
    <t>D000035</t>
  </si>
  <si>
    <t>Adenocarcinoma of right lungs, Metabolically active mass in lower lobe of right lung with pleural involvement and regional nodes. Right lung lower lobe mass 13x69 mm on 27.1.223</t>
  </si>
  <si>
    <t>81.7 (12.2)</t>
  </si>
  <si>
    <t>105b, 105d</t>
  </si>
  <si>
    <t>2A0169</t>
  </si>
  <si>
    <t>Ramdas Wadkar</t>
  </si>
  <si>
    <t>R000050</t>
  </si>
  <si>
    <t>Moderately differentiated adenocarcinoma of rectum; post surgery and 6 cycles of chemotherapy  (16.1.23); Post operative resolution of previously seen FDG avid thickening in rectum and recto-sigmoid junction as well as ametabolic mesorectal nodes. Post operative resolution of previously seen FDG avid circumferential thickening in rectum and rectosigmoid and mesorectal nodes  (prev report - FDG avid circumferential thickening  (max thickness - 18 mm) noted in rectum for a length of 6.7 cm. HP  (28.9.22)- moderately differentiated adenocarcinoma of rectum</t>
  </si>
  <si>
    <t>93.47 (14)</t>
  </si>
  <si>
    <t>107b, 107d</t>
  </si>
  <si>
    <t>2A0185</t>
  </si>
  <si>
    <t>Pramila Afak</t>
  </si>
  <si>
    <t>P000028</t>
  </si>
  <si>
    <t>Rectum adenocarcinoma; Post radiation, Significant decrease in extent and metabolic activity of previously seen thickening in mid-lower rectum as well as the regional nodes. Decrease in extent and FDG activity of previously seen thickening in mid-lower rectum, now max thickness 8 mm, max length 19 mm  (3/1/23); previously  asymmetric circumferential thickening in mid- lower rectum- 36 x 32 x 67 mm) on 1/11/222</t>
  </si>
  <si>
    <t>Nodule in left lobe of thyroid- 8 mm  [prev 8 mm  (32.6)]- FNAC suggested</t>
  </si>
  <si>
    <t>98.43 (14.8)</t>
  </si>
  <si>
    <t>108b, 108d</t>
  </si>
  <si>
    <t>2A0186</t>
  </si>
  <si>
    <t>Shalubai Mali</t>
  </si>
  <si>
    <t>S000152</t>
  </si>
  <si>
    <t>Lung, ,metastasis</t>
  </si>
  <si>
    <t>Lung Cancer  (Right hilar mass; primary?); Hypermetabolic infiltrative right hilar mass  (malignant) with hypermetabolic metastatic mediastinal, supraclavicular, abdominal and pelvic nodes.Hypermetabolic bilobar liver lesions - left adrenal nodule - multiple lytic/sclerotic skeletal lesions are metastatic. C7-D2 vertebrae shows destructive lytic lesion with minimal
intraspinal soft-tissue component. "23.1.23 - 48x36 mm lesion in right hilum extending to lower lobe with narrowing of right lower lobe bronchus" Coarse calcified foci noted in left parietooccipital lobe and hypermetabolic foci in right temporal lobe suspicious for metastasis; MRI suggested.)"</t>
  </si>
  <si>
    <t>Hypermetabolic metastatic mediastinal, supraclavicular, abdominal and pelvic nodes. Hypermetabolic bilobar liver lesions - left adrenal nodule - multiple lytic/sclerotic skeletal lesions are metastatic. C7-D2 vertebrae shows destructive lytic lesion with minimal intraspinal soft-tissue component.</t>
  </si>
  <si>
    <t>67.31 (10)</t>
  </si>
  <si>
    <t>109b, 109d</t>
  </si>
  <si>
    <t>2A0187</t>
  </si>
  <si>
    <t>Meera Shinde</t>
  </si>
  <si>
    <t>M000050</t>
  </si>
  <si>
    <t>Adenocarcinoma of lungs  (Last cycle of chemotherapy on Jan 223; Decrease in size with metabolic resolution of regional nodes and bilateral lung nodules. Metabolic resolution of previously seen skeletal lesions suggesting partial treatment response); infra-hilar lesion in left lung lower lobe  (initial. 18 x 24 mm on 5.8.22; 1 x 18 mm on 14.11.22; 9 mm on 3.1.23)</t>
  </si>
  <si>
    <t>Skeletal lesions</t>
  </si>
  <si>
    <t>53.66 (8)</t>
  </si>
  <si>
    <t>110b, 110d</t>
  </si>
  <si>
    <t>2A0191</t>
  </si>
  <si>
    <t>Kalyani Azhar</t>
  </si>
  <si>
    <t>K000036</t>
  </si>
  <si>
    <t>Cancer diagnosed in March 218; Malignant pericardial effusion with changes in lungs, liver , pericardium, with nodal secondaries and secondary peripheral pulmonary embolism; Rx 11 # of chemotherapy after last scan, last 16.4.219; scans showed disease progression; Adenoca. Rx additional chemo Pemetaxel and Zolendronic acid, last 8.7.219.; scans show disease progression; oral chemotherapy continued and showed good treatment response; tab noxal + inj. zolendronic acid given; has stable disease and on oral chemo  (last date in 221). Persistent ametabolic cavitary lesion in right lung 49 x 19 mm on 31/1/23 [prev 5 x 19 mm on 21/9/222].</t>
  </si>
  <si>
    <t>Liver, pericardium and skeletal lesions</t>
  </si>
  <si>
    <t>58.09 (8.6)</t>
  </si>
  <si>
    <t>111b, 111d</t>
  </si>
  <si>
    <t>2A0202</t>
  </si>
  <si>
    <t>Vandana Zambare</t>
  </si>
  <si>
    <t>V000033</t>
  </si>
  <si>
    <t>Adenocarcinoma of lungs; "Lungs with EGFR mutation+  (on Geftinib; RT 3gy/ 1#: 27.3.2 to 9.4.2; scans showed oligoprogression; 3 cycles chemo  (till 19.1.21); scans showed partial treatment response; ; 3 cycles chemo  (till 11.5.21); scans showed oligoprogression; received 4 cycles of chemotherapy  (till 16.9.21) and Inj Zoledronic acid 4mg; scans show disease progression; Overall partial treatment response and on osimertinib)". "PET on 18.3.2-LLL sup seg mass 4x3.7x3.3mm; soft tissue mass in the superior segment of left lung lower lobe is largely stable; now measuring 44 x 32 mm  [prev 43x33x47 mm;Initial 56x59 mm; earlier 53x51mm; old 36 x 27 x 29 mm], Pleural based deposit in left lung upper lobe, 17 x 7 mm  [prev 17x6mm; Initial 1x23mm ; earlier 6x18mm]"</t>
  </si>
  <si>
    <t>Spleen, skeletal deposits</t>
  </si>
  <si>
    <t>54.01 (8)</t>
  </si>
  <si>
    <t>112b, 112d</t>
  </si>
  <si>
    <t>2A0203</t>
  </si>
  <si>
    <t>Mohan Satpute</t>
  </si>
  <si>
    <t>M000052</t>
  </si>
  <si>
    <t>Lung (Neuroendocrine Carcinoma)</t>
  </si>
  <si>
    <t>Small cell neuroendocrine carcinoma of left lung; Last chemotherapy on 1/1/23; Significant reduction in size and metabolic reduction in previously seen FDG avid soft tissue mass in left lung upper lobe and  left hilar- mediastinal- right thoracic inlet nodes suggesting significant partial response to treatment)". "CT chest  (22/7/222)- 86 x 85 x 83 mm mass in left prevascular, left hilum, pretracehal and subcarinal region; soft-tissue lesion in left lung upper lobe abutting mediastinum, it measures approx. 4.5x1.3cm on 1/2/23  (previous-52 x 26 mm on 7/11/222)"</t>
  </si>
  <si>
    <t>67.95 (10.2)</t>
  </si>
  <si>
    <t>113b, 113d</t>
  </si>
  <si>
    <t>2A0293</t>
  </si>
  <si>
    <t>Kamalbai Mairat</t>
  </si>
  <si>
    <t>K000039</t>
  </si>
  <si>
    <t>Adenocarcinoma right lung; Lesion in upper lobe of right lung with fissural involvement and lymphangitis carcinomatosis diagnosed in July 222; Nodular densities noted in left lung. Right pleural thickening and mild pleural effusion;  On Geftinib; Reduction in size and metabolic activity of previously seen FDG avid right hilar, mediastinal and right lower cervical nodes.; Suggesting "significant partial response to treatment". CT - spiculated mass 42 x 35 mm encasing upper lobe bronchus- pleural teethering;  PETCT shows spiculated lesion in upper lobe of right lung, 28x21mm on 9.2.23  (prev 21 x 37 mm on 9.7.22)</t>
  </si>
  <si>
    <t>75.76 (11.4)</t>
  </si>
  <si>
    <t>120b, 120d</t>
  </si>
  <si>
    <t>2A0334</t>
  </si>
  <si>
    <t>Rajendra Shah</t>
  </si>
  <si>
    <t>R000062</t>
  </si>
  <si>
    <t>Increased size with persistent metabolic activity of previously seen FDG avid mass in right lung lower lobe. Persistent scattered lung nodules with variable metabolic activity. A few nodules have increased in sizes. Skeletal deposits. Persistent mediastinal nodes. CECT  (7/1/221)-Soft tissue density mass lesion 6.3 x 5.8 x 2.8 cm; PETCT shows avid mass in right lung lower lobe now measures 43 x 39mm on 17.2.23  (prev 37 x 36mm on 28.12.22). Biopsy - HPE - Adenocarcinoma. Positive: EPCAM, PANCK, NAPSIN A, CK-7. EGFR positive</t>
  </si>
  <si>
    <t>Skeletal deposits, Persistent mediastinal nodes</t>
  </si>
  <si>
    <t>74.12 ()</t>
  </si>
  <si>
    <t>126b, 126d</t>
  </si>
  <si>
    <t>2A0067</t>
  </si>
  <si>
    <t>Khan A. M.</t>
  </si>
  <si>
    <t>K000031</t>
  </si>
  <si>
    <t>GI (Sigmoid Colon, Adenocarcinoma)</t>
  </si>
  <si>
    <t>Moderately diffrenciated adenocarcinoma sigmoid  colon; gradeII; Surgery in March 222, 12 cycles chemotherapy completed in October 222, metastatic disease recurrence; avid lesion along presacral suture- 25 x 2 mm; Presacral nodule/ deposits upto 38 x 14 mm; Multiple FDG avid pelvic deposits upto 2 mm; Pelvic omental nodules- 8 mm; Deposit anterior left psoas- 14 mm; Mesenteric nodule 6 mm; Omental nodule at level of left kidney- 1 mm; Left anterior peri-nephric nodule- 12 mm; deposit in right lobe of liver- 17 mm; lung nodules- right- upper lobe- 4 mm, middle lobe- 4 mm, lower lobe- 8 mm,   (12/1223)</t>
  </si>
  <si>
    <t>Liver- lung- adrenal deposits; multiple peritoneal- mesenteric- omental- muscular deposits; pelvic- abdominal- mediastinal- hilar nodes</t>
  </si>
  <si>
    <t>73 (11)</t>
  </si>
  <si>
    <t>1A0487</t>
  </si>
  <si>
    <t xml:space="preserve">Jayant Bapat </t>
  </si>
  <si>
    <t>J000010</t>
  </si>
  <si>
    <t xml:space="preserve">Moderately differentiated adenocarcinomaof rectum; Completed 25 cycles radiation therapy in May 22, surgery in July 22, no recurrence, no metastasis. Presacral soft tissue thickening- 3 x 44 mm, Possible stricture in pre-sacral space in neosigmoid  (3.67)- mild dilatation of large bowel- left lower ureter is involved- left hydro-uretero-nephrosis. </t>
  </si>
  <si>
    <t>77.37 (11.6)</t>
  </si>
  <si>
    <t>2A1150</t>
  </si>
  <si>
    <t>Navneet Anand</t>
  </si>
  <si>
    <t>N000064</t>
  </si>
  <si>
    <t>GI (GE Junction, Adenocarcinoma)</t>
  </si>
  <si>
    <t>Diabetes (Type 2), Hypertension, CAD, TIA</t>
  </si>
  <si>
    <t>Clinical history of patient - Adenocarcinoma of GEJ  (Gastro-esophageal junction), Date of Diagnosis: 23/3/223, Endoscopy Biopsy: Moderately differentiated invasive adenocarcinoma; Oxyntic and transition types of gastric mucosa, PET-CT report: 13/4/223 a. High-grade focal activity within the proximal gastric fundus involving the gastric wall adjacent to the GE junction. Identified as the primary site of malignancy  (SUV max 17.3) b. Multiple hilar, mediastinal, and cervical hypermetabolic lymph nodes with moderate to high-grade activity  (SUV max 5.2), Treatment: Carbo/Taxol weekly + RT from 23rd May 223 - 22nd Jun 223, Post Treatment PET CT  (31/7/223): Decreased FDG activity observed in the GE junction/proximal stomach  (SUV max 8.6) indicating good response to therapy. However, few heterogenous activity was observed within the GE junction which could be due to inflammation. Differential diagnosis to rule out malignancy, Esophagogastroduodenoscopy performed  (29/9/223), Biopsy report  (5/1/223): Positive for residual invasive adenocarcinoma, moderately to poorly differentiated, CT report dated 13/11/223 indicates no evidence of tumour recurrence nor metastatic disease. It also identifies mild fatty liver, bilateral renal cortical cysts along with left renal parapelvic cysts. Also, papillary tip microcalcification was noted. Multiple soft tissue nodules within the subcutaneous fat of anterior abdominal wall with several new lesions which are likely related to injection site. Family history of cancer - Breast cancer - mother and paternal cousin, Lymphoma - paternal cousin. Other History - Coronary artery disease  (CAD), Aortic stenosis, Type 2 diabetes, Hypertension, Transient ischaemic attack  (TIA), Dyslipidaemia, Obstructive sleep apnea, Microcytic anaemia.Personal History - Previous smoking history  (1 pack per day for 25 years)</t>
  </si>
  <si>
    <t>61.69 (9.2)</t>
  </si>
  <si>
    <t>169b, 169d_R</t>
  </si>
  <si>
    <t>2A1239</t>
  </si>
  <si>
    <t>Neerja Singh</t>
  </si>
  <si>
    <t>N000069</t>
  </si>
  <si>
    <t>Hepatobilliary System (Pancreas, Cholangiocarcinoma)</t>
  </si>
  <si>
    <t xml:space="preserve">Clinical history of patient - Perihilar cholangiocarcinoma. Date of Diagnosis: Nov 221. Surgery  (21/12/221): Radical cholecystectomy; pT2aNoMo. Treatment completed by 1/4/222: Chemotherapy-6 cycles of Xeloda and Radiotherapy. CT scan:  (3/4/223) Chest: Few fibrotic lesions in the bilateral lungs. Calcific foci seen in the anterior segment of right upper lobe and apical segment of the lower lobe. Abdomen: Pneumobilia is noted in both lobes of liver. Diffuse soft tissue thickening is seen along the celiac axis, common hepatic artery and superior mesenteric artery. Multiple adhesions in anterior abdominal wall with adhered small bowel loops in the lower abdomen. Herniation observed in the abdominal wall and small bowel loops. PET CT scan:  (4/9/223) shows disease progression Mild heterogeneous FDG uptake  (SUV max: 3.) seen in both lobes of thyroid gland. Mild abdominopelvic ascites seen. Soft tissue thickening at the operative bed has increased in extent  (SUV max 4.3). Soft tissue thickening at common hepatic artery, splenic artery and superior mesenteric artery observed. Immunohistochemical assessment  (25/9/223): Her-2/neu negative  (Score1+); PDL1 negative. Treatment completed by 11/12/223: Chemotherapy: 3 cycles of Gemicitabine, Cisplatin, Durvalumab. PET CT scan:  (29/12/223) show partial therapy responseo Head Neck: Increased FDG uptake seen in both lobes of thyroid glands likely 
thyroiditis, Abdomen and pelvis: Decrease in the soft tissue thickening  (SUV max: 3.5) at the operative bed as compared to the previous PET CT scan, suggesting partial response to treatment. Mild abdominopelvic ascites increased in extent, Thorax: Minimal right pleural effusion is noted. Family history of cancer - Father diagnosed with prostate cancer. Other History - Hypertension, Weight loss in last 6 months, approx. 5kg
</t>
  </si>
  <si>
    <t>51.88 (7.8)</t>
  </si>
  <si>
    <t>178b, 178d</t>
  </si>
  <si>
    <t>3A0074</t>
  </si>
  <si>
    <t>Pankaj Dhandharia</t>
  </si>
  <si>
    <t>P000088</t>
  </si>
  <si>
    <t>Head &amp; Neck (Brain, Glioblastoma)</t>
  </si>
  <si>
    <t>Clinical history of patient - Glioblastoma  (IDH-wild type), NOS, CNS WHO grade 4. Date of Diagnosis: 11/4/222. Molecular pathology:  (6/5/222): The tumor is unmethylated for MGMT promoter region. The tumor is negative for IDH1R132 and IDH2R172 mutations. Histopathology:  (13/5/222): The tumor  (left frontal; parasagittal) shows ATRX protein expression and shows loss of expression for H3K27me3 protein. Few tumor cells show positivity for p53 protein; while the tumor is negative for IDH1R132H. MIB-1 labelling index is approximately 12-15%. Surgery: Performed on 3/5/222  (Data not available). Biomarker findings: 5/7/222: Microsatellite status - Stable. Genomic findings - Tumor mutational burden: 6 Muts/Mb. Genomic findings with no reportable therapeutic or clinical trial options: TNFRSF14  (rearrangement intron 2), TERT  (promoter alteration 124C &gt;T), MTAP  (loss exon 2-8), CDKN2A/B  (loss), AKT1  (amplification), EGFRvIII  (amplification). Variant of unknown significance  (VUS): ATM, ERBB2, PDGFRB, REL, CDH1, NF1, PDK1, SMO, CREBBP, NPM1, PIK3CB, ZNF217, DOT1L, NTRK1, PIK3R1. Disease relevant genes with no reportable alteration: IDH1, PDGFRA. Current treatments: Anti-fits and steroids. Last treatment received: 21/12/223.</t>
  </si>
  <si>
    <t>9.7  (250X)</t>
  </si>
  <si>
    <t>194.37 (29.2)</t>
  </si>
  <si>
    <t>187b, 187d</t>
  </si>
  <si>
    <t>3A0464</t>
  </si>
  <si>
    <t>Aruna Kevani</t>
  </si>
  <si>
    <t>A000199</t>
  </si>
  <si>
    <t>Hematological and Lymphoid System (Diffuse Large B Cell Lympoma)</t>
  </si>
  <si>
    <t>Clinical history of patient: Diagnosis: High grade B cell lymphoma, germinal centre  (GCB) type, stage IIIA, Small sub-cm bilateral inguinal nodes also noted by PET-CT  (26/3/224), Active bilateral obturator and multiple axillary nodes. Surgery: Right Shoulder tear repair surgery  (214), Excision of left inguinal mass  (1/4/224). Histopathology Report: Lymphoid cells diffusely express CD2, PAX5, CD19, CD79a, CD23, BCL2, CD43 and CD1, BCL6 expression is seen in 3%, Ki67proliferative index 3%, Reactive T cells express CD5 and CD3. Comorbidity: Hypertension</t>
  </si>
  <si>
    <t>60.09 ()</t>
  </si>
  <si>
    <t>194b, 194d</t>
  </si>
  <si>
    <t>3A0525</t>
  </si>
  <si>
    <t>187.95 (28.2)</t>
  </si>
  <si>
    <t>197b, 197d</t>
  </si>
  <si>
    <t>3A0558</t>
  </si>
  <si>
    <t>Mamta Dubey</t>
  </si>
  <si>
    <t>Female Reproductive Organ (Ovary) metastatic</t>
  </si>
  <si>
    <t>Clinical history of patient: Sept 222: presented with Dyspepsia and abdominal distension. Diagnosis  (27/1/222): PET-CT: High grade bilateral  (right&gt; left) serous carcinoma ovary with peritoneal metastasis stage IIIC/IV, Solid cystic lesion in pelvis, mainly right adnexa. Ovaries not seen separately, Hypermetabolic bilateral external iliac, mediastinal lymph nodes, Hypermetabolic subcapsular liver, omental, peritoneal, paracolic gutter
deposits and deposits over tail pancreas, Hypermetabolic abdomino-pelvic ascites and bilateral pleural effusions. 29/1/222: CT guided biopsy from adnexal mass: Malignant epithelial cell tumor, IHC: CK7  (+), WT-1  (+), PAX-8  (+), ER  (+), CK2  (-), increased expression of p53  (mutant type), No malignant cells in the ascitic or pleural fluid, Diagnosed/ tested for typhoid and treated from 2nd – 14th Sep’22. Treatment History: CA 125 level - 1996 U/mL on 19/1/222; Received 9 doses of weekly Inj Paclitaxel  (8 mg/m2) + Inj carboplatin  (31/1/22 - 2/1/23), CA 125 level - 26 U/mL on 15/1/223, Partial treatment to therapy; Chemo Pacli + carbo resumed on 27/2/223, CA 125 level - 138.4 U/mL on 13/5/223; Started on 3 cycles 5 doses of Bevastas + Lipodox on 13/5/223, CA 125 level increased on 24/7/223; New line of treatment: 4 cycles of Gemcitabine + Cisplatin on 4/8/223, PET CT showed molecular resolution on 2/11/223, CA 125 level - 3 U/mL on 23/1/223 and 26.9 on 1/11/223; Started on Olaparib from 8/11/223, CA 125 level - 17.2 U/mL on 22/11/223; Olaparib continued, CA 125 level - 27.2 U/mL on 13/12/223; Olaparib + Letrozole, CA 125 level - 27.5 U/mL on 27/12/223; CA 125 level - 16.1 U/mL on 1/1/223; PET Scan: 11/1/224  (not provided); CA 125 level - 687.8 U/mL on 5/5/224; CA 125 level - 3785.3 U/mL on 8/6/224. Surgical history: Open appendectomy and cholecystectomy-1992, Hernia repair with mesh-21, Type II hysterectomy  (excision of right ovarian mass and fallopian tube), left salpingo-oopherectomy, bilateral lymph-node dissection, excision of deposit at pouch of douglas, colonic epiploicae and bowel serosa, total omentectomy  (24/1/2 23), Post surgery status: no gross residual disease, Chest X-Ray performed on 26/1/223 showed normal findings. Germline testing: 23/11/222 - BRCA1 and BRCA2 negative, HRR negative. Obstetric history: P3L2-NVD, one daughter had congenital skin disease in infancy. Family History of cancer: Mother: Ca larynx at age?, Brother: Ca Lungs at age?  (Habits?)</t>
  </si>
  <si>
    <t>152.75 ()</t>
  </si>
  <si>
    <t>199b, 199d</t>
  </si>
  <si>
    <t>3A1341</t>
  </si>
  <si>
    <t>Rajyogini Brahmakumari Nalini</t>
  </si>
  <si>
    <t>R000222</t>
  </si>
  <si>
    <t>Breast (Lobular Breast Carcinoma), metastatic</t>
  </si>
  <si>
    <t>Thyroid, Heart disease</t>
  </si>
  <si>
    <t>63.26 (9.4)</t>
  </si>
  <si>
    <t>358b, 358d</t>
  </si>
  <si>
    <t>4A0401</t>
  </si>
  <si>
    <t>Shefali Bairagra</t>
  </si>
  <si>
    <t>S000597</t>
  </si>
  <si>
    <t>Breast (Triple Negative Breast Cancer)</t>
  </si>
  <si>
    <t>88.63  (13.2)</t>
  </si>
  <si>
    <t>4A0401_T</t>
  </si>
  <si>
    <t>4A0417</t>
  </si>
  <si>
    <t>Prasanna Simha</t>
  </si>
  <si>
    <t>P000178</t>
  </si>
  <si>
    <t>Lung (Adenocarcinoma), metastatic</t>
  </si>
  <si>
    <t>86.56  (13)</t>
  </si>
  <si>
    <t xml:space="preserve">4A0474 </t>
  </si>
  <si>
    <t>Reshma Jani</t>
  </si>
  <si>
    <t>R000265</t>
  </si>
  <si>
    <t>CTN?</t>
  </si>
  <si>
    <t>137.7 (20.6)</t>
  </si>
  <si>
    <t>00215_S24</t>
  </si>
  <si>
    <t>2A0355</t>
  </si>
  <si>
    <t>Mahnanda Shinde</t>
  </si>
  <si>
    <t>Others</t>
  </si>
  <si>
    <t>M000059</t>
  </si>
  <si>
    <t>97.66 (14.6)</t>
  </si>
  <si>
    <t>2A0355_E_MB_S53</t>
  </si>
  <si>
    <t>2A0356</t>
  </si>
  <si>
    <t>Shivaji Bhau Kadam</t>
  </si>
  <si>
    <t>S000196</t>
  </si>
  <si>
    <t>76.74 (11.4)</t>
  </si>
  <si>
    <t>2A0356_E_MB_S54</t>
  </si>
  <si>
    <t>2A0371</t>
  </si>
  <si>
    <t xml:space="preserve">Ratan Dattu Jadhav </t>
  </si>
  <si>
    <t>R000065</t>
  </si>
  <si>
    <t>GI (Intestine, Mucinous Adenocarcinoma)</t>
  </si>
  <si>
    <t>79.59 (12)</t>
  </si>
  <si>
    <t>2A0371_E_MB_S56</t>
  </si>
  <si>
    <t>2A0379</t>
  </si>
  <si>
    <t xml:space="preserve">Vanita Vivek Konde </t>
  </si>
  <si>
    <t>V000045</t>
  </si>
  <si>
    <t>GI (Oesophagus, Adenocarcinoma)</t>
  </si>
  <si>
    <t>93.15 (14)</t>
  </si>
  <si>
    <t>2A0379_E_MB_S57</t>
  </si>
  <si>
    <t>2A0380</t>
  </si>
  <si>
    <t xml:space="preserve">Smita Nitin Mandavkar </t>
  </si>
  <si>
    <t>S000202</t>
  </si>
  <si>
    <t>96.15 (14.4)</t>
  </si>
  <si>
    <t>2A0380_E_MB_S58</t>
  </si>
  <si>
    <t>2A0389</t>
  </si>
  <si>
    <t xml:space="preserve">Suman Handibag </t>
  </si>
  <si>
    <t>S000204</t>
  </si>
  <si>
    <t>100.7 (15.2)</t>
  </si>
  <si>
    <t>2A0389_E_MB_S60</t>
  </si>
  <si>
    <t>2A0398</t>
  </si>
  <si>
    <t>Parasram Sambherao</t>
  </si>
  <si>
    <t>P000046</t>
  </si>
  <si>
    <t xml:space="preserve">Prostate cancer </t>
  </si>
  <si>
    <t>83.48 (12.6)</t>
  </si>
  <si>
    <t>2A0398_E_MB_S64</t>
  </si>
  <si>
    <t>2A0401</t>
  </si>
  <si>
    <t xml:space="preserve">Ganesh Mogal </t>
  </si>
  <si>
    <t>G000020</t>
  </si>
  <si>
    <t>GI (oesophagus, Squamous Cell Carcinoma)</t>
  </si>
  <si>
    <t>90.37 (13.6)</t>
  </si>
  <si>
    <t>2A0401_E_MB_S3</t>
  </si>
  <si>
    <t>3A0740</t>
  </si>
  <si>
    <t>85.38 (12.8)</t>
  </si>
  <si>
    <t>208d</t>
  </si>
  <si>
    <t>3A1168</t>
  </si>
  <si>
    <t xml:space="preserve">Jateen Tanna </t>
  </si>
  <si>
    <t>Kidney and Urinary Bladder (Bladder, Urothelial Carcinoma)</t>
  </si>
  <si>
    <t>92.4 (13.8)</t>
  </si>
  <si>
    <t>277d</t>
  </si>
  <si>
    <t>3A1327</t>
  </si>
  <si>
    <t>Joshitha Sudhir</t>
  </si>
  <si>
    <t>J000044</t>
  </si>
  <si>
    <t>GI (Colon); mets to Female Reproductive Organ (Adnexae), rectum, adenocarcinoma</t>
  </si>
  <si>
    <t>98.27 (14.8)</t>
  </si>
  <si>
    <t>356d</t>
  </si>
  <si>
    <t>3A0407</t>
  </si>
  <si>
    <t>Ashok Kumat</t>
  </si>
  <si>
    <t>A000192</t>
  </si>
  <si>
    <t xml:space="preserve">Clinical history of cancer: 29/7/215: CECT AP - Few simple cysts observed in both kidneys. 13/7/22: Diagnosis: Renal angiography- Cyst in right kidney and enhancing lesions in the left kidney. Left Radical Nephrectomy- HPR- MiT family translocation Rcc with extensive tumor necrosis, nuclear grade 3, pathologic staging pT4Nx  (Negative for CK7, EMA and positive for Melan A, RCC, PAN CK  (AE1/AE3), HMB –45). 13/8/22: CT Renal angiography and urography showed enhancing exophtic lesions arising from left kidney abutting descending colon represent primary neoplastic renal mass lesion. Prostatic Enlargement with median lobe protruding in bladder. 18/3/221: CT Abdomen showed multiple irregularly marginated enhancing soft tissue density lesions with some hypodense areas of necrosis involving retroperitoneum along the anterior surface of spleen and left renal fossa suggestive of peritoneal metastatic deposits. 28/5/221: USG showed largest necrotic lesion seen in left renal fossa- probably recurrence with increase in size of the peritoneal lesions and prostatic enlargement. 7/6/221: Started on Nivolumab. 25/8/221: CT Abdomen showed necrotic lesion extending from subdiaphragmatic region upto left lumbar region and lesion above the anterior urinary bladder. 19/1/222: Started on 9th cycle of Nivolumab. 16/4/222: Severe nausea, vomiting, peripheral neuropathy, Transient ischemic attack  (TIA), limb edema post the dose of Nivolumab; therefore, discontinued. 1/7/222: Reduction  (4-5%) in the size of metastatic region and no new lesions. 24/8/222: Biopsy- high-grade adenomatous polyp in left colon; small polyp in right colon  (inflammatory); mid sigmoid colon showed one large thick stalk polyp; gastric fundus polyp  (inflammatory) and rectal adenomatous polyp. 23/3/224: Few hypodense lesions in left upper-abdomen-mid abdomen-lumbar fossa represent residual lesions. Simple cyst in right liver lobe appears benign. Crystal aggregate and few simple cortical cyst in right kidney; mild edematous thickening involving lower segment of rectum; right inguinoscrotal hernia containing fat. Occult Blood FIT  (Faecal immunochemistry test) positive. Other medical history: Hypertension  (on alpha blockers from 22-25) and IBS. Surgery: Hernia surgery in 28, Cystoscopy + TURP + b/l vasectomy on 3/3/222. Family History of cancer: Father - HCC, 2 Cousins - Leukemia, Brother - Head &amp; Neck Scc, Paternal Aunt - cancer, Paternal Grandfather - Blood cancer at 78 Years </t>
  </si>
  <si>
    <t>9.5  (100X)</t>
  </si>
  <si>
    <t>191b, 191d</t>
  </si>
  <si>
    <t>Bennu Sehgal</t>
  </si>
  <si>
    <t>MALT lymphoma (Mucosa-Associated Lymphoid Tissue lymphoma) type of B-cell non-Hodgkin lymphoma</t>
  </si>
  <si>
    <t>67.42 (10)</t>
  </si>
  <si>
    <t>3A0229</t>
  </si>
  <si>
    <t>B000049</t>
  </si>
  <si>
    <t>Clinical history of patient - Diagnosis: - Low-grade B cell MALT Lymphoma – Jejunum. Confirmed by Histopath dated 11th March 214. Colonoscopy: - Diminutive polyp in ascending colon, Uninvolved Bone marrow dated 16th April 214. 4 cycles of Rituximab. Recurrence of Malt Lymphoma: - Small bowel segment 218. Surgery: - Excision of small bowel segment with mesentery with nodal tissue.Relapse of B cell Non-Hodgkin'slymphoma: - November 221 short segment bowel wall involving jejunal loop. Primary skin adnexal cancer and primary breast cancer: -  (Nov-Dec 222). USG guided FNAC  (HPR): Left axilla mass indicative of a neoplastic epithelial lesion, carcinoma. Surgery: wide local excision of left axillary mass. Invasive Ductal Carcinoma, Grade I, ER positive  (1%), PR negative, AR positive, HER2 IHC equivocal 2+  (HER2 FISH not amplified). Negative PET and CT scans of the breast, favors for sweat duct origin  (17th Jan 223). Local Recurrence  (2nd June 223). Few weakly metabolic new left supraclavicular and left axillary small nodes are seen. FNA left axillary lymph node: positive for malignant cells, consistent with recurrence / metastasis of previously known left axillary lesion, carcinoma breast, primary apocrine carcinoma of skin adnexae  (Stage: rpTN2MR). Currently on Immunotherapy: anti-PDL1  (Verbal Information). Other Medical History: Hypertension, Diabetes Mellitus, Hypothyroidism, Ischemic heart disease  (IHD). Family History  (Cancer and non-cancer), Sister: Lymphoma involving the GI tract, Sister: Coronary artery disease, Brother: Coronary artery disease</t>
  </si>
  <si>
    <t>8.6  (100X &amp; 250X)</t>
  </si>
  <si>
    <t>2-Apr-24 (100x) and 25-Mar-24 (250x)</t>
  </si>
  <si>
    <t>160.69 (24.2)</t>
  </si>
  <si>
    <t>Sanjay Waghani</t>
  </si>
  <si>
    <t>Paraganglioma and Pheochromocytoma (Benign)</t>
  </si>
  <si>
    <t>Neuroendocrine gland cancer</t>
  </si>
  <si>
    <t>1A0186</t>
  </si>
  <si>
    <t xml:space="preserve">Gautami Dhuri </t>
  </si>
  <si>
    <t>G000001</t>
  </si>
  <si>
    <t>Lipodermoid, Bening tumor on right upper eyelid</t>
  </si>
  <si>
    <t>Eye</t>
  </si>
  <si>
    <t>78.77 (11.8)</t>
  </si>
  <si>
    <t>16b</t>
  </si>
  <si>
    <t>1A0136</t>
  </si>
  <si>
    <t>Shilpa Luharuka</t>
  </si>
  <si>
    <t>S000034</t>
  </si>
  <si>
    <t xml:space="preserve">Clinical history of patient - Cancer of left Breast; Date of Diagnosis: 3/2/216  (MRI); Multifocal left breast cancer  (BI-RADS 6) involving two indeterminate lymph nodes with focal cortical thickening; Benign fibroadenomas in the right breast  (BI-RADS 2) involving intramammary lymph nodes; Histopathology: Infiltrating duct carcinoma; Grade III  (15/2/216); Immunohistochemical assessment: ER negative, PR negative, HER2 - positive, Ki-67 positive, pT3NMx dated  (15/2/216); Chemotherapy: 11 cycles of chemotherapy completed by 8/2/217; Mammography report dated 5/3/218 indicates a remission phase. Family history of cancer - No cancer family history </t>
  </si>
  <si>
    <t>52.9 (7.8)</t>
  </si>
  <si>
    <t>19b, 19d</t>
  </si>
  <si>
    <t>1A0375</t>
  </si>
  <si>
    <t xml:space="preserve">Shashikant Chitale </t>
  </si>
  <si>
    <t>S000086</t>
  </si>
  <si>
    <t>CECT abdomen &amp; pelvis  (18/2/222) suggestive of multicentric neoplastic thickening at rectum  (3 mm long eccentric 9 mm wall thickening) and sigmoid colon  (6 mm long circumferential 12 mm wall thickening) with adjacent omental deposit  (2 x 3 mm). Moderately differentiated multicentric adenocarcinoma rectosigmoid with infiltration up to serosa. 5/17 nodes show metastatic deposits. pT3N2Mx. Surgery in February 222, no adjuvant treatment, Scan done in November 222)</t>
  </si>
  <si>
    <t>74.96 (11.2)</t>
  </si>
  <si>
    <t>46b</t>
  </si>
  <si>
    <t>1A0454</t>
  </si>
  <si>
    <t xml:space="preserve">Baban Agav </t>
  </si>
  <si>
    <t>B000008</t>
  </si>
  <si>
    <t>GI (Anal Canal, Non Kertinising Squamous Cell Carcinoma)</t>
  </si>
  <si>
    <t>Anal Canal cancer</t>
  </si>
  <si>
    <t>Basaloid non-kertinising squamous cell carcinoma, MRI A+P: Abnormal signal in anterior wall of anal canal 5.6 x 6.5 x 14 mm. 16.1 x 1.6 x 12.9 mm lesion in Seg II  on 16/8/222, Chemoradiation therapy completed in October 222</t>
  </si>
  <si>
    <t>47.79 (7.2)</t>
  </si>
  <si>
    <t>54b, 54d</t>
  </si>
  <si>
    <t>1A0457</t>
  </si>
  <si>
    <t>Feroz Shaikh</t>
  </si>
  <si>
    <t>F000001</t>
  </si>
  <si>
    <t>COT?</t>
  </si>
  <si>
    <t>Moderately differentiated adenocarcinoma, Gr II. LVE/PNI +. 1/15 nodes+, Surgery in 221, completed chemotherapy in December 221, no recurrence</t>
  </si>
  <si>
    <t>78.55 (11.8)</t>
  </si>
  <si>
    <t>55b, 55d</t>
  </si>
  <si>
    <t>1A0476</t>
  </si>
  <si>
    <t xml:space="preserve">Kalpana Bandal </t>
  </si>
  <si>
    <t>K000027</t>
  </si>
  <si>
    <t>Breast (Ductal Carcinoma)</t>
  </si>
  <si>
    <t xml:space="preserve">Ductal carcinoma breast; Mammography  (21.9.18) -focal large spiculated mass in retroareolar region 3 x 24 mm at 11 o clock- left axillary nodes upto 13 mm.   PET CT  (1.1.19)- post operative resolution of previously seen FDG avid left breast lesions and left axillary nodes. PETCT 11.8.2 - Operated for ductal carcinoma left breast  (oct 218); FDG PET CT  (11/1/221); Left mastectomy left axillary clearance with no FDG avid soft tissue lesion over the left chest wall. PET CT 13/12/222: No FDG avid left axillary, supraclavicular or internal mammary lymph nodes.  Left MRM -HP  (24.1.18)- IDC grade III- MRBS 3+3+3, no DCIS, base free, 8/27 nodes, ER PR -, Her2 + </t>
  </si>
  <si>
    <t>67.75 (10.2)</t>
  </si>
  <si>
    <t>63b, 63d</t>
  </si>
  <si>
    <t>1A0449</t>
  </si>
  <si>
    <t xml:space="preserve">Gaurav Jaiswal </t>
  </si>
  <si>
    <t>G000011</t>
  </si>
  <si>
    <t>Hematological and Lymphoid (Hodgkins Lymphoma)</t>
  </si>
  <si>
    <t>Continued phase of remission, chemoradiation completed in 221, PET CT in May 221:significantly enlarged conglomerated and discrete right level II,III,IV V, posterior cervical, spra &amp; infraclavicular lymphnodes, encasing the adjacent vessels, largest lymoh nodal mass measures 33 x 3 mm  (11.3). -lymphomaous deposits. Follow up PET CT 14.7.221: complete metabolic resolution and marked reduction in size and extent of previously mentioned multiple enlarged conglomerated and discrete right level II,III,IV,V,posterior cervical, supra and infra clavicular nodes. largest now measures 1 x 8 mm. PET CT 28.2.222:  anatomic resolution of previously mentioned FDG non avid residual right level II,III,IV,V,posterior cervical, supra and infra clavicular nodes. Deauville score 1*. overall favourable response to therapy. PET CT done in Dec 222:  No enlarged supra or infra diaphragmatic nodes - splenic or marrow lesions. Suggesting "continued phase of remission"</t>
  </si>
  <si>
    <t>Discrete right level II,III,IV V, posterior cervical, spra &amp; infraclavicular lymphnodes</t>
  </si>
  <si>
    <t>71.42 (10.6)</t>
  </si>
  <si>
    <t>64b, 64d</t>
  </si>
  <si>
    <t>2A0005</t>
  </si>
  <si>
    <t>Manekrao Madhavrao Solankhi</t>
  </si>
  <si>
    <t>M000037</t>
  </si>
  <si>
    <t>Moderately differentiated adenocarcinoma; Surgery in October 222, completed 3 cycles chemotherapy in December 222, no recurrence or metastasis. Short segment circumferential wall thickening in hepatic flexure 1.4 mm thick; length 4 mm; pericolic fat stranding; mesentericm nodes; seg VI liver granulomas 5.7 mm; D2 diverticulum  (26/9/222)…..short segment thickening  (max thickness 11 mm) noted in the hepatic flexure of ascending colon, thickness of 9 mm and length of 3.6 mm  (2/1/23)</t>
  </si>
  <si>
    <t>61.92 (9.2)</t>
  </si>
  <si>
    <t>66b, 66d</t>
  </si>
  <si>
    <t>2A0153</t>
  </si>
  <si>
    <t>Imran Shaikh</t>
  </si>
  <si>
    <t>I000005</t>
  </si>
  <si>
    <t>Poorly differentiated signet ring carcinoma of transverse colon; 6 cycles chemo, surgery; No locoregional recurrence or distant organ involvement.</t>
  </si>
  <si>
    <t>81.13 (12.2)</t>
  </si>
  <si>
    <t>101b, 101d</t>
  </si>
  <si>
    <t>2A0290</t>
  </si>
  <si>
    <t>Pawan Yeotikar</t>
  </si>
  <si>
    <t>P000037</t>
  </si>
  <si>
    <t>GI (Colon, Carcinoma)</t>
  </si>
  <si>
    <t>Carcinoma of descending colon; Operated and Chemotherapy in 216; 216: Left lower para-aortic lymph node 15x17mms  (8.55). There is an FDG avid soft tissue lesion in descending colon: it measures 19x51mms inferiorly; superiorly it shows concentric hypermetabolic thickening 13mms. Small peri-lesional lymph nodes upto 7mms. Weakly metabolic mesenteric lymph nodes are also seen upto 7mms</t>
  </si>
  <si>
    <t>61.27 (9.2)</t>
  </si>
  <si>
    <t>118b, 118d</t>
  </si>
  <si>
    <t>2A0292</t>
  </si>
  <si>
    <t>Dhananjay Mulay</t>
  </si>
  <si>
    <t>D000038</t>
  </si>
  <si>
    <t>Adenocarcinoma of rectum; Operated in 218; No FDG avid lesion at anastomotic site or pelvic nodes  (Reduction in previously seen FDG uptake at anastomotic site  (2.76) { prev. initial 17.5); Left common iliac node 6 mm  (2.19) { prev. 6 mm); " gr II adenocarcinoma- infiltrating pericolic fat"</t>
  </si>
  <si>
    <t>67.45 (10)</t>
  </si>
  <si>
    <t>119b, 119d</t>
  </si>
  <si>
    <t>2A0301</t>
  </si>
  <si>
    <t>Anuradha Bramhe</t>
  </si>
  <si>
    <t>A000083</t>
  </si>
  <si>
    <t>Invasive well differentiated Adenocarcinoma of sigmoid Colon; no FDG avid locoregional recurrence or distant organ involvement; "No lesion at the anastomotic site. {prev. post operative resolution of previously seen FDG avid circumferential thickening in mid sigmoid and regional nodes initial 26 x 19 mm- 46 mm length Nodes- mesenteric 6 mm; left common iliac 6 mm}"</t>
  </si>
  <si>
    <t>56.79 (8.4)</t>
  </si>
  <si>
    <t>121b, 121d</t>
  </si>
  <si>
    <t>2A0336</t>
  </si>
  <si>
    <t>Ram Bembade</t>
  </si>
  <si>
    <t>R000063</t>
  </si>
  <si>
    <t>70.16 ()</t>
  </si>
  <si>
    <t>128b, 128d</t>
  </si>
  <si>
    <t>2A0635</t>
  </si>
  <si>
    <t>Roopmala Agarwal</t>
  </si>
  <si>
    <t>R000080</t>
  </si>
  <si>
    <t>Clinical history of patient - Squamous cell lung carcinoma  (LUSC) and KRAS mutation reported. Microscopy  (H&amp;E) - Not Available. Histopathology  (IHC) - Not Available. Family History - Father  (Prostate Cancer)</t>
  </si>
  <si>
    <t>no raw data</t>
  </si>
  <si>
    <t>153d, 173b</t>
  </si>
  <si>
    <t>2A0705</t>
  </si>
  <si>
    <t>Sarita Shetty</t>
  </si>
  <si>
    <t>S000238</t>
  </si>
  <si>
    <t>Clinical history of patient - Metastatic right breast carcinoma; Date of Diagnosis - 18/1/218 as per PET-CT. Primary malignancy site - Right breast. Likely metastatic sites - Right axillary node, hepatic lesions, lytic lesion in pubic bone. Histopathology - Invasive Ductal carcinoma, Grade II, dated 18/1/218. Immunohistochemical assessment - ER  (9%), PR  (3%), HER2NEU  (3+), Ki-67  (35%) dated 18/1/218. Completed 5 cycles of chemotherapy, dated 14/2/22 and showed stable disease. Completed 73 cycles of maintenance therapy, dated 18/7/23. Recent PET/CT dated 18/7/23 suggested continued remission phase. Family history of cancer - Father - Lymphoma, Grandfather - Vocal cord Cancer, Aunt - Stomach Cancer.</t>
  </si>
  <si>
    <t>Multiple hepatic lesions, lytic lesions in the right pubic bone are likely metastatic</t>
  </si>
  <si>
    <t>69.53 (10.4)</t>
  </si>
  <si>
    <t>157b, 157d_R</t>
  </si>
  <si>
    <t>2A0737</t>
  </si>
  <si>
    <t>Vinod Padia</t>
  </si>
  <si>
    <t>V000053</t>
  </si>
  <si>
    <t>Hematological and Lymphoid (Hairy Cell Leukemia)</t>
  </si>
  <si>
    <t>26/4/2: treated in 1999; Bone marro biopsy shows a marignally hhypocellular marrow, adequate megakaryocytes, reduced myeloid cell line with few band forms and a relative erythroid excess with a small but readily identified population of megaloblasts. The reticuli preparation shows a fine focal pericellular fibrosis surrounding few cells. Oct 29, 1999: 1% plasma cells and 15% lypmhocytes, 46% hairy cells, M:E ratio-2:1; CD19, CD25, CD11c, HLA-DR and FMC7 are out of range; presence of atypical lymphoid cells 15th Feb 24: Normal clinical picture, hemogram, chemistry 11/7/223: the diverticulum wall shows irregular thickened margin. No calculi or mass.</t>
  </si>
  <si>
    <t>66 (9.8)</t>
  </si>
  <si>
    <t>160b, 160d</t>
  </si>
  <si>
    <t>2A1158</t>
  </si>
  <si>
    <t>Mitesh Kothari</t>
  </si>
  <si>
    <t>M000095</t>
  </si>
  <si>
    <t>Male Reproductive Organ (Testicular, Teratoma)</t>
  </si>
  <si>
    <t xml:space="preserve">Clinical history of patient - Mixed germ cell tumour of left testis  (metastatic immature teratoma); Date of Diagnosis: Histopathology  (5/9/214) – Testis with spermatic cord: Immature teratoma - 5% and Yolk sac tumour - 5%  (5/9/214); Para-aortic lymph node mass: Metastatic immature teratoma- tumour composed glands of variable sizes lined by atypical mucinous epithelium  (2/5/215); Immunohistochemical assessment: pT1 N Mx Sx dated  (5/9/214); Radical Orchidectomy performed on 1/9/214. Underwent chemotherapy  (2 cycles of Bleomycin, Etoposide and Cisplatin and 2 cycles of Etoposide and Cisplatin) and RPLND in 215; PET-CT 11/1/223): Suspicious persistent ametabolic cystic lesion/collection seen left paraaortic region showing further mild increase in size 27 x 28 mm  (previous size 26 x 26 mm on 13/12/221); Further follow up suggested to rule out malignancy. Family history of cancer - Absent. Other medical history - Diabetes
</t>
  </si>
  <si>
    <t>55.95 (8.4)</t>
  </si>
  <si>
    <t>170b, 170d</t>
  </si>
  <si>
    <t>3A0060</t>
  </si>
  <si>
    <t>Partha Paul</t>
  </si>
  <si>
    <t>P000087</t>
  </si>
  <si>
    <t>Kidney &amp; Urinary Tract (Kidney, Renal Cell Carcinoma)</t>
  </si>
  <si>
    <t>Diabetes, Hypertension, Thyroid Dysfunction</t>
  </si>
  <si>
    <t>Clinical history of patient - Malignant tumor in kidney - diagnose in 24  (Document not available). Right Laparoscopic radical nephrectomy - surgery. Left kidney diagnose with malignancy in 218-219  (Document not available). Partial nephrectomy - Surgery. Clear cell renal cell carcinoma  (ccRCC) stage T1a-Grade 2. 8th Dec 222: Follow up - 18 years post right Laparoscopic radical nephrectomy left partial nephrectomy for renal cell carcinoma. He has chronic Anemia. Recently developed shingles with herpetic rash in his left thorax. No sign of metastasis and recurrence - Ultrasound. Ultrasound  (19th Nov 223):  Pancreas shows a lesion- Simple, smooth and nonvascular cyst  (.3 x .4 x .5 cm3). Left Kidney - Lesion 1 likely cystic shows slight increase in size  (1.6 x 1.8 x 1.5 cm3; Previously measured 1.2 cm in 219 MRI). Left kidney - Lesion 2 simple cystic at lower pole exophytic  (1. x .9 x .9 cm3). 4th Dec 223: Follow up - 6 years post left partial nephrectomy. Rectal examine shows benign prostate with slower urine flow rate. Ultrasound showed a solitary left kidney with 2 cysts, out of which 1 is simple and other has enhancing wall with no define solid nodule. No sign of any disease. eGFR  (Estimated glomerular filtration rate) - 72ml/min/1.73 m2 dated 14th Oct 223. Comorbidity - Diabetes, Hypertension, Thyroid Dysfunction. Family history of cancer - Sister with uterine cancer and uncle &amp; aunt with Esophagus cancer.</t>
  </si>
  <si>
    <t>100.43 (15)</t>
  </si>
  <si>
    <t>184b, 184d</t>
  </si>
  <si>
    <t>3A1150</t>
  </si>
  <si>
    <t xml:space="preserve">Vijay Joshi  </t>
  </si>
  <si>
    <t>V000103</t>
  </si>
  <si>
    <t>78.21 (11.8)</t>
  </si>
  <si>
    <t>279b, 279d</t>
  </si>
  <si>
    <t>4A0153</t>
  </si>
  <si>
    <t>Bindu Madhav Joshi</t>
  </si>
  <si>
    <t>B000003</t>
  </si>
  <si>
    <t>Hematological and Lymphoid System (Non Hodgkins Lymphoma)</t>
  </si>
  <si>
    <t>Diabetes, Heart Disease</t>
  </si>
  <si>
    <t>81.10  (12.2)</t>
  </si>
  <si>
    <t>4A0153_T</t>
  </si>
  <si>
    <t>2A0370</t>
  </si>
  <si>
    <t>Anjana Vanire</t>
  </si>
  <si>
    <t>A000093</t>
  </si>
  <si>
    <t>82.4 (12.4)</t>
  </si>
  <si>
    <t>2A0370_E_MB_S55</t>
  </si>
  <si>
    <t>2A0399</t>
  </si>
  <si>
    <t xml:space="preserve">Sangita Rajaram Mane </t>
  </si>
  <si>
    <t>S000207</t>
  </si>
  <si>
    <t>GI (Stomach, Adenocarcinoma)</t>
  </si>
  <si>
    <t>68.11 (10.2)</t>
  </si>
  <si>
    <t>2A0399_E_MB_S1</t>
  </si>
  <si>
    <t>3A0721</t>
  </si>
  <si>
    <t>Urvashi Ganatra</t>
  </si>
  <si>
    <t>U000027</t>
  </si>
  <si>
    <t>86.03 (12.8)</t>
  </si>
  <si>
    <t>3A0721_E_MB_S8</t>
  </si>
  <si>
    <t>4A0450</t>
  </si>
  <si>
    <t>Sharda Bhandari</t>
  </si>
  <si>
    <t>S000044</t>
  </si>
  <si>
    <t>Female Reproductive Organ (Cervix)</t>
  </si>
  <si>
    <t>Hypertension, Asthma</t>
  </si>
  <si>
    <t>80.05 (12)</t>
  </si>
  <si>
    <t>4A0450_T</t>
  </si>
  <si>
    <t>4A1100</t>
  </si>
  <si>
    <t>Reena Goyal</t>
  </si>
  <si>
    <t>R000314</t>
  </si>
  <si>
    <t>72.72 (10.8)</t>
  </si>
  <si>
    <t>4A1100_T_MB_S11, 4A1100_E_MB_S5</t>
  </si>
  <si>
    <t>1A0099</t>
  </si>
  <si>
    <t>Athira Nair</t>
  </si>
  <si>
    <t>A000021</t>
  </si>
  <si>
    <t>53.17 (8)</t>
  </si>
  <si>
    <t>17b, 17d</t>
  </si>
  <si>
    <t>3A0064</t>
  </si>
  <si>
    <t>Swati Sahoo</t>
  </si>
  <si>
    <t>S000021</t>
  </si>
  <si>
    <t>74.9 (11.2)</t>
  </si>
  <si>
    <t>185b, 185d</t>
  </si>
  <si>
    <t>4A0115</t>
  </si>
  <si>
    <t>Anisha Diwakar</t>
  </si>
  <si>
    <t>A000088</t>
  </si>
  <si>
    <t>83.25  (12.4)</t>
  </si>
  <si>
    <t>4A0115_T</t>
  </si>
  <si>
    <t>4A0475</t>
  </si>
  <si>
    <t>79.4 (11.8)</t>
  </si>
  <si>
    <t>00157_S38</t>
  </si>
  <si>
    <t>1A0116</t>
  </si>
  <si>
    <t xml:space="preserve">Sagar Chhabria </t>
  </si>
  <si>
    <t>S000026</t>
  </si>
  <si>
    <t>Polyp</t>
  </si>
  <si>
    <t>61.01 (9.2)</t>
  </si>
  <si>
    <t>25b</t>
  </si>
  <si>
    <t>4A0435</t>
  </si>
  <si>
    <t>Shruti Dutta</t>
  </si>
  <si>
    <t>S000050</t>
  </si>
  <si>
    <t xml:space="preserve">Kidney </t>
  </si>
  <si>
    <t>67.12 (10)</t>
  </si>
  <si>
    <t>4A0435_E_MB_S28</t>
  </si>
  <si>
    <t>3A0459</t>
  </si>
  <si>
    <t>Ishpal Oberoi</t>
  </si>
  <si>
    <t>I000015</t>
  </si>
  <si>
    <t>Hepatobilliary System (Pancreas), Pancreatic cyst</t>
  </si>
  <si>
    <t>Pancreas</t>
  </si>
  <si>
    <t xml:space="preserve">Clinical history of patient: Born out of a consanguineous marriage; Germline genetics results - No pathogenic or likely pathogenic mutation related to hereditary cancer; VUS detected in: MYH11, FANCA, BLM, ATM. No large deletion and duplication detected in BRCA1/2 genes by MLPA method; Pancreas cyst - Verbal information, no document available. Family history of cancer: Mother - Ca Pancreas  (Adenocarcinoma) - CA19.9 +Ve, diagnosed at 5 years; Two second degree relatives - Ca Pancreas  (Adenocarcinoma) - CA19.9 +Ve, diagnosed at 55 years and Ca Gall bladder, diagnosed at 72 years; Three third degree relatives - Ca Pancreas  (Adenocarcinoma) - CA19.9 +Ve, diagnosed at 82 years and Ca liver diagnosed at 7 years, Ca prostate  (age of diagnosis not documented) </t>
  </si>
  <si>
    <t>9  (250X)</t>
  </si>
  <si>
    <t>149.25 ()</t>
  </si>
  <si>
    <t>193b,193d</t>
  </si>
  <si>
    <t>4A0778</t>
  </si>
  <si>
    <t>Ajay Sekhri</t>
  </si>
  <si>
    <t>A000393</t>
  </si>
  <si>
    <t>IPMN</t>
  </si>
  <si>
    <t>Diabetes, Dementia</t>
  </si>
  <si>
    <t>Paid report/Research</t>
  </si>
  <si>
    <t>72.62 (10.8)</t>
  </si>
  <si>
    <t>4A0778_T_MB_S56, 4A0778_E_MB_S47</t>
  </si>
  <si>
    <t>3A1281</t>
  </si>
  <si>
    <t>Ranwade Nirmala</t>
  </si>
  <si>
    <t>R000212</t>
  </si>
  <si>
    <t>88.6 (13.2)</t>
  </si>
  <si>
    <t>405b_MB_S44</t>
  </si>
  <si>
    <t>4A0022</t>
  </si>
  <si>
    <t>Manali Sawant</t>
  </si>
  <si>
    <t>M000183</t>
  </si>
  <si>
    <t>Ovary</t>
  </si>
  <si>
    <t>74.49 (11.2)</t>
  </si>
  <si>
    <t>4A0022_E_MB_S14</t>
  </si>
  <si>
    <t>4A0032</t>
  </si>
  <si>
    <t>Priyanka Khambe</t>
  </si>
  <si>
    <t>P000152</t>
  </si>
  <si>
    <t>83.49 (12.6)</t>
  </si>
  <si>
    <t>4A0032_E_MB_S15</t>
  </si>
  <si>
    <t>4A0155</t>
  </si>
  <si>
    <t>Ashish Dandekar</t>
  </si>
  <si>
    <t>A000324</t>
  </si>
  <si>
    <t>Sister frontal lobe cancer</t>
  </si>
  <si>
    <t>91.47 (13.8)</t>
  </si>
  <si>
    <t>4A0155_E_MB_S16</t>
  </si>
  <si>
    <t>2A0623</t>
  </si>
  <si>
    <t>70.34 (10.6)</t>
  </si>
  <si>
    <t>144d</t>
  </si>
  <si>
    <t>4A0521</t>
  </si>
  <si>
    <t>Shabanam Shaikh</t>
  </si>
  <si>
    <t>S000032</t>
  </si>
  <si>
    <t>82.24 (12.4)</t>
  </si>
  <si>
    <t>4A0521_E_MB_S37</t>
  </si>
  <si>
    <t>4A0531</t>
  </si>
  <si>
    <t>Nitu Jha</t>
  </si>
  <si>
    <t>Endometrium</t>
  </si>
  <si>
    <t>00155_S36</t>
  </si>
  <si>
    <t>4A0456</t>
  </si>
  <si>
    <t>Sanjay Bidwe</t>
  </si>
  <si>
    <t>S000604</t>
  </si>
  <si>
    <t>88 (13.2)</t>
  </si>
  <si>
    <t>4A0456_E_MB_S30</t>
  </si>
  <si>
    <t>3A0690</t>
  </si>
  <si>
    <t>Disha Shinde</t>
  </si>
  <si>
    <t>D000006</t>
  </si>
  <si>
    <t>88.17 (13.2)</t>
  </si>
  <si>
    <t>3A0690_E_MB_S7</t>
  </si>
  <si>
    <t>3A1323</t>
  </si>
  <si>
    <t>Varun Sethia</t>
  </si>
  <si>
    <t>V000112</t>
  </si>
  <si>
    <t>BRCA Germline positive</t>
  </si>
  <si>
    <t>195.25 (29.2)</t>
  </si>
  <si>
    <t>3A1323_E_HS, 397d</t>
  </si>
  <si>
    <t>3A1072</t>
  </si>
  <si>
    <t xml:space="preserve">Jaysleen Kaur  </t>
  </si>
  <si>
    <t>J000082</t>
  </si>
  <si>
    <t>rare Thyroid condition</t>
  </si>
  <si>
    <t>62.07 (9.2)</t>
  </si>
  <si>
    <t>238b, 238d</t>
  </si>
  <si>
    <t>3A1073</t>
  </si>
  <si>
    <t xml:space="preserve">Anushree Shah  </t>
  </si>
  <si>
    <t>A000277</t>
  </si>
  <si>
    <t>58.9 (8.8)</t>
  </si>
  <si>
    <t>239b, 239d</t>
  </si>
  <si>
    <t>3A1076</t>
  </si>
  <si>
    <t xml:space="preserve">Arun Mohan  </t>
  </si>
  <si>
    <t>A000278</t>
  </si>
  <si>
    <t>52.82 (7.8)</t>
  </si>
  <si>
    <t>240b, 240d</t>
  </si>
  <si>
    <t>3A1089</t>
  </si>
  <si>
    <t xml:space="preserve">Atul Shah  </t>
  </si>
  <si>
    <t>A000280</t>
  </si>
  <si>
    <t>57.53 (8.6)</t>
  </si>
  <si>
    <t>250b, 250d</t>
  </si>
  <si>
    <t>3A1106</t>
  </si>
  <si>
    <t xml:space="preserve">Devang Nagarsheth  </t>
  </si>
  <si>
    <t>D000098</t>
  </si>
  <si>
    <t>56.22 (8.4)</t>
  </si>
  <si>
    <t>252b, 252d</t>
  </si>
  <si>
    <t>3A1151</t>
  </si>
  <si>
    <t xml:space="preserve">Azhar Khan  </t>
  </si>
  <si>
    <t>A000290</t>
  </si>
  <si>
    <t>96.11 (14.4)</t>
  </si>
  <si>
    <t>280b, 280d</t>
  </si>
  <si>
    <t>3A1152</t>
  </si>
  <si>
    <t xml:space="preserve">Adnan Khan  </t>
  </si>
  <si>
    <t>A000291</t>
  </si>
  <si>
    <t>93.89 (14)</t>
  </si>
  <si>
    <t>281b, 281d</t>
  </si>
  <si>
    <t>3A1153</t>
  </si>
  <si>
    <t xml:space="preserve">Anjum Ahmed  </t>
  </si>
  <si>
    <t>A000292</t>
  </si>
  <si>
    <t>95.42 (14.4)</t>
  </si>
  <si>
    <t>282b, 282d</t>
  </si>
  <si>
    <t>3A1177</t>
  </si>
  <si>
    <t xml:space="preserve">Preeti Punamiya  </t>
  </si>
  <si>
    <t>P000141</t>
  </si>
  <si>
    <t>87.78 (13.2)</t>
  </si>
  <si>
    <t>283b, 283d</t>
  </si>
  <si>
    <t>3A1178</t>
  </si>
  <si>
    <t xml:space="preserve">Rais Ghalte  </t>
  </si>
  <si>
    <t>R000201</t>
  </si>
  <si>
    <t>70.71 (10.6)</t>
  </si>
  <si>
    <t>284b, 284d</t>
  </si>
  <si>
    <t>3A1190</t>
  </si>
  <si>
    <t xml:space="preserve">Feroza Khan  </t>
  </si>
  <si>
    <t>F000014</t>
  </si>
  <si>
    <t>56.82 (8.4)</t>
  </si>
  <si>
    <t>285b, 285d</t>
  </si>
  <si>
    <t>3A1191</t>
  </si>
  <si>
    <t xml:space="preserve">Rajesh Chaturvedi  </t>
  </si>
  <si>
    <t>R000205</t>
  </si>
  <si>
    <t>67.94 (10.2)</t>
  </si>
  <si>
    <t>286b, 286d</t>
  </si>
  <si>
    <t>3A1235</t>
  </si>
  <si>
    <t xml:space="preserve">Affan Arif  </t>
  </si>
  <si>
    <t>A000297</t>
  </si>
  <si>
    <t>61.79 (9.2)</t>
  </si>
  <si>
    <t>293b, 293d</t>
  </si>
  <si>
    <t>3A1243</t>
  </si>
  <si>
    <t xml:space="preserve">Sandip Bhattacharya  </t>
  </si>
  <si>
    <t>S000500</t>
  </si>
  <si>
    <t>Diabetes, Hypertension, Heart Disease, recurrent pancreatitis, grade 1 obesity, hyperuricemia, grade 1 fatty liver</t>
  </si>
  <si>
    <t>73.57 (11)</t>
  </si>
  <si>
    <t>297b, 297d</t>
  </si>
  <si>
    <t>3A1299</t>
  </si>
  <si>
    <t xml:space="preserve">Priya Thakkar  </t>
  </si>
  <si>
    <t>P000145</t>
  </si>
  <si>
    <t>330b, 330d</t>
  </si>
  <si>
    <t>3A1306</t>
  </si>
  <si>
    <t xml:space="preserve">Batul Agha  </t>
  </si>
  <si>
    <t>B000078</t>
  </si>
  <si>
    <t>70.41 (10.6)</t>
  </si>
  <si>
    <t>342b, 342d</t>
  </si>
  <si>
    <t>3A1319</t>
  </si>
  <si>
    <t xml:space="preserve">Farah Vaswani  </t>
  </si>
  <si>
    <t>F000015</t>
  </si>
  <si>
    <t>75.55 (11.4)</t>
  </si>
  <si>
    <t>355b, 355d</t>
  </si>
  <si>
    <t>3A1330</t>
  </si>
  <si>
    <t xml:space="preserve">Nooruddin Gadhaya  </t>
  </si>
  <si>
    <t>N000116</t>
  </si>
  <si>
    <t>59.29 (8.8)</t>
  </si>
  <si>
    <t>357b, 357d</t>
  </si>
  <si>
    <t>4A0004</t>
  </si>
  <si>
    <t xml:space="preserve">Sandeep Das  </t>
  </si>
  <si>
    <t>S000520</t>
  </si>
  <si>
    <t>166.88 (25)</t>
  </si>
  <si>
    <t>4A0004_T, 4A0004_E_HS</t>
  </si>
  <si>
    <t>4A0011</t>
  </si>
  <si>
    <t>Bilal Ahmed​</t>
  </si>
  <si>
    <t>B000083</t>
  </si>
  <si>
    <t>196.37 (29.4)</t>
  </si>
  <si>
    <t>4A0011_E_HS</t>
  </si>
  <si>
    <t>4A0380</t>
  </si>
  <si>
    <t xml:space="preserve">Monika Vadhan  </t>
  </si>
  <si>
    <t>M000205</t>
  </si>
  <si>
    <t xml:space="preserve"> 91.28 (13.6)</t>
  </si>
  <si>
    <t>4A0380_T, 4A0380_E_MB_S37</t>
  </si>
  <si>
    <t>4A0136</t>
  </si>
  <si>
    <t>Soniya Pawar</t>
  </si>
  <si>
    <t>S000550</t>
  </si>
  <si>
    <t>96.73 (14.6)</t>
  </si>
  <si>
    <t>4A0136_E_MB_S36</t>
  </si>
  <si>
    <t>4A1009</t>
  </si>
  <si>
    <t>Sujay Shah</t>
  </si>
  <si>
    <t>S000701</t>
  </si>
  <si>
    <t>88.75 (13.4)</t>
  </si>
  <si>
    <t>4A1009_T, 4A1009_E_MB_S41</t>
  </si>
  <si>
    <t>4A0298</t>
  </si>
  <si>
    <t xml:space="preserve">Faaris Khan  </t>
  </si>
  <si>
    <t>F000016</t>
  </si>
  <si>
    <t>T2DM</t>
  </si>
  <si>
    <t xml:space="preserve"> 77.03 (11.6)</t>
  </si>
  <si>
    <t>4A0298_T, 4A0298_E_MB_S1</t>
  </si>
  <si>
    <t>4A0300</t>
  </si>
  <si>
    <t xml:space="preserve">Nidhi Kedia  </t>
  </si>
  <si>
    <t>N000124</t>
  </si>
  <si>
    <t xml:space="preserve"> 89.75 (13.4)</t>
  </si>
  <si>
    <t>4A0300_T, 4A0300_E_MB_S3</t>
  </si>
  <si>
    <t>4A0310</t>
  </si>
  <si>
    <t xml:space="preserve">Hanskumar Daulat  </t>
  </si>
  <si>
    <t>H000046</t>
  </si>
  <si>
    <t>Diabetes, cld, ihd, vitiligo, Bleeding varices, hypersplenism, hepatic encephalopathy</t>
  </si>
  <si>
    <t xml:space="preserve"> 86.31 (13)</t>
  </si>
  <si>
    <t>4A0310, 4A0310_E_MB_S4</t>
  </si>
  <si>
    <t>4A0350</t>
  </si>
  <si>
    <t xml:space="preserve">Shabiba Qureshi  </t>
  </si>
  <si>
    <t>S000592</t>
  </si>
  <si>
    <t>T1DM</t>
  </si>
  <si>
    <t xml:space="preserve"> 66.19 (9.8)</t>
  </si>
  <si>
    <t>4A0350_T, 4A0350_E_MB_S5</t>
  </si>
  <si>
    <t>4A0358</t>
  </si>
  <si>
    <t xml:space="preserve">Aditi Palshetkar  </t>
  </si>
  <si>
    <t>A000347</t>
  </si>
  <si>
    <t>80.75 (12)</t>
  </si>
  <si>
    <t>4A0358_T, 4A0358_E_MB_S6</t>
  </si>
  <si>
    <t>4A0377</t>
  </si>
  <si>
    <t xml:space="preserve">Abhishek Roy  </t>
  </si>
  <si>
    <t>A000348</t>
  </si>
  <si>
    <t xml:space="preserve">Diabetes, HT, </t>
  </si>
  <si>
    <t xml:space="preserve"> 92.38 (13.8)</t>
  </si>
  <si>
    <t>4A0377_T, 4A0377_E_MB_S7</t>
  </si>
  <si>
    <t>4A0381</t>
  </si>
  <si>
    <t xml:space="preserve">Mayank Chhabria  </t>
  </si>
  <si>
    <t>M000206</t>
  </si>
  <si>
    <t xml:space="preserve"> 84.55 (12.6)</t>
  </si>
  <si>
    <t>4A0381_T, 4A0381_E_MB_S8</t>
  </si>
  <si>
    <t>4A0422</t>
  </si>
  <si>
    <t xml:space="preserve">Mafatlal Shah  </t>
  </si>
  <si>
    <t>M000208</t>
  </si>
  <si>
    <t>96.68 (14.4)</t>
  </si>
  <si>
    <t>4A0422_T, 4A0422_E_MB_S10</t>
  </si>
  <si>
    <t>4A0427</t>
  </si>
  <si>
    <t>Stavan Shah</t>
  </si>
  <si>
    <t>S000599</t>
  </si>
  <si>
    <t>81.5 (12.2)</t>
  </si>
  <si>
    <t>4A0427_T, 4A0427_E_MB_S13</t>
  </si>
  <si>
    <t>4A0434</t>
  </si>
  <si>
    <t>Vaishali Shah</t>
  </si>
  <si>
    <t>V000137</t>
  </si>
  <si>
    <t>68.55 (10.2)</t>
  </si>
  <si>
    <t>4A0434_T, 4A0434_E_MB_S14</t>
  </si>
  <si>
    <t>4A0438</t>
  </si>
  <si>
    <t>Purva Patil</t>
  </si>
  <si>
    <t>P000180</t>
  </si>
  <si>
    <t>Grade I obesity</t>
  </si>
  <si>
    <t>99.44 (15)</t>
  </si>
  <si>
    <t>4A0438_T, 4A0438_E_MB_S17</t>
  </si>
  <si>
    <t>4A0445</t>
  </si>
  <si>
    <t>Sangeeta Gole</t>
  </si>
  <si>
    <t>S000602</t>
  </si>
  <si>
    <t>79.53 (12)</t>
  </si>
  <si>
    <t>4A0445_T, 4A0445_E_MB_S19</t>
  </si>
  <si>
    <t>4A0457</t>
  </si>
  <si>
    <t>Cyrus Patel</t>
  </si>
  <si>
    <t>C000049</t>
  </si>
  <si>
    <t>85.94 (12.8)</t>
  </si>
  <si>
    <t>4A0457_T, 4A0457_E_MB_S20</t>
  </si>
  <si>
    <t>4A0463</t>
  </si>
  <si>
    <t>Ami Shah</t>
  </si>
  <si>
    <t>A000360</t>
  </si>
  <si>
    <t>T2DM, Grade III obesity, Hypertension, Mild thyroid failure</t>
  </si>
  <si>
    <t>97.42 (14.6)</t>
  </si>
  <si>
    <t>4A0463_T, 4A0463_E_MB_S21</t>
  </si>
  <si>
    <t>4A0466</t>
  </si>
  <si>
    <t>Tushar Devidayal</t>
  </si>
  <si>
    <t>T000060</t>
  </si>
  <si>
    <t>93.54 (14)</t>
  </si>
  <si>
    <t>4A0466_T, 4A0466_E_MB_S22</t>
  </si>
  <si>
    <t>4A0467</t>
  </si>
  <si>
    <t>Waheed Baig</t>
  </si>
  <si>
    <t>W000009</t>
  </si>
  <si>
    <t>88.67 (13.2)</t>
  </si>
  <si>
    <t>4A0467_T, 4A0467_E_MB_S23</t>
  </si>
  <si>
    <t>4A0507</t>
  </si>
  <si>
    <t>Ramesh Tainwala</t>
  </si>
  <si>
    <t>R000271</t>
  </si>
  <si>
    <t>Remission for Sarcoidosis, Thyroid disease</t>
  </si>
  <si>
    <t>91.42 (13.8)</t>
  </si>
  <si>
    <t>00159_S40, 4A0507_E_MB_S25</t>
  </si>
  <si>
    <t>4A0508</t>
  </si>
  <si>
    <t>Shirin Rais</t>
  </si>
  <si>
    <t>S000609</t>
  </si>
  <si>
    <t>Thyroid disease, Obesity</t>
  </si>
  <si>
    <t>101.66 (15.2)</t>
  </si>
  <si>
    <t>00160_S41, 4A0508_E_MB_S26</t>
  </si>
  <si>
    <t>4A0509</t>
  </si>
  <si>
    <t>Pankaj Mehra</t>
  </si>
  <si>
    <t>P000183</t>
  </si>
  <si>
    <t>T2DM, BPH, Grade II obesity</t>
  </si>
  <si>
    <t>96.57 (14.4)</t>
  </si>
  <si>
    <t>00161_S42, 4A0509_E_MB_S27</t>
  </si>
  <si>
    <t>4A0516</t>
  </si>
  <si>
    <t>Sonali Singh</t>
  </si>
  <si>
    <t>S000612</t>
  </si>
  <si>
    <t>90.25 (13.6)</t>
  </si>
  <si>
    <t>00153_S34, 4A0516_E_MB_S28</t>
  </si>
  <si>
    <t>178_S4</t>
  </si>
  <si>
    <t>4A0567</t>
  </si>
  <si>
    <t>Pritam Shah</t>
  </si>
  <si>
    <t>P000189</t>
  </si>
  <si>
    <t>T2DM, Grade II obesity</t>
  </si>
  <si>
    <t>102.21 (15.4)</t>
  </si>
  <si>
    <t>00178_S40, 4A0567_E_MB_S29</t>
  </si>
  <si>
    <t>179_S41</t>
  </si>
  <si>
    <t>4A0573</t>
  </si>
  <si>
    <t>Sharmin Batliwala</t>
  </si>
  <si>
    <t>S000624</t>
  </si>
  <si>
    <t>PCOS, Grade III obesity</t>
  </si>
  <si>
    <t>92.59 (13.8)</t>
  </si>
  <si>
    <t>00179_S41, 4A0573_E_MB_S30</t>
  </si>
  <si>
    <t>18_S42</t>
  </si>
  <si>
    <t>4A0575</t>
  </si>
  <si>
    <t xml:space="preserve">Darpan Mehta </t>
  </si>
  <si>
    <t>D000132</t>
  </si>
  <si>
    <t>T2DM, Grade I obesity</t>
  </si>
  <si>
    <t>79.1 (11.8)</t>
  </si>
  <si>
    <t>00180_S42, 4A0575_E_MB_S31</t>
  </si>
  <si>
    <t>4A0583</t>
  </si>
  <si>
    <t>Pawan Mahimtura</t>
  </si>
  <si>
    <t>P000190</t>
  </si>
  <si>
    <t>T2DM, Grade III obesity</t>
  </si>
  <si>
    <t>86.14 (13)</t>
  </si>
  <si>
    <t>00181_S43, 4A0583_E_MB_S32</t>
  </si>
  <si>
    <t>4A0635</t>
  </si>
  <si>
    <t>Mahenov Thakkar</t>
  </si>
  <si>
    <t>M000220</t>
  </si>
  <si>
    <t>Prediabetes, Grade III obesity</t>
  </si>
  <si>
    <t>94.4 (14.2)</t>
  </si>
  <si>
    <t>4A0635_T_MB_S6, 4A0635_E_MB_S33</t>
  </si>
  <si>
    <t>4A0636</t>
  </si>
  <si>
    <t>Nishant Thakkar</t>
  </si>
  <si>
    <t>N000137</t>
  </si>
  <si>
    <t>94.64 (14.2)</t>
  </si>
  <si>
    <t>4A0636_T_MB_S55, 4A0636_E_MB_S34</t>
  </si>
  <si>
    <t>4A0657</t>
  </si>
  <si>
    <t>Sohini Patel</t>
  </si>
  <si>
    <t>S000646</t>
  </si>
  <si>
    <t>T2DM, Obesity, Male Reproductive Organ (Prostate)</t>
  </si>
  <si>
    <t>87.63 (13.2)</t>
  </si>
  <si>
    <t>4A0657_T_MB_S60, 4A0657_E_MB_S35</t>
  </si>
  <si>
    <t>4A0436</t>
  </si>
  <si>
    <t>Behroz Ghadiali</t>
  </si>
  <si>
    <t>B000095</t>
  </si>
  <si>
    <t>84.34 (12.6)</t>
  </si>
  <si>
    <t>4A0436_T, 4A0436_E_MB_S15</t>
  </si>
  <si>
    <t>4A0670</t>
  </si>
  <si>
    <t>Muskaan Parikh</t>
  </si>
  <si>
    <t>M000224</t>
  </si>
  <si>
    <t>Grade 1 fatty liver, Metabolic syndrome</t>
  </si>
  <si>
    <t>82.02 (12.2)</t>
  </si>
  <si>
    <t>4A0670_T_MB_S61, 4A0670_E_MB_S36</t>
  </si>
  <si>
    <t>4A0736</t>
  </si>
  <si>
    <t>Chetan Ahya</t>
  </si>
  <si>
    <t>C000056</t>
  </si>
  <si>
    <t>Diabetes, RA, Osteoporosis, Ankylosing spondylitis</t>
  </si>
  <si>
    <t>86.41 (13)</t>
  </si>
  <si>
    <t>yes</t>
  </si>
  <si>
    <t>4A0736_T_MB_S50, 4A0736_E_MB_S38</t>
  </si>
  <si>
    <t>4A0299</t>
  </si>
  <si>
    <t xml:space="preserve">Yamini Zaveri  </t>
  </si>
  <si>
    <t>Y000023</t>
  </si>
  <si>
    <t>114.74 (17.2)</t>
  </si>
  <si>
    <t>4A0299_T, 4A0299_E_MB_S2</t>
  </si>
  <si>
    <t>4A0397</t>
  </si>
  <si>
    <t xml:space="preserve">Sanjay Shah  </t>
  </si>
  <si>
    <t>S000596</t>
  </si>
  <si>
    <t xml:space="preserve"> 101.74 (15.2)</t>
  </si>
  <si>
    <t>4A0397_T, 4A0397_E_MB_S9</t>
  </si>
  <si>
    <t>4A0737</t>
  </si>
  <si>
    <t>Usha Tripathi</t>
  </si>
  <si>
    <t>U000020</t>
  </si>
  <si>
    <t>59.56 (8.8)</t>
  </si>
  <si>
    <t>4A0737_T_MB_S51, 4A0737_E_MB_S59</t>
  </si>
  <si>
    <t>4A0262</t>
  </si>
  <si>
    <t>Adity Chaudhary</t>
  </si>
  <si>
    <t>A000339</t>
  </si>
  <si>
    <t>91.93 (13.8)</t>
  </si>
  <si>
    <t>4A0262_T</t>
  </si>
  <si>
    <t>4A0261</t>
  </si>
  <si>
    <t>Chirag Dewan</t>
  </si>
  <si>
    <t>C000044</t>
  </si>
  <si>
    <t xml:space="preserve">Dr Nadeem </t>
  </si>
  <si>
    <t>95.3 (14.2)</t>
  </si>
  <si>
    <t>4A0261_T</t>
  </si>
  <si>
    <t>4A0189</t>
  </si>
  <si>
    <t>Zarien Khan</t>
  </si>
  <si>
    <t>Z000008</t>
  </si>
  <si>
    <t>78.81 (11.8)</t>
  </si>
  <si>
    <t>4A0189_T</t>
  </si>
  <si>
    <t>4A0246</t>
  </si>
  <si>
    <t>Kishore Tanna</t>
  </si>
  <si>
    <t>K000127</t>
  </si>
  <si>
    <t>79.84 (12)</t>
  </si>
  <si>
    <t>4A0246_T</t>
  </si>
  <si>
    <t>4A0263</t>
  </si>
  <si>
    <t>Dilshad Ukaji</t>
  </si>
  <si>
    <t>D000121</t>
  </si>
  <si>
    <t>Pre-diabetes, Grade 2 Obesity, Dyslipidemia, Perimenopause, Uterine Fibroids, Liver Hemangioma</t>
  </si>
  <si>
    <t>100.62 (15)</t>
  </si>
  <si>
    <t>4A0263_T</t>
  </si>
  <si>
    <t>4A0191</t>
  </si>
  <si>
    <t>Dhruv Chopra</t>
  </si>
  <si>
    <t>D000119</t>
  </si>
  <si>
    <t>77.21 (11.6)</t>
  </si>
  <si>
    <t>4A0191_T</t>
  </si>
  <si>
    <t>4A0296</t>
  </si>
  <si>
    <t>Kalpita Dalvi</t>
  </si>
  <si>
    <t>K000132</t>
  </si>
  <si>
    <t>79.12 (11.8)</t>
  </si>
  <si>
    <t>4A0296_T</t>
  </si>
  <si>
    <t>4A0242</t>
  </si>
  <si>
    <t>Shaheen Siddiqui</t>
  </si>
  <si>
    <t>S000573</t>
  </si>
  <si>
    <t>110.04 (16.6)</t>
  </si>
  <si>
    <t>4A0242_T</t>
  </si>
  <si>
    <t>3A1283</t>
  </si>
  <si>
    <t>Saba Khan</t>
  </si>
  <si>
    <t>S000504</t>
  </si>
  <si>
    <t>Diabetes,High Risk</t>
  </si>
  <si>
    <t>61.05 (9.2)</t>
  </si>
  <si>
    <t>315b, 315d</t>
  </si>
  <si>
    <t>4A0814</t>
  </si>
  <si>
    <t>Vijay Rajani</t>
  </si>
  <si>
    <t>V000165</t>
  </si>
  <si>
    <t>66.74 (10)</t>
  </si>
  <si>
    <t>4A0814_T_MB_S2, 4A0814_E_MB_S61</t>
  </si>
  <si>
    <t>4A0158</t>
  </si>
  <si>
    <t>Vaishali Albur</t>
  </si>
  <si>
    <t>V000120</t>
  </si>
  <si>
    <t>Survivor</t>
  </si>
  <si>
    <t>Rib cage</t>
  </si>
  <si>
    <t>70.67 (10.6)</t>
  </si>
  <si>
    <t>4A0158_E_S28</t>
  </si>
  <si>
    <t>4A0177</t>
  </si>
  <si>
    <t>Babulal Limbavat</t>
  </si>
  <si>
    <t>B000087</t>
  </si>
  <si>
    <t>68.94 (10.4)</t>
  </si>
  <si>
    <t>4A0177_E_S29</t>
  </si>
  <si>
    <t>4A0178</t>
  </si>
  <si>
    <t>Aadharsh Jaiswal</t>
  </si>
  <si>
    <t>A000328</t>
  </si>
  <si>
    <t>4A0178_E_MB_S1</t>
  </si>
  <si>
    <t>4A0179</t>
  </si>
  <si>
    <t>Shailaja Wagh</t>
  </si>
  <si>
    <t>S000559</t>
  </si>
  <si>
    <t>4A0179_E_MB_S2</t>
  </si>
  <si>
    <t>4A0180</t>
  </si>
  <si>
    <t>Amruta Thuse</t>
  </si>
  <si>
    <t>A000329</t>
  </si>
  <si>
    <t>4A0180_E_MB_S3</t>
  </si>
  <si>
    <t>4A0181</t>
  </si>
  <si>
    <t>Abhay Mate</t>
  </si>
  <si>
    <t>A000330</t>
  </si>
  <si>
    <t>4A0181_E_MB_S4</t>
  </si>
  <si>
    <t>4A0182</t>
  </si>
  <si>
    <t>Vikrant Lonkar</t>
  </si>
  <si>
    <t>V000122</t>
  </si>
  <si>
    <t>4A0182_E_MB_S5</t>
  </si>
  <si>
    <t>4A0198</t>
  </si>
  <si>
    <t>Shobha Adhire</t>
  </si>
  <si>
    <t>S000562</t>
  </si>
  <si>
    <t>4A0198_E_MB_S6</t>
  </si>
  <si>
    <t>4A0199</t>
  </si>
  <si>
    <t>Sharda Satuke</t>
  </si>
  <si>
    <t>S000563</t>
  </si>
  <si>
    <t>4A0199_E_MB_S7</t>
  </si>
  <si>
    <t>4A0202</t>
  </si>
  <si>
    <t>Bharatbai Wakade</t>
  </si>
  <si>
    <t>B000090</t>
  </si>
  <si>
    <t>4A0202_E_MB_S8</t>
  </si>
  <si>
    <t>IL-28</t>
  </si>
  <si>
    <t>4A0209</t>
  </si>
  <si>
    <t>Supriya Dudhade</t>
  </si>
  <si>
    <t>S000565</t>
  </si>
  <si>
    <t>IL-28_T_MB_S14</t>
  </si>
  <si>
    <t>4A0216</t>
  </si>
  <si>
    <t>Vishwas Lad</t>
  </si>
  <si>
    <t>V000123</t>
  </si>
  <si>
    <t>4A0216_E_MB_S10</t>
  </si>
  <si>
    <t>4A0217</t>
  </si>
  <si>
    <t>Vijaya Lad</t>
  </si>
  <si>
    <t>V000124</t>
  </si>
  <si>
    <t>4A0217_E_MB_S11</t>
  </si>
  <si>
    <t>4A0219</t>
  </si>
  <si>
    <t>Prathmesh Nevrekar</t>
  </si>
  <si>
    <t>P000163</t>
  </si>
  <si>
    <t>4A0219_E_MB_S12</t>
  </si>
  <si>
    <t>4A0220</t>
  </si>
  <si>
    <t xml:space="preserve">Prachi Nevrekar </t>
  </si>
  <si>
    <t>P000164</t>
  </si>
  <si>
    <t>4A0220_E_MB_S13</t>
  </si>
  <si>
    <t>4A0221</t>
  </si>
  <si>
    <t>Vinit Desai</t>
  </si>
  <si>
    <t>V000125</t>
  </si>
  <si>
    <t>4A0221_E_MB_S14</t>
  </si>
  <si>
    <t>4A0222</t>
  </si>
  <si>
    <t>Sunil Utturkar</t>
  </si>
  <si>
    <t>male</t>
  </si>
  <si>
    <t>S000567</t>
  </si>
  <si>
    <t>4A0222_E_MB_S15</t>
  </si>
  <si>
    <t>4A0224</t>
  </si>
  <si>
    <t>Amit Chavan</t>
  </si>
  <si>
    <t>A000332</t>
  </si>
  <si>
    <t>4A0224_E_MB_S16</t>
  </si>
  <si>
    <t>4A0226</t>
  </si>
  <si>
    <t>Sagar Ayare</t>
  </si>
  <si>
    <t>S000569</t>
  </si>
  <si>
    <t>4A0226_E_MB_S17</t>
  </si>
  <si>
    <t>4A0229</t>
  </si>
  <si>
    <t>Prajakta Mhanayare</t>
  </si>
  <si>
    <t>P000165</t>
  </si>
  <si>
    <t>4A0229_E_MB_S18</t>
  </si>
  <si>
    <t>4A0231</t>
  </si>
  <si>
    <t>Suchita Sawant</t>
  </si>
  <si>
    <t>S000570</t>
  </si>
  <si>
    <t>4A0231_E_MB_S19</t>
  </si>
  <si>
    <t>4A0232</t>
  </si>
  <si>
    <t>Supriya Pednekar</t>
  </si>
  <si>
    <t>S000571</t>
  </si>
  <si>
    <t>4A0232_E_MB_S20</t>
  </si>
  <si>
    <t>4A0236</t>
  </si>
  <si>
    <t>Latika Kadam</t>
  </si>
  <si>
    <t>L000045</t>
  </si>
  <si>
    <t>4A0236_E_MB_S21</t>
  </si>
  <si>
    <t>4A0238</t>
  </si>
  <si>
    <t>Nitin Nagarkar</t>
  </si>
  <si>
    <t>N000122</t>
  </si>
  <si>
    <t>4A0238_E_MB_S22</t>
  </si>
  <si>
    <t>4A0239</t>
  </si>
  <si>
    <t>Avanti Satam</t>
  </si>
  <si>
    <t>A000335</t>
  </si>
  <si>
    <t>4A0239_E_MB_S23</t>
  </si>
  <si>
    <t>IL_18_S73</t>
  </si>
  <si>
    <t>4A0251</t>
  </si>
  <si>
    <t>Kiran Banda</t>
  </si>
  <si>
    <t>K000129</t>
  </si>
  <si>
    <t>IL_108_T_S73</t>
  </si>
  <si>
    <t>4A0252</t>
  </si>
  <si>
    <t>Seema Gunjal</t>
  </si>
  <si>
    <t>S000575</t>
  </si>
  <si>
    <t>4A0252_E_MB_S25</t>
  </si>
  <si>
    <t>IL_19_S74</t>
  </si>
  <si>
    <t>4A0253</t>
  </si>
  <si>
    <t>Soham Sawant</t>
  </si>
  <si>
    <t>S000576</t>
  </si>
  <si>
    <t>IL_109_T_S74</t>
  </si>
  <si>
    <t>IL_11_S75</t>
  </si>
  <si>
    <t>4A0254</t>
  </si>
  <si>
    <t>Vedant Gunjal</t>
  </si>
  <si>
    <t>V000126</t>
  </si>
  <si>
    <t>IL_110_T_S75</t>
  </si>
  <si>
    <t>4A0255</t>
  </si>
  <si>
    <t>Manshi Sawant</t>
  </si>
  <si>
    <t>M000200</t>
  </si>
  <si>
    <t>4A0255_E_MB_S17</t>
  </si>
  <si>
    <t>4A0256</t>
  </si>
  <si>
    <t>Shobha Bamhane</t>
  </si>
  <si>
    <t>S000577</t>
  </si>
  <si>
    <t>4A0256_E_MB_S18</t>
  </si>
  <si>
    <t>4A0257</t>
  </si>
  <si>
    <t>Manoj Patil</t>
  </si>
  <si>
    <t>M000201</t>
  </si>
  <si>
    <t>4A0257_E_MB_S19</t>
  </si>
  <si>
    <t>4A0304</t>
  </si>
  <si>
    <t>Chandrajeet Yadav</t>
  </si>
  <si>
    <t>C000045</t>
  </si>
  <si>
    <t>80.09 (12)</t>
  </si>
  <si>
    <t>4A0304_E_MB_S24</t>
  </si>
  <si>
    <t>4A0306</t>
  </si>
  <si>
    <t>Pooja Yadav</t>
  </si>
  <si>
    <t>P000171</t>
  </si>
  <si>
    <t>71.61 (10.8)</t>
  </si>
  <si>
    <t>4A0306_E_MB_S25</t>
  </si>
  <si>
    <t>4A0307</t>
  </si>
  <si>
    <t>Prabhu Devi Yadav</t>
  </si>
  <si>
    <t>P000172</t>
  </si>
  <si>
    <t>73.42 (11)</t>
  </si>
  <si>
    <t>4A0307_E_MB_S26</t>
  </si>
  <si>
    <t>4A0308</t>
  </si>
  <si>
    <t>Kanhai Ram Yadav</t>
  </si>
  <si>
    <t>K000133</t>
  </si>
  <si>
    <t>71.77 (10.8)</t>
  </si>
  <si>
    <t>4A0308_E_MB_S27</t>
  </si>
  <si>
    <t>IL-94</t>
  </si>
  <si>
    <t>4A0311</t>
  </si>
  <si>
    <t>Siddhi Pardale</t>
  </si>
  <si>
    <t>S000587</t>
  </si>
  <si>
    <t>58.07 (8.6)</t>
  </si>
  <si>
    <t>IL-94_T_MB_S5</t>
  </si>
  <si>
    <t>4A0312</t>
  </si>
  <si>
    <t>Sanika Rajde</t>
  </si>
  <si>
    <t>S000588</t>
  </si>
  <si>
    <t>65.79 (9.8)</t>
  </si>
  <si>
    <t>4A0312_E_MB_S29</t>
  </si>
  <si>
    <t>4A0313</t>
  </si>
  <si>
    <t>Anjali Nair</t>
  </si>
  <si>
    <t>A000342</t>
  </si>
  <si>
    <t>66.39 (10)</t>
  </si>
  <si>
    <t>4A0313_E_MB_S30</t>
  </si>
  <si>
    <t>4A0315</t>
  </si>
  <si>
    <t xml:space="preserve">Rahul Yadav </t>
  </si>
  <si>
    <t>R000251</t>
  </si>
  <si>
    <t>73.17 (11)</t>
  </si>
  <si>
    <t>4A0315_E_MB_S32</t>
  </si>
  <si>
    <t>4A0319</t>
  </si>
  <si>
    <t>Salooni Khanvilkar</t>
  </si>
  <si>
    <t>S000589</t>
  </si>
  <si>
    <t>4A0319_E_MB_S27</t>
  </si>
  <si>
    <t>4A0320</t>
  </si>
  <si>
    <t>Vinita Datar</t>
  </si>
  <si>
    <t>V000130</t>
  </si>
  <si>
    <t>4A0320_E_MB_S28</t>
  </si>
  <si>
    <t>4A0321</t>
  </si>
  <si>
    <t>Nirzar Wadke</t>
  </si>
  <si>
    <t>N000125</t>
  </si>
  <si>
    <t>4A0321_E_MB_S29</t>
  </si>
  <si>
    <t>4A0322</t>
  </si>
  <si>
    <t>Priya Wadke</t>
  </si>
  <si>
    <t>P000173</t>
  </si>
  <si>
    <t>4A0322_E_MB_S30</t>
  </si>
  <si>
    <t>4A0323</t>
  </si>
  <si>
    <t>Chanda Wadke</t>
  </si>
  <si>
    <t>C000046</t>
  </si>
  <si>
    <t>4A0323_E_MB_S31</t>
  </si>
  <si>
    <t>4A0324</t>
  </si>
  <si>
    <t>Mandar Datar</t>
  </si>
  <si>
    <t>M000203</t>
  </si>
  <si>
    <t>4A0324_E_MB_S32</t>
  </si>
  <si>
    <t>4A0325</t>
  </si>
  <si>
    <t>Rohit Hate</t>
  </si>
  <si>
    <t>R000252</t>
  </si>
  <si>
    <t>4A0325_E_MB_S33</t>
  </si>
  <si>
    <t>4A0326</t>
  </si>
  <si>
    <t>Rakesh Hate</t>
  </si>
  <si>
    <t>R000253</t>
  </si>
  <si>
    <t>4A0326_E_MB_S34</t>
  </si>
  <si>
    <t>4A0327</t>
  </si>
  <si>
    <t>Bhagyashri Hate</t>
  </si>
  <si>
    <t>B000091</t>
  </si>
  <si>
    <t>4A0327_E_MB_S35</t>
  </si>
  <si>
    <t>4A0334</t>
  </si>
  <si>
    <t>Shivam Jadhav</t>
  </si>
  <si>
    <t>S000590</t>
  </si>
  <si>
    <t>4A0334_E_MB_S37</t>
  </si>
  <si>
    <t>4A0336</t>
  </si>
  <si>
    <t>Ranjana Salunkhe</t>
  </si>
  <si>
    <t>R000254</t>
  </si>
  <si>
    <t>4A0336_E_MB_S38</t>
  </si>
  <si>
    <t>4A0342</t>
  </si>
  <si>
    <t>Ujjawala Jadhav</t>
  </si>
  <si>
    <t>U000031</t>
  </si>
  <si>
    <t>4A0342_E_MB_S39</t>
  </si>
  <si>
    <t>4A0351</t>
  </si>
  <si>
    <t>Poonam Deshmukh</t>
  </si>
  <si>
    <t>P000174</t>
  </si>
  <si>
    <t>4A0351_E_MB_S40</t>
  </si>
  <si>
    <t>4A0354</t>
  </si>
  <si>
    <t>Chandrashekhar Mhamunkar</t>
  </si>
  <si>
    <t>C000047</t>
  </si>
  <si>
    <t>4A0354_E_MB_S41</t>
  </si>
  <si>
    <t>4A0355</t>
  </si>
  <si>
    <t>Datta Pabrekar</t>
  </si>
  <si>
    <t>D000123</t>
  </si>
  <si>
    <t>4A0355_E_MB_S42</t>
  </si>
  <si>
    <t>4A0359</t>
  </si>
  <si>
    <t>Pooja Goud</t>
  </si>
  <si>
    <t>P000069</t>
  </si>
  <si>
    <t>4A0359_E_MB_S43</t>
  </si>
  <si>
    <t>4A0362</t>
  </si>
  <si>
    <t>Pallavi Bamble</t>
  </si>
  <si>
    <t>P000175</t>
  </si>
  <si>
    <t>4A0362_E_MB_S44</t>
  </si>
  <si>
    <t>4A0363</t>
  </si>
  <si>
    <t>Sunita Sonavane</t>
  </si>
  <si>
    <t>S000593</t>
  </si>
  <si>
    <t>4A0363_E_MB_S45</t>
  </si>
  <si>
    <t>4A0364</t>
  </si>
  <si>
    <t>Nilam Kachare</t>
  </si>
  <si>
    <t>N000127</t>
  </si>
  <si>
    <t>4A0364_E_MB_S46</t>
  </si>
  <si>
    <t>4A0365</t>
  </si>
  <si>
    <t>Vijaya Fulari</t>
  </si>
  <si>
    <t>V000133</t>
  </si>
  <si>
    <t>4A0365_E_MB_S47</t>
  </si>
  <si>
    <t>4A0371</t>
  </si>
  <si>
    <t>Rinku Nannaware</t>
  </si>
  <si>
    <t>R000257</t>
  </si>
  <si>
    <t>4A0371_E_MB_S48</t>
  </si>
  <si>
    <t>4A0385</t>
  </si>
  <si>
    <t>Jayshree Nemade</t>
  </si>
  <si>
    <t>J000098</t>
  </si>
  <si>
    <t>4A0385_E_MB_S49</t>
  </si>
  <si>
    <t>4A0388</t>
  </si>
  <si>
    <t>Nilakshi Nehete</t>
  </si>
  <si>
    <t>N000128</t>
  </si>
  <si>
    <t>70.75 (10.6)</t>
  </si>
  <si>
    <t>4A0388_E_S31</t>
  </si>
  <si>
    <t>4A0391</t>
  </si>
  <si>
    <t>Jyoti Pawar</t>
  </si>
  <si>
    <t>J000099</t>
  </si>
  <si>
    <t>4A0391_E_MB_S50</t>
  </si>
  <si>
    <t>4A0392</t>
  </si>
  <si>
    <t>Manisha Patil</t>
  </si>
  <si>
    <t>M000083</t>
  </si>
  <si>
    <t>4A0392_E_MB_S51</t>
  </si>
  <si>
    <t>4A0393</t>
  </si>
  <si>
    <t>Dilip Sapkal</t>
  </si>
  <si>
    <t>D000125</t>
  </si>
  <si>
    <t>4A0393_E_MB_S52</t>
  </si>
  <si>
    <t>4A0400</t>
  </si>
  <si>
    <t>Reema Malhotra</t>
  </si>
  <si>
    <t>R000260</t>
  </si>
  <si>
    <t>4A0400_E_MB_S53</t>
  </si>
  <si>
    <t>4A0402</t>
  </si>
  <si>
    <t>Venkataraman Srinivasan</t>
  </si>
  <si>
    <t>V000136</t>
  </si>
  <si>
    <t>4A0402_E_MB_S54</t>
  </si>
  <si>
    <t>4A0403</t>
  </si>
  <si>
    <t>Tara Katkade</t>
  </si>
  <si>
    <t>T000059</t>
  </si>
  <si>
    <t>4A0403_E_MB_S55</t>
  </si>
  <si>
    <t>4A0404</t>
  </si>
  <si>
    <t>Dashrath Katkade</t>
  </si>
  <si>
    <t>D000126</t>
  </si>
  <si>
    <t>4A0404_E_MB_S56</t>
  </si>
  <si>
    <t>4A0410</t>
  </si>
  <si>
    <t>Shruti Diwale</t>
  </si>
  <si>
    <t>S000112</t>
  </si>
  <si>
    <t>4A0410_E_MB_S57</t>
  </si>
  <si>
    <t>IL_114_S18</t>
  </si>
  <si>
    <t>4A0411</t>
  </si>
  <si>
    <t>Prithvi Kotian</t>
  </si>
  <si>
    <t>P000177</t>
  </si>
  <si>
    <t>IL_114_T_S18</t>
  </si>
  <si>
    <t>4A0419</t>
  </si>
  <si>
    <t>Deepa Joshi</t>
  </si>
  <si>
    <t>D000001</t>
  </si>
  <si>
    <t>4A0419_E_MB_S59</t>
  </si>
  <si>
    <t>4A0610</t>
  </si>
  <si>
    <t>Poorva Dawal</t>
  </si>
  <si>
    <t>P000191</t>
  </si>
  <si>
    <t>4A0610_E_MB_S20</t>
  </si>
  <si>
    <t>4A0611</t>
  </si>
  <si>
    <t>Amish Tripathi</t>
  </si>
  <si>
    <t>A000028</t>
  </si>
  <si>
    <t>4A0611_E_MB_S21</t>
  </si>
  <si>
    <t>4A0612</t>
  </si>
  <si>
    <t>Pragya Phutela</t>
  </si>
  <si>
    <t>P000192</t>
  </si>
  <si>
    <t>4A0612_E_MB_S22</t>
  </si>
  <si>
    <t>4A0613</t>
  </si>
  <si>
    <t>Shalaka Jadhav</t>
  </si>
  <si>
    <t>S000634</t>
  </si>
  <si>
    <t>4A0613_E_MB_S23</t>
  </si>
  <si>
    <t>4A0615</t>
  </si>
  <si>
    <t>Khushnuma Kapadia</t>
  </si>
  <si>
    <t>K000145</t>
  </si>
  <si>
    <t>4A0615_E_MB_S24</t>
  </si>
  <si>
    <t>4A0627</t>
  </si>
  <si>
    <t xml:space="preserve">Sunil Pandey </t>
  </si>
  <si>
    <t>S000014</t>
  </si>
  <si>
    <t>4A0627_E_MB_S25</t>
  </si>
  <si>
    <t>4A0628</t>
  </si>
  <si>
    <t xml:space="preserve">Sujata Wadekar </t>
  </si>
  <si>
    <t>S000640</t>
  </si>
  <si>
    <t>4A0628_E_MB_S26</t>
  </si>
  <si>
    <t>4A0646</t>
  </si>
  <si>
    <t>Sugandha Sondhkar</t>
  </si>
  <si>
    <t>S000644</t>
  </si>
  <si>
    <t>4A0646_E_MB_S27</t>
  </si>
  <si>
    <t>IL-36</t>
  </si>
  <si>
    <t>4A0647</t>
  </si>
  <si>
    <t>Manisha Sonawane</t>
  </si>
  <si>
    <t>M000221</t>
  </si>
  <si>
    <t>IL-36_T_MB_S22</t>
  </si>
  <si>
    <t>4A0648</t>
  </si>
  <si>
    <t>Rama Arkade</t>
  </si>
  <si>
    <t>R000281</t>
  </si>
  <si>
    <t>4A0648_E_MB_S29</t>
  </si>
  <si>
    <t>4A0649</t>
  </si>
  <si>
    <t>Jayashree Honmane</t>
  </si>
  <si>
    <t>J000102</t>
  </si>
  <si>
    <t>4A0649_E_MB_S30</t>
  </si>
  <si>
    <t>4A0650</t>
  </si>
  <si>
    <t>Aruna Bharkale</t>
  </si>
  <si>
    <t>A000385</t>
  </si>
  <si>
    <t>4A0650_E_MB_S31</t>
  </si>
  <si>
    <t>4A0651</t>
  </si>
  <si>
    <t>Ravindra Dalvi</t>
  </si>
  <si>
    <t>R000282</t>
  </si>
  <si>
    <t>4A0651_E_MB_S32</t>
  </si>
  <si>
    <t>4A0653</t>
  </si>
  <si>
    <t>Neeta Dalvi</t>
  </si>
  <si>
    <t>N000138</t>
  </si>
  <si>
    <t>4A0653_E_MB_S33</t>
  </si>
  <si>
    <t>4A1033</t>
  </si>
  <si>
    <t>Shurfan Khan</t>
  </si>
  <si>
    <t>S000708</t>
  </si>
  <si>
    <t>4A1033_T_MB_S19</t>
  </si>
  <si>
    <t>4A1044</t>
  </si>
  <si>
    <t>Neha Vohra</t>
  </si>
  <si>
    <t>N000063</t>
  </si>
  <si>
    <t>4A1044_T_MB_S4</t>
  </si>
  <si>
    <t>30/01/2024</t>
  </si>
  <si>
    <t>2A1135</t>
  </si>
  <si>
    <t>4A1056</t>
  </si>
  <si>
    <t>Rhea Bhumgara</t>
  </si>
  <si>
    <t>R000311</t>
  </si>
  <si>
    <t>4A1056_T_MB_S20</t>
  </si>
  <si>
    <t>4A1064</t>
  </si>
  <si>
    <t>Amal Rais</t>
  </si>
  <si>
    <t>A000421</t>
  </si>
  <si>
    <t>Thyroid Disease</t>
  </si>
  <si>
    <t>4A1064_T_MB_S21</t>
  </si>
  <si>
    <t>4A1074</t>
  </si>
  <si>
    <t>Binod Khemka</t>
  </si>
  <si>
    <t>B000116</t>
  </si>
  <si>
    <t>4A1074_T_MB_S22</t>
  </si>
  <si>
    <t>4A1075</t>
  </si>
  <si>
    <t>Sumiti Mondal</t>
  </si>
  <si>
    <t>S000716</t>
  </si>
  <si>
    <t>4A1075_T_MB_S23</t>
  </si>
  <si>
    <t>4A1152</t>
  </si>
  <si>
    <t>Sarvesh Parab</t>
  </si>
  <si>
    <t>S000432</t>
  </si>
  <si>
    <t>4A1152_E_MB_S64</t>
  </si>
  <si>
    <t>4A1154</t>
  </si>
  <si>
    <t>Rahul Yadav</t>
  </si>
  <si>
    <t>R000171</t>
  </si>
  <si>
    <t>4A1154_E_MB_S66</t>
  </si>
  <si>
    <t>4A1227</t>
  </si>
  <si>
    <t>Devanshi Soni</t>
  </si>
  <si>
    <t>D000037</t>
  </si>
  <si>
    <t>4A1227_T_MB_S32</t>
  </si>
  <si>
    <t>4A1234</t>
  </si>
  <si>
    <t>Anand H</t>
  </si>
  <si>
    <t>A000444</t>
  </si>
  <si>
    <t>4A1234_E_MB_S68</t>
  </si>
  <si>
    <t>4A1338</t>
  </si>
  <si>
    <t>Sangita More</t>
  </si>
  <si>
    <t>S000755</t>
  </si>
  <si>
    <t>CTN/COT?</t>
  </si>
  <si>
    <t>On ayurvedic treatment, Non keratinizing squamous cell carcinoma</t>
  </si>
  <si>
    <t>Mother CA uterus</t>
  </si>
  <si>
    <t>4A1338_E_MB_S69</t>
  </si>
  <si>
    <t>4A1339</t>
  </si>
  <si>
    <t>Shantanu Nagarkatti</t>
  </si>
  <si>
    <t>S000756</t>
  </si>
  <si>
    <t>4A1339_T_MB_S15</t>
  </si>
  <si>
    <t>4A1393</t>
  </si>
  <si>
    <t>Xerxes Aga</t>
  </si>
  <si>
    <t>X000001</t>
  </si>
  <si>
    <t>Female Reproductive Organ (Uterine Cervix), Auto- Immune Thyroid Disease</t>
  </si>
  <si>
    <t>Hyperuricemia, Hypercalcimia, Insomnia, Weight loss</t>
  </si>
  <si>
    <t>4A1393_T_MB_S17</t>
  </si>
  <si>
    <t>4A1412</t>
  </si>
  <si>
    <t>Matha Vanisri</t>
  </si>
  <si>
    <t>M000287</t>
  </si>
  <si>
    <t>70.86 (10.6)</t>
  </si>
  <si>
    <t>4A1412_E_MB_S18</t>
  </si>
  <si>
    <t>4A1413</t>
  </si>
  <si>
    <t>Matha Vijaya Sekhar</t>
  </si>
  <si>
    <t>M000288</t>
  </si>
  <si>
    <t>71.56 (10.8)</t>
  </si>
  <si>
    <t>4A1413_E_MB_S19</t>
  </si>
  <si>
    <t>4A1433</t>
  </si>
  <si>
    <t>Shantanu Jain</t>
  </si>
  <si>
    <t>S000046</t>
  </si>
  <si>
    <t>Kidney and Urinary Tract (Renal)</t>
  </si>
  <si>
    <t>4A1433_T_MB_S9</t>
  </si>
  <si>
    <t>4A1434</t>
  </si>
  <si>
    <t>Baddam Hanmanth Reddy</t>
  </si>
  <si>
    <t>B000138</t>
  </si>
  <si>
    <t>66.41 (10)</t>
  </si>
  <si>
    <t>4A1434_E_MB_S20</t>
  </si>
  <si>
    <t>4A1439</t>
  </si>
  <si>
    <t>Mallika Valluru</t>
  </si>
  <si>
    <t>M000289</t>
  </si>
  <si>
    <t>4A1439_E_MB_S72</t>
  </si>
  <si>
    <t>4A1440</t>
  </si>
  <si>
    <t>Krishna Rao M</t>
  </si>
  <si>
    <t>K000195</t>
  </si>
  <si>
    <t>4A1440_E_MB_S73</t>
  </si>
  <si>
    <t>4A1441</t>
  </si>
  <si>
    <t>R P Rao</t>
  </si>
  <si>
    <t>R000338</t>
  </si>
  <si>
    <t>4A1441_E_MB_S74</t>
  </si>
  <si>
    <t>4A1443</t>
  </si>
  <si>
    <t>Veldhanda Gopal Rao</t>
  </si>
  <si>
    <t>V000195</t>
  </si>
  <si>
    <t>4A1443_E_MB_S75</t>
  </si>
  <si>
    <t>4A1444</t>
  </si>
  <si>
    <t>Jagdish Singh Joravanshi</t>
  </si>
  <si>
    <t>J000123</t>
  </si>
  <si>
    <t>4A1444_T_MB_S10</t>
  </si>
  <si>
    <t>4A1446</t>
  </si>
  <si>
    <t>Suresh Shah</t>
  </si>
  <si>
    <t>S000772</t>
  </si>
  <si>
    <t>Heart Disease</t>
  </si>
  <si>
    <t>4A1446_T_MB_S8</t>
  </si>
  <si>
    <t>4A1451</t>
  </si>
  <si>
    <t>Gulam Petkar</t>
  </si>
  <si>
    <t>G000111</t>
  </si>
  <si>
    <t>4A1451_T_MB_S11</t>
  </si>
  <si>
    <t>4A1452</t>
  </si>
  <si>
    <t>Sonali Gidwani</t>
  </si>
  <si>
    <t>4A1452_T_MB_S7</t>
  </si>
  <si>
    <t>4A1453</t>
  </si>
  <si>
    <t>Bhavna Shah</t>
  </si>
  <si>
    <t>B000139</t>
  </si>
  <si>
    <t>4A1453_T_MB_S8</t>
  </si>
  <si>
    <t>4A1533</t>
  </si>
  <si>
    <t>Seema Kejriwal Jariwala</t>
  </si>
  <si>
    <t>TZIN04816</t>
  </si>
  <si>
    <t>TSC2 germline mutation</t>
  </si>
  <si>
    <t>Skin pigmentation</t>
  </si>
  <si>
    <t>68.4 (10.2)</t>
  </si>
  <si>
    <t>4A1533_T_MB_S13</t>
  </si>
  <si>
    <t>4A1598</t>
  </si>
  <si>
    <t>Mohit Chuganee</t>
  </si>
  <si>
    <t>TZIN04864</t>
  </si>
  <si>
    <t>recurrenec</t>
  </si>
  <si>
    <t>GI (Gastrointestinal cancer)</t>
  </si>
  <si>
    <t>4A1598_T_MB_S20</t>
  </si>
  <si>
    <t>2A0008</t>
  </si>
  <si>
    <t>Khairunnisa Khan</t>
  </si>
  <si>
    <t>K000029</t>
  </si>
  <si>
    <t>2A0008_E_MB_S12</t>
  </si>
  <si>
    <t>2A0010</t>
  </si>
  <si>
    <t xml:space="preserve">Kale Vamanrao </t>
  </si>
  <si>
    <t>V000022</t>
  </si>
  <si>
    <t>GI (Rectum, Mucinous Adenocarcinoma)</t>
  </si>
  <si>
    <t>2A0010_E_MB_S13</t>
  </si>
  <si>
    <t>2A0021</t>
  </si>
  <si>
    <t xml:space="preserve">Dinesh Hanmul </t>
  </si>
  <si>
    <t>D000028</t>
  </si>
  <si>
    <t>2A0021_E_MB_S14</t>
  </si>
  <si>
    <t>2A0070</t>
  </si>
  <si>
    <t>Kalpana Dhanvate</t>
  </si>
  <si>
    <t>K000032</t>
  </si>
  <si>
    <t>GI (Anorectum, Squamous Cell Carcinoma)</t>
  </si>
  <si>
    <t>2A0070_E_MB_S15</t>
  </si>
  <si>
    <t>3A1340</t>
  </si>
  <si>
    <t xml:space="preserve">Shaikh Hakim </t>
  </si>
  <si>
    <t>S000517</t>
  </si>
  <si>
    <t>Lung (Squamous Cell Carcioma) (Non Small Cell Carcinoma/ Squamous Cell Carcioma)</t>
  </si>
  <si>
    <t>75.59 (11.4)</t>
  </si>
  <si>
    <t>00211_S20</t>
  </si>
  <si>
    <t>4A0002</t>
  </si>
  <si>
    <t>Magar Ramesh</t>
  </si>
  <si>
    <t>M000182</t>
  </si>
  <si>
    <t>4A0002_T_MB_S1</t>
  </si>
  <si>
    <t>4A0005</t>
  </si>
  <si>
    <t>Saraswati Phalke</t>
  </si>
  <si>
    <t>S000521</t>
  </si>
  <si>
    <t>GI</t>
  </si>
  <si>
    <t>4A0005_T_MB_S38</t>
  </si>
  <si>
    <t>4A0006</t>
  </si>
  <si>
    <t>Aarchana Bikkad</t>
  </si>
  <si>
    <t>A000309</t>
  </si>
  <si>
    <t>Head &amp; Neck (Nasopharynx)</t>
  </si>
  <si>
    <t>4A0006_T_MB_S39</t>
  </si>
  <si>
    <t>4A0008</t>
  </si>
  <si>
    <t>Kule Kantaram</t>
  </si>
  <si>
    <t>K000116</t>
  </si>
  <si>
    <t>4A0008_T_MB_S40</t>
  </si>
  <si>
    <t>4A0009</t>
  </si>
  <si>
    <t>Shaikh Shehnabji</t>
  </si>
  <si>
    <t>S000522</t>
  </si>
  <si>
    <t>4A0009_T_MB_S41</t>
  </si>
  <si>
    <t>3A1351</t>
  </si>
  <si>
    <t xml:space="preserve">Ravi Poddar  </t>
  </si>
  <si>
    <t>R000223</t>
  </si>
  <si>
    <t>71.52 (10.6)</t>
  </si>
  <si>
    <t>362b, 362d</t>
  </si>
  <si>
    <t>2A0668</t>
  </si>
  <si>
    <t>Abhishek Gupta</t>
  </si>
  <si>
    <t>A000116</t>
  </si>
  <si>
    <t>Father - Prostate Cancer</t>
  </si>
  <si>
    <t>155d</t>
  </si>
  <si>
    <t>IL-1</t>
  </si>
  <si>
    <t>3A0633</t>
  </si>
  <si>
    <t>Amit Kakade</t>
  </si>
  <si>
    <t>A000221</t>
  </si>
  <si>
    <t>IL-1_T_MB_S33</t>
  </si>
  <si>
    <t>IL-2</t>
  </si>
  <si>
    <t>3A0635</t>
  </si>
  <si>
    <t>Sahil Bodkhe</t>
  </si>
  <si>
    <t>S000392</t>
  </si>
  <si>
    <t>IL-2_T_MB_S34</t>
  </si>
  <si>
    <t>IL-79</t>
  </si>
  <si>
    <t>3A0636</t>
  </si>
  <si>
    <t>Mandar Soni</t>
  </si>
  <si>
    <t>M000139</t>
  </si>
  <si>
    <t>IL-79_T_MB_S35</t>
  </si>
  <si>
    <t>IL-80</t>
  </si>
  <si>
    <t>3A0637</t>
  </si>
  <si>
    <t>Yash Uttarkar</t>
  </si>
  <si>
    <t>Y000015</t>
  </si>
  <si>
    <t>IL-80_T_MB_S36</t>
  </si>
  <si>
    <t>IL-81</t>
  </si>
  <si>
    <t>3A0638</t>
  </si>
  <si>
    <t>Suresh Murugan</t>
  </si>
  <si>
    <t>S000393</t>
  </si>
  <si>
    <t>IL-81_T_MB_S37</t>
  </si>
  <si>
    <t>IL-82</t>
  </si>
  <si>
    <t>3A0639</t>
  </si>
  <si>
    <t>Shaurya Dev</t>
  </si>
  <si>
    <t>S000394</t>
  </si>
  <si>
    <t>IL-82_T_MB_S38</t>
  </si>
  <si>
    <t>IL-83</t>
  </si>
  <si>
    <t>3A0643</t>
  </si>
  <si>
    <t>Ketan Thakker</t>
  </si>
  <si>
    <t>K000028</t>
  </si>
  <si>
    <t>IL-83_T_MB_S39</t>
  </si>
  <si>
    <t>IL-5</t>
  </si>
  <si>
    <t>3A0659</t>
  </si>
  <si>
    <t>Sushil Saha</t>
  </si>
  <si>
    <t>S000399</t>
  </si>
  <si>
    <t>IL-5_T_MB_S23</t>
  </si>
  <si>
    <t>IL-6</t>
  </si>
  <si>
    <t>3A0660</t>
  </si>
  <si>
    <t>Ganesh Mehtre</t>
  </si>
  <si>
    <t>G000051</t>
  </si>
  <si>
    <t>IL-6_T_MB_S24</t>
  </si>
  <si>
    <t>IL-74</t>
  </si>
  <si>
    <t>3A0662</t>
  </si>
  <si>
    <t>Dr. Ajay Shinde</t>
  </si>
  <si>
    <t>A000225</t>
  </si>
  <si>
    <t>IL-74_T_MB_S26</t>
  </si>
  <si>
    <t>IL-73</t>
  </si>
  <si>
    <t>3A0661</t>
  </si>
  <si>
    <t>Sohel Shaikh</t>
  </si>
  <si>
    <t>S000400</t>
  </si>
  <si>
    <t>IL-73_T_MB_S25</t>
  </si>
  <si>
    <t>IL-75</t>
  </si>
  <si>
    <t>3A0665</t>
  </si>
  <si>
    <t>Vijay Shinde</t>
  </si>
  <si>
    <t>V000085</t>
  </si>
  <si>
    <t>IL-75_T_MB_S27</t>
  </si>
  <si>
    <t>IL-76</t>
  </si>
  <si>
    <t>3A0666</t>
  </si>
  <si>
    <t>Sanil Akerkar</t>
  </si>
  <si>
    <t>S000401</t>
  </si>
  <si>
    <t>IL-76_T_MB_S28</t>
  </si>
  <si>
    <t>IL-77</t>
  </si>
  <si>
    <t>3A0669</t>
  </si>
  <si>
    <t>Sahil Thorat</t>
  </si>
  <si>
    <t>S000402</t>
  </si>
  <si>
    <t>IL-77_T_MB_S29</t>
  </si>
  <si>
    <t>IL-78</t>
  </si>
  <si>
    <t>3A0674</t>
  </si>
  <si>
    <t>Rupesh Salunkhe</t>
  </si>
  <si>
    <t>R000007</t>
  </si>
  <si>
    <t>IL-78_T_MB_S30</t>
  </si>
  <si>
    <t>IL_14</t>
  </si>
  <si>
    <t>3A0684</t>
  </si>
  <si>
    <t>Shrija Nathan</t>
  </si>
  <si>
    <t>S000306</t>
  </si>
  <si>
    <t>IL14_2_T</t>
  </si>
  <si>
    <t>IL_15</t>
  </si>
  <si>
    <t>3A0685</t>
  </si>
  <si>
    <t>Priyanka Shetye</t>
  </si>
  <si>
    <t>P000022</t>
  </si>
  <si>
    <t>IL15_2_T</t>
  </si>
  <si>
    <t>3A0713</t>
  </si>
  <si>
    <t>Santosh Kamble</t>
  </si>
  <si>
    <t>S000003</t>
  </si>
  <si>
    <t>64.65 (9.6)</t>
  </si>
  <si>
    <t>3A0713_E_MB_S1</t>
  </si>
  <si>
    <t>3A0705</t>
  </si>
  <si>
    <t>Shahnawaz Shaikh</t>
  </si>
  <si>
    <t>S000052</t>
  </si>
  <si>
    <t>78.1 (11.6)</t>
  </si>
  <si>
    <t>3A0705_E_MB_S2</t>
  </si>
  <si>
    <t>3A0706</t>
  </si>
  <si>
    <t>Nitin Kangane</t>
  </si>
  <si>
    <t>N000094</t>
  </si>
  <si>
    <t>76.35 (11.4)</t>
  </si>
  <si>
    <t>3A0706_E_MB_S3</t>
  </si>
  <si>
    <t>IL17</t>
  </si>
  <si>
    <t>3A0691</t>
  </si>
  <si>
    <t>Shraddha Avchite</t>
  </si>
  <si>
    <t>S000205</t>
  </si>
  <si>
    <t>IL_17_T_S2</t>
  </si>
  <si>
    <t>3A0707</t>
  </si>
  <si>
    <t>Pradeep Mourya</t>
  </si>
  <si>
    <t>P000071</t>
  </si>
  <si>
    <t>58.28 (8.6)</t>
  </si>
  <si>
    <t>3A0707_E_MB_S4</t>
  </si>
  <si>
    <t>3A0708</t>
  </si>
  <si>
    <t>Kunal Vora</t>
  </si>
  <si>
    <t>K000091</t>
  </si>
  <si>
    <t>67.69 (10.2)</t>
  </si>
  <si>
    <t>3A0708_E_MB_S5</t>
  </si>
  <si>
    <t>3A0714</t>
  </si>
  <si>
    <t>Aman Lonare</t>
  </si>
  <si>
    <t>A000036</t>
  </si>
  <si>
    <t>56.54 (8.4)</t>
  </si>
  <si>
    <t>3A0714_E_MB_S6</t>
  </si>
  <si>
    <t>3A0716</t>
  </si>
  <si>
    <t>Raj Tambe </t>
  </si>
  <si>
    <t>R000001</t>
  </si>
  <si>
    <t>3A0716_E_MB_S7</t>
  </si>
  <si>
    <t>3A0717</t>
  </si>
  <si>
    <t>Ankit Bhat</t>
  </si>
  <si>
    <t>A000016</t>
  </si>
  <si>
    <t>68.76 (10.2)</t>
  </si>
  <si>
    <t>3A0717_E_MB_S8</t>
  </si>
  <si>
    <t>3A0715</t>
  </si>
  <si>
    <t>Gavin Shah</t>
  </si>
  <si>
    <t>G000053</t>
  </si>
  <si>
    <t>57.89 (8.6)</t>
  </si>
  <si>
    <t>3A0715_E_MB_S9</t>
  </si>
  <si>
    <t>3A0718</t>
  </si>
  <si>
    <t>Dhananjay Gupta</t>
  </si>
  <si>
    <t>D000080</t>
  </si>
  <si>
    <t>74.5 (11.2)</t>
  </si>
  <si>
    <t>3A0718_E_MB_S10</t>
  </si>
  <si>
    <t>IL-84</t>
  </si>
  <si>
    <t>3A0722</t>
  </si>
  <si>
    <t>Somay Thakkar</t>
  </si>
  <si>
    <t>S000410</t>
  </si>
  <si>
    <t>IL-84_T_MB_S40</t>
  </si>
  <si>
    <t>3A0851</t>
  </si>
  <si>
    <t>Tarun Hundalani</t>
  </si>
  <si>
    <t>T000043</t>
  </si>
  <si>
    <t>67.53 (10)</t>
  </si>
  <si>
    <t>3A0851_E_MB_S12</t>
  </si>
  <si>
    <t>3A0725</t>
  </si>
  <si>
    <t>Dhairya Rana</t>
  </si>
  <si>
    <t>D000081</t>
  </si>
  <si>
    <t>71.12 (10.6)</t>
  </si>
  <si>
    <t>3A0725_E_MB_S13</t>
  </si>
  <si>
    <t>3A0726</t>
  </si>
  <si>
    <t>Rohit Jadhav</t>
  </si>
  <si>
    <t>R000159</t>
  </si>
  <si>
    <t>65.87 (9.8)</t>
  </si>
  <si>
    <t>3A0726_E_MB_S14</t>
  </si>
  <si>
    <t>IL-3</t>
  </si>
  <si>
    <t>3A0834</t>
  </si>
  <si>
    <t>Anavi Kaul</t>
  </si>
  <si>
    <t>A000244</t>
  </si>
  <si>
    <t>IL-3_T_MB_S52</t>
  </si>
  <si>
    <t>IL-4</t>
  </si>
  <si>
    <t>3A0853</t>
  </si>
  <si>
    <t xml:space="preserve">Samara Rathod </t>
  </si>
  <si>
    <t>S000431</t>
  </si>
  <si>
    <t>IL-4_T_MB_S53</t>
  </si>
  <si>
    <t>1A0349</t>
  </si>
  <si>
    <t>Venkatchalam Ramaswamy</t>
  </si>
  <si>
    <t>V000015</t>
  </si>
  <si>
    <t>67.58 (10.2)</t>
  </si>
  <si>
    <t>45b, 45d</t>
  </si>
  <si>
    <t>1A0452</t>
  </si>
  <si>
    <t>Atmaram Sarawade</t>
  </si>
  <si>
    <t>A000052</t>
  </si>
  <si>
    <t>CR</t>
  </si>
  <si>
    <t>Head &amp; Neck (Buccal Mucosa, Squamous Epithelium); Head &amp; Neck (Buccal Mucosa, Squamous Cell Carcinoma)</t>
  </si>
  <si>
    <t>62.46 (9.4)</t>
  </si>
  <si>
    <t>1A0452_E_MB_S1</t>
  </si>
  <si>
    <t>1A0463</t>
  </si>
  <si>
    <t xml:space="preserve">Rohini S Parkhi </t>
  </si>
  <si>
    <t>R000035</t>
  </si>
  <si>
    <t>GI (Anal Canal, Signet Ring Carcinoma)</t>
  </si>
  <si>
    <t>66.33 (10)</t>
  </si>
  <si>
    <t>1A0463_E_MB_S2</t>
  </si>
  <si>
    <t>1A0464</t>
  </si>
  <si>
    <t xml:space="preserve">Ahad Khan </t>
  </si>
  <si>
    <t>A000056</t>
  </si>
  <si>
    <t>Bone (Ewings Sarcoma)</t>
  </si>
  <si>
    <t>76.18 (11.4)</t>
  </si>
  <si>
    <t>1A0464_E_MB_S3</t>
  </si>
  <si>
    <t>1A0465</t>
  </si>
  <si>
    <t>Katkar Lata</t>
  </si>
  <si>
    <t>L000010</t>
  </si>
  <si>
    <t>Female Reproductive Organ (Ovary, Carcinoma)</t>
  </si>
  <si>
    <t>79.34 (11.8)</t>
  </si>
  <si>
    <t>1A0465_E_MB_S4</t>
  </si>
  <si>
    <t>1A0467</t>
  </si>
  <si>
    <t xml:space="preserve">Shaikh Ahemad </t>
  </si>
  <si>
    <t>S000108</t>
  </si>
  <si>
    <t>68.29 (10.2)</t>
  </si>
  <si>
    <t>1A0467_E_MB_S5</t>
  </si>
  <si>
    <t>1A0468</t>
  </si>
  <si>
    <t>Tukaram Yadav</t>
  </si>
  <si>
    <t>T000007</t>
  </si>
  <si>
    <t>Male Reproductive Organ (Testicular, Seminoma)</t>
  </si>
  <si>
    <t>64.01 (9.6)</t>
  </si>
  <si>
    <t>1A0468_E_MB_S6</t>
  </si>
  <si>
    <t>1A0469</t>
  </si>
  <si>
    <t xml:space="preserve">Ibrahim Shaikh </t>
  </si>
  <si>
    <t>I000001</t>
  </si>
  <si>
    <t>Kidney and Urinary tract (Urinary Bladder, Papillary Urothelial Carcinoma)</t>
  </si>
  <si>
    <t>65.67 (9.8)</t>
  </si>
  <si>
    <t>1A0469_E_MB_S7</t>
  </si>
  <si>
    <t>1A0471</t>
  </si>
  <si>
    <t xml:space="preserve">Santosh N Sonavane </t>
  </si>
  <si>
    <t>S000109</t>
  </si>
  <si>
    <t>Head &amp; Neck (Salivary Gland, Mucoepidermoid Carcinoma)</t>
  </si>
  <si>
    <t>81.4 (12.2)</t>
  </si>
  <si>
    <t>1A0471_E_MB_S8</t>
  </si>
  <si>
    <t>1A0472</t>
  </si>
  <si>
    <t xml:space="preserve">Bashir Shaikh </t>
  </si>
  <si>
    <t>B000009</t>
  </si>
  <si>
    <t>83.46 (12.6)</t>
  </si>
  <si>
    <t>1A0472_E_MB_S9</t>
  </si>
  <si>
    <t>1A0475</t>
  </si>
  <si>
    <t>Radhika Chandrakant Sutar</t>
  </si>
  <si>
    <t>R000036</t>
  </si>
  <si>
    <t>Female Reproductive Organ (Ovary, Adenocarcinoma)</t>
  </si>
  <si>
    <t>76.22 (11.4)</t>
  </si>
  <si>
    <t>1A0475_E_MB_S10</t>
  </si>
  <si>
    <t>1A0477</t>
  </si>
  <si>
    <t xml:space="preserve">Manisha Borade </t>
  </si>
  <si>
    <t>M000033</t>
  </si>
  <si>
    <t>Kidney and Urinary Tract (Urinary Bladder, Urothelial Carcinoma)</t>
  </si>
  <si>
    <t>82.93 (12.4)</t>
  </si>
  <si>
    <t>1A0477_E_MB_S11</t>
  </si>
  <si>
    <t>2A0029</t>
  </si>
  <si>
    <t>Vivek Bhartiya</t>
  </si>
  <si>
    <t>V000023</t>
  </si>
  <si>
    <t>09//01/2023</t>
  </si>
  <si>
    <t>No raw data</t>
  </si>
  <si>
    <t>2A0695</t>
  </si>
  <si>
    <t>Vikram Bhargava</t>
  </si>
  <si>
    <t>V000052</t>
  </si>
  <si>
    <t>Prostate Cancer  (Uncle), Colorectal Cancer  (Uncle)</t>
  </si>
  <si>
    <t>156d</t>
  </si>
  <si>
    <t>3A1312</t>
  </si>
  <si>
    <t>Sajata Dhotre</t>
  </si>
  <si>
    <t>S000513</t>
  </si>
  <si>
    <t>3A1312_T_MB_S15</t>
  </si>
  <si>
    <t>3A1313</t>
  </si>
  <si>
    <t>Rohini Dhotre</t>
  </si>
  <si>
    <t>R000216</t>
  </si>
  <si>
    <t>72.53 (10.8)</t>
  </si>
  <si>
    <t>3A1313_E_MB_S16</t>
  </si>
  <si>
    <t>IL-115</t>
  </si>
  <si>
    <t>3A1314</t>
  </si>
  <si>
    <t>Sneha Dhotre</t>
  </si>
  <si>
    <t>S000514</t>
  </si>
  <si>
    <t>3A1314_T_MB_S30</t>
  </si>
  <si>
    <t>3A1315</t>
  </si>
  <si>
    <t>Milind Kadam</t>
  </si>
  <si>
    <t>M000179</t>
  </si>
  <si>
    <t>65.7 (9.8)</t>
  </si>
  <si>
    <t>3A1315_E_MB_S18</t>
  </si>
  <si>
    <t>3A1316</t>
  </si>
  <si>
    <t>Preeti Kadam</t>
  </si>
  <si>
    <t>P000146</t>
  </si>
  <si>
    <t>76.46 (11.4)</t>
  </si>
  <si>
    <t>3A1316_E_MB_S19</t>
  </si>
  <si>
    <t>3A1317</t>
  </si>
  <si>
    <t>Ranjeeta Dhotre</t>
  </si>
  <si>
    <t>R000217</t>
  </si>
  <si>
    <t>67.78 (10.2)</t>
  </si>
  <si>
    <t>3A1317_E_MB_S20</t>
  </si>
  <si>
    <t>3A1318</t>
  </si>
  <si>
    <t>Ramdas Dhotre</t>
  </si>
  <si>
    <t>R000218</t>
  </si>
  <si>
    <t>76.16 (11.4)</t>
  </si>
  <si>
    <t>3A1318_E_MB_S21</t>
  </si>
  <si>
    <t>3A1324</t>
  </si>
  <si>
    <t>Shashi Verma</t>
  </si>
  <si>
    <t>S000515</t>
  </si>
  <si>
    <t>76.37 (11.4)</t>
  </si>
  <si>
    <t>3A1324_E_MB_S22</t>
  </si>
  <si>
    <t>IL_97_S1</t>
  </si>
  <si>
    <t>3A1326</t>
  </si>
  <si>
    <t>Somnath Pal</t>
  </si>
  <si>
    <t>S000516</t>
  </si>
  <si>
    <t>IL_97_T_S1</t>
  </si>
  <si>
    <t>3A1331</t>
  </si>
  <si>
    <t>Dhiraj Agarwal</t>
  </si>
  <si>
    <t>D000110</t>
  </si>
  <si>
    <t>69.52 (10.4)</t>
  </si>
  <si>
    <t>3A1331_E_MB_S24</t>
  </si>
  <si>
    <t>3A1332</t>
  </si>
  <si>
    <t>Kumar Nerkar</t>
  </si>
  <si>
    <t>K000113</t>
  </si>
  <si>
    <t>67.81 (10.2)</t>
  </si>
  <si>
    <t>3A1332_E_MB_S25</t>
  </si>
  <si>
    <t>3A1333</t>
  </si>
  <si>
    <t>Rajesh MEhta</t>
  </si>
  <si>
    <t>R000220</t>
  </si>
  <si>
    <t>69.47 (10.4)</t>
  </si>
  <si>
    <t>3A1333_E_MB_S26</t>
  </si>
  <si>
    <t>3A1334</t>
  </si>
  <si>
    <t xml:space="preserve">Jayaram Shetty </t>
  </si>
  <si>
    <t>J000093</t>
  </si>
  <si>
    <t>55.34 (8.2)</t>
  </si>
  <si>
    <t>3A1334_E_MB_S27</t>
  </si>
  <si>
    <t>3A1335</t>
  </si>
  <si>
    <t>Rajkumar Guria</t>
  </si>
  <si>
    <t>R000221</t>
  </si>
  <si>
    <t>62.09 (9.2)</t>
  </si>
  <si>
    <t>3A1335_E_MB_S28</t>
  </si>
  <si>
    <t>3A1336</t>
  </si>
  <si>
    <t>Narayan Rohira</t>
  </si>
  <si>
    <t>N000117</t>
  </si>
  <si>
    <t>74.54 (11.2)</t>
  </si>
  <si>
    <t>3A1336_E_MB_S29</t>
  </si>
  <si>
    <t>3A1337</t>
  </si>
  <si>
    <t>Vijay Rochlani</t>
  </si>
  <si>
    <t>V000114</t>
  </si>
  <si>
    <t>53.36 (8)</t>
  </si>
  <si>
    <t>3A1337_E_MB_S30</t>
  </si>
  <si>
    <t>IL-86</t>
  </si>
  <si>
    <t>3A1338</t>
  </si>
  <si>
    <t>Ajay Sonkar</t>
  </si>
  <si>
    <t>A000308</t>
  </si>
  <si>
    <t>IL-86_T_MB_S42</t>
  </si>
  <si>
    <t>3A1344</t>
  </si>
  <si>
    <t xml:space="preserve">Shubham Singh </t>
  </si>
  <si>
    <t>S000518</t>
  </si>
  <si>
    <t>65.05 (9.8)</t>
  </si>
  <si>
    <t>3A1344_E_MB_S32</t>
  </si>
  <si>
    <t>3A1345</t>
  </si>
  <si>
    <t xml:space="preserve">Dr. Akshay Dhaytadak </t>
  </si>
  <si>
    <t>A000075</t>
  </si>
  <si>
    <t>91.57 (13.8)</t>
  </si>
  <si>
    <t>3A1345_E_MB_S33</t>
  </si>
  <si>
    <t>3A1347</t>
  </si>
  <si>
    <t>S000314</t>
  </si>
  <si>
    <t>Suspected plasma cell disorder.</t>
  </si>
  <si>
    <t>Uncle's son had cancer at age 65 years (type not known), Father- diabetic and cardiac issue and Mother- Age related dementia</t>
  </si>
  <si>
    <t>361d</t>
  </si>
  <si>
    <t>IL-69</t>
  </si>
  <si>
    <t>3A1350</t>
  </si>
  <si>
    <t>K G Rajan</t>
  </si>
  <si>
    <t>K000115</t>
  </si>
  <si>
    <t>IL-69_T_MB_S1</t>
  </si>
  <si>
    <t>IL_105_S9</t>
  </si>
  <si>
    <t>4A0012</t>
  </si>
  <si>
    <t>Piyush Patwa</t>
  </si>
  <si>
    <t>P000148</t>
  </si>
  <si>
    <t>IL_105_T_S9</t>
  </si>
  <si>
    <t>4A0013</t>
  </si>
  <si>
    <t>Sunil Musapuri</t>
  </si>
  <si>
    <t>S000523</t>
  </si>
  <si>
    <t>67.87 (10.2)</t>
  </si>
  <si>
    <t>4A0013_E_MB_S37</t>
  </si>
  <si>
    <t>4A0023</t>
  </si>
  <si>
    <t>Surekha Mane</t>
  </si>
  <si>
    <t>S000525</t>
  </si>
  <si>
    <t>4A0023_T_MB_S12</t>
  </si>
  <si>
    <t>4A0024</t>
  </si>
  <si>
    <t>Shweta Dhayagude</t>
  </si>
  <si>
    <t>S000526</t>
  </si>
  <si>
    <t>4A0024_E_MB_S39</t>
  </si>
  <si>
    <t>4A0025</t>
  </si>
  <si>
    <t>Supriya Dhaphale</t>
  </si>
  <si>
    <t>S000527</t>
  </si>
  <si>
    <t>66.28 (10)</t>
  </si>
  <si>
    <t>4A0025_E_MB_S40</t>
  </si>
  <si>
    <t>4A0026</t>
  </si>
  <si>
    <t>Anita Pawar</t>
  </si>
  <si>
    <t>A000310</t>
  </si>
  <si>
    <t>77.55 (11.6)</t>
  </si>
  <si>
    <t>4A0026_E_MB_S41</t>
  </si>
  <si>
    <t>4A0027</t>
  </si>
  <si>
    <t>Arti Nerkar</t>
  </si>
  <si>
    <t>A000311</t>
  </si>
  <si>
    <t>4A0027_T_MB_S13</t>
  </si>
  <si>
    <t>4A0029</t>
  </si>
  <si>
    <t>Madhuri Dhanawade</t>
  </si>
  <si>
    <t>M000184</t>
  </si>
  <si>
    <t>4A0029_T_MB_S18</t>
  </si>
  <si>
    <t>IL-88</t>
  </si>
  <si>
    <t>4A0031</t>
  </si>
  <si>
    <t>Komal Sawant</t>
  </si>
  <si>
    <t>K000117</t>
  </si>
  <si>
    <t>IL-88_T_MB_S57</t>
  </si>
  <si>
    <t>IL18</t>
  </si>
  <si>
    <t>4A0033</t>
  </si>
  <si>
    <t>Gitanjali Wadhu</t>
  </si>
  <si>
    <t>G000072</t>
  </si>
  <si>
    <t>IL_18_T_S3</t>
  </si>
  <si>
    <t>IL-70</t>
  </si>
  <si>
    <t>4A0034</t>
  </si>
  <si>
    <t>Lalchand Bafana</t>
  </si>
  <si>
    <t>L000042</t>
  </si>
  <si>
    <t>IL-70_T_MB_S2</t>
  </si>
  <si>
    <t>4A0037</t>
  </si>
  <si>
    <t>Mukta Kendre</t>
  </si>
  <si>
    <t>M000186</t>
  </si>
  <si>
    <t>66.95 (10)</t>
  </si>
  <si>
    <t>4A0037_E_MB_S17</t>
  </si>
  <si>
    <t>4A0038</t>
  </si>
  <si>
    <t>Balaji Ghangurde</t>
  </si>
  <si>
    <t>B000084</t>
  </si>
  <si>
    <t>76.99 (11.6)</t>
  </si>
  <si>
    <t>4A0038_E_MB_S18</t>
  </si>
  <si>
    <t>4A0039</t>
  </si>
  <si>
    <t>Kiran Nerurkar</t>
  </si>
  <si>
    <t>K000118</t>
  </si>
  <si>
    <t>65.96 (9.8)</t>
  </si>
  <si>
    <t>4A0039_E_MB_S19</t>
  </si>
  <si>
    <t>IL19</t>
  </si>
  <si>
    <t>4A0040</t>
  </si>
  <si>
    <t>Suryawanshi Sneha</t>
  </si>
  <si>
    <t>S000529</t>
  </si>
  <si>
    <t>IL_19_T_S4</t>
  </si>
  <si>
    <t>4A0041</t>
  </si>
  <si>
    <t>Prachi Shinde</t>
  </si>
  <si>
    <t>P000153</t>
  </si>
  <si>
    <t>4A0041_E_MB_S21</t>
  </si>
  <si>
    <t>4A0042</t>
  </si>
  <si>
    <t>Varsha Gavil</t>
  </si>
  <si>
    <t>V000115</t>
  </si>
  <si>
    <t>4A0042_E_MB_S22</t>
  </si>
  <si>
    <t>4A0043</t>
  </si>
  <si>
    <t>Seema Kambale</t>
  </si>
  <si>
    <t>S000530</t>
  </si>
  <si>
    <t>74.36 (11.2)</t>
  </si>
  <si>
    <t>4A0043_E_MB_S23</t>
  </si>
  <si>
    <t>4A0044</t>
  </si>
  <si>
    <t>Mohsin Khan</t>
  </si>
  <si>
    <t>M000187</t>
  </si>
  <si>
    <t>75.64 (11.4)</t>
  </si>
  <si>
    <t>4A0044_E_MB_S24</t>
  </si>
  <si>
    <t>IL20</t>
  </si>
  <si>
    <t>4A0045</t>
  </si>
  <si>
    <t>Vishakha Dere</t>
  </si>
  <si>
    <t>V000116</t>
  </si>
  <si>
    <t>IL_20_T_S5</t>
  </si>
  <si>
    <t>4A0046</t>
  </si>
  <si>
    <t>Rajesh Rathod</t>
  </si>
  <si>
    <t>R000225</t>
  </si>
  <si>
    <t>69.82 (10.4)</t>
  </si>
  <si>
    <t>4A0046_E_MB_S26</t>
  </si>
  <si>
    <t>4A0047</t>
  </si>
  <si>
    <t>Smita Jain</t>
  </si>
  <si>
    <t>S000531</t>
  </si>
  <si>
    <t>80.97 (12.2)</t>
  </si>
  <si>
    <t>4A0047_E_MB_S27</t>
  </si>
  <si>
    <t>4A0048</t>
  </si>
  <si>
    <t>Chetan Jain</t>
  </si>
  <si>
    <t>C000042</t>
  </si>
  <si>
    <t>69.95 (10.4)</t>
  </si>
  <si>
    <t>4A0048_E_MB_S28</t>
  </si>
  <si>
    <t>4A0049</t>
  </si>
  <si>
    <t>Sangita Koli</t>
  </si>
  <si>
    <t>S000532</t>
  </si>
  <si>
    <t>71.51 (10.6)</t>
  </si>
  <si>
    <t>4A0049_E_MB_S29</t>
  </si>
  <si>
    <t>4A0050</t>
  </si>
  <si>
    <t>Kanchan Yadav</t>
  </si>
  <si>
    <t>K000119</t>
  </si>
  <si>
    <t>70.24 (10.6)</t>
  </si>
  <si>
    <t>4A0050_E_MB_S30</t>
  </si>
  <si>
    <t>IL_98_S2</t>
  </si>
  <si>
    <t>4A0080</t>
  </si>
  <si>
    <t>Aseem Agarwal</t>
  </si>
  <si>
    <t>A000317</t>
  </si>
  <si>
    <t>IL_98_T_S2</t>
  </si>
  <si>
    <t>4A0081</t>
  </si>
  <si>
    <t>Alka Agarwal</t>
  </si>
  <si>
    <t>A000318</t>
  </si>
  <si>
    <t>4A0081_E_MB_S32</t>
  </si>
  <si>
    <t>4A0082</t>
  </si>
  <si>
    <t>Aman Agarwal</t>
  </si>
  <si>
    <t>A000319</t>
  </si>
  <si>
    <t>4A0082_E_MB_S33</t>
  </si>
  <si>
    <t>4A0083</t>
  </si>
  <si>
    <t>Mukul Agarwal</t>
  </si>
  <si>
    <t>M000191</t>
  </si>
  <si>
    <t>69.4 (10.4)</t>
  </si>
  <si>
    <t>4A0083_E_MB_S34</t>
  </si>
  <si>
    <t>4A0085</t>
  </si>
  <si>
    <t>Ajay Yewale</t>
  </si>
  <si>
    <t>A000320</t>
  </si>
  <si>
    <t>67.73 (10.2)</t>
  </si>
  <si>
    <t>4A0085_E_MB_S35</t>
  </si>
  <si>
    <t>4A0086</t>
  </si>
  <si>
    <t>Santosh Pawar</t>
  </si>
  <si>
    <t>S000536</t>
  </si>
  <si>
    <t>60.98 (9.2)</t>
  </si>
  <si>
    <t>4A0086_E_MB_S36</t>
  </si>
  <si>
    <t>4A0087</t>
  </si>
  <si>
    <t>Sushant Bhise</t>
  </si>
  <si>
    <t>S000537</t>
  </si>
  <si>
    <t>4A0087_E_MB_S37</t>
  </si>
  <si>
    <t>IL_100_S65</t>
  </si>
  <si>
    <t>4A0088</t>
  </si>
  <si>
    <t>Kapil Gadhari</t>
  </si>
  <si>
    <t>K000121</t>
  </si>
  <si>
    <t>IL_100_T_S65</t>
  </si>
  <si>
    <t>IL22</t>
  </si>
  <si>
    <t>4A0090</t>
  </si>
  <si>
    <t>Himani Manral</t>
  </si>
  <si>
    <t>IL_22_T_S7</t>
  </si>
  <si>
    <t>IL_101_S66</t>
  </si>
  <si>
    <t>4A0091</t>
  </si>
  <si>
    <t>Ranjit Kaluskar</t>
  </si>
  <si>
    <t>R000230</t>
  </si>
  <si>
    <t>IL_101_T_S66</t>
  </si>
  <si>
    <t>IL_102_S67</t>
  </si>
  <si>
    <t>4A0092</t>
  </si>
  <si>
    <t>Sabrish Iyer</t>
  </si>
  <si>
    <t>S000538</t>
  </si>
  <si>
    <t>IL_102_T_S67</t>
  </si>
  <si>
    <t>4A0093</t>
  </si>
  <si>
    <t>Rushikesh Kirve</t>
  </si>
  <si>
    <t>R000231</t>
  </si>
  <si>
    <t>81.86 (12.2)</t>
  </si>
  <si>
    <t>4A0093_E_MB_S42</t>
  </si>
  <si>
    <t>IL-91</t>
  </si>
  <si>
    <t>4A0094</t>
  </si>
  <si>
    <t>Salonee Lopes</t>
  </si>
  <si>
    <t>S000539</t>
  </si>
  <si>
    <t>IL-91_T_MB_S2</t>
  </si>
  <si>
    <t>IL23</t>
  </si>
  <si>
    <t>4A0095</t>
  </si>
  <si>
    <t>Uorja Mane</t>
  </si>
  <si>
    <t>U000030</t>
  </si>
  <si>
    <t>IL_23_T_S8</t>
  </si>
  <si>
    <t>IL-92</t>
  </si>
  <si>
    <t>4A0097</t>
  </si>
  <si>
    <t>Riddhi Baheti</t>
  </si>
  <si>
    <t>R000232</t>
  </si>
  <si>
    <t>IL-92_T_MB_S3</t>
  </si>
  <si>
    <t>4A0102</t>
  </si>
  <si>
    <t>Kushi Panjwani</t>
  </si>
  <si>
    <t>K000124</t>
  </si>
  <si>
    <t>82.09 (12.2)</t>
  </si>
  <si>
    <t>4A0102_E_MB_S46</t>
  </si>
  <si>
    <t>4A0119</t>
  </si>
  <si>
    <t>Shalikram Rathod</t>
  </si>
  <si>
    <t>S000543</t>
  </si>
  <si>
    <t>4A0119_E_MB_S47</t>
  </si>
  <si>
    <t>4A0121</t>
  </si>
  <si>
    <t>Shashikant Dhaygude</t>
  </si>
  <si>
    <t>S000544</t>
  </si>
  <si>
    <t>84.02 (12.6)</t>
  </si>
  <si>
    <t>4A0121_E_MB_S48</t>
  </si>
  <si>
    <t>4A0123</t>
  </si>
  <si>
    <t>Sunita Dhaygude</t>
  </si>
  <si>
    <t>S000546</t>
  </si>
  <si>
    <t>75.69 (11.4)</t>
  </si>
  <si>
    <t>4A0123_E_MB_S63</t>
  </si>
  <si>
    <t>4A0124</t>
  </si>
  <si>
    <t>Megha Kolhe</t>
  </si>
  <si>
    <t>M000193</t>
  </si>
  <si>
    <t>74.12 (11)</t>
  </si>
  <si>
    <t>4A0124_E_MB_S64</t>
  </si>
  <si>
    <t>4A0125</t>
  </si>
  <si>
    <t>Chandrakant Lanjekar</t>
  </si>
  <si>
    <t>C000043</t>
  </si>
  <si>
    <t>87.88 (13.2)</t>
  </si>
  <si>
    <t>4A0125_E_MB_S57</t>
  </si>
  <si>
    <t>4A0130</t>
  </si>
  <si>
    <t>Devdatta Dhape</t>
  </si>
  <si>
    <t>D000114</t>
  </si>
  <si>
    <t>86.91 (13)</t>
  </si>
  <si>
    <t>4A0130_E_MB_S58</t>
  </si>
  <si>
    <t>4A0131</t>
  </si>
  <si>
    <t>Tukaram Dhepe</t>
  </si>
  <si>
    <t>T000057</t>
  </si>
  <si>
    <t>79.39 (11.8)</t>
  </si>
  <si>
    <t>4A0131_E_MB_S59</t>
  </si>
  <si>
    <t>4A0132</t>
  </si>
  <si>
    <t>Swati Khambe</t>
  </si>
  <si>
    <t>S000548</t>
  </si>
  <si>
    <t>0 (0)</t>
  </si>
  <si>
    <t>4A0132_E_MB_S27</t>
  </si>
  <si>
    <t>4A0133</t>
  </si>
  <si>
    <t>Ashwini Deshpande</t>
  </si>
  <si>
    <t>A000322</t>
  </si>
  <si>
    <t>4A0133_E_MB_S28</t>
  </si>
  <si>
    <t>4A0134</t>
  </si>
  <si>
    <t>Hemangi Ghode</t>
  </si>
  <si>
    <t>H000044</t>
  </si>
  <si>
    <t>64.77 (9.6)</t>
  </si>
  <si>
    <t>4A0134_E_MB_S29</t>
  </si>
  <si>
    <t>4A0135</t>
  </si>
  <si>
    <t>Savita Kambale</t>
  </si>
  <si>
    <t>S000549</t>
  </si>
  <si>
    <t>79.8 (12)</t>
  </si>
  <si>
    <t>4A0135_E_MB_S30</t>
  </si>
  <si>
    <t>4A0138</t>
  </si>
  <si>
    <t>Kavita Chavan</t>
  </si>
  <si>
    <t>K000125</t>
  </si>
  <si>
    <t>72.99 (11)</t>
  </si>
  <si>
    <t>4A0138_E_MB_S31</t>
  </si>
  <si>
    <t>4A0140</t>
  </si>
  <si>
    <t>Vasant Hazare</t>
  </si>
  <si>
    <t>V000119</t>
  </si>
  <si>
    <t>4A0140_E_MB_S32</t>
  </si>
  <si>
    <t>4A0141</t>
  </si>
  <si>
    <t>Dattatray Dhaygude</t>
  </si>
  <si>
    <t>D000116</t>
  </si>
  <si>
    <t>82.67 (12.4)</t>
  </si>
  <si>
    <t>4A0141_E_MB_S33</t>
  </si>
  <si>
    <t>4A0142</t>
  </si>
  <si>
    <t>Lakshmi Wakde</t>
  </si>
  <si>
    <t>L000044</t>
  </si>
  <si>
    <t>86.48 (13)</t>
  </si>
  <si>
    <t>4A0142_E_MB_S34</t>
  </si>
  <si>
    <t>4A0143</t>
  </si>
  <si>
    <t>Sonali Pagare</t>
  </si>
  <si>
    <t>S000551</t>
  </si>
  <si>
    <t>83.37 (12.4)</t>
  </si>
  <si>
    <t>4A0143_E_MB_S35</t>
  </si>
  <si>
    <t>4A0144</t>
  </si>
  <si>
    <t>Prasad Bhoir</t>
  </si>
  <si>
    <t>P000159</t>
  </si>
  <si>
    <t>79.78 (12)</t>
  </si>
  <si>
    <t>4A0144_E_MB_S36</t>
  </si>
  <si>
    <t>4A0145</t>
  </si>
  <si>
    <t>Yogita Shinde</t>
  </si>
  <si>
    <t>Y000022</t>
  </si>
  <si>
    <t>90.82 (13.6)</t>
  </si>
  <si>
    <t>4A0145_E_MB_S37</t>
  </si>
  <si>
    <t>4A0147</t>
  </si>
  <si>
    <t xml:space="preserve">Smita Lanjekar </t>
  </si>
  <si>
    <t>S000553</t>
  </si>
  <si>
    <t>4A0147_E_MB_S38</t>
  </si>
  <si>
    <t>IL-27</t>
  </si>
  <si>
    <t>4A0148</t>
  </si>
  <si>
    <t>Reshma Ade</t>
  </si>
  <si>
    <t>R000237</t>
  </si>
  <si>
    <t>IL-27_T_MB_S13</t>
  </si>
  <si>
    <t>4A0154</t>
  </si>
  <si>
    <t>Raj Kumar Gurwada</t>
  </si>
  <si>
    <t>R000004</t>
  </si>
  <si>
    <t>70.4 (10.6)</t>
  </si>
  <si>
    <t>4A0154_E_MB_S40</t>
  </si>
  <si>
    <t>4A0156</t>
  </si>
  <si>
    <t>Devendra Albur</t>
  </si>
  <si>
    <t>D000118</t>
  </si>
  <si>
    <t>63.91 (9.6)</t>
  </si>
  <si>
    <t>4A0156_E_MB_S8</t>
  </si>
  <si>
    <t>4A0157</t>
  </si>
  <si>
    <t>Shashank Sathe</t>
  </si>
  <si>
    <t>S000554</t>
  </si>
  <si>
    <t>74.8 (11.2)</t>
  </si>
  <si>
    <t>4A0157_E_MB_S9</t>
  </si>
  <si>
    <t>4A0159</t>
  </si>
  <si>
    <t>Rajani Thuse</t>
  </si>
  <si>
    <t>R000238</t>
  </si>
  <si>
    <t>100.49 (15)</t>
  </si>
  <si>
    <t>4A0159_E_MB_S43</t>
  </si>
  <si>
    <t>4A0161</t>
  </si>
  <si>
    <t>Parag Mahale</t>
  </si>
  <si>
    <t>P000160</t>
  </si>
  <si>
    <t>68.22 (10.2)</t>
  </si>
  <si>
    <t>4A0161_E_MB_S44</t>
  </si>
  <si>
    <t>4A0162</t>
  </si>
  <si>
    <t>Mahaveer Jayappa</t>
  </si>
  <si>
    <t>M000194</t>
  </si>
  <si>
    <t>67.16 (10)</t>
  </si>
  <si>
    <t>4A0162_E_MB_S45</t>
  </si>
  <si>
    <t>IL_107_S72</t>
  </si>
  <si>
    <t>4A0163</t>
  </si>
  <si>
    <t>Ishwar Jaiswal</t>
  </si>
  <si>
    <t>I000020</t>
  </si>
  <si>
    <t>IL_107_T_S72</t>
  </si>
  <si>
    <t>4A0164</t>
  </si>
  <si>
    <t>Jaswant Singh</t>
  </si>
  <si>
    <t>J000095</t>
  </si>
  <si>
    <t>70.5 (10.6)</t>
  </si>
  <si>
    <t>4A0164_E_MB_S47</t>
  </si>
  <si>
    <t>4A0165</t>
  </si>
  <si>
    <t>Raju Rai</t>
  </si>
  <si>
    <t>R000239</t>
  </si>
  <si>
    <t>61.48 (9.2)</t>
  </si>
  <si>
    <t>4A0165_E_MB_S48</t>
  </si>
  <si>
    <t>4A0167</t>
  </si>
  <si>
    <t>Anand Jain</t>
  </si>
  <si>
    <t>A000242</t>
  </si>
  <si>
    <t>81.27 (12.2)</t>
  </si>
  <si>
    <t>4A0167_E_MB_S1</t>
  </si>
  <si>
    <t>4A0168</t>
  </si>
  <si>
    <t>Vaishali Upadhye</t>
  </si>
  <si>
    <t>V000121</t>
  </si>
  <si>
    <t>4A0168_E_MB_S2</t>
  </si>
  <si>
    <t>4A0172</t>
  </si>
  <si>
    <t>Shreeram Thuse</t>
  </si>
  <si>
    <t>S000558</t>
  </si>
  <si>
    <t>78.95 (11.8)</t>
  </si>
  <si>
    <t>4A0172_E_MB_S3</t>
  </si>
  <si>
    <t>4A0173</t>
  </si>
  <si>
    <t>Manisha Joshi</t>
  </si>
  <si>
    <t>M000195</t>
  </si>
  <si>
    <t>83.45 (12.6)</t>
  </si>
  <si>
    <t>4A0173_E_MB_S4</t>
  </si>
  <si>
    <t>4A0174</t>
  </si>
  <si>
    <t>Aslam Basarge</t>
  </si>
  <si>
    <t>A000325</t>
  </si>
  <si>
    <t>74.67 (11.2)</t>
  </si>
  <si>
    <t>4A0174_E_MB_S5</t>
  </si>
  <si>
    <t>4A0175</t>
  </si>
  <si>
    <t>Akshata Dandekar</t>
  </si>
  <si>
    <t>A000326</t>
  </si>
  <si>
    <t>92.32 (13.8)</t>
  </si>
  <si>
    <t>4A0175_E_MB_S6</t>
  </si>
  <si>
    <t>4A0176</t>
  </si>
  <si>
    <t>Avni Dandekar</t>
  </si>
  <si>
    <t>A000327</t>
  </si>
  <si>
    <t>68.18 (10.2)</t>
  </si>
  <si>
    <t>4A0176_E_MB_S7</t>
  </si>
  <si>
    <t>IL_111_S76</t>
  </si>
  <si>
    <t>4A0258</t>
  </si>
  <si>
    <t>Shubham Walunj</t>
  </si>
  <si>
    <t>S000578</t>
  </si>
  <si>
    <t>IL_111_T_S76</t>
  </si>
  <si>
    <t>4A0259</t>
  </si>
  <si>
    <t>Sonal Patil</t>
  </si>
  <si>
    <t>S000579</t>
  </si>
  <si>
    <t>79.79 (12)</t>
  </si>
  <si>
    <t>4A0259_E_MB_S42</t>
  </si>
  <si>
    <t>4A1101</t>
  </si>
  <si>
    <t>Vasantrao Jadhav</t>
  </si>
  <si>
    <t>V000177</t>
  </si>
  <si>
    <t>Head &amp; Neck (Tongue, Squamous Cell Carcinoma)</t>
  </si>
  <si>
    <t>77.52 (11.6)</t>
  </si>
  <si>
    <t>4A1101_E_MB_S10</t>
  </si>
  <si>
    <t>4A1110</t>
  </si>
  <si>
    <t>Sujata Dhuri</t>
  </si>
  <si>
    <t>S000160</t>
  </si>
  <si>
    <t>4A1110_T_MB_S1</t>
  </si>
  <si>
    <t>4A1111</t>
  </si>
  <si>
    <t>Virendra Dhuri</t>
  </si>
  <si>
    <t>V000034</t>
  </si>
  <si>
    <t>87.02 (13)</t>
  </si>
  <si>
    <t>4A1111_E_MB_S13</t>
  </si>
  <si>
    <t>4A1112</t>
  </si>
  <si>
    <t>Vijalaxmi Dhuri</t>
  </si>
  <si>
    <t>V000178</t>
  </si>
  <si>
    <t>4A1112_T_MB_S2</t>
  </si>
  <si>
    <t>4A1467</t>
  </si>
  <si>
    <t>Deepa Bhartiya</t>
  </si>
  <si>
    <t>Diabetes Project</t>
  </si>
  <si>
    <t>4A1467_T_MB_S13</t>
  </si>
  <si>
    <t>4A1469</t>
  </si>
  <si>
    <t>Sanjay Shahaji Yadav</t>
  </si>
  <si>
    <t>4A1469_T_MB_S15</t>
  </si>
  <si>
    <t>4A1470</t>
  </si>
  <si>
    <t>Amir Shaikh</t>
  </si>
  <si>
    <t>4A1470_T_MB_S16</t>
  </si>
  <si>
    <t>4A1471</t>
  </si>
  <si>
    <t>Sunil Sambhaji Kadam</t>
  </si>
  <si>
    <t>4A1471_T_MB_S19</t>
  </si>
  <si>
    <t>4A1473</t>
  </si>
  <si>
    <t>Brijesh Kaushal</t>
  </si>
  <si>
    <t>4A1473_T_MB_S21</t>
  </si>
  <si>
    <t>4A1474</t>
  </si>
  <si>
    <t>Nitin Kadam</t>
  </si>
  <si>
    <t>4A1474_T_MB_S22</t>
  </si>
  <si>
    <t>4A1480</t>
  </si>
  <si>
    <t>Benaifer Malandkar</t>
  </si>
  <si>
    <t xml:space="preserve">Dr Nadeem  </t>
  </si>
  <si>
    <t>4A1480_T_MB_S2</t>
  </si>
  <si>
    <t>4A1485</t>
  </si>
  <si>
    <t>Rahul Anand</t>
  </si>
  <si>
    <t>4A1485_T_MB_S15</t>
  </si>
  <si>
    <t>4A1486</t>
  </si>
  <si>
    <t>Kalpana Kanth</t>
  </si>
  <si>
    <t>TZIN04782</t>
  </si>
  <si>
    <t>95.07 (14.2)</t>
  </si>
  <si>
    <t>4A1486_E_MB_S9</t>
  </si>
  <si>
    <t>4A1488</t>
  </si>
  <si>
    <t>Subhash Jaiswal</t>
  </si>
  <si>
    <t>TZIN04783</t>
  </si>
  <si>
    <t>85.45 (12.8)</t>
  </si>
  <si>
    <t>4A1488_E_MB_S11</t>
  </si>
  <si>
    <t>4A1489</t>
  </si>
  <si>
    <t>Vikas Patil</t>
  </si>
  <si>
    <t>TZIN064</t>
  </si>
  <si>
    <t>Diabetes Project_Post Prandial</t>
  </si>
  <si>
    <t>4A1489_T_MB_S4</t>
  </si>
  <si>
    <t>4A1502</t>
  </si>
  <si>
    <t>Shubhangi Patil</t>
  </si>
  <si>
    <t>TZIN098</t>
  </si>
  <si>
    <t>On Treatment</t>
  </si>
  <si>
    <t>4A1502_T_MB_S9</t>
  </si>
  <si>
    <t>3A0838</t>
  </si>
  <si>
    <t>4A1507</t>
  </si>
  <si>
    <t>Zaid Kudia</t>
  </si>
  <si>
    <t>TZIN-B-1557</t>
  </si>
  <si>
    <t>4A1507_T_MB_S23_L004</t>
  </si>
  <si>
    <t>4A1508</t>
  </si>
  <si>
    <t>Gautami Dhuri</t>
  </si>
  <si>
    <t>TZIN087</t>
  </si>
  <si>
    <t>Head &amp; Neck (Pleomorphic Adenoma)</t>
  </si>
  <si>
    <t>Salivary gland</t>
  </si>
  <si>
    <t>4A1508_T_MB_S16</t>
  </si>
  <si>
    <t>4A1513</t>
  </si>
  <si>
    <t>Vishwanath</t>
  </si>
  <si>
    <t>TZIN04804</t>
  </si>
  <si>
    <t>Arete Hospitals</t>
  </si>
  <si>
    <t>74.99 (11.2)</t>
  </si>
  <si>
    <t>4A1513_E_MB_S16</t>
  </si>
  <si>
    <t>4A1517</t>
  </si>
  <si>
    <t>Prashant Jamdar</t>
  </si>
  <si>
    <t>TZIN04807</t>
  </si>
  <si>
    <t>Dr Akshay</t>
  </si>
  <si>
    <t>4A1517_T_MB_S12</t>
  </si>
  <si>
    <t>4A1518</t>
  </si>
  <si>
    <t>Prashant Somani</t>
  </si>
  <si>
    <t>EBPL-B-877</t>
  </si>
  <si>
    <t>4A1518_T_MB_S2_L003</t>
  </si>
  <si>
    <t>4A1519</t>
  </si>
  <si>
    <t>Y Rajani</t>
  </si>
  <si>
    <t>TZIN04770</t>
  </si>
  <si>
    <t>84.07 (12.6)</t>
  </si>
  <si>
    <t>4A1519_E_MB_S19</t>
  </si>
  <si>
    <t>4A1520</t>
  </si>
  <si>
    <t>Rajan Pental</t>
  </si>
  <si>
    <t>EBPL-B-878</t>
  </si>
  <si>
    <t>4A1520_T_MB_S24_L004</t>
  </si>
  <si>
    <t>4A1531</t>
  </si>
  <si>
    <t>Syed Ishtiyaq Ahmed</t>
  </si>
  <si>
    <t>TZIN04811</t>
  </si>
  <si>
    <t>68.81 (10.2)</t>
  </si>
  <si>
    <t>4A1531_E_MB_S21</t>
  </si>
  <si>
    <t>4A1548</t>
  </si>
  <si>
    <t>Shashikala Pawar</t>
  </si>
  <si>
    <t>EBPL-B-920</t>
  </si>
  <si>
    <t>Gall Bladder cancer</t>
  </si>
  <si>
    <t>79.67 (12)</t>
  </si>
  <si>
    <t>4A1548_E_MB_S22</t>
  </si>
  <si>
    <t>4A1556</t>
  </si>
  <si>
    <t>Kaluram Manjare</t>
  </si>
  <si>
    <t>EBPL-B-928</t>
  </si>
  <si>
    <t>79.63 (12)</t>
  </si>
  <si>
    <t>4A1556_E_MB_S23</t>
  </si>
  <si>
    <t>4A1559</t>
  </si>
  <si>
    <t>Ashna Chopra</t>
  </si>
  <si>
    <t>TZIN04831</t>
  </si>
  <si>
    <t xml:space="preserve">Thyroid dysfunction  </t>
  </si>
  <si>
    <t>4A1559_T_MB_S14</t>
  </si>
  <si>
    <t>4A1560</t>
  </si>
  <si>
    <t>Kayrose Kamdin</t>
  </si>
  <si>
    <t>EBPL-B-965</t>
  </si>
  <si>
    <t>4A1560_T_MB_S25_L004</t>
  </si>
  <si>
    <t>4A1561</t>
  </si>
  <si>
    <t>Ramesh Modi</t>
  </si>
  <si>
    <t>EBPL-B-966</t>
  </si>
  <si>
    <t>Stress, BPH, H/O Pancreatitis, Hypothyroidism, Hyperuricemia, Nephropathy (CKD) </t>
  </si>
  <si>
    <t>4A1561_T_MB_S3_L003</t>
  </si>
  <si>
    <t>4A1593</t>
  </si>
  <si>
    <t>Shyam Wadhwani</t>
  </si>
  <si>
    <t>TZIN04851</t>
  </si>
  <si>
    <t>In seq</t>
  </si>
  <si>
    <t>4A1593_T_MB_S18</t>
  </si>
  <si>
    <t>4A1107</t>
  </si>
  <si>
    <t>Bindoo Wadhwani</t>
  </si>
  <si>
    <t>B000117</t>
  </si>
  <si>
    <t>mild hepatomegaly with grade 1 fatty liver, thyroid dysfunction</t>
  </si>
  <si>
    <t>4A1107_T_MB_S12</t>
  </si>
  <si>
    <t>4A1052</t>
  </si>
  <si>
    <t>Pranav Chaturvedi</t>
  </si>
  <si>
    <t>P000051</t>
  </si>
  <si>
    <t>4A1052_T_MB_S5</t>
  </si>
  <si>
    <t>4A0297</t>
  </si>
  <si>
    <t>Anish Tripathi</t>
  </si>
  <si>
    <t>4A0297_T</t>
  </si>
  <si>
    <t>4A1643</t>
  </si>
  <si>
    <t>Dr. Debjani Mukhopadhyay</t>
  </si>
  <si>
    <t>TZIN05024</t>
  </si>
  <si>
    <t>HIIMS</t>
  </si>
  <si>
    <t>Neuroendocrine pancreatic cancer</t>
  </si>
  <si>
    <t>4A1643_T_MB_S28_L004</t>
  </si>
  <si>
    <t>4A1653</t>
  </si>
  <si>
    <t>Sudesh Ahuja</t>
  </si>
  <si>
    <t>TZIN-B-1289</t>
  </si>
  <si>
    <t>Pancreatic cancer</t>
  </si>
  <si>
    <t>Type 2 Diabetes</t>
  </si>
  <si>
    <t>4A1653_T_MB_S5</t>
  </si>
  <si>
    <t>4A1659B</t>
  </si>
  <si>
    <t>4A1659</t>
  </si>
  <si>
    <t>Ashish Tripathi</t>
  </si>
  <si>
    <t>Fatty Liver</t>
  </si>
  <si>
    <t>4A1659B_T_MB_S29_L004</t>
  </si>
  <si>
    <t>4A1660</t>
  </si>
  <si>
    <t>Aadil Palkhivala</t>
  </si>
  <si>
    <t>TZIN05164</t>
  </si>
  <si>
    <t>4A1660_T_MB_S5_L003</t>
  </si>
  <si>
    <t>4A1687</t>
  </si>
  <si>
    <t>Alturaif Mashari Abdullah</t>
  </si>
  <si>
    <t>TZIN-B-1425</t>
  </si>
  <si>
    <t>4A1687_T_MB_S20</t>
  </si>
  <si>
    <t>4A1705</t>
  </si>
  <si>
    <t>Faizal Khamboo</t>
  </si>
  <si>
    <t>TZIN-B-1517</t>
  </si>
  <si>
    <t>Pancreatic tumor removal in 2020 (whipple surgery)</t>
  </si>
  <si>
    <t>4A1705_T_MB_S21</t>
  </si>
  <si>
    <t>4A1728</t>
  </si>
  <si>
    <t>Rukhmini Ingle</t>
  </si>
  <si>
    <t>TZIN-B-1540</t>
  </si>
  <si>
    <t>4A1728_T_MB_S2</t>
  </si>
  <si>
    <t>4A1740</t>
  </si>
  <si>
    <t>Judith Nipps</t>
  </si>
  <si>
    <t>TZIN05429</t>
  </si>
  <si>
    <t>Invasive carcinoma of no special type (Ductal), Grade 3</t>
  </si>
  <si>
    <t>Ayurvedic Treatment</t>
  </si>
  <si>
    <t>Paternal grandmother- Breast cancer at 65 yrs age</t>
  </si>
  <si>
    <t>4A1740_T_MB_S3</t>
  </si>
  <si>
    <t>4A1743</t>
  </si>
  <si>
    <t>Vijaya Dubale</t>
  </si>
  <si>
    <t>TZIN-B-1568</t>
  </si>
  <si>
    <t>4A1743_T_MB_S4</t>
  </si>
  <si>
    <t>4A1803</t>
  </si>
  <si>
    <t>Rekha Saboo</t>
  </si>
  <si>
    <t>EBPL04549</t>
  </si>
  <si>
    <t>History of Right Breast Carcinoma in 2016, perianal sqamous cell carcinoma</t>
  </si>
  <si>
    <t>Perianal cancer</t>
  </si>
  <si>
    <t>4A1803_T_MB_S5</t>
  </si>
  <si>
    <t>4A1804</t>
  </si>
  <si>
    <t xml:space="preserve">Ridham Desai </t>
  </si>
  <si>
    <t>TZIN05539</t>
  </si>
  <si>
    <t>4A1804_T_MB_S6</t>
  </si>
  <si>
    <t>4A1805</t>
  </si>
  <si>
    <t>Sonal Desai</t>
  </si>
  <si>
    <t>TZIN05538</t>
  </si>
  <si>
    <t>Needs confirmation, discrepency in PIS</t>
  </si>
  <si>
    <t>4A1805_T_MB_S7</t>
  </si>
  <si>
    <t>4A1814</t>
  </si>
  <si>
    <t>Dr. Seema Mehta</t>
  </si>
  <si>
    <t>TZIN05567</t>
  </si>
  <si>
    <t>4A1814_T_MB_S8</t>
  </si>
  <si>
    <t>4A1815</t>
  </si>
  <si>
    <t>Naina Mashruwala</t>
  </si>
  <si>
    <t>TZIN-B-1637</t>
  </si>
  <si>
    <t>4A1815_T_MB_S9</t>
  </si>
  <si>
    <t>4A1132</t>
  </si>
  <si>
    <t>Sagar Nagrekar</t>
  </si>
  <si>
    <t>S000115</t>
  </si>
  <si>
    <t>84.98 (12.8)</t>
  </si>
  <si>
    <t>4A1132_E_MB_S1</t>
  </si>
  <si>
    <t>4A1898</t>
  </si>
  <si>
    <t>Manvi Khandelwal</t>
  </si>
  <si>
    <t>EBPL0726</t>
  </si>
  <si>
    <t>PCOD</t>
  </si>
  <si>
    <t>4A1898_T_MB_S9</t>
  </si>
  <si>
    <t>4A1899</t>
  </si>
  <si>
    <t>Mitansh Tripathi</t>
  </si>
  <si>
    <t>EBPL0748</t>
  </si>
  <si>
    <t>4A1899_T_MB_S10</t>
  </si>
  <si>
    <t>4A2005</t>
  </si>
  <si>
    <t>Sajid Nadiadwala</t>
  </si>
  <si>
    <t>4A2005_T_MB_S1</t>
  </si>
  <si>
    <t>4A2006</t>
  </si>
  <si>
    <t>Uday Shankar</t>
  </si>
  <si>
    <t>TZIN05743</t>
  </si>
  <si>
    <t>4A2006_T_MB_S2</t>
  </si>
  <si>
    <t>4A2007</t>
  </si>
  <si>
    <t>Anupama Shankar</t>
  </si>
  <si>
    <t>TZIN05742</t>
  </si>
  <si>
    <t>4A2007_T_MB_S3</t>
  </si>
  <si>
    <t>IL-116</t>
  </si>
  <si>
    <t>4A0053</t>
  </si>
  <si>
    <t>Sayed Fatima</t>
  </si>
  <si>
    <t>S000533</t>
  </si>
  <si>
    <t>IL-116_T_MB_S8</t>
  </si>
  <si>
    <t>4A0078</t>
  </si>
  <si>
    <t>Shivaji Varade</t>
  </si>
  <si>
    <t>S000535</t>
  </si>
  <si>
    <t>GI?</t>
  </si>
  <si>
    <t>4A0078_T_MB_S46</t>
  </si>
  <si>
    <t>IL-117</t>
  </si>
  <si>
    <t>4A0079</t>
  </si>
  <si>
    <t>Anjali Kishanchandani</t>
  </si>
  <si>
    <t>A000316</t>
  </si>
  <si>
    <t>Allergies</t>
  </si>
  <si>
    <t>Grandmother-mouth cancer</t>
  </si>
  <si>
    <t>IL-117_T_MB_S9</t>
  </si>
  <si>
    <t>00197</t>
  </si>
  <si>
    <t>3A1263</t>
  </si>
  <si>
    <t>Ravindra Kale</t>
  </si>
  <si>
    <t>R000209</t>
  </si>
  <si>
    <t>Sister Breast cancer</t>
  </si>
  <si>
    <t>77.78 (11.6)</t>
  </si>
  <si>
    <t>00197_S6</t>
  </si>
  <si>
    <t>4A0187</t>
  </si>
  <si>
    <t>Padma Uttarkar</t>
  </si>
  <si>
    <t>P000002</t>
  </si>
  <si>
    <t>4A0187_T</t>
  </si>
  <si>
    <t>4A0247</t>
  </si>
  <si>
    <t>Sameer Dabilkar</t>
  </si>
  <si>
    <t>S000574</t>
  </si>
  <si>
    <t>4A0247_T</t>
  </si>
  <si>
    <t>4A0248</t>
  </si>
  <si>
    <t>Ashim Matthan</t>
  </si>
  <si>
    <t>A000336</t>
  </si>
  <si>
    <t>4A0248_T</t>
  </si>
  <si>
    <t>4A0249</t>
  </si>
  <si>
    <t>Kanishka Jain</t>
  </si>
  <si>
    <t>K000128</t>
  </si>
  <si>
    <t>4A0249_T</t>
  </si>
  <si>
    <t>4A0291</t>
  </si>
  <si>
    <t>Smruti Bhande</t>
  </si>
  <si>
    <t>S000586</t>
  </si>
  <si>
    <t>4A0291_T</t>
  </si>
  <si>
    <t>4A0301</t>
  </si>
  <si>
    <t>Jitesh Khokhani</t>
  </si>
  <si>
    <t>J000060</t>
  </si>
  <si>
    <t>4A0301_T</t>
  </si>
  <si>
    <t>4A0345</t>
  </si>
  <si>
    <t>Hoshang Vajifdar</t>
  </si>
  <si>
    <t>H000047</t>
  </si>
  <si>
    <t>Prostatectomy (due on 12 Mar 2025)</t>
  </si>
  <si>
    <t>Father – Multiple myeloma at the age of 74</t>
  </si>
  <si>
    <t>4A0345_T</t>
  </si>
  <si>
    <t>4A0356</t>
  </si>
  <si>
    <t>Avtar Singh</t>
  </si>
  <si>
    <t>A000346</t>
  </si>
  <si>
    <t>4A0356_T</t>
  </si>
  <si>
    <t>1A0028</t>
  </si>
  <si>
    <t>Mohan Pujari</t>
  </si>
  <si>
    <t>M000002</t>
  </si>
  <si>
    <t xml:space="preserve">Alzheimer's </t>
  </si>
  <si>
    <t>71.78 (10.8)</t>
  </si>
  <si>
    <t>10b</t>
  </si>
  <si>
    <t>1A0030</t>
  </si>
  <si>
    <t>Jayraj Parsekar</t>
  </si>
  <si>
    <t>J000012</t>
  </si>
  <si>
    <t>65.64 (9.8)</t>
  </si>
  <si>
    <t>12b, 12d</t>
  </si>
  <si>
    <t>1A0133</t>
  </si>
  <si>
    <t>Zubin Poonawala</t>
  </si>
  <si>
    <t>Z000001</t>
  </si>
  <si>
    <t>Cancer</t>
  </si>
  <si>
    <t>Acute Myeloid Leukemia</t>
  </si>
  <si>
    <t>44.48 (6.6)</t>
  </si>
  <si>
    <t>22b</t>
  </si>
  <si>
    <t>1A0093</t>
  </si>
  <si>
    <t>Amita Kedia</t>
  </si>
  <si>
    <t>A000019</t>
  </si>
  <si>
    <t>67.17 (10)</t>
  </si>
  <si>
    <t>23b</t>
  </si>
  <si>
    <t>1A0161</t>
  </si>
  <si>
    <t xml:space="preserve">Kamal Shamsunder Pai </t>
  </si>
  <si>
    <t>K000007</t>
  </si>
  <si>
    <t>Duodenum cancer</t>
  </si>
  <si>
    <t>29b</t>
  </si>
  <si>
    <t>1A0163</t>
  </si>
  <si>
    <t xml:space="preserve">Deepa Deshpande </t>
  </si>
  <si>
    <t>D000009</t>
  </si>
  <si>
    <t>Post CT treatment for breast cancer,,the PET can showed 30% increase in the lung cancer regions</t>
  </si>
  <si>
    <t>Breast Cancer and lung lesion on the outer surface  (Recovered in 217)</t>
  </si>
  <si>
    <t>68.79 (10.2)</t>
  </si>
  <si>
    <t>31b</t>
  </si>
  <si>
    <t>1A0383</t>
  </si>
  <si>
    <t xml:space="preserve">Sunita Salunkhe </t>
  </si>
  <si>
    <t>S000087</t>
  </si>
  <si>
    <t>Disease progration,Metastasis,treatment completed in 2022</t>
  </si>
  <si>
    <t>Disease progression, metastatic, treatment completed in May 222)</t>
  </si>
  <si>
    <t>63.28 (9.4)</t>
  </si>
  <si>
    <t>47b</t>
  </si>
  <si>
    <t>1A0364</t>
  </si>
  <si>
    <t xml:space="preserve">Heena Parikh </t>
  </si>
  <si>
    <t>H000006</t>
  </si>
  <si>
    <t>CRC detected 15 years ago, treatment - Chemotherapy. Breast cancer detected 8-9 years ago treatment - Chemotherapy; ER+, PR+, Her2+, uterus was removed prophylactically. Recently 2 years ago, cancer detected in breast and chest wall, ER-, PR-, Her2 mild positive</t>
  </si>
  <si>
    <t>Active Colorectal Cancer</t>
  </si>
  <si>
    <t>56.66 (8.4)</t>
  </si>
  <si>
    <t>49b</t>
  </si>
  <si>
    <t>4A0357</t>
  </si>
  <si>
    <t>Metin Mutlu</t>
  </si>
  <si>
    <t>M000071</t>
  </si>
  <si>
    <t>other ethnicity</t>
  </si>
  <si>
    <t>4A0357_T</t>
  </si>
  <si>
    <t>2A0145</t>
  </si>
  <si>
    <t>Donetta Ditton</t>
  </si>
  <si>
    <t>D000034</t>
  </si>
  <si>
    <t>Family history-Skin Cancer</t>
  </si>
  <si>
    <t>79.27 (11.8)</t>
  </si>
  <si>
    <t>100b, 100d</t>
  </si>
  <si>
    <t>00154</t>
  </si>
  <si>
    <t>4A0524</t>
  </si>
  <si>
    <t>Anya Goncharova</t>
  </si>
  <si>
    <t>A000365</t>
  </si>
  <si>
    <t>78.08 (11.6)</t>
  </si>
  <si>
    <t>00154_S35, 4A0524_E_MB_S27</t>
  </si>
  <si>
    <t>4A0621</t>
  </si>
  <si>
    <t>Francis Scola</t>
  </si>
  <si>
    <t>F000018</t>
  </si>
  <si>
    <t>Paid report</t>
  </si>
  <si>
    <t>4A0621_T_S18</t>
  </si>
  <si>
    <t>3A1079</t>
  </si>
  <si>
    <t>Izabela Quasha</t>
  </si>
  <si>
    <t>I000018</t>
  </si>
  <si>
    <t>210.88 (31.8)</t>
  </si>
  <si>
    <t>241b, 241d</t>
  </si>
  <si>
    <t>3A1082</t>
  </si>
  <si>
    <t>Jedidiah Rust</t>
  </si>
  <si>
    <t>J000054</t>
  </si>
  <si>
    <t>102.07 (15.4)</t>
  </si>
  <si>
    <t>244b, 244d</t>
  </si>
  <si>
    <t>3A1088</t>
  </si>
  <si>
    <t>Moez Daya</t>
  </si>
  <si>
    <t>M000158</t>
  </si>
  <si>
    <t>179.8 (27)</t>
  </si>
  <si>
    <t>248b, 248d</t>
  </si>
  <si>
    <t>3A1209</t>
  </si>
  <si>
    <t>Lise Kindherg</t>
  </si>
  <si>
    <t>L000036</t>
  </si>
  <si>
    <t>73.27 (11)</t>
  </si>
  <si>
    <t>299b, 299d</t>
  </si>
  <si>
    <t>3A1202</t>
  </si>
  <si>
    <t>Janni Thor Hjorth</t>
  </si>
  <si>
    <t>J000089</t>
  </si>
  <si>
    <t>Paid/Complimentary</t>
  </si>
  <si>
    <t>68.99 (10.4)</t>
  </si>
  <si>
    <t>289b, 289d</t>
  </si>
  <si>
    <t>3A1200</t>
  </si>
  <si>
    <t>Marc Bruun De Neergaard</t>
  </si>
  <si>
    <t>M000170</t>
  </si>
  <si>
    <t>67.76 (10.2)</t>
  </si>
  <si>
    <t>288b, 288d</t>
  </si>
  <si>
    <t>3A1083</t>
  </si>
  <si>
    <t>Wayne Quasha</t>
  </si>
  <si>
    <t>W000005</t>
  </si>
  <si>
    <t>98.64 (14.8)</t>
  </si>
  <si>
    <t>245b, 245d</t>
  </si>
  <si>
    <t>2A1251</t>
  </si>
  <si>
    <t>Elly Daya</t>
  </si>
  <si>
    <t>E000008</t>
  </si>
  <si>
    <t xml:space="preserve"> No known history of cancer. Family history of cancer - Grandmother - Stomach  (gastric) cancer, Mother - Stomach  (gastric) cancer and Ovarian cancer, Two of the paternal aunts - Breast cancer, Cousin - Breast cancer. Personal History - Irregular menstrual cycle, Testosterone hormone therapy for six months  (start of therapy not provided), Hormonal therapy for a year  (start of therapy not provided).</t>
  </si>
  <si>
    <t>179b, 179d</t>
  </si>
  <si>
    <t>4A0303</t>
  </si>
  <si>
    <t>Liliane Lecocq</t>
  </si>
  <si>
    <t>L000047</t>
  </si>
  <si>
    <t>Invasive breast carcinoma</t>
  </si>
  <si>
    <t>Hypothyroidism, Diabetes</t>
  </si>
  <si>
    <t>Father – Diabetes, Mother – Parkinsons disease, Paternal great-grandmother. – Diabetes, Paternal grandfather – kidney disease (died in 1949).</t>
  </si>
  <si>
    <t>4A0303_T</t>
  </si>
  <si>
    <t>00180_S30</t>
  </si>
  <si>
    <t>4A0441</t>
  </si>
  <si>
    <t>Linda Scott</t>
  </si>
  <si>
    <t>L000048</t>
  </si>
  <si>
    <t>Known case of Breast cancer (stage I, grade 3) diagnosed in 2019</t>
  </si>
  <si>
    <t>Father – Parkinson’s disease and Prostate cancer at the age of 75, Paternal grandfather – Bowel cancer at the age of 40, Maternal grandfather – Heart attack at the age of 74 (verbal communication)</t>
  </si>
  <si>
    <t>75.59  (11.4)</t>
  </si>
  <si>
    <t>13/05/2025</t>
  </si>
  <si>
    <t>00181_S31</t>
  </si>
  <si>
    <t>4A0442</t>
  </si>
  <si>
    <t>Gordon Scott</t>
  </si>
  <si>
    <t>G000079</t>
  </si>
  <si>
    <t>81.33  (12.2)</t>
  </si>
  <si>
    <t>3A1085</t>
  </si>
  <si>
    <t>Alan Quasha</t>
  </si>
  <si>
    <t>A000279</t>
  </si>
  <si>
    <t>Prostate Cancer diagnosed long yrs ago (document not available)</t>
  </si>
  <si>
    <t>Acid reflux</t>
  </si>
  <si>
    <t>Father - Prostate Cancer and Colon Cancer</t>
  </si>
  <si>
    <t>173.12 (26)</t>
  </si>
  <si>
    <t>247b, 247d</t>
  </si>
  <si>
    <t>3A1169</t>
  </si>
  <si>
    <t>Ilona Nemeth</t>
  </si>
  <si>
    <t>I000019</t>
  </si>
  <si>
    <t>161.93 (24.4)</t>
  </si>
  <si>
    <t>278b, 278d</t>
  </si>
  <si>
    <t>3A1204</t>
  </si>
  <si>
    <t>Christian Hojland</t>
  </si>
  <si>
    <t>C000037</t>
  </si>
  <si>
    <t>78.97 (11.8)</t>
  </si>
  <si>
    <t>292b, 292d</t>
  </si>
  <si>
    <t>3A1206</t>
  </si>
  <si>
    <t>Andrei Popa</t>
  </si>
  <si>
    <t>A000295</t>
  </si>
  <si>
    <t>57.57 (8.6)</t>
  </si>
  <si>
    <t>295b, 295d</t>
  </si>
  <si>
    <t>3A0559</t>
  </si>
  <si>
    <t xml:space="preserve">Monica Paolini </t>
  </si>
  <si>
    <t>M000064</t>
  </si>
  <si>
    <t>Liver, Kidney, Breast, Pancreas</t>
  </si>
  <si>
    <t>Clinical history of patient: MRI: - 9th March 224 - Scattered tiny cystic lesions within the pancreas measuring up to 4 mm within the neck, potentially seen secondary to Intraductal papillary mucinous neoplasms  (IPMNs).
o Diminutive  (Atrophy) thyroid detected, Cysts are present within the liver, Scattered small cysts within the kidneys, High density glandular breast tissue indicates potential risk of breast cancer, Detected evidence of diverticulosis  (Multiple sack like protrusions), Detected a lesion which is consistent with a Nabothian cyst  (lump filled with mucus at cervix), There are mild degenerative spondyloarthropathy changes in cervical spine and
lumbar spine, Detected bilateral small knee joint effusions, Nonspecific cystic change at the head neck junction of the proximal left femur, 2.6 x 2.5 cm right-sided Gartner duct cyst. Biochemistry and Immunoassay: - 16th April 224, SARS-CoV-2 positive  (16/4/24), Spot Urine creatinine 316 mg/dL  (normal is 29-226), CA 19.9 Level serum is 42.2 U/mL  (normal is -39). Stratagene test: - Significant SNPs were found for NAT2, TH, DRD2, PNMT, COMT, SLC6A2, ADRB2, CYP1A2, UGT1A6, MTHFD1, CHDH, PON1  (Degrades toxic metabolites), GSTA1, GST1, NOX, SOD2, MPQ, NOS3, GSTP1  (Tumor suppressor gene), IDO2  (Immune system regulator). Family history of cancer: Paternal Grandfather - Colon cancer</t>
  </si>
  <si>
    <t>175.3 (26.4)</t>
  </si>
  <si>
    <t>200b, 200d</t>
  </si>
  <si>
    <t>4A0654</t>
  </si>
  <si>
    <t xml:space="preserve">Joshua Rosenthal </t>
  </si>
  <si>
    <t>J000103</t>
  </si>
  <si>
    <t>Chronic Lymphocytic Leukemia Survivor</t>
  </si>
  <si>
    <t>Hypertension, Thyroid disease</t>
  </si>
  <si>
    <t>Mother side cousin – Chronic Lymphocytic Leukemia</t>
  </si>
  <si>
    <t>4A0654_T_MB_S58</t>
  </si>
  <si>
    <t>2A1235</t>
  </si>
  <si>
    <t>Mary Moss</t>
  </si>
  <si>
    <t>M000105</t>
  </si>
  <si>
    <t>Clinical history of patient - Date of Diagnosis: USG guided biopsy  (12/9/221) - Infiltrating duct breast carcinoma, Grade II-III. CT scan:  (26/9/221): An irregular shaped mass measuring 2.5 × 1.8 × 2 cm in diameter was seen at the LIQ  (lower inner quadrant) site which demonstrated a type 3 curve in kinetic analysis. A 1.5 × 1.5 × 2 cm of non-mass linear branching enhancement observed in the central region, 3 cm from nipple ad 6 cm from the index mass demonstrated a type 1 curve in kinetic analysis. Digital spectral mammography with contrast  (3/5/223). Left breast:  (BIRADS-4c) heterogenous mass measuring 18 × 12 × 18 mm  (SUV max 6.8) inseparable from the skin having faint vascularity. Right breast: Normal  (BIRADS-1). Histopathology  (18/6/223): Recurrent infiltrating duct carcinoma. Ill-defined mass  (Grade II) extending to the subcutaneous fat consisting of  moderately pleomorphic malignant ductal epithelia cells with high nucleo/cytoplasmic ratio. Desmoplastic stroma with lymphoplasmacytic infiltrate observed. Lymphatic tumor emboli were detected in the dermis and subcutaneous fat. Immunohistochemical assessment  (22/6/223): ER negative, PR negative, HER2 –negative  (Score1+). Treatment: On multiple herbal supplements, low methionine diet, and multivitamins postsurgery for a duration of 6 weeks, Other medications: metformin, doxy or mebendazole, atorvastatin on daily basis, 8 one-half sessions of infra-red sauna prior to beginning supplements, 8 sessions of ozone therapy  (rectal) prior to supplements which was discontinued as patient developed allergy. Family history of cancer - Aunt diagnosed with breast cancer. Personal History - Regular consumption of alcohol.</t>
  </si>
  <si>
    <t>56.18 (8.4)</t>
  </si>
  <si>
    <t>176b, 176d</t>
  </si>
  <si>
    <t>3A0976</t>
  </si>
  <si>
    <t>Sinai Layson</t>
  </si>
  <si>
    <t>S000452</t>
  </si>
  <si>
    <t>Dr Nadeem, other ethnicity</t>
  </si>
  <si>
    <t>54.76 (8.2)</t>
  </si>
  <si>
    <t>235b, 235d</t>
  </si>
  <si>
    <t>4A0713</t>
  </si>
  <si>
    <t>Swaroop Bhatankar</t>
  </si>
  <si>
    <t>S000650</t>
  </si>
  <si>
    <t>4A0882</t>
  </si>
  <si>
    <t>Amar Maurya</t>
  </si>
  <si>
    <t>A000403</t>
  </si>
  <si>
    <t>3A1131</t>
  </si>
  <si>
    <t>Khandge Sudam</t>
  </si>
  <si>
    <t>K000103</t>
  </si>
  <si>
    <t>59.16 (8.8)</t>
  </si>
  <si>
    <t>258b, 258d</t>
  </si>
  <si>
    <t>2A1236</t>
  </si>
  <si>
    <t>Navin Alahari</t>
  </si>
  <si>
    <t>N000068</t>
  </si>
  <si>
    <t>JAK 2 somatic positive</t>
  </si>
  <si>
    <t>Chronic Essential thrombocythemia</t>
  </si>
  <si>
    <t>67.09 (10)</t>
  </si>
  <si>
    <t>2A1236_E_MB_S15</t>
  </si>
  <si>
    <t>2A1237</t>
  </si>
  <si>
    <t>3A0607</t>
  </si>
  <si>
    <t>Shreya Nair</t>
  </si>
  <si>
    <t>S000049</t>
  </si>
  <si>
    <t>64.92 (9.8)</t>
  </si>
  <si>
    <t>3A0607_E_MB_S16</t>
  </si>
  <si>
    <t>3A0634</t>
  </si>
  <si>
    <t>Sheil Kowadkar</t>
  </si>
  <si>
    <t>S000391</t>
  </si>
  <si>
    <t>3A0640</t>
  </si>
  <si>
    <t>Swaraj Mule</t>
  </si>
  <si>
    <t>S000395</t>
  </si>
  <si>
    <t>3A0641</t>
  </si>
  <si>
    <t>Anuj Bodkhe</t>
  </si>
  <si>
    <t>A000222</t>
  </si>
  <si>
    <t>3A0642</t>
  </si>
  <si>
    <t>Ajit Kesare</t>
  </si>
  <si>
    <t>A000104</t>
  </si>
  <si>
    <t>3A0644</t>
  </si>
  <si>
    <t>Gulshan Kumar</t>
  </si>
  <si>
    <t>G000028</t>
  </si>
  <si>
    <t>3A0645</t>
  </si>
  <si>
    <t>Sarthak Bondre</t>
  </si>
  <si>
    <t>S000396</t>
  </si>
  <si>
    <t>3A0646</t>
  </si>
  <si>
    <t>Aayush Wagh</t>
  </si>
  <si>
    <t>A000223</t>
  </si>
  <si>
    <t>3A0647</t>
  </si>
  <si>
    <t>Amey Thakur</t>
  </si>
  <si>
    <t>A000216</t>
  </si>
  <si>
    <t>3A0658</t>
  </si>
  <si>
    <t>Bhavi Pawar</t>
  </si>
  <si>
    <t>B000061</t>
  </si>
  <si>
    <t>3A0663</t>
  </si>
  <si>
    <t>Bhavik Kalgutkar</t>
  </si>
  <si>
    <t>B000062</t>
  </si>
  <si>
    <t>3A0664</t>
  </si>
  <si>
    <t>Yogesh Shinde</t>
  </si>
  <si>
    <t>Y000017</t>
  </si>
  <si>
    <t>3A0667</t>
  </si>
  <si>
    <t>Amey Sanap</t>
  </si>
  <si>
    <t>A000226</t>
  </si>
  <si>
    <t>3A0668</t>
  </si>
  <si>
    <t>Anish Dev</t>
  </si>
  <si>
    <t>A000227</t>
  </si>
  <si>
    <t>3A0670</t>
  </si>
  <si>
    <t>Adnan Shaikh</t>
  </si>
  <si>
    <t>A000228</t>
  </si>
  <si>
    <t>3A0671</t>
  </si>
  <si>
    <t>Omkar Burase</t>
  </si>
  <si>
    <t>O000003</t>
  </si>
  <si>
    <t>3A0673</t>
  </si>
  <si>
    <t>Tanmay Bandbe</t>
  </si>
  <si>
    <t>T000006</t>
  </si>
  <si>
    <t>3A0675</t>
  </si>
  <si>
    <t>Pawan Acharya</t>
  </si>
  <si>
    <t>P000058</t>
  </si>
  <si>
    <t>3A0676</t>
  </si>
  <si>
    <t xml:space="preserve">Arti Bamne </t>
  </si>
  <si>
    <t>A000229</t>
  </si>
  <si>
    <t>69.1 (10.4)</t>
  </si>
  <si>
    <t>3A0676_E_MB_S17</t>
  </si>
  <si>
    <t>3A0677</t>
  </si>
  <si>
    <t xml:space="preserve">Sweety Maurya </t>
  </si>
  <si>
    <t>S000038</t>
  </si>
  <si>
    <t>70.52 (10.6)</t>
  </si>
  <si>
    <t>3A0677_E_MB_S18</t>
  </si>
  <si>
    <t>3A0678</t>
  </si>
  <si>
    <t xml:space="preserve">Vaishnavi Takle </t>
  </si>
  <si>
    <t>V000002</t>
  </si>
  <si>
    <t>70.1 (10.4)</t>
  </si>
  <si>
    <t>3A0678_E_MB_S19</t>
  </si>
  <si>
    <t>3A0679</t>
  </si>
  <si>
    <t xml:space="preserve">Pooja Kadam </t>
  </si>
  <si>
    <t>P000113</t>
  </si>
  <si>
    <t>69.71 (10.4)</t>
  </si>
  <si>
    <t>3A0679_E_MB_S20</t>
  </si>
  <si>
    <t>3A0680</t>
  </si>
  <si>
    <t xml:space="preserve">Kanchan Kadam </t>
  </si>
  <si>
    <t>K000089</t>
  </si>
  <si>
    <t>3A0680_E_MB_S21</t>
  </si>
  <si>
    <t>3A0682</t>
  </si>
  <si>
    <t xml:space="preserve">Shraddha Avchite </t>
  </si>
  <si>
    <t>73.68 (11)</t>
  </si>
  <si>
    <t>3A0682_E_MB_S22</t>
  </si>
  <si>
    <t>3A0683</t>
  </si>
  <si>
    <t xml:space="preserve">Soumyaa Thakur </t>
  </si>
  <si>
    <t>S000006</t>
  </si>
  <si>
    <t>62.41 (9.4)</t>
  </si>
  <si>
    <t>3A0683_E_MB_S23</t>
  </si>
  <si>
    <t>3A0709</t>
  </si>
  <si>
    <t>Anuj Gurwada</t>
  </si>
  <si>
    <t>A000010</t>
  </si>
  <si>
    <t>70.44 (10.6)</t>
  </si>
  <si>
    <t>3A0709_E_MB_S27</t>
  </si>
  <si>
    <t>3A0711</t>
  </si>
  <si>
    <t>Girish lawana</t>
  </si>
  <si>
    <t>G000002</t>
  </si>
  <si>
    <t>67.67 (10.2)</t>
  </si>
  <si>
    <t>3A0711_E_MB_S28</t>
  </si>
  <si>
    <t>3A1091</t>
  </si>
  <si>
    <t>Ruma Vasandani</t>
  </si>
  <si>
    <t>R000193</t>
  </si>
  <si>
    <t>61.34 (9.2)</t>
  </si>
  <si>
    <t>3A1091_E_MB_S29</t>
  </si>
  <si>
    <t>3A0833</t>
  </si>
  <si>
    <t>Aditya Khanna</t>
  </si>
  <si>
    <t>A000243</t>
  </si>
  <si>
    <t>3A1092</t>
  </si>
  <si>
    <t>Deepak Vasandani</t>
  </si>
  <si>
    <t>D000097</t>
  </si>
  <si>
    <t>3A0837</t>
  </si>
  <si>
    <t>Alice Castelino</t>
  </si>
  <si>
    <t>A000246</t>
  </si>
  <si>
    <t>Breast (Mucinous Carcinoma Grade 2), right breast carcinoma</t>
  </si>
  <si>
    <t>Diabetes, Thyroid dysfunction, Dysfunction in reproductive organs</t>
  </si>
  <si>
    <t>3A0855</t>
  </si>
  <si>
    <t>Zahabiya Khorakiwala</t>
  </si>
  <si>
    <t>Z000004</t>
  </si>
  <si>
    <t>3A0070</t>
  </si>
  <si>
    <t>3A0852</t>
  </si>
  <si>
    <t>Roopendra Chavan</t>
  </si>
  <si>
    <t>R000170</t>
  </si>
  <si>
    <t>3A0875</t>
  </si>
  <si>
    <t>Bipin Chand</t>
  </si>
  <si>
    <t>B000001</t>
  </si>
  <si>
    <t>3A0882</t>
  </si>
  <si>
    <t>Krithika Konar</t>
  </si>
  <si>
    <t>K000098</t>
  </si>
  <si>
    <t>3A1084</t>
  </si>
  <si>
    <t>Tom Pontzius</t>
  </si>
  <si>
    <t>T000033</t>
  </si>
  <si>
    <t>186.48 (28)</t>
  </si>
  <si>
    <t>246b, 246d</t>
  </si>
  <si>
    <t>1A0428</t>
  </si>
  <si>
    <t>Nitesh Ashok Waghdhare</t>
  </si>
  <si>
    <t>021222426</t>
  </si>
  <si>
    <t>1A0429</t>
  </si>
  <si>
    <t>Rushikesh Pilae</t>
  </si>
  <si>
    <t>031222427</t>
  </si>
  <si>
    <t>Hematological and Lymphoid (Lymphoblastic Lymphoma)</t>
  </si>
  <si>
    <t>1A0431</t>
  </si>
  <si>
    <t>Rajendra Kad</t>
  </si>
  <si>
    <t>051222429</t>
  </si>
  <si>
    <t>Hepatobilliary System (Pancreas, Adenocarcinoma)</t>
  </si>
  <si>
    <t>1A0432</t>
  </si>
  <si>
    <t>Anand Appaji Pawar</t>
  </si>
  <si>
    <t>051222430</t>
  </si>
  <si>
    <t>1A0433</t>
  </si>
  <si>
    <t>Kiran Bangar</t>
  </si>
  <si>
    <t>051222431</t>
  </si>
  <si>
    <t>1A0435</t>
  </si>
  <si>
    <t>Raju Shinde</t>
  </si>
  <si>
    <t>051222433</t>
  </si>
  <si>
    <t>1A0437</t>
  </si>
  <si>
    <t>Navnath Autte</t>
  </si>
  <si>
    <t>061222435</t>
  </si>
  <si>
    <t>1A0446</t>
  </si>
  <si>
    <t>Rajaram Waykar</t>
  </si>
  <si>
    <t>081222444</t>
  </si>
  <si>
    <t>Head &amp; Neck (Buccal Mucosa, Carcinoma)</t>
  </si>
  <si>
    <t>1A0450</t>
  </si>
  <si>
    <t>Bhimrao Tamhane</t>
  </si>
  <si>
    <t>081222448</t>
  </si>
  <si>
    <t>GI (Anorectum, Adenocarcinoma)</t>
  </si>
  <si>
    <t>2A0728</t>
  </si>
  <si>
    <t xml:space="preserve">Akhil Gurwada </t>
  </si>
  <si>
    <t>A000011</t>
  </si>
  <si>
    <t>3A0672</t>
  </si>
  <si>
    <t>Rushabha Kambale</t>
  </si>
  <si>
    <t>R000158</t>
  </si>
  <si>
    <t>3A1201</t>
  </si>
  <si>
    <t>Ravindra Kawade</t>
  </si>
  <si>
    <t>R000206</t>
  </si>
  <si>
    <t>3A1311</t>
  </si>
  <si>
    <t>Sudeshkumar Dhotre</t>
  </si>
  <si>
    <t>S000512</t>
  </si>
  <si>
    <t xml:space="preserve">4A0295 </t>
  </si>
  <si>
    <t>Om Dumatkar</t>
  </si>
  <si>
    <t>O000005</t>
  </si>
  <si>
    <t>4A1599</t>
  </si>
  <si>
    <t>Sharadini Kharat</t>
  </si>
  <si>
    <t>TZIN04889</t>
  </si>
  <si>
    <t>No PET/CT and biopsy confirmation</t>
  </si>
  <si>
    <t>Hysterectomy in 2005,  left side buccal mucosal lesion and left pinna below lesion CT Scan- Left buccal mucosa thickening. Neoplastic etiology</t>
  </si>
  <si>
    <t>Hypertension, Heart disease</t>
  </si>
  <si>
    <t>65.57 (9.8)</t>
  </si>
  <si>
    <t>4A1599_E_MB_S2</t>
  </si>
  <si>
    <t>4A1600</t>
  </si>
  <si>
    <t>Padma Nugula</t>
  </si>
  <si>
    <t>TZIN04890</t>
  </si>
  <si>
    <t>Nodules in right lobe of Thyroid. On Ayurvedic treatment for the last 2 years.</t>
  </si>
  <si>
    <t>Thyroid dysfunction</t>
  </si>
  <si>
    <t>71.6 (10.8)</t>
  </si>
  <si>
    <t>4A1600_E_MB_S3</t>
  </si>
  <si>
    <t>4A1617</t>
  </si>
  <si>
    <t>Usha Avinash Wagh</t>
  </si>
  <si>
    <t>TZIN05023</t>
  </si>
  <si>
    <t>In right breast axillary lymph node, Patient is having lump on the right breast axillary lymphnode, swelling at right axilla. Breast excision done (operated in July 2024)</t>
  </si>
  <si>
    <t>Hypertension, Heart disease, Thyroid dysfunction</t>
  </si>
  <si>
    <t>Mother cancer in right side of axilla</t>
  </si>
  <si>
    <t>74.86 (11.2)</t>
  </si>
  <si>
    <t>4A1617_E_MB_S4</t>
  </si>
  <si>
    <t>4A1618</t>
  </si>
  <si>
    <t>Usmanbhai Abdulbhai Mulani</t>
  </si>
  <si>
    <t>TZIN04997</t>
  </si>
  <si>
    <t>On the toungue right lateral border</t>
  </si>
  <si>
    <t>Confirmatory Reports Unavailable</t>
  </si>
  <si>
    <t>73.71 (11)</t>
  </si>
  <si>
    <t>4A1618_E_MB_S5</t>
  </si>
  <si>
    <t>4A1635</t>
  </si>
  <si>
    <t>Kolage Eknath</t>
  </si>
  <si>
    <t>TZIN-B-1370</t>
  </si>
  <si>
    <t>Gleason score 9 Grade 5</t>
  </si>
  <si>
    <t>71.67 (10.8)</t>
  </si>
  <si>
    <t>4A1635_E_MB_S6</t>
  </si>
  <si>
    <t>4A1838</t>
  </si>
  <si>
    <t>Chonde Lata</t>
  </si>
  <si>
    <t>TZIN-B-1657</t>
  </si>
  <si>
    <t>4A1897</t>
  </si>
  <si>
    <t>Usama Faique Gharade</t>
  </si>
  <si>
    <t>4A1909</t>
  </si>
  <si>
    <t>Manoj Sharma</t>
  </si>
  <si>
    <t>4A1922</t>
  </si>
  <si>
    <t>Vempati Ashok Babu</t>
  </si>
  <si>
    <t>TZIN05634</t>
  </si>
  <si>
    <t>4A1923</t>
  </si>
  <si>
    <t>Rashmi Ranjan Kanungo</t>
  </si>
  <si>
    <t>4A1992</t>
  </si>
  <si>
    <t>Kajal Arya</t>
  </si>
  <si>
    <t>TZIN05732</t>
  </si>
  <si>
    <t>Eye cancer</t>
  </si>
  <si>
    <t>Diabetes, Thyroid dysfunction</t>
  </si>
  <si>
    <t>4A0056</t>
  </si>
  <si>
    <t>Sachin Pote</t>
  </si>
  <si>
    <t>S000534</t>
  </si>
  <si>
    <t>4A0060</t>
  </si>
  <si>
    <t>Kishor Mhaske</t>
  </si>
  <si>
    <t>K000120</t>
  </si>
  <si>
    <t>4A0068</t>
  </si>
  <si>
    <t>Rupali Bobade</t>
  </si>
  <si>
    <t>R000229</t>
  </si>
  <si>
    <t>5A0001</t>
  </si>
  <si>
    <t>Mokksh Sani</t>
  </si>
  <si>
    <t>TZIN-B-2025</t>
  </si>
  <si>
    <t>undiagnosed lump/lesion on the left arm </t>
  </si>
  <si>
    <t>Arm</t>
  </si>
  <si>
    <t>Father – Prostate Cancer (Age 75) </t>
  </si>
  <si>
    <t>5A0045</t>
  </si>
  <si>
    <t>Dev Kedia</t>
  </si>
  <si>
    <t>TZIN-B-2026</t>
  </si>
  <si>
    <t>5A0101</t>
  </si>
  <si>
    <t>Umesh Rajput</t>
  </si>
  <si>
    <t>TZIN-B-1928</t>
  </si>
  <si>
    <t>5A0102</t>
  </si>
  <si>
    <t>Ajay Narayan More</t>
  </si>
  <si>
    <t>TZIN-B-1927</t>
  </si>
  <si>
    <t>5A0103</t>
  </si>
  <si>
    <t>Arun Mangilal Luharuka</t>
  </si>
  <si>
    <t>TZIN-B-1926</t>
  </si>
  <si>
    <t>5A0111</t>
  </si>
  <si>
    <t>Ankur Savant</t>
  </si>
  <si>
    <t>TZIN-B-1922</t>
  </si>
  <si>
    <t>5A0127</t>
  </si>
  <si>
    <t>Ashish Puntambekar</t>
  </si>
  <si>
    <t>TZIN-B-1917</t>
  </si>
  <si>
    <t>5A0130</t>
  </si>
  <si>
    <t>Padmini Ranganathan</t>
  </si>
  <si>
    <t>TZIN05905</t>
  </si>
  <si>
    <t>Diabetes, Thyroid dysfunction </t>
  </si>
  <si>
    <t>5A0148</t>
  </si>
  <si>
    <t>Prem G Rajani</t>
  </si>
  <si>
    <t>TZIN-B-1949</t>
  </si>
  <si>
    <t>5A0149</t>
  </si>
  <si>
    <t>Deepali Chheda</t>
  </si>
  <si>
    <t>TZIN-B-1951</t>
  </si>
  <si>
    <t>5A0150</t>
  </si>
  <si>
    <t>Isha Sekhri</t>
  </si>
  <si>
    <t>TZIN-B-1952</t>
  </si>
  <si>
    <t>5A0155</t>
  </si>
  <si>
    <t>Smita Kulkarni</t>
  </si>
  <si>
    <t>TZIN-B-1975</t>
  </si>
  <si>
    <t>5A0156</t>
  </si>
  <si>
    <t>Pushkar Adsule</t>
  </si>
  <si>
    <t>TZIN-B-1957</t>
  </si>
  <si>
    <t>5A0157</t>
  </si>
  <si>
    <t>Kaustubh Radkar</t>
  </si>
  <si>
    <t>TZIN-B-1956</t>
  </si>
  <si>
    <t>5A0158</t>
  </si>
  <si>
    <t>Ishan Puntambekar</t>
  </si>
  <si>
    <t>TZIN-B-1955</t>
  </si>
  <si>
    <t>5A0182</t>
  </si>
  <si>
    <t>Harun Saheer</t>
  </si>
  <si>
    <t>5A0183</t>
  </si>
  <si>
    <t>Nirmala Jain</t>
  </si>
  <si>
    <t>TZIN-B-1976</t>
  </si>
  <si>
    <t xml:space="preserve">Dr. Nadeem </t>
  </si>
  <si>
    <t>5A0256</t>
  </si>
  <si>
    <t>Pathan Bismilla Mubarak</t>
  </si>
  <si>
    <t>5A0257</t>
  </si>
  <si>
    <t>Joshi Shweta Aniruddh</t>
  </si>
  <si>
    <t>5A0260</t>
  </si>
  <si>
    <t>Raut Kavita Arjun</t>
  </si>
  <si>
    <t>5A0261</t>
  </si>
  <si>
    <t>Gawali Sindhu</t>
  </si>
  <si>
    <t>Sr no</t>
  </si>
  <si>
    <t>Sample leveling</t>
  </si>
  <si>
    <t>Endometriosis and Uterine Fibroids</t>
  </si>
  <si>
    <t>Pilar Cyst</t>
  </si>
  <si>
    <t>Lung cancer  (Right hilar mass; primary?); Hypermetabolic infiltrative right hilar mass  (malignant) with hypermetabolic metastatic mediastinal, supraclavicular, abdominal and pelvic nodes.Hypermetabolic bilobar liver lesions - left adrenal nodule - multiple lytic/sclerotic skeletal lesions are metastatic. C7-D2 vertebrae shows destructive lytic lesion with minimal
intraspinal soft-tissue component. "23.1.23 - 48x36 mm lesion in right hilum extending to lower lobe with narrowing of right lower lobe bronchus" Coarse calcified foci noted in left parietooccipital lobe and hypermetabolic foci in right temporal lobe suspicious for metastasis; MRI suggested.)"</t>
  </si>
  <si>
    <t>Hepatobilliary System (Pancreas)</t>
  </si>
  <si>
    <t>Pancreatic cyst</t>
  </si>
  <si>
    <t>Fibroids</t>
  </si>
  <si>
    <t>Cyst near rib cage</t>
  </si>
  <si>
    <t>Uterine Fibroids</t>
  </si>
  <si>
    <t>GI (GIST)</t>
  </si>
  <si>
    <t>Female Reproductive Organ (Ovarian Cyst)</t>
  </si>
  <si>
    <t>Blood disease</t>
  </si>
  <si>
    <t>Breast (Mucinous Carcinoma Grade 2)</t>
  </si>
  <si>
    <t>Unavailable</t>
  </si>
  <si>
    <t>CTN/COT/CS?</t>
  </si>
  <si>
    <t>CS/ COT?</t>
  </si>
  <si>
    <t>Stomach neuroendocrine cancer</t>
  </si>
  <si>
    <t>Upper eyelid</t>
  </si>
  <si>
    <t>Disease Type</t>
  </si>
  <si>
    <t>Sample collection date</t>
  </si>
  <si>
    <t>PD001</t>
  </si>
  <si>
    <t>PD002</t>
  </si>
  <si>
    <t>PD003</t>
  </si>
  <si>
    <t>PD004</t>
  </si>
  <si>
    <t>PD005</t>
  </si>
  <si>
    <t>PD006</t>
  </si>
  <si>
    <t>PD007</t>
  </si>
  <si>
    <t>PD008</t>
  </si>
  <si>
    <t>1A0460</t>
  </si>
  <si>
    <t xml:space="preserve">Anay Bajpai </t>
  </si>
  <si>
    <t>A000055</t>
  </si>
  <si>
    <t>82.53 (12.4)</t>
  </si>
  <si>
    <t>58b, 58d</t>
  </si>
  <si>
    <t>2A0002</t>
  </si>
  <si>
    <t>Anika Tripathi</t>
  </si>
  <si>
    <t>A000057</t>
  </si>
  <si>
    <t>69.29 (10.4)</t>
  </si>
  <si>
    <t>74b, 74d</t>
  </si>
  <si>
    <t>2A0003</t>
  </si>
  <si>
    <t xml:space="preserve">Ashna Tripathi </t>
  </si>
  <si>
    <t>A000058</t>
  </si>
  <si>
    <t>76.03 (11.4)</t>
  </si>
  <si>
    <t>75b, 75d</t>
  </si>
  <si>
    <t xml:space="preserve">Daivik Motwani  </t>
  </si>
  <si>
    <t>D000087</t>
  </si>
  <si>
    <t>134.93 (20.2)</t>
  </si>
  <si>
    <t>231b, 231d</t>
  </si>
  <si>
    <t>4A0084</t>
  </si>
  <si>
    <t>Mohd. Jawad Shaikh</t>
  </si>
  <si>
    <t>M000192</t>
  </si>
  <si>
    <t>83.4 (12.4)</t>
  </si>
  <si>
    <t>4A0084_T</t>
  </si>
  <si>
    <t>Dvit Motwani</t>
  </si>
  <si>
    <t>D000088</t>
  </si>
  <si>
    <t>1A0013</t>
  </si>
  <si>
    <t>Raj Tambe</t>
  </si>
  <si>
    <t>52.76 (7.8)</t>
  </si>
  <si>
    <t>2b, 2d</t>
  </si>
  <si>
    <t>2A0028</t>
  </si>
  <si>
    <t>D000010</t>
  </si>
  <si>
    <t>Pre-Diabetes</t>
  </si>
  <si>
    <t>Hyperthyroid</t>
  </si>
  <si>
    <t>46.49 (7)</t>
  </si>
  <si>
    <t>2A0333</t>
  </si>
  <si>
    <t>Wife had triple negative breast cancer</t>
  </si>
  <si>
    <t>122.67 ()</t>
  </si>
  <si>
    <t>125b, 125d</t>
  </si>
  <si>
    <t>2A1022</t>
  </si>
  <si>
    <t>B000002</t>
  </si>
  <si>
    <t>59.64 (9)</t>
  </si>
  <si>
    <t>165b, 165d</t>
  </si>
  <si>
    <t>2A0729</t>
  </si>
  <si>
    <t>M000073</t>
  </si>
  <si>
    <t>64.02 (9.6)</t>
  </si>
  <si>
    <t>158b, 158d</t>
  </si>
  <si>
    <t>3A0017</t>
  </si>
  <si>
    <t>70.68 ()</t>
  </si>
  <si>
    <t>180b, 180d</t>
  </si>
  <si>
    <t>3A0032</t>
  </si>
  <si>
    <t>A000033</t>
  </si>
  <si>
    <t>65.06 ()</t>
  </si>
  <si>
    <t>181b, 181d</t>
  </si>
  <si>
    <t>3A0033</t>
  </si>
  <si>
    <t>80.23 ()</t>
  </si>
  <si>
    <t>182b, 182d</t>
  </si>
  <si>
    <t>3A0034</t>
  </si>
  <si>
    <t>56.04 ()</t>
  </si>
  <si>
    <t>183b, 183d</t>
  </si>
  <si>
    <t>3A0816</t>
  </si>
  <si>
    <t>137.88 (20.8)</t>
  </si>
  <si>
    <t>212b, 212d</t>
  </si>
  <si>
    <t>4A1118</t>
  </si>
  <si>
    <t>92.58 (13.8)</t>
  </si>
  <si>
    <t>4A1118_T_MB_S24, 4A1118_E_MB_S41</t>
  </si>
  <si>
    <t>4A0922</t>
  </si>
  <si>
    <t>72.35 (10.8)</t>
  </si>
  <si>
    <t>4A0922_T_MB_S10, 4A0922_E_MB_S52</t>
  </si>
  <si>
    <t>4A0500</t>
  </si>
  <si>
    <t>78.01 (11.6)</t>
  </si>
  <si>
    <t>4A0500_E_MB_S34</t>
  </si>
  <si>
    <t>4A0581</t>
  </si>
  <si>
    <t>Padma Uttakar</t>
  </si>
  <si>
    <t>74.24 (11.2)</t>
  </si>
  <si>
    <t>4A0581_E_MB_S47</t>
  </si>
  <si>
    <t>4A0529</t>
  </si>
  <si>
    <t>79.62 (12)</t>
  </si>
  <si>
    <t>4A0529_E_MB_S42</t>
  </si>
  <si>
    <t>175_S37</t>
  </si>
  <si>
    <t>4A0447</t>
  </si>
  <si>
    <t>91.03 (13.6)</t>
  </si>
  <si>
    <t>00175_S37</t>
  </si>
  <si>
    <t>4A0530</t>
  </si>
  <si>
    <t>76.45 (11.4)</t>
  </si>
  <si>
    <t>4A0530_E_MB_S43</t>
  </si>
  <si>
    <t xml:space="preserve">
• Suspected plasma cell disorder.
• Increased IgG, free kappa light chain, and kappa/lambda ratio over the past seven
months.
• Serum creatinine, blood urea and serum calcium are within normal range.
• 18th July 224: Elevated levels of serum IgG  (24mgs/dl), kappa light chain
 (17.26mg/L), and kappa lambda ratio  (2.19mg/L); mildly elevated  (not
significantly) beta-2 microglobulin; erythrocyte sedimentation rate within normal
range.
• The albumin-to-globulin ratio has exceeded the normal range since January 224.
Gamma globulin gradually increased from 17.9  (A/G-1.51 on 23/1/24) to 16.6
 (A/G- 2.2 on 19/3/24) to 2.7  (A/G- 1.25 on 16/7/24)
Family history of cancer/other pathology
• Uncle's son had cancer at age 65 years  (type not known)
• Father- diabetic and cardiac issue
• Mother- Age related dementia</t>
  </si>
  <si>
    <t>131.6 (19.8)</t>
  </si>
  <si>
    <t>206b, 206d</t>
  </si>
  <si>
    <t>4A0674</t>
  </si>
  <si>
    <t>57.52 (8.6)</t>
  </si>
  <si>
    <t>4A0674_E_MB_S56</t>
  </si>
  <si>
    <t>1A0086</t>
  </si>
  <si>
    <t>72.2 (10.8)</t>
  </si>
  <si>
    <t>13b</t>
  </si>
  <si>
    <t>3A0467</t>
  </si>
  <si>
    <t xml:space="preserve">Clinical history of patient: Diagnosis: Metastatic carcinoma of cervix with bone mets and obstructive uropathy, HPR: Keratinizing squamous cell carcinoma; Stage IV; grade II. Treatment received and follow up: 6 cycles Nab-Paclitaxel + Carboplatin + Bevacizumab  (23/2/223- 16/6/223), 3 cycles of maintenance therapy with Bevacizumab  (8/7/223-19/8/223). PET scan shows disease progression in Sep 223, 6 cycles Nab-Paclitaxel + Bevacizumab  (LD: Nov 223), PET scan shows disease progression in Nov 223, 6 cycles of KEYTRUDA  (LD: 25/11/223-15/3/223), 5 cycles of radiotherapy  (LD 21/2/224)- developed haematuria. PET scan shows significant increase in size and metabolic activity of the cervical mass extending to uterus involving the urinary bladder, parametrium, bilateral VUJ and rectum. Increase in size and activity of abdomino-pelvic lymph nodes and new involvement of multiple liver and osteolytic skeletal lesions suggesting disease progression. There is mild increase in the metabolic activity of left kidney with mild urothelial enhancement.  (performed on 2/4/224). Other health conditions: Arthritis 
 </t>
  </si>
  <si>
    <t>8.6  (250X)</t>
  </si>
  <si>
    <t>178.52 (26.8)</t>
  </si>
  <si>
    <t>195b, 195d</t>
  </si>
  <si>
    <t>J000048</t>
  </si>
  <si>
    <t>repeat</t>
  </si>
  <si>
    <t>183.54 (27.6)</t>
  </si>
  <si>
    <t>216b, 216d</t>
  </si>
  <si>
    <t>R000196</t>
  </si>
  <si>
    <t>118.38 (17.8)</t>
  </si>
  <si>
    <t>253b, 253d</t>
  </si>
  <si>
    <t>4A0349</t>
  </si>
  <si>
    <t>85.70  (12.8)</t>
  </si>
  <si>
    <t>4A0349_T</t>
  </si>
  <si>
    <t>2A0090</t>
  </si>
  <si>
    <t>81.55 ()</t>
  </si>
  <si>
    <t>92b, 92d</t>
  </si>
  <si>
    <t>Clinical history of patient - Hodgkin Lymphoma - nodular seclerosis-IIA. Date of diagnosis: 5/9/25 through histopathology of cervical lymph node. The RS cells express CD3  (TNFRSF8) and CD15  (FUT4) and negative for LCA  (PTPRC/ CD45), CD2, CD3, EMA  (MUC1). Treatment: 6 cycles of Chemotherapy  (ABVD protocol) completed in January 26 and 25 cycles of radiation received in March 26. CT neck  (1/12/25): Resolution of left inferior cervical, supracervicular and sternoclavicular lymph nodes. Significant reduction in the size of mediastinal lymph nodes. A new 7 mm pulmonary nodule is seen in the left lateral basal segment. PET CT  (1/2/26): No active disease and favourable response to therapy. PET CT  (6/6/28): No abnormality as compared to previous scan dated 13/4/27. PET CT scan: 4/1/223: The metabolically active prominent and enlarged left cervical level II, left deep parotid, right cervical level IB and right axillary lymph nodes  (Deauville 5/X). Excision biopsy of left cervical lymph node on 5/1/223: Benign lymph node showing follicular and paracortical hyperplasia, polytypic plasmacytosis, as well as evidence of vascular transformation of sinuses. IHC negative for Hodgkin lymphoma or another lymphoma. Ultrasound of neck and both axilla  (16/11/223). Bilateral axillary and cervical  (Level IA, right Level IB, left Level II) lymphadenopathy. Right Level IB nodes show abnormal vascularity. Lymph nodes have increased in number compared to previous report. Normal-sized thyroid with tiny benign-looking nodules  (TIRADS2). Ultrasound of neck and both axilla  (15/1/224): Right axillary nodes have reduced in number. Left axillary nodes have resolved. Cervical nodes are unchanged in size and appearance. Right supraclavicular node is a new finding. Normal-sized thyroid with tiny benign-looking nodules  (TIRADS2). Comorbidity: Hypothyroidism. Family history of cancer-  Breast cancer - maternal grandmother.</t>
  </si>
  <si>
    <t>67.43 (10)</t>
  </si>
  <si>
    <t>186b, 186d</t>
  </si>
  <si>
    <t>175.8 (26.4)</t>
  </si>
  <si>
    <t>242b, 242d</t>
  </si>
  <si>
    <t>87.31  (13)</t>
  </si>
  <si>
    <t>4A0302_T</t>
  </si>
  <si>
    <t>1A0208</t>
  </si>
  <si>
    <t>2/8/21: 4.3*2.8 cm hypoechoic mass with multilobulated margin at 1' clock position in RT breast. Right breast cyst  (BIRAD 3) at 9.' clock position and 11.' clock position. 17/8/21  (Pet scan): FDG avid soft tissue lesion noted involving upper inner quadrant of right breast. It measures 35x3x36 mm, SUVmax: 24.52. 7 mm right axillary node noted without any FDG uptake and preserved fatty hilum- likely benign Right breast core biopsy: Invasive breast carcinoma, no special type, grade 3. Modified Richardson Bloom score: 3+3+3=9. No ductal carcinoma in situ seen. On Immunohistochemistry: Estrogen Receptor  (ER): Positive  (6% of tumor cells show nuclear staining with strong intensity, Allred score 7/8). Progesterone Receptor  (PR): Positive  (5% of tumor cells show nuclear staining with moderate intensity, Allred score 4/8). Her2 neu- Negative  (Score 1+).</t>
  </si>
  <si>
    <t>74.17 (11)</t>
  </si>
  <si>
    <t>18b</t>
  </si>
  <si>
    <t>2A0391</t>
  </si>
  <si>
    <t>69.36 (10.4)</t>
  </si>
  <si>
    <t>133b, 133d</t>
  </si>
  <si>
    <t>Breast Lump</t>
  </si>
  <si>
    <t>Clinical history of patient - Lesion in left Breast, Mammography dated: 28/11/223, Irregular non-specific 6 × 4 × 3 mm hypoechoic lesion  (BIRADS 4) in the left breast; recommended for ultrasound-guided fine needle biopsy. Family history of cancer - Father- Gastroesophageal Cancer, Paternal grandmother- Breast cancer, Mother- Thyroid papilloma</t>
  </si>
  <si>
    <t>168b, 168d_R</t>
  </si>
  <si>
    <t>S000002</t>
  </si>
  <si>
    <t>164.88 (24.8)</t>
  </si>
  <si>
    <t>214b, 214d</t>
  </si>
  <si>
    <t>4A0290</t>
  </si>
  <si>
    <t>67.54 (10)</t>
  </si>
  <si>
    <t>4A0290_T</t>
  </si>
  <si>
    <t>Cholesterol</t>
  </si>
  <si>
    <t>Clinical history of patient - Chronic persistent thrombocytosis, High platelet count - 59 Giga/L  (24/1/222), 617 Giga/L  (31/5/223). Diagnosis: Positive for JAK2 p.V617F  (c.1849G&gt;T/p.Val617Phe) mutation indicating Essential thrombocythemia; confirmation on whole blood DNA sample using ddPCR, VAF% - 17.6%  (dated 7/5/223). Tumor markers are normal: CEA: 1.3 ng/ml; CA 19.9: 5.7 U/ml  (31/5/223). Surgical background: Right inguinal hernia. Personal history - High Cholesterol  (no record provided), Jaundice twice when young,  Juvenile Osteoporosis; Homeopathy taken; no symptoms since 1986. Family history of cancer - CML - Mother  (Age of diagnosis - 65 years), Blood cancer - Maternal uncle  (Age of diagnosis - 4 years).</t>
  </si>
  <si>
    <t>177b, 177d</t>
  </si>
  <si>
    <t>3A1070</t>
  </si>
  <si>
    <t>62.49 (9.4)</t>
  </si>
  <si>
    <t>236b, 236d</t>
  </si>
  <si>
    <t>4A0426</t>
  </si>
  <si>
    <t>Metabolic Syndrome, Grade 1 Obesity, Pre-Diabetes, Dyslipidemia, Hyperuricaemia, Grade I Fatty Liver, Obstructive Sleep Apnea</t>
  </si>
  <si>
    <t>91.8 (13.8)</t>
  </si>
  <si>
    <t>4A0426_T, 4A0426_E_MB_S12</t>
  </si>
  <si>
    <t>173_S35</t>
  </si>
  <si>
    <t>4A0437</t>
  </si>
  <si>
    <t xml:space="preserve">Kishore Tanna </t>
  </si>
  <si>
    <t>99.74 (15)</t>
  </si>
  <si>
    <t>00173_S35, 4A0437_E_MB_S16</t>
  </si>
  <si>
    <t>174_S36</t>
  </si>
  <si>
    <t>4A0439</t>
  </si>
  <si>
    <t>Adity Chaudhury</t>
  </si>
  <si>
    <t>92.2 (13.8)</t>
  </si>
  <si>
    <t>00174_S36</t>
  </si>
  <si>
    <t>IL_112_S77</t>
  </si>
  <si>
    <t>4A0314</t>
  </si>
  <si>
    <t>70.73 (10.6)</t>
  </si>
  <si>
    <t>IL_112_T_S77</t>
  </si>
  <si>
    <t>4A0329</t>
  </si>
  <si>
    <t>4A0329_E_MB_S36</t>
  </si>
  <si>
    <t>4A1153</t>
  </si>
  <si>
    <t>4A1153_E_MB_S65</t>
  </si>
  <si>
    <t>4A1487</t>
  </si>
  <si>
    <t>Diabetes Project_Fasting</t>
  </si>
  <si>
    <t>4A1487_T_MB_S3</t>
  </si>
  <si>
    <t>3A1069</t>
  </si>
  <si>
    <t>T000049</t>
  </si>
  <si>
    <t>4A1594</t>
  </si>
  <si>
    <t>TZIN04573</t>
  </si>
  <si>
    <t>4A1594_T_MB_S19</t>
  </si>
  <si>
    <t>4A1614</t>
  </si>
  <si>
    <t>4A1614_T_MB_S26_L004</t>
  </si>
  <si>
    <t>4A1615B</t>
  </si>
  <si>
    <t>4A1615</t>
  </si>
  <si>
    <t>TZIN052</t>
  </si>
  <si>
    <t>4A1615B_T_MB_S27_L004</t>
  </si>
  <si>
    <t>4A1816</t>
  </si>
  <si>
    <t>EBPL01947</t>
  </si>
  <si>
    <t>4A1816_T_MB_S10</t>
  </si>
  <si>
    <t xml:space="preserve">Meeta Tripathi </t>
  </si>
  <si>
    <t>62.73 (9.4)</t>
  </si>
  <si>
    <t>50b, 50d</t>
  </si>
  <si>
    <t>1A0150</t>
  </si>
  <si>
    <t xml:space="preserve">Amish Tripathi </t>
  </si>
  <si>
    <t>Heart disease, diabetes  (Family)</t>
  </si>
  <si>
    <t>65.12 (9.8)</t>
  </si>
  <si>
    <t>41b, 41d</t>
  </si>
  <si>
    <t>1A0225</t>
  </si>
  <si>
    <t xml:space="preserve">Padma Uttarkar </t>
  </si>
  <si>
    <t>69.51 (10.4)</t>
  </si>
  <si>
    <t>3b</t>
  </si>
  <si>
    <t>Borderline Diabetes, smoking history</t>
  </si>
  <si>
    <t>310d</t>
  </si>
  <si>
    <t>3A0681</t>
  </si>
  <si>
    <t xml:space="preserve">Disha Shinde </t>
  </si>
  <si>
    <t>76.04 (11.4)</t>
  </si>
  <si>
    <t>3A0681_E_MB_S6</t>
  </si>
  <si>
    <t xml:space="preserve">3A0873 </t>
  </si>
  <si>
    <t xml:space="preserve">Bipin Chand  </t>
  </si>
  <si>
    <t>165.31 (24.8)</t>
  </si>
  <si>
    <t>227b, 227d</t>
  </si>
  <si>
    <t>3A1274</t>
  </si>
  <si>
    <t>Payhan Vanita</t>
  </si>
  <si>
    <t>P000144</t>
  </si>
  <si>
    <t>No</t>
  </si>
  <si>
    <t>not done</t>
  </si>
  <si>
    <t>366d_MB_S9</t>
  </si>
  <si>
    <t>3A1322</t>
  </si>
  <si>
    <t>Gunuwant Gaikwad</t>
  </si>
  <si>
    <t>G000070</t>
  </si>
  <si>
    <t>387d_MB_S27</t>
  </si>
  <si>
    <t>3A1354</t>
  </si>
  <si>
    <t>Bhimrao Vitkar</t>
  </si>
  <si>
    <t>B000082</t>
  </si>
  <si>
    <t>394d_MB_S34</t>
  </si>
  <si>
    <t>1A0462</t>
  </si>
  <si>
    <t>Sulochanna R Dhavan</t>
  </si>
  <si>
    <t>121222459</t>
  </si>
  <si>
    <t xml:space="preserve">Female Reproductive Organ (Cervix, Squamous Cell Carcinoma); Lung </t>
  </si>
  <si>
    <t>1A0470</t>
  </si>
  <si>
    <t>Kusum Salunkhe</t>
  </si>
  <si>
    <t>121222467</t>
  </si>
  <si>
    <t>Bone (Giant Cell Tumor); Lung</t>
  </si>
  <si>
    <t>3A1279</t>
  </si>
  <si>
    <t xml:space="preserve">Bajirov Zende </t>
  </si>
  <si>
    <t>B000076</t>
  </si>
  <si>
    <t>Gall Bladder Lesion</t>
  </si>
  <si>
    <t>4A1504</t>
  </si>
  <si>
    <t>Ramandeep Kaur</t>
  </si>
  <si>
    <t>TZIN04797</t>
  </si>
  <si>
    <t>1A0451</t>
  </si>
  <si>
    <t>Dhananjay Malwadar</t>
  </si>
  <si>
    <t>D000027</t>
  </si>
  <si>
    <t>low conc.</t>
  </si>
  <si>
    <t>IL-87</t>
  </si>
  <si>
    <t>4A0021</t>
  </si>
  <si>
    <t>Shruti Patil</t>
  </si>
  <si>
    <t>S000524</t>
  </si>
  <si>
    <t>IL-87_T_MB_S54</t>
  </si>
  <si>
    <t>4A1787</t>
  </si>
  <si>
    <t>Agnieszka Klys</t>
  </si>
  <si>
    <t>TZIN05526</t>
  </si>
  <si>
    <t>4A1787_T_MB_S13</t>
  </si>
  <si>
    <t>4A1788</t>
  </si>
  <si>
    <t>Darya Shingaiter</t>
  </si>
  <si>
    <t>TZIN05527</t>
  </si>
  <si>
    <t>4A1788_T_MB_S14</t>
  </si>
  <si>
    <t>4A1789</t>
  </si>
  <si>
    <t>Kasper Piil</t>
  </si>
  <si>
    <t>TZIN05525</t>
  </si>
  <si>
    <t>4A1789_T_MB_S15</t>
  </si>
  <si>
    <t>4A1790</t>
  </si>
  <si>
    <t>Krishna Vijaykumar Hublikar</t>
  </si>
  <si>
    <t>TZIN05528</t>
  </si>
  <si>
    <t>4A1790_T_MB_S16</t>
  </si>
  <si>
    <t>4A1791</t>
  </si>
  <si>
    <t>Kristina Thored</t>
  </si>
  <si>
    <t>TZIN05529</t>
  </si>
  <si>
    <t>4A1791_T_MB_S2</t>
  </si>
  <si>
    <t>4A1792</t>
  </si>
  <si>
    <t>Maria Mayorga</t>
  </si>
  <si>
    <t>TZIN05530</t>
  </si>
  <si>
    <t>4A1792_T_MB_S3</t>
  </si>
  <si>
    <t>4A1793</t>
  </si>
  <si>
    <t>Tania Ryopponen</t>
  </si>
  <si>
    <t>TZIN05531</t>
  </si>
  <si>
    <t>4A1793_T_MB_S4</t>
  </si>
  <si>
    <t>4A1794</t>
  </si>
  <si>
    <t>Sayali Shetty</t>
  </si>
  <si>
    <t>EBPL03391</t>
  </si>
  <si>
    <t>4A1794_T_MB_S5</t>
  </si>
  <si>
    <t>4A1795</t>
  </si>
  <si>
    <t>Mikkel Draebye</t>
  </si>
  <si>
    <t>EBPL0544</t>
  </si>
  <si>
    <t>Melanoma</t>
  </si>
  <si>
    <t>4A1795_T_MB_S6</t>
  </si>
  <si>
    <t>3A0594</t>
  </si>
  <si>
    <t>Gaurri Kothare</t>
  </si>
  <si>
    <t>G000048</t>
  </si>
  <si>
    <t>3A0710</t>
  </si>
  <si>
    <t>Mohd Sharukh Varyala</t>
  </si>
  <si>
    <t>LOW DIN</t>
  </si>
  <si>
    <t>3A0712</t>
  </si>
  <si>
    <t>Lobhesh Borade</t>
  </si>
  <si>
    <t>L000030</t>
  </si>
  <si>
    <t>4A0028</t>
  </si>
  <si>
    <t>Sameer Shaikh</t>
  </si>
  <si>
    <t>S000528</t>
  </si>
  <si>
    <t>4A0051</t>
  </si>
  <si>
    <t>Rajaram Mirkute</t>
  </si>
  <si>
    <t>R000226</t>
  </si>
  <si>
    <t>4A0058</t>
  </si>
  <si>
    <t>Pramod Kabadi</t>
  </si>
  <si>
    <t>P000154</t>
  </si>
  <si>
    <t>4A0061</t>
  </si>
  <si>
    <t>Devanand Bhagatkar</t>
  </si>
  <si>
    <t>D000111</t>
  </si>
  <si>
    <t>4A0035</t>
  </si>
  <si>
    <t>Mansi Sawant</t>
  </si>
  <si>
    <t xml:space="preserve">NO DNA </t>
  </si>
  <si>
    <t>4A0036</t>
  </si>
  <si>
    <t>Roheet Khambe</t>
  </si>
  <si>
    <t>4A0003</t>
  </si>
  <si>
    <t>Tina Kapoor</t>
  </si>
  <si>
    <t>4A0010</t>
  </si>
  <si>
    <t>Ketan Thakkar</t>
  </si>
  <si>
    <t>4A0014</t>
  </si>
  <si>
    <t>Patil Raju</t>
  </si>
  <si>
    <t>Sample</t>
  </si>
  <si>
    <t>Age (1-30)</t>
  </si>
  <si>
    <t>Age (30-60)</t>
  </si>
  <si>
    <t>Age (60+)</t>
  </si>
  <si>
    <t>2A0760</t>
  </si>
  <si>
    <t>4A0295</t>
  </si>
  <si>
    <t>Age(1-30)</t>
  </si>
  <si>
    <t>Age(30-60)</t>
  </si>
  <si>
    <t>Age(60+)</t>
  </si>
  <si>
    <t>4A0474</t>
  </si>
  <si>
    <t>3A0850</t>
  </si>
  <si>
    <t>3A0861</t>
  </si>
  <si>
    <t>``````````````````````````````````````````````````````</t>
  </si>
  <si>
    <t>\\10.10.2.7\Genome-Data\Mibiome\2025\Pipeline_results</t>
  </si>
  <si>
    <t>case level not known</t>
  </si>
  <si>
    <t>\\EPIGENERESLABS\MedGenome\AOBOnco_data analysis\Exome_Results\NGS_FE_Results_EBPL\Exome somatic re-run_FEB13</t>
  </si>
  <si>
    <t>CONTROLS=257</t>
  </si>
  <si>
    <t>CTN=77</t>
  </si>
  <si>
    <t>COT=67</t>
  </si>
  <si>
    <t>CS=42</t>
  </si>
  <si>
    <t>HR= 20</t>
  </si>
  <si>
    <t>DIABETES=71</t>
  </si>
  <si>
    <t>Sr.no</t>
  </si>
  <si>
    <t>SAMPLE ID</t>
  </si>
  <si>
    <t>NAME</t>
  </si>
  <si>
    <t>EXOME RE-RUN BY APARNA</t>
  </si>
  <si>
    <t>GB (OG/TD)</t>
  </si>
  <si>
    <t>R</t>
  </si>
  <si>
    <t>Sample ID</t>
  </si>
  <si>
    <t>Diabetes Type</t>
  </si>
  <si>
    <t>Another Label</t>
  </si>
  <si>
    <t>DNA availibility (Y/N)</t>
  </si>
  <si>
    <t>Sequencing (Y/N)</t>
  </si>
  <si>
    <t>Exome run completed</t>
  </si>
  <si>
    <t>Reports made</t>
  </si>
  <si>
    <t>Y</t>
  </si>
  <si>
    <t>Jasleen Kaur</t>
  </si>
  <si>
    <t>Anushree Shah</t>
  </si>
  <si>
    <t>Arun Mohan</t>
  </si>
  <si>
    <t>Atul Shah</t>
  </si>
  <si>
    <t>Devang Nagarsheth</t>
  </si>
  <si>
    <t>Vijay Joshi</t>
  </si>
  <si>
    <t>Azhar Khan</t>
  </si>
  <si>
    <t>Adnan Khan</t>
  </si>
  <si>
    <t>Anjum Ahmed</t>
  </si>
  <si>
    <t>Preeti Punamiya</t>
  </si>
  <si>
    <t>Rais Ghalte</t>
  </si>
  <si>
    <t>Feroza Khan</t>
  </si>
  <si>
    <t>Rajesh Chaturvedi</t>
  </si>
  <si>
    <t>Affan Arif</t>
  </si>
  <si>
    <t>Sudip Bhattacharya</t>
  </si>
  <si>
    <t>Ashish Gupta</t>
  </si>
  <si>
    <t>Priya Thakkar</t>
  </si>
  <si>
    <t>Batul Agha</t>
  </si>
  <si>
    <t>Farah Vaswani</t>
  </si>
  <si>
    <t>Nooruddin Gadhaya</t>
  </si>
  <si>
    <t>Ravi Poddar</t>
  </si>
  <si>
    <t>Sandeep Das</t>
  </si>
  <si>
    <t>Bilal Ahmed</t>
  </si>
  <si>
    <t>Percy Daruwalla</t>
  </si>
  <si>
    <t>HS exome data available</t>
  </si>
  <si>
    <t>No exome data</t>
  </si>
  <si>
    <t>Faaris Khan</t>
  </si>
  <si>
    <t>Yamini Zaveri</t>
  </si>
  <si>
    <t>Nidhi Kedia</t>
  </si>
  <si>
    <t>Hanskumar Daulat</t>
  </si>
  <si>
    <t>Shabiba Qureshi</t>
  </si>
  <si>
    <t>Aditi Palshetkar</t>
  </si>
  <si>
    <t>Abhishek Roy</t>
  </si>
  <si>
    <t>Monika Vadhan</t>
  </si>
  <si>
    <t>Mayank Chhabria</t>
  </si>
  <si>
    <t>Sanjay Shah</t>
  </si>
  <si>
    <t>Mafatlal Shah</t>
  </si>
  <si>
    <t>Mallika Dahiya</t>
  </si>
  <si>
    <t>meningioma</t>
  </si>
  <si>
    <t>Type 2 Diabetes Mellitus, Grade III obesity, Hypertension, Mild thyroid failure</t>
  </si>
  <si>
    <t>Type 2 Diabetes Mellitus, BPH, Grade II obesity</t>
  </si>
  <si>
    <t>Type 2 Diabetes Mellitus, Grade II obesity</t>
  </si>
  <si>
    <t>Type 2 Diabetes Mellitus, Grade I obesity</t>
  </si>
  <si>
    <t>Type 2 Diabetes, Grade III obesity</t>
  </si>
  <si>
    <t>Pre-diabetes, Grade III obesity</t>
  </si>
  <si>
    <t>Type 2 Diabetes, Obesity</t>
  </si>
  <si>
    <t>Prediabetes, dyslipidemia</t>
  </si>
  <si>
    <t>Type 2 Diabetes Mellitus, Hypertension, IHD, BPH</t>
  </si>
  <si>
    <t>Hypothyroidism, PCOS, Obesity, Fatty Liver</t>
  </si>
  <si>
    <t>Hypothyroidism, Grade 1 fatty liver, mixed dyslipidemia</t>
  </si>
  <si>
    <t>Pancreatitis/ Type 2 Diabetes Mellitus</t>
  </si>
  <si>
    <t>DTN Sample</t>
  </si>
  <si>
    <t>Type 2 Diabetes Mellitus, recurrent renal calculi</t>
  </si>
  <si>
    <t xml:space="preserve">in seq </t>
  </si>
  <si>
    <t>Alturaif Meshari Abdullah</t>
  </si>
  <si>
    <t>N</t>
  </si>
  <si>
    <t>Daivik Motwani</t>
  </si>
  <si>
    <t xml:space="preserve">3A0864 </t>
  </si>
  <si>
    <t>Nimish Shah</t>
  </si>
  <si>
    <t xml:space="preserve">3A0865 </t>
  </si>
  <si>
    <t>Rinkesh Mehta</t>
  </si>
  <si>
    <t xml:space="preserve">3A0866 </t>
  </si>
  <si>
    <t>Saiqa Umesmulla</t>
  </si>
  <si>
    <t xml:space="preserve">3A0867 </t>
  </si>
  <si>
    <t>Kalpana Choksi</t>
  </si>
  <si>
    <t xml:space="preserve">3A0869 </t>
  </si>
  <si>
    <t>Saumitra Patwardhan</t>
  </si>
  <si>
    <t xml:space="preserve">3A0870 </t>
  </si>
  <si>
    <t>Deepak Chandarkar</t>
  </si>
  <si>
    <t xml:space="preserve">3A0868 </t>
  </si>
  <si>
    <t>Arshad Shaikh</t>
  </si>
  <si>
    <t xml:space="preserve">3A0875 </t>
  </si>
  <si>
    <t xml:space="preserve">Type 2 </t>
  </si>
  <si>
    <t xml:space="preserve">3A0885 </t>
  </si>
  <si>
    <t>Control</t>
  </si>
  <si>
    <t>Om Dhumatkar</t>
  </si>
  <si>
    <t>4A0464</t>
  </si>
  <si>
    <t>4A0465</t>
  </si>
  <si>
    <t>4A0469</t>
  </si>
  <si>
    <t>4A0470</t>
  </si>
  <si>
    <t>4A0510</t>
  </si>
  <si>
    <t>Rajan Shrinivasan</t>
  </si>
  <si>
    <t>Type 2, BPH, Grade III obesity</t>
  </si>
  <si>
    <t>4A0532</t>
  </si>
  <si>
    <t>Vidushi Kapoor</t>
  </si>
  <si>
    <t>4A0614</t>
  </si>
  <si>
    <t>Type 2, Grade III obesity</t>
  </si>
  <si>
    <t>4A0622</t>
  </si>
  <si>
    <t>Urmila Meher</t>
  </si>
  <si>
    <t>Type 1</t>
  </si>
  <si>
    <t>4A0623</t>
  </si>
  <si>
    <t xml:space="preserve">Fatema Azim </t>
  </si>
  <si>
    <t>4A0643</t>
  </si>
  <si>
    <t xml:space="preserve">Apoorva Murkumbi </t>
  </si>
  <si>
    <t>4A0701</t>
  </si>
  <si>
    <t>Karan Saud</t>
  </si>
  <si>
    <t>4A0702</t>
  </si>
  <si>
    <t>Afrah Dalvi</t>
  </si>
  <si>
    <t>Type 1, osteoporosis</t>
  </si>
  <si>
    <t>4A0917</t>
  </si>
  <si>
    <t>Sumati Bafna</t>
  </si>
  <si>
    <t>4A1503</t>
  </si>
  <si>
    <t>Yukta</t>
  </si>
  <si>
    <t>D. Nadeem</t>
  </si>
  <si>
    <t>4A1545</t>
  </si>
  <si>
    <t>Kireet Solanki</t>
  </si>
  <si>
    <t>Pancreatitis</t>
  </si>
  <si>
    <t>4A1468</t>
  </si>
  <si>
    <t>4A1472</t>
  </si>
  <si>
    <t>4A1475</t>
  </si>
  <si>
    <t>Jyoti Dattaram Kolambekar</t>
  </si>
  <si>
    <t>4A1817</t>
  </si>
  <si>
    <t>Abhay Desai</t>
  </si>
  <si>
    <t>Sr. No.</t>
  </si>
  <si>
    <t>PID</t>
  </si>
  <si>
    <t>UK_ID</t>
  </si>
  <si>
    <t>Sequenced by</t>
  </si>
  <si>
    <t>Case Labels</t>
  </si>
  <si>
    <t>Cancer Type</t>
  </si>
  <si>
    <t>Collection Centre/ Referred by</t>
  </si>
  <si>
    <t>Type of Test</t>
  </si>
  <si>
    <t>Exome report</t>
  </si>
  <si>
    <t>E000009</t>
  </si>
  <si>
    <t>3A0244</t>
  </si>
  <si>
    <t>TZ_22213974</t>
  </si>
  <si>
    <t xml:space="preserve">Evrim Mutlu </t>
  </si>
  <si>
    <t>F000009</t>
  </si>
  <si>
    <t>3A0245</t>
  </si>
  <si>
    <t>TZ_22213975</t>
  </si>
  <si>
    <t xml:space="preserve">Firdes Mutlu </t>
  </si>
  <si>
    <t>A000179</t>
  </si>
  <si>
    <t>3A0251</t>
  </si>
  <si>
    <t>TZ_22214855</t>
  </si>
  <si>
    <t xml:space="preserve">Aseem Malhotra </t>
  </si>
  <si>
    <t>S000358</t>
  </si>
  <si>
    <t>3A0377</t>
  </si>
  <si>
    <t>TZ_22216538_Plasma</t>
  </si>
  <si>
    <t xml:space="preserve">Samantha Fowles </t>
  </si>
  <si>
    <t>M000129</t>
  </si>
  <si>
    <t>3A0378</t>
  </si>
  <si>
    <t>TZ_22216539_Plasma</t>
  </si>
  <si>
    <t xml:space="preserve">Mark Fowles </t>
  </si>
  <si>
    <t>A000191</t>
  </si>
  <si>
    <t>3A0383</t>
  </si>
  <si>
    <t>TZ_22217321_Plasma</t>
  </si>
  <si>
    <t xml:space="preserve">Andrew Scarborough </t>
  </si>
  <si>
    <t>V000079</t>
  </si>
  <si>
    <t>3A0384</t>
  </si>
  <si>
    <t>TZ_22217322_Plasma</t>
  </si>
  <si>
    <t xml:space="preserve">Vanessa Thompson </t>
  </si>
  <si>
    <t>3A0385</t>
  </si>
  <si>
    <t>TZ_22217324_Plasma</t>
  </si>
  <si>
    <t xml:space="preserve">Wayne Quasha </t>
  </si>
  <si>
    <t>R000142</t>
  </si>
  <si>
    <t>3A0391</t>
  </si>
  <si>
    <t>TZ_22218096_Plasma</t>
  </si>
  <si>
    <t xml:space="preserve">Roger Evans </t>
  </si>
  <si>
    <t>J000053</t>
  </si>
  <si>
    <t>3A0392</t>
  </si>
  <si>
    <t>TZ_22218097_Plasma</t>
  </si>
  <si>
    <t xml:space="preserve">Judith Evans </t>
  </si>
  <si>
    <t>S000359</t>
  </si>
  <si>
    <t>3A0393</t>
  </si>
  <si>
    <t>TZ_22218104_Plasma</t>
  </si>
  <si>
    <t xml:space="preserve">Sarah Ford </t>
  </si>
  <si>
    <t>A000204</t>
  </si>
  <si>
    <t>3A0496</t>
  </si>
  <si>
    <t>TZ_22220160_Plasma</t>
  </si>
  <si>
    <t xml:space="preserve">Andrea Myles </t>
  </si>
  <si>
    <t>C000026</t>
  </si>
  <si>
    <t>3A0499</t>
  </si>
  <si>
    <t>TZ_22220733_Plasma</t>
  </si>
  <si>
    <t xml:space="preserve">Claire Stephenson </t>
  </si>
  <si>
    <t>I000016</t>
  </si>
  <si>
    <t>3A0500</t>
  </si>
  <si>
    <t>TZ_22220734_Plasma</t>
  </si>
  <si>
    <t xml:space="preserve">Ian John Hinton </t>
  </si>
  <si>
    <t>A000205</t>
  </si>
  <si>
    <t>3A0502</t>
  </si>
  <si>
    <t>TZ_22220856_Plasma</t>
  </si>
  <si>
    <t xml:space="preserve">Alan Norris </t>
  </si>
  <si>
    <t>E000011</t>
  </si>
  <si>
    <t>3A0568</t>
  </si>
  <si>
    <t>TZ_OXN001_Plasma</t>
  </si>
  <si>
    <t xml:space="preserve">Elizabeth Storer </t>
  </si>
  <si>
    <t>H000031</t>
  </si>
  <si>
    <t>3A0569</t>
  </si>
  <si>
    <t>TZ_OXN002_Plasma</t>
  </si>
  <si>
    <t xml:space="preserve">Hannah Bracegirdle </t>
  </si>
  <si>
    <t>A000214</t>
  </si>
  <si>
    <t>3A0570</t>
  </si>
  <si>
    <t>TZ_OXN003_Plasma</t>
  </si>
  <si>
    <t xml:space="preserve">Andrew Russell </t>
  </si>
  <si>
    <t>L000029</t>
  </si>
  <si>
    <t>3A0571</t>
  </si>
  <si>
    <t>TZ_OXN004_Plasma</t>
  </si>
  <si>
    <t xml:space="preserve">Louise Russell </t>
  </si>
  <si>
    <t>A000215</t>
  </si>
  <si>
    <t>3A0575</t>
  </si>
  <si>
    <t>TZ_OXN005_Plasma</t>
  </si>
  <si>
    <t xml:space="preserve">Amanda McAlister </t>
  </si>
  <si>
    <t>S000388</t>
  </si>
  <si>
    <t>3A0576</t>
  </si>
  <si>
    <t>TZ_OXN006_Plasma</t>
  </si>
  <si>
    <t xml:space="preserve">Shirley Bracegirdle </t>
  </si>
  <si>
    <t>S000389</t>
  </si>
  <si>
    <t>3A0612</t>
  </si>
  <si>
    <t>TZ_22223804_Plasma</t>
  </si>
  <si>
    <t xml:space="preserve">Steven J Gilbert </t>
  </si>
  <si>
    <t>G000049</t>
  </si>
  <si>
    <t>3A0613</t>
  </si>
  <si>
    <t>TZ_22223906_Plasma</t>
  </si>
  <si>
    <t xml:space="preserve">Gregory Butcher </t>
  </si>
  <si>
    <t>M000126</t>
  </si>
  <si>
    <t>3A0729</t>
  </si>
  <si>
    <t>TZ 22227594_PLASMA</t>
  </si>
  <si>
    <t xml:space="preserve">Marcel Blot Chabaud </t>
  </si>
  <si>
    <t>Z000006</t>
  </si>
  <si>
    <t>3A0730</t>
  </si>
  <si>
    <t>TZ_22227600_PLASMA</t>
  </si>
  <si>
    <t xml:space="preserve">Zeeshan Tayyeb </t>
  </si>
  <si>
    <t>J000066</t>
  </si>
  <si>
    <t>3A0731</t>
  </si>
  <si>
    <t>TZ_22228672_PLASMA</t>
  </si>
  <si>
    <t xml:space="preserve">John Preston </t>
  </si>
  <si>
    <t>T000038</t>
  </si>
  <si>
    <t>3A0732</t>
  </si>
  <si>
    <t>TZ_OXN008_PLASMA</t>
  </si>
  <si>
    <t xml:space="preserve">Tieba Kamani </t>
  </si>
  <si>
    <t>R000161</t>
  </si>
  <si>
    <t>3A0733</t>
  </si>
  <si>
    <t>TZ_22229450_PLASMA</t>
  </si>
  <si>
    <t xml:space="preserve">Rory Mcneil </t>
  </si>
  <si>
    <t>M000141</t>
  </si>
  <si>
    <t>3A0734</t>
  </si>
  <si>
    <t>TZ_L0749723_M30940696_PLASMA</t>
  </si>
  <si>
    <t xml:space="preserve">Mukta Munjal </t>
  </si>
  <si>
    <t>K000096</t>
  </si>
  <si>
    <t>3A0839</t>
  </si>
  <si>
    <t>TZ_OXN009</t>
  </si>
  <si>
    <t xml:space="preserve">Kerry Katona </t>
  </si>
  <si>
    <t>EBPL03034</t>
  </si>
  <si>
    <t>3A0840</t>
  </si>
  <si>
    <t>TZ_OXN010</t>
  </si>
  <si>
    <t xml:space="preserve">Simon Cooper </t>
  </si>
  <si>
    <t>EBPL03035</t>
  </si>
  <si>
    <t>3A0841</t>
  </si>
  <si>
    <t>TZ_OXN011</t>
  </si>
  <si>
    <t xml:space="preserve">Sule Cooper </t>
  </si>
  <si>
    <t>EBPL03036</t>
  </si>
  <si>
    <t>3A0842</t>
  </si>
  <si>
    <t>TZ_22233296</t>
  </si>
  <si>
    <t xml:space="preserve">Christian Kaelin </t>
  </si>
  <si>
    <t>EBPL03037</t>
  </si>
  <si>
    <t>3A0843</t>
  </si>
  <si>
    <t>TZ_OXN012</t>
  </si>
  <si>
    <t xml:space="preserve">Cindy Moser </t>
  </si>
  <si>
    <t>EBPL03038</t>
  </si>
  <si>
    <t>3A0844</t>
  </si>
  <si>
    <t>TZ_OXN013</t>
  </si>
  <si>
    <t xml:space="preserve">Joanne Grieves </t>
  </si>
  <si>
    <t>EBPL03039</t>
  </si>
  <si>
    <t>3A0845</t>
  </si>
  <si>
    <t>TZ_OXN015</t>
  </si>
  <si>
    <t xml:space="preserve">Mark Hornshaw </t>
  </si>
  <si>
    <t>EBPL03040</t>
  </si>
  <si>
    <t>3A0846</t>
  </si>
  <si>
    <t>TZ_OXN016</t>
  </si>
  <si>
    <t xml:space="preserve">Paul Hornshaw </t>
  </si>
  <si>
    <t>EBPL03041</t>
  </si>
  <si>
    <t>3A0847</t>
  </si>
  <si>
    <t>TZ_OXN017</t>
  </si>
  <si>
    <t xml:space="preserve">Peter Hornshaw </t>
  </si>
  <si>
    <t>EBPL03042</t>
  </si>
  <si>
    <t>3A0848</t>
  </si>
  <si>
    <t>OXN018</t>
  </si>
  <si>
    <t xml:space="preserve">Jacqueline Hornshaw </t>
  </si>
  <si>
    <t>L000033</t>
  </si>
  <si>
    <t>3A1062</t>
  </si>
  <si>
    <t>TZ_22238219</t>
  </si>
  <si>
    <t xml:space="preserve">Leon Allen </t>
  </si>
  <si>
    <t>G000061</t>
  </si>
  <si>
    <t>3A1063</t>
  </si>
  <si>
    <t>TZ_22238222</t>
  </si>
  <si>
    <t xml:space="preserve">Gavin Wood </t>
  </si>
  <si>
    <t>J000080</t>
  </si>
  <si>
    <t>3A1064</t>
  </si>
  <si>
    <t>TZ_22238223</t>
  </si>
  <si>
    <t xml:space="preserve">James Coleman </t>
  </si>
  <si>
    <t>J000081</t>
  </si>
  <si>
    <t>3A1065</t>
  </si>
  <si>
    <t>TZ_22238225</t>
  </si>
  <si>
    <t xml:space="preserve">Joanne Bernard </t>
  </si>
  <si>
    <t>B000068</t>
  </si>
  <si>
    <t>3A1066</t>
  </si>
  <si>
    <t>TZ_22238226</t>
  </si>
  <si>
    <t xml:space="preserve">Barbara Ann Bernard </t>
  </si>
  <si>
    <t>D000096</t>
  </si>
  <si>
    <t>3A1067</t>
  </si>
  <si>
    <t>TZ_22238228</t>
  </si>
  <si>
    <t xml:space="preserve">Dot Allen </t>
  </si>
  <si>
    <t>3A1068</t>
  </si>
  <si>
    <t>TZ_22238230</t>
  </si>
  <si>
    <t>A000284</t>
  </si>
  <si>
    <t>3A1109</t>
  </si>
  <si>
    <t>TZ_HRC001002_PLASMA</t>
  </si>
  <si>
    <t xml:space="preserve">Artur Wegrynowicz </t>
  </si>
  <si>
    <t>M000160</t>
  </si>
  <si>
    <t>3A1110</t>
  </si>
  <si>
    <t>TZ_HRC001008_PLASMA</t>
  </si>
  <si>
    <t xml:space="preserve">Michael O'Brien </t>
  </si>
  <si>
    <t>J000085</t>
  </si>
  <si>
    <t>3A1111</t>
  </si>
  <si>
    <t>HRC001004_PLASMA</t>
  </si>
  <si>
    <t xml:space="preserve">Jade Newnham </t>
  </si>
  <si>
    <t>D000099</t>
  </si>
  <si>
    <t>3A1112</t>
  </si>
  <si>
    <t>TZ_OXN020_PLASMA</t>
  </si>
  <si>
    <t xml:space="preserve">David Newns </t>
  </si>
  <si>
    <t>C000034</t>
  </si>
  <si>
    <t>3A1113</t>
  </si>
  <si>
    <t>TZ_OXN021_PLASMA</t>
  </si>
  <si>
    <t xml:space="preserve">Christopher McAvoy </t>
  </si>
  <si>
    <t>A000285</t>
  </si>
  <si>
    <t>3A1114</t>
  </si>
  <si>
    <t>HRC001009_PLASMA</t>
  </si>
  <si>
    <t xml:space="preserve">Anthony Malkin </t>
  </si>
  <si>
    <t>R000197</t>
  </si>
  <si>
    <t>3A1115</t>
  </si>
  <si>
    <t>HRC001013_PLASMA</t>
  </si>
  <si>
    <t xml:space="preserve">Rachelle Malkin </t>
  </si>
  <si>
    <t>N000109</t>
  </si>
  <si>
    <t>3A1116</t>
  </si>
  <si>
    <t>TZ_OXN25_PLASMA</t>
  </si>
  <si>
    <t xml:space="preserve">Nissar Rafiq </t>
  </si>
  <si>
    <t>S000481</t>
  </si>
  <si>
    <t>3A1117</t>
  </si>
  <si>
    <t>TZ_OXN26_PLASMA</t>
  </si>
  <si>
    <t xml:space="preserve">Samantha Brittain Dissont </t>
  </si>
  <si>
    <t>H000039</t>
  </si>
  <si>
    <t>3A1118</t>
  </si>
  <si>
    <t>TZ_OXN027_PLASMA</t>
  </si>
  <si>
    <t xml:space="preserve">Harriet Melero Brown </t>
  </si>
  <si>
    <t>TZL-1A0002_S44</t>
  </si>
  <si>
    <t>Mark Phelps​</t>
  </si>
  <si>
    <t>CS-PROSTATE</t>
  </si>
  <si>
    <t>TZL-1A0004_S45</t>
  </si>
  <si>
    <t>Theodore Deinard​</t>
  </si>
  <si>
    <t>TZL-1A0005_S46</t>
  </si>
  <si>
    <t>Elizabeth Edwards​</t>
  </si>
  <si>
    <t>TZL-1A0007_S47</t>
  </si>
  <si>
    <t>Danny Scargill​</t>
  </si>
  <si>
    <t>TZL-1A0008_S48</t>
  </si>
  <si>
    <t>Emma Jones​</t>
  </si>
  <si>
    <t>TZL-1A0009_S49</t>
  </si>
  <si>
    <t>Jorge Luis Marrero Mora</t>
  </si>
  <si>
    <t>TZL-1A0012_S20</t>
  </si>
  <si>
    <t>Roger Evans​</t>
  </si>
  <si>
    <t>HRC Genomics</t>
  </si>
  <si>
    <t>SR. No.</t>
  </si>
  <si>
    <t>Receipt SID</t>
  </si>
  <si>
    <t>Column1</t>
  </si>
  <si>
    <t>Case Label</t>
  </si>
  <si>
    <t>TZL-A-0001</t>
  </si>
  <si>
    <t>TZL - 1A0001</t>
  </si>
  <si>
    <t>Kshama Pansare</t>
  </si>
  <si>
    <t>Tzar Lab</t>
  </si>
  <si>
    <t>TZL-A-0002</t>
  </si>
  <si>
    <t>TZL - 1A0002</t>
  </si>
  <si>
    <t>HRC001049</t>
  </si>
  <si>
    <t>Mark Phelps</t>
  </si>
  <si>
    <t>The Leading Clinic at Royal Kingston - Dr Haidar Saad</t>
  </si>
  <si>
    <t>TZL-A-0003</t>
  </si>
  <si>
    <t>TZL - 1A0003</t>
  </si>
  <si>
    <t>HRC001005</t>
  </si>
  <si>
    <t>Jennifer Deinard</t>
  </si>
  <si>
    <t>Self</t>
  </si>
  <si>
    <t>TZL-A-0004</t>
  </si>
  <si>
    <t>TZL - 1A0004</t>
  </si>
  <si>
    <t>HRC001011</t>
  </si>
  <si>
    <t>Theodore Deinard</t>
  </si>
  <si>
    <t>TZL-A-0005</t>
  </si>
  <si>
    <t>TZL - 1A0005</t>
  </si>
  <si>
    <t>Elizabeth Edwards</t>
  </si>
  <si>
    <t>Extensa Clinic by Dr André Brittain-Dissont</t>
  </si>
  <si>
    <t>TZL-A-0006</t>
  </si>
  <si>
    <t>TZL - 1A0006</t>
  </si>
  <si>
    <t>Shirley Bracegirdle</t>
  </si>
  <si>
    <t>TZL-A-0007</t>
  </si>
  <si>
    <t>TZL - 1A0007</t>
  </si>
  <si>
    <t>Danny Scargill</t>
  </si>
  <si>
    <t>TZL-A-0008</t>
  </si>
  <si>
    <t>TZL - 1A0008</t>
  </si>
  <si>
    <t>Emma Jones</t>
  </si>
  <si>
    <t>TZL-A-0009</t>
  </si>
  <si>
    <t>TZL - 1A0009</t>
  </si>
  <si>
    <t>Reborne Longevity</t>
  </si>
  <si>
    <t>B-Cube Onco &amp; Diabetes</t>
  </si>
  <si>
    <t>TZL-A-0010</t>
  </si>
  <si>
    <t>TZL - 1A0010</t>
  </si>
  <si>
    <t>HRC001041</t>
  </si>
  <si>
    <t>Mark Fowles</t>
  </si>
  <si>
    <t>TZL-A-0011</t>
  </si>
  <si>
    <t>TZL - 1A0011</t>
  </si>
  <si>
    <t>HRC001003</t>
  </si>
  <si>
    <t>Judith Evans</t>
  </si>
  <si>
    <t>TZL-A-0012</t>
  </si>
  <si>
    <t>TZL - 1A0012</t>
  </si>
  <si>
    <t>HRC001033</t>
  </si>
  <si>
    <t>Roger Evans</t>
  </si>
  <si>
    <t>TZL-A-0013</t>
  </si>
  <si>
    <t>TZL - 1A0013</t>
  </si>
  <si>
    <t>HRC001034</t>
  </si>
  <si>
    <t>Dennis Mehiel</t>
  </si>
  <si>
    <t>B-Cube Onco</t>
  </si>
  <si>
    <t>TZL-A-0014</t>
  </si>
  <si>
    <t>TZL - 1A0014</t>
  </si>
  <si>
    <t>HRC001032</t>
  </si>
  <si>
    <t>Karen Mehiel</t>
  </si>
  <si>
    <t>CS-GI COLON</t>
  </si>
  <si>
    <t>TZL-A-0015</t>
  </si>
  <si>
    <t>TZL - 1A0015</t>
  </si>
  <si>
    <t>HRC001043</t>
  </si>
  <si>
    <t>Marcel Blot Chabaud</t>
  </si>
  <si>
    <t>TZL-A-0016</t>
  </si>
  <si>
    <t>TZL - 1A0016</t>
  </si>
  <si>
    <t>HRC001044</t>
  </si>
  <si>
    <t>Isabelle Blot Chabaud</t>
  </si>
  <si>
    <t>TZL-A-0017</t>
  </si>
  <si>
    <t>TZL - 1A0017</t>
  </si>
  <si>
    <t>HRC001036</t>
  </si>
  <si>
    <t>Ellen Gunnarsson</t>
  </si>
  <si>
    <t>B-Cube Onco, Cardio, Diabetes &amp; Neuro</t>
  </si>
  <si>
    <t>TZL-A-0018</t>
  </si>
  <si>
    <t>TZL - 1A0018</t>
  </si>
  <si>
    <t>HRC001042</t>
  </si>
  <si>
    <t>Diana Chernetska</t>
  </si>
  <si>
    <t>TZL-A-0019</t>
  </si>
  <si>
    <t>TZL - 1A0019</t>
  </si>
  <si>
    <t>Celia Black</t>
  </si>
  <si>
    <t>CS-Female Reproductive Organ (Uterine)</t>
  </si>
  <si>
    <t>Female Reproductive Organ (Uterine)</t>
  </si>
  <si>
    <t>TZL-A-0020</t>
  </si>
  <si>
    <t>TZL - 1A0020</t>
  </si>
  <si>
    <t>Charlie Kam</t>
  </si>
  <si>
    <t>TZL - 1A0021</t>
  </si>
  <si>
    <t>HRC001048</t>
  </si>
  <si>
    <t>The Leading Clinic at Royal Kingston</t>
  </si>
  <si>
    <t>TZL-A-0021</t>
  </si>
  <si>
    <t>TZL - 1A0022</t>
  </si>
  <si>
    <t>Paul Kanavos</t>
  </si>
  <si>
    <t>Rebrone Longevity</t>
  </si>
  <si>
    <t>TZL-A-0022</t>
  </si>
  <si>
    <t>TZL - 1A0023</t>
  </si>
  <si>
    <t>Dayssi Olarte Kanavos</t>
  </si>
  <si>
    <t>TZL-A-0023</t>
  </si>
  <si>
    <t>TZL - 1A0024</t>
  </si>
  <si>
    <t>Pencho Salovski</t>
  </si>
  <si>
    <t>Renal, no histology</t>
  </si>
  <si>
    <t>Dr Aamer Khan</t>
  </si>
  <si>
    <t>TZL-A-0024</t>
  </si>
  <si>
    <t>TZL - 1A0025</t>
  </si>
  <si>
    <t>HRC001046</t>
  </si>
  <si>
    <t>Leon Allen</t>
  </si>
  <si>
    <t>TZL - 1A0026</t>
  </si>
  <si>
    <t>TZL-A-0025</t>
  </si>
  <si>
    <t>TZL - 1A0027</t>
  </si>
  <si>
    <t xml:space="preserve">Turner Sally </t>
  </si>
  <si>
    <t>TZL-A-0026</t>
  </si>
  <si>
    <t>TZL - 1A0028</t>
  </si>
  <si>
    <t>Molly Siobhan</t>
  </si>
  <si>
    <t>TZL-A-0027</t>
  </si>
  <si>
    <t>TZL - 1A0029</t>
  </si>
  <si>
    <t>Anne Nicks</t>
  </si>
  <si>
    <t>TZL-A-0028</t>
  </si>
  <si>
    <t>TZL - 1A0030</t>
  </si>
  <si>
    <t>Kevin Burchler</t>
  </si>
  <si>
    <t>TZL-A-0029</t>
  </si>
  <si>
    <t>TZL - 1A0031</t>
  </si>
  <si>
    <t>TZL-A-0030</t>
  </si>
  <si>
    <t>TZL-1A0032</t>
  </si>
  <si>
    <t>Barry Gilbert</t>
  </si>
  <si>
    <t>TZL - 1A0001_P Day 1 C3</t>
  </si>
  <si>
    <t>TZL - 1A0001_P Day 2 C3</t>
  </si>
  <si>
    <t>TZL - 1A0001_P Day 3 C3</t>
  </si>
  <si>
    <t xml:space="preserve">TZL - 1A0033  </t>
  </si>
  <si>
    <t xml:space="preserve">TZL - 1A0034  </t>
  </si>
  <si>
    <t xml:space="preserve">TZL - 1A0035  </t>
  </si>
  <si>
    <t xml:space="preserve">TZL - 1A0036  </t>
  </si>
  <si>
    <t xml:space="preserve">TZL - 1A0038  </t>
  </si>
  <si>
    <t xml:space="preserve">TZL - 1A0039  </t>
  </si>
  <si>
    <t xml:space="preserve">TZL - 1A0040  </t>
  </si>
  <si>
    <t>VID</t>
  </si>
  <si>
    <t>Sex</t>
  </si>
  <si>
    <t>Smoker</t>
  </si>
  <si>
    <t>Polyps</t>
  </si>
  <si>
    <t>Cancer subtype: 0 = Adeno cancer 1=Diverticulitis 2=Diverticulosis 3=polyps 4=NAD 5=UC, 6=Crohns</t>
  </si>
  <si>
    <t>FinalTstage</t>
  </si>
  <si>
    <t>FinalNstage</t>
  </si>
  <si>
    <t>FinalMstage</t>
  </si>
  <si>
    <t>STAGE</t>
  </si>
  <si>
    <t>Cancer type (1 = adeno 2 = SCC 3 = LM 4 =NET</t>
  </si>
  <si>
    <t>CancerConfirmedno0yes1</t>
  </si>
  <si>
    <t>V016</t>
  </si>
  <si>
    <t>v018</t>
  </si>
  <si>
    <t>v019</t>
  </si>
  <si>
    <t>v023</t>
  </si>
  <si>
    <t>v027</t>
  </si>
  <si>
    <t>v031</t>
  </si>
  <si>
    <t>v032</t>
  </si>
  <si>
    <t>unknown</t>
  </si>
  <si>
    <t>v033</t>
  </si>
  <si>
    <t>v034</t>
  </si>
  <si>
    <t>v035</t>
  </si>
  <si>
    <t>v036</t>
  </si>
  <si>
    <t>Unknown</t>
  </si>
  <si>
    <t>v040</t>
  </si>
  <si>
    <t>v041</t>
  </si>
  <si>
    <t>v042</t>
  </si>
  <si>
    <t>v044</t>
  </si>
  <si>
    <t>v045</t>
  </si>
  <si>
    <t>v047</t>
  </si>
  <si>
    <t>v048</t>
  </si>
  <si>
    <t>v049</t>
  </si>
  <si>
    <t>v050</t>
  </si>
  <si>
    <t>v051</t>
  </si>
  <si>
    <t>v052</t>
  </si>
  <si>
    <t>v053</t>
  </si>
  <si>
    <t>v054</t>
  </si>
  <si>
    <t>v062</t>
  </si>
  <si>
    <t>v063</t>
  </si>
  <si>
    <t>v064</t>
  </si>
  <si>
    <t>v065</t>
  </si>
  <si>
    <t>v066</t>
  </si>
  <si>
    <t>v067</t>
  </si>
  <si>
    <t>v068</t>
  </si>
  <si>
    <t>v069</t>
  </si>
  <si>
    <t>v071</t>
  </si>
  <si>
    <t>v072</t>
  </si>
  <si>
    <t>v073</t>
  </si>
  <si>
    <t>v077</t>
  </si>
  <si>
    <t>v079</t>
  </si>
  <si>
    <t>v080</t>
  </si>
  <si>
    <t>v083</t>
  </si>
  <si>
    <t>v086</t>
  </si>
  <si>
    <t>v087</t>
  </si>
  <si>
    <t>v088</t>
  </si>
  <si>
    <t>v089</t>
  </si>
  <si>
    <t>v090</t>
  </si>
  <si>
    <t>v092</t>
  </si>
  <si>
    <t>v093</t>
  </si>
  <si>
    <t>v095</t>
  </si>
  <si>
    <t>v097</t>
  </si>
  <si>
    <t>v098</t>
  </si>
  <si>
    <t>v099</t>
  </si>
  <si>
    <t>v100</t>
  </si>
  <si>
    <t>v102</t>
  </si>
  <si>
    <t>v103</t>
  </si>
  <si>
    <t>v104</t>
  </si>
  <si>
    <t>v105</t>
  </si>
  <si>
    <t>v106</t>
  </si>
  <si>
    <t>v107</t>
  </si>
  <si>
    <t>v108</t>
  </si>
  <si>
    <t>v109</t>
  </si>
  <si>
    <t>v110</t>
  </si>
  <si>
    <t>v111</t>
  </si>
  <si>
    <t>v112</t>
  </si>
  <si>
    <t>v113</t>
  </si>
  <si>
    <t>v114</t>
  </si>
  <si>
    <t>v115</t>
  </si>
  <si>
    <t>v116</t>
  </si>
  <si>
    <t>StudyID</t>
  </si>
  <si>
    <t>Ethnicity</t>
  </si>
  <si>
    <t>CancerOutcome</t>
  </si>
  <si>
    <t>case.control</t>
  </si>
  <si>
    <t>White</t>
  </si>
  <si>
    <t>Indeterminate</t>
  </si>
  <si>
    <t>Negative</t>
  </si>
  <si>
    <t>Caribbean</t>
  </si>
  <si>
    <t>Positive</t>
  </si>
  <si>
    <t>Prefer not to say</t>
  </si>
  <si>
    <t>Other Asian background</t>
  </si>
  <si>
    <t>Status</t>
  </si>
  <si>
    <t>Sample Status</t>
  </si>
  <si>
    <t>CASE LABEL</t>
  </si>
  <si>
    <t>1A0005</t>
  </si>
  <si>
    <t>1A0006</t>
  </si>
  <si>
    <t>Benign Survivor</t>
  </si>
  <si>
    <t>BS</t>
  </si>
  <si>
    <t>1A0008</t>
  </si>
  <si>
    <t>Benign Treatment Naive</t>
  </si>
  <si>
    <t>GI (Rectal)</t>
  </si>
  <si>
    <t xml:space="preserve">COT </t>
  </si>
  <si>
    <t>GI (Colorectal, Adenocarcinoma)</t>
  </si>
  <si>
    <t>CR CS</t>
  </si>
  <si>
    <t>Lipodermoid</t>
  </si>
  <si>
    <t>Hematological and Lymphoid System (MALT Lymphoma)</t>
  </si>
  <si>
    <t>CR CTN</t>
  </si>
  <si>
    <t>Female Reproductive Organ (Uterus, Endometrial Adenocarcinoma)</t>
  </si>
  <si>
    <t>Not Cancer</t>
  </si>
  <si>
    <t>NOT CAN</t>
  </si>
  <si>
    <t>UNAVAILABLE</t>
  </si>
  <si>
    <t>Benign On Treatment</t>
  </si>
  <si>
    <t>Female Reproductive Organ (Uterine Cervix)</t>
  </si>
  <si>
    <t>CR COT</t>
  </si>
  <si>
    <t>Spec lab</t>
  </si>
  <si>
    <t>Head &amp; Neck (Follicular Ameloblastoma)</t>
  </si>
  <si>
    <t>Male Reproductive Organ (Prostate, BPH)</t>
  </si>
  <si>
    <t>Male Reproductive Organ (Benign Prostate Hyperplasia)</t>
  </si>
  <si>
    <t>BENIGN</t>
  </si>
  <si>
    <t>Hematological and Lymphoid System (Hodgkins Lymphoma); then benign lesion in cervical lymph node</t>
  </si>
  <si>
    <t>Female Reproductive Organ (Ovary)</t>
  </si>
  <si>
    <t>GI (Colorectal, Mucinous Carcinoma)</t>
  </si>
  <si>
    <t>3A0860</t>
  </si>
  <si>
    <t>GI (Colon); mets to Female Reproductive Organ (Adnexae)</t>
  </si>
  <si>
    <t>Breast (Carcinoma)</t>
  </si>
  <si>
    <t>Breast (Lobular Breast Carcinoma)</t>
  </si>
  <si>
    <t>Lung (Squamous Cell Carcioma)</t>
  </si>
  <si>
    <t>Breast (Invasive Breast Carcinoma, NOS)</t>
  </si>
  <si>
    <t xml:space="preserve">Benign </t>
  </si>
  <si>
    <t>4A0015</t>
  </si>
  <si>
    <t>Hematological and Lymphoid System (Multiple Myeloma)</t>
  </si>
  <si>
    <t>4A0016</t>
  </si>
  <si>
    <t>Hepatobilliary System (Pancreas, Adenocaricinoma)</t>
  </si>
  <si>
    <t>4A0017</t>
  </si>
  <si>
    <t>GI (GE Junction)</t>
  </si>
  <si>
    <t>4A0019</t>
  </si>
  <si>
    <t>4A0247 </t>
  </si>
  <si>
    <t>4A0248 </t>
  </si>
  <si>
    <t>4A0249 </t>
  </si>
  <si>
    <t>4A0301 </t>
  </si>
  <si>
    <t>4A0345 </t>
  </si>
  <si>
    <t>4A0356 </t>
  </si>
  <si>
    <t>BOT</t>
  </si>
  <si>
    <t>BTN</t>
  </si>
  <si>
    <t>Benign On Treament</t>
  </si>
  <si>
    <t>4A0187 </t>
  </si>
  <si>
    <t>4A0291 </t>
  </si>
  <si>
    <t>Shared with Vikas</t>
  </si>
  <si>
    <t>comments</t>
  </si>
  <si>
    <t>Sent to Mibiome</t>
  </si>
  <si>
    <t>Data received</t>
  </si>
  <si>
    <t>no DNA</t>
  </si>
  <si>
    <t/>
  </si>
  <si>
    <t>less DNA</t>
  </si>
  <si>
    <t>seq done previously</t>
  </si>
  <si>
    <t>144b_MB</t>
  </si>
  <si>
    <t>208b_MB</t>
  </si>
  <si>
    <t>277b_MB</t>
  </si>
  <si>
    <t>4A0295 </t>
  </si>
  <si>
    <t>report done</t>
  </si>
  <si>
    <t>low DNA</t>
  </si>
  <si>
    <t>356b_MB</t>
  </si>
  <si>
    <t>No DNA</t>
  </si>
  <si>
    <t>low DNA conc</t>
  </si>
  <si>
    <t>Less DNA</t>
  </si>
  <si>
    <t>2A0760 </t>
  </si>
  <si>
    <t>3A0850 </t>
  </si>
  <si>
    <t>3A0861 </t>
  </si>
  <si>
    <t>Yr 2026</t>
  </si>
  <si>
    <t>priority</t>
  </si>
  <si>
    <t>To Vikas</t>
  </si>
  <si>
    <t>Sample type</t>
  </si>
  <si>
    <t>Comments</t>
  </si>
  <si>
    <t>To MB_18th Sept, 2025</t>
  </si>
  <si>
    <t>To MB_25th Sept, 2025</t>
  </si>
  <si>
    <t>To MB_7th Oct, 2025</t>
  </si>
  <si>
    <t>MIBIOME</t>
  </si>
  <si>
    <t>To Vikas_15.10.25</t>
  </si>
  <si>
    <t>Seq done_24.10.25</t>
  </si>
  <si>
    <t>Seq done_17.10.25</t>
  </si>
  <si>
    <t>To MB_29th Oct, 2025</t>
  </si>
  <si>
    <t>To MB_5th Nov, 2025</t>
  </si>
  <si>
    <t>Seq done_12.11.25_20</t>
  </si>
  <si>
    <t>To MB_25th Nov, 2025</t>
  </si>
  <si>
    <t>Seq done_26.11.25_117</t>
  </si>
  <si>
    <t>To MB_10th Dec, 2025</t>
  </si>
  <si>
    <t>Seq done_15.12.25_101</t>
  </si>
  <si>
    <t>Seq done_05.01.26_64</t>
  </si>
  <si>
    <t>To MB_08th Jan, 2026</t>
  </si>
  <si>
    <t>Seq done_27.01.26_64</t>
  </si>
  <si>
    <t>To MB_02nd Feb, 2026</t>
  </si>
  <si>
    <t>Seq done_05.02.26</t>
  </si>
  <si>
    <t>To MB_19th Feb, 2026</t>
  </si>
  <si>
    <t>4A1132_MB</t>
  </si>
  <si>
    <t>4A0420_MB</t>
  </si>
  <si>
    <t>CAN-priority list</t>
  </si>
  <si>
    <t>CON-after priority</t>
  </si>
  <si>
    <t>3A0713_E</t>
  </si>
  <si>
    <t>4A1134_MB</t>
  </si>
  <si>
    <t>4A0421_MB</t>
  </si>
  <si>
    <t>3A0705_E</t>
  </si>
  <si>
    <t>4A1136_MB</t>
  </si>
  <si>
    <t>4A0428_MB</t>
  </si>
  <si>
    <t>3A0706_E</t>
  </si>
  <si>
    <t>4A0020_MB</t>
  </si>
  <si>
    <t>4A0429_MB</t>
  </si>
  <si>
    <t>3A0707_E</t>
  </si>
  <si>
    <t>4A1100_MB</t>
  </si>
  <si>
    <t>4A0430_MB</t>
  </si>
  <si>
    <t>3A0708_E</t>
  </si>
  <si>
    <t>4A0603_MB</t>
  </si>
  <si>
    <t>4A0431_MB</t>
  </si>
  <si>
    <t>3A0714_E</t>
  </si>
  <si>
    <t>4A0309_MB</t>
  </si>
  <si>
    <t>4A0432_MB</t>
  </si>
  <si>
    <t>3A0716_E</t>
  </si>
  <si>
    <t>4A0084_MB</t>
  </si>
  <si>
    <t>4A0440_MB</t>
  </si>
  <si>
    <t>3A0717_E</t>
  </si>
  <si>
    <t>4A0189_MB</t>
  </si>
  <si>
    <t>4A0443_MB</t>
  </si>
  <si>
    <t>3A0715_E</t>
  </si>
  <si>
    <t>4A0191_MB</t>
  </si>
  <si>
    <t>4A0444_MB</t>
  </si>
  <si>
    <t>3A0718_E</t>
  </si>
  <si>
    <t>4A0242_MB</t>
  </si>
  <si>
    <t>4A0447_MB</t>
  </si>
  <si>
    <t>3A0722_E</t>
  </si>
  <si>
    <t>4A0246_MB</t>
  </si>
  <si>
    <t>4A0450_MB</t>
  </si>
  <si>
    <t>3A0851_E</t>
  </si>
  <si>
    <t>4A0261_MB</t>
  </si>
  <si>
    <t>4A0456_MB</t>
  </si>
  <si>
    <t>3A0725_E</t>
  </si>
  <si>
    <t>4A0262_MB</t>
  </si>
  <si>
    <t>4A0460_MB</t>
  </si>
  <si>
    <t>low con</t>
  </si>
  <si>
    <t>3A0726_E</t>
  </si>
  <si>
    <t>4A0263_MB</t>
  </si>
  <si>
    <t>4A0461_MB</t>
  </si>
  <si>
    <t>3A1312_E</t>
  </si>
  <si>
    <t>4A0296_MB</t>
  </si>
  <si>
    <t>4A0475_MB</t>
  </si>
  <si>
    <t>3A1313_E</t>
  </si>
  <si>
    <t>4A0298_MB</t>
  </si>
  <si>
    <t>4A0500_MB</t>
  </si>
  <si>
    <t>3A1314_E</t>
  </si>
  <si>
    <t>4A0299_MB</t>
  </si>
  <si>
    <t>4A0506_MB</t>
  </si>
  <si>
    <t>3A1315_E</t>
  </si>
  <si>
    <t>4A0300_MB</t>
  </si>
  <si>
    <t>4A0511_MB</t>
  </si>
  <si>
    <t>3A1316_E</t>
  </si>
  <si>
    <t>4A0310_MB</t>
  </si>
  <si>
    <t>4A0521_MB</t>
  </si>
  <si>
    <t>3A1317_E</t>
  </si>
  <si>
    <t>4A0350_MB</t>
  </si>
  <si>
    <t>4A0525_MB</t>
  </si>
  <si>
    <t>3A1318_E</t>
  </si>
  <si>
    <t>4A0358_MB</t>
  </si>
  <si>
    <t>4A0526_MB</t>
  </si>
  <si>
    <t>3A1324_E</t>
  </si>
  <si>
    <t>4A0377_MB</t>
  </si>
  <si>
    <t>4A0527_MB</t>
  </si>
  <si>
    <t>3A1326_E</t>
  </si>
  <si>
    <t>4A0381_MB</t>
  </si>
  <si>
    <t>4A0528_MB</t>
  </si>
  <si>
    <t>3A1331_E</t>
  </si>
  <si>
    <t>4A0397_MB</t>
  </si>
  <si>
    <t>4A0529_MB</t>
  </si>
  <si>
    <t>3A1332_E</t>
  </si>
  <si>
    <t>4A0422_MB</t>
  </si>
  <si>
    <t>4A0530_MB</t>
  </si>
  <si>
    <t>3A1333_E</t>
  </si>
  <si>
    <t>4A0425_MB</t>
  </si>
  <si>
    <t>4A0531_MB</t>
  </si>
  <si>
    <t>3A1334_E</t>
  </si>
  <si>
    <t>4A0426_MB</t>
  </si>
  <si>
    <t>4A0576_MB</t>
  </si>
  <si>
    <t>3A1335_E</t>
  </si>
  <si>
    <t>4A0427_MB</t>
  </si>
  <si>
    <t>4A0580_MB</t>
  </si>
  <si>
    <t>3A1336_E</t>
  </si>
  <si>
    <t>4A0433_MB</t>
  </si>
  <si>
    <t>4A0581_MB</t>
  </si>
  <si>
    <t>3A1337_E</t>
  </si>
  <si>
    <t>4A0434_MB</t>
  </si>
  <si>
    <t>4A0582_MB</t>
  </si>
  <si>
    <t>3A1338_E</t>
  </si>
  <si>
    <t>4A0436_MB</t>
  </si>
  <si>
    <t>4A0601_MB</t>
  </si>
  <si>
    <t>3A1344_E</t>
  </si>
  <si>
    <t>4A0437_MB</t>
  </si>
  <si>
    <t>4A0602_MB</t>
  </si>
  <si>
    <t>3A1345_E</t>
  </si>
  <si>
    <t>4A0438_MB</t>
  </si>
  <si>
    <t>4A0607_MB</t>
  </si>
  <si>
    <t>3A1347_E</t>
  </si>
  <si>
    <t>4A0439_MB</t>
  </si>
  <si>
    <t>4A0609_MB</t>
  </si>
  <si>
    <t>3A1350_E</t>
  </si>
  <si>
    <t>4A0445_MB</t>
  </si>
  <si>
    <t>4A0012_E</t>
  </si>
  <si>
    <t>4A0457_MB</t>
  </si>
  <si>
    <t>4A0013_E</t>
  </si>
  <si>
    <t>4A0463_MB</t>
  </si>
  <si>
    <t>4A0023_E</t>
  </si>
  <si>
    <t>4A0466_MB</t>
  </si>
  <si>
    <t>4A0024_E</t>
  </si>
  <si>
    <t>4A0467_MB</t>
  </si>
  <si>
    <t>4A0025_E</t>
  </si>
  <si>
    <t>4A0468_MB</t>
  </si>
  <si>
    <t>4A0026_E</t>
  </si>
  <si>
    <t>4A0507_MB</t>
  </si>
  <si>
    <t>4A0027_E</t>
  </si>
  <si>
    <t>4A0508_MB</t>
  </si>
  <si>
    <t>4A0029_E</t>
  </si>
  <si>
    <t>4A0509_MB</t>
  </si>
  <si>
    <t>4A0031_E</t>
  </si>
  <si>
    <t>4A0516_MB</t>
  </si>
  <si>
    <t>TZL - 1A0019 Plasma 5</t>
  </si>
  <si>
    <t>4A0567_MB</t>
  </si>
  <si>
    <t>TZL - 1A0020 Plasma 5</t>
  </si>
  <si>
    <t>4A0573_MB</t>
  </si>
  <si>
    <t>TZL - 1A0021 Plasma 5</t>
  </si>
  <si>
    <t>4A0575_MB</t>
  </si>
  <si>
    <t>TZL - 1A0022 Plasma 5</t>
  </si>
  <si>
    <t>4A0583_MB</t>
  </si>
  <si>
    <t>TZL - 1A0023 Plasma 5</t>
  </si>
  <si>
    <t>4A0635_MB</t>
  </si>
  <si>
    <t>TZL - 1A0024 Plasma 5</t>
  </si>
  <si>
    <t>4A0636_MB</t>
  </si>
  <si>
    <t>TZL - 1A0025 Plasma 5</t>
  </si>
  <si>
    <t>4A0657_MB</t>
  </si>
  <si>
    <t>TZL - 1A0026 Plasma 5</t>
  </si>
  <si>
    <t>4A0670_MB</t>
  </si>
  <si>
    <t>TZL - 1A0027 Plasma 5</t>
  </si>
  <si>
    <t>4A0671_MB</t>
  </si>
  <si>
    <t>TZL - 1A0028 Plasma 5</t>
  </si>
  <si>
    <t>4A1113_MB</t>
  </si>
  <si>
    <t>TZL - 1A0030 Plasma 5</t>
  </si>
  <si>
    <t>4A1114_MB</t>
  </si>
  <si>
    <t>TZL - 1A0031 Plasma 5</t>
  </si>
  <si>
    <t>4A1115_MB</t>
  </si>
  <si>
    <t>TZL - 1A0032 Plasma 5</t>
  </si>
  <si>
    <t>4A1118_MB</t>
  </si>
  <si>
    <t xml:space="preserve">TZL - 1A0033 Plasma 5 </t>
  </si>
  <si>
    <t>403b_MB</t>
  </si>
  <si>
    <t xml:space="preserve">TZL - 1A0034 Plasma 5 </t>
  </si>
  <si>
    <t>404b_MB</t>
  </si>
  <si>
    <t xml:space="preserve">TZL - 1A0035 Plasma 5 </t>
  </si>
  <si>
    <t>seq done</t>
  </si>
  <si>
    <t>405b_MB</t>
  </si>
  <si>
    <t xml:space="preserve">TZL - 1A0036 Plasma 5 </t>
  </si>
  <si>
    <t>406b_MB</t>
  </si>
  <si>
    <t xml:space="preserve">TZL - 1A0038 Plasma 5 </t>
  </si>
  <si>
    <t>407b_MB</t>
  </si>
  <si>
    <t xml:space="preserve">TZL - 1A0039 Plasma 5 </t>
  </si>
  <si>
    <t>408b_MB</t>
  </si>
  <si>
    <t xml:space="preserve">TZL - 1A0040 Plasma 5 </t>
  </si>
  <si>
    <t>144b</t>
  </si>
  <si>
    <t>277b</t>
  </si>
  <si>
    <t>356b</t>
  </si>
  <si>
    <t>208b</t>
  </si>
  <si>
    <t>Total DNA list</t>
  </si>
  <si>
    <t>2022-July 2025</t>
  </si>
  <si>
    <t>Sr No.</t>
  </si>
  <si>
    <t>Total DNA= 822</t>
  </si>
  <si>
    <t>201222477 R1</t>
  </si>
  <si>
    <t>250822170 R2</t>
  </si>
  <si>
    <t>5A0147</t>
  </si>
  <si>
    <t>3A0873</t>
  </si>
  <si>
    <t>5A0151</t>
  </si>
  <si>
    <t>3A0884</t>
  </si>
  <si>
    <t>5A0152</t>
  </si>
  <si>
    <t>270922205 R2</t>
  </si>
  <si>
    <t>5A0159</t>
  </si>
  <si>
    <t>5A0171</t>
  </si>
  <si>
    <t>256 R1</t>
  </si>
  <si>
    <t>5A0230 </t>
  </si>
  <si>
    <t xml:space="preserve">Total </t>
  </si>
  <si>
    <t>Total Number of  DNA</t>
  </si>
  <si>
    <t>Neha Vora</t>
  </si>
  <si>
    <t>3A0951</t>
  </si>
  <si>
    <t>Jed Rust</t>
  </si>
  <si>
    <t>Dr Hinduja</t>
  </si>
  <si>
    <t>14-06-2024</t>
  </si>
  <si>
    <t>13-05-2025</t>
  </si>
  <si>
    <t>18-02-2025</t>
  </si>
  <si>
    <t>Seema Kejriwal</t>
  </si>
  <si>
    <t>Shailesh Haribhakti</t>
  </si>
  <si>
    <t>24-09-2024</t>
  </si>
  <si>
    <t>Shubhangi</t>
  </si>
  <si>
    <t>Christain Kaelin (TZ_22233296)</t>
  </si>
  <si>
    <t>Gavin Wood (TZ_22238222)</t>
  </si>
  <si>
    <t>James Coleman (TZ_22238223)</t>
  </si>
  <si>
    <t>Nissar Rafiq (TZ_OXN25_PLASMA)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</si>
</sst>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409]dd\-mmm\-yy;@"/>
  </numFmts>
  <fonts count="75">
    <font>
      <sz val="11"/>
      <color theme="1"/>
      <name val="Aptos Narrow"/>
      <family val="2"/>
      <scheme val="minor"/>
    </font>
    <font>
      <sz val="11"/>
      <color theme="1"/>
      <name val="Calibri"/>
      <scheme val="minor"/>
    </font>
    <font>
      <b/>
      <sz val="12"/>
      <color rgb="FF000000"/>
      <name val="Calibri"/>
      <family val="2"/>
    </font>
    <font>
      <b/>
      <sz val="12"/>
      <color rgb="FF000000"/>
      <name val="Calibri"/>
    </font>
    <font>
      <sz val="12"/>
      <color rgb="FF000000"/>
      <name val="Calibri"/>
      <family val="2"/>
    </font>
    <font>
      <sz val="12"/>
      <color rgb="FF000000"/>
      <name val="Calibri"/>
    </font>
    <font>
      <sz val="12"/>
      <color rgb="FF000000"/>
      <name val="Calibri"/>
      <scheme val="minor"/>
    </font>
    <font>
      <sz val="12"/>
      <color theme="1"/>
      <name val="Calibri"/>
      <family val="2"/>
      <scheme val="minor"/>
    </font>
    <font>
      <sz val="12"/>
      <color theme="1"/>
      <name val="Calibri"/>
      <scheme val="minor"/>
    </font>
    <font>
      <sz val="11"/>
      <color rgb="FF000000"/>
      <name val="Calibri"/>
      <scheme val="minor"/>
    </font>
    <font>
      <sz val="12"/>
      <color rgb="FF000000"/>
      <name val="Calibri"/>
      <family val="2"/>
      <scheme val="minor"/>
    </font>
    <font>
      <b/>
      <sz val="11"/>
      <color theme="1"/>
      <name val="Calibri"/>
      <family val="2"/>
      <scheme val="minor"/>
    </font>
    <font>
      <sz val="12"/>
      <color theme="1"/>
      <name val="Times New Roman"/>
    </font>
    <font>
      <sz val="12"/>
      <color rgb="FF000000"/>
      <name val="Times New Roman"/>
    </font>
    <font>
      <sz val="11"/>
      <color rgb="FF000000"/>
      <name val="Calibri"/>
      <family val="2"/>
      <scheme val="minor"/>
    </font>
    <font>
      <sz val="11"/>
      <color rgb="FF000000"/>
      <name val="Aptos Narrow"/>
      <family val="2"/>
    </font>
    <font>
      <sz val="12"/>
      <color rgb="FF000000"/>
      <name val="Aptos"/>
      <charset val="1"/>
    </font>
    <font>
      <sz val="11"/>
      <color rgb="FF000000"/>
      <name val="Aptos Narrow"/>
    </font>
    <font>
      <b/>
      <sz val="11"/>
      <color rgb="FF000000"/>
      <name val="Calibri"/>
      <family val="2"/>
    </font>
    <font>
      <sz val="11"/>
      <color rgb="FF000000"/>
      <name val="Calibri"/>
      <family val="2"/>
    </font>
    <font>
      <sz val="11"/>
      <color rgb="FF242424"/>
      <name val="Aptos Narrow"/>
      <charset val="1"/>
    </font>
    <font>
      <u/>
      <sz val="11"/>
      <color theme="10"/>
      <name val="Aptos Narrow"/>
      <family val="2"/>
      <scheme val="minor"/>
    </font>
    <font>
      <sz val="14"/>
      <color theme="1"/>
      <name val="Aptos Narrow"/>
      <family val="2"/>
      <scheme val="minor"/>
    </font>
    <font>
      <b/>
      <sz val="11"/>
      <color theme="1"/>
      <name val="Aptos Narrow"/>
      <family val="2"/>
      <scheme val="minor"/>
    </font>
    <font>
      <b/>
      <sz val="12"/>
      <color theme="1"/>
      <name val="Calibri"/>
    </font>
    <font>
      <u/>
      <sz val="8"/>
      <color theme="10"/>
      <name val="Aptos Narrow"/>
      <family val="2"/>
      <scheme val="minor"/>
    </font>
    <font>
      <b/>
      <sz val="14"/>
      <color theme="1"/>
      <name val="Aptos Narrow"/>
      <family val="2"/>
      <scheme val="minor"/>
    </font>
    <font>
      <b/>
      <sz val="12"/>
      <color theme="1"/>
      <name val="Aptos Narrow"/>
      <family val="2"/>
      <scheme val="minor"/>
    </font>
    <font>
      <sz val="11"/>
      <color rgb="FF00B050"/>
      <name val="Times New Roman"/>
    </font>
    <font>
      <b/>
      <sz val="12"/>
      <color theme="1"/>
      <name val="Times New Roman"/>
    </font>
    <font>
      <b/>
      <sz val="12"/>
      <color theme="1"/>
      <name val="Calibri"/>
      <scheme val="minor"/>
    </font>
    <font>
      <b/>
      <sz val="12"/>
      <color rgb="FF000000"/>
      <name val="Calibri"/>
      <scheme val="minor"/>
    </font>
    <font>
      <sz val="12"/>
      <color rgb="FF000000"/>
      <name val="Calibri Light"/>
      <scheme val="major"/>
    </font>
    <font>
      <sz val="11"/>
      <color rgb="FF000000"/>
      <name val="Aptos Narrow"/>
      <scheme val="minor"/>
    </font>
    <font>
      <sz val="11"/>
      <color rgb="FF000000"/>
      <name val="Calibri"/>
    </font>
    <font>
      <sz val="11"/>
      <color rgb="FF000000"/>
      <name val="Aptos Narrow"/>
      <charset val="1"/>
    </font>
    <font>
      <sz val="11"/>
      <color theme="1"/>
      <name val="Aptos Narrow"/>
      <scheme val="minor"/>
    </font>
    <font>
      <sz val="12"/>
      <color rgb="FF000000"/>
      <name val="Aptos Narrow"/>
      <scheme val="minor"/>
    </font>
    <font>
      <sz val="11"/>
      <color rgb="FF242424"/>
      <name val="Consolas"/>
      <charset val="1"/>
    </font>
    <font>
      <sz val="12"/>
      <color theme="1"/>
      <name val="Calibri"/>
    </font>
    <font>
      <sz val="11"/>
      <color rgb="FF000000"/>
      <name val="Arial"/>
    </font>
    <font>
      <b/>
      <sz val="14"/>
      <color rgb="FF000000"/>
      <name val="Times New Roman"/>
    </font>
    <font>
      <b/>
      <sz val="12"/>
      <color rgb="FF000000"/>
      <name val="Calibri Light"/>
    </font>
    <font>
      <sz val="14"/>
      <color rgb="FF000000"/>
      <name val="Times New Roman"/>
    </font>
    <font>
      <sz val="12"/>
      <color rgb="FF000000"/>
      <name val="Calibri Light"/>
    </font>
    <font>
      <sz val="12"/>
      <color rgb="FF000000"/>
      <name val="Aptos Narrow"/>
    </font>
    <font>
      <sz val="11"/>
      <color rgb="FF9C0006"/>
      <name val="Aptos Narrow"/>
    </font>
    <font>
      <b/>
      <sz val="11"/>
      <color rgb="FF000000"/>
      <name val="Calibri"/>
    </font>
    <font>
      <sz val="11"/>
      <color rgb="FF242424"/>
      <name val="Aptos Narrow"/>
    </font>
    <font>
      <sz val="14"/>
      <color rgb="FF242424"/>
      <name val="Times New Roman"/>
    </font>
    <font>
      <sz val="11"/>
      <color rgb="FF000000"/>
      <name val="Times New Roman"/>
    </font>
    <font>
      <b/>
      <sz val="16"/>
      <color rgb="FF000000"/>
      <name val="Aptos Narrow"/>
      <scheme val="minor"/>
    </font>
    <font>
      <b/>
      <sz val="11"/>
      <color theme="1"/>
      <name val="Aptos Display"/>
      <scheme val="major"/>
    </font>
    <font>
      <b/>
      <sz val="12"/>
      <color rgb="FF000000"/>
      <name val="Aptos Display"/>
      <scheme val="major"/>
    </font>
    <font>
      <b/>
      <sz val="11"/>
      <color rgb="FF000000"/>
      <name val="Aptos Display"/>
      <scheme val="major"/>
    </font>
    <font>
      <sz val="11"/>
      <color theme="1"/>
      <name val="Aptos Display"/>
      <scheme val="major"/>
    </font>
    <font>
      <sz val="11"/>
      <color rgb="FF000000"/>
      <name val="Aptos Display"/>
      <scheme val="major"/>
    </font>
    <font>
      <sz val="12"/>
      <color rgb="FF000000"/>
      <name val="Aptos Display"/>
      <scheme val="major"/>
    </font>
    <font>
      <sz val="11"/>
      <color rgb="FF242424"/>
      <name val="Aptos Display"/>
      <scheme val="major"/>
    </font>
    <font>
      <sz val="12"/>
      <color theme="1"/>
      <name val="Aptos Display"/>
      <scheme val="major"/>
    </font>
    <font>
      <b/>
      <sz val="11"/>
      <color theme="0"/>
      <name val="Aptos Display"/>
      <scheme val="major"/>
    </font>
    <font>
      <sz val="11"/>
      <color rgb="FF000000"/>
      <name val="Aptos Display"/>
    </font>
    <font>
      <sz val="11"/>
      <color rgb="FF000000"/>
      <name val="Times New Roman"/>
      <family val="1"/>
    </font>
    <font>
      <sz val="11"/>
      <color theme="0"/>
      <name val="Calibri"/>
      <family val="2"/>
      <scheme val="minor"/>
    </font>
    <font>
      <sz val="8"/>
      <name val="Arial MT"/>
      <family val="2"/>
    </font>
    <font>
      <sz val="12"/>
      <color theme="1"/>
      <name val="Aptos"/>
      <charset val="1"/>
    </font>
    <font>
      <b/>
      <sz val="11"/>
      <color rgb="FF000000"/>
      <name val="Calibri"/>
      <family val="2"/>
      <scheme val="minor"/>
    </font>
    <font>
      <b/>
      <sz val="11"/>
      <color rgb="FF000000"/>
      <name val="Calibri Light"/>
      <family val="2"/>
    </font>
    <font>
      <sz val="11"/>
      <color rgb="FF000000"/>
      <name val="Calibri Light"/>
      <family val="2"/>
    </font>
    <font>
      <b/>
      <sz val="12"/>
      <color rgb="FF000000"/>
      <name val="Inherit"/>
      <charset val="1"/>
    </font>
    <font>
      <sz val="12"/>
      <color rgb="FF000000"/>
      <name val="Calibri"/>
      <charset val="1"/>
    </font>
    <font>
      <sz val="11"/>
      <color rgb="FF000000"/>
      <name val="Aptos Narrow"/>
      <family val="2"/>
      <scheme val="minor"/>
    </font>
    <font>
      <sz val="11"/>
      <color rgb="FF000000"/>
      <name val="Truenobd"/>
      <charset val="1"/>
    </font>
    <font>
      <sz val="12"/>
      <color rgb="FF001D35"/>
      <name val="Google Sans"/>
      <charset val="1"/>
    </font>
    <font>
      <sz val="11"/>
      <color rgb="FFFF0000"/>
      <name val="Aptos Narrow"/>
      <family val="2"/>
      <scheme val="minor"/>
    </font>
  </fonts>
  <fills count="38">
    <fill>
      <patternFill patternType="none"/>
    </fill>
    <fill>
      <patternFill patternType="gray125"/>
    </fill>
    <fill>
      <patternFill patternType="solid">
        <fgColor theme="8"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theme="1" tint="0.499984740745262"/>
        <bgColor indexed="64"/>
      </patternFill>
    </fill>
    <fill>
      <patternFill patternType="solid">
        <fgColor rgb="FFB4C6E7"/>
        <bgColor rgb="FF000000"/>
      </patternFill>
    </fill>
    <fill>
      <patternFill patternType="solid">
        <fgColor rgb="FFFFC000"/>
        <bgColor rgb="FF000000"/>
      </patternFill>
    </fill>
    <fill>
      <patternFill patternType="solid">
        <fgColor rgb="FFFFFFFF"/>
        <bgColor indexed="64"/>
      </patternFill>
    </fill>
    <fill>
      <patternFill patternType="solid">
        <fgColor theme="6" tint="0.59999389629810485"/>
        <bgColor indexed="64"/>
      </patternFill>
    </fill>
    <fill>
      <patternFill patternType="solid">
        <fgColor rgb="FF00B0F0"/>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rgb="FFFF0000"/>
        <bgColor indexed="64"/>
      </patternFill>
    </fill>
    <fill>
      <patternFill patternType="solid">
        <fgColor theme="3" tint="0.499984740745262"/>
        <bgColor indexed="64"/>
      </patternFill>
    </fill>
    <fill>
      <patternFill patternType="solid">
        <fgColor rgb="FFFFFFFF"/>
        <bgColor rgb="FF000000"/>
      </patternFill>
    </fill>
    <fill>
      <patternFill patternType="solid">
        <fgColor rgb="FF92D050"/>
        <bgColor indexed="64"/>
      </patternFill>
    </fill>
    <fill>
      <patternFill patternType="solid">
        <fgColor theme="5" tint="0.79998168889431442"/>
        <bgColor indexed="64"/>
      </patternFill>
    </fill>
    <fill>
      <patternFill patternType="solid">
        <fgColor rgb="FFFFC000"/>
        <bgColor indexed="64"/>
      </patternFill>
    </fill>
    <fill>
      <patternFill patternType="solid">
        <fgColor theme="9"/>
        <bgColor indexed="64"/>
      </patternFill>
    </fill>
    <fill>
      <patternFill patternType="solid">
        <fgColor rgb="FFFFFFFF"/>
        <bgColor rgb="FFFFFFFF"/>
      </patternFill>
    </fill>
    <fill>
      <patternFill patternType="solid">
        <fgColor theme="1"/>
        <bgColor indexed="64"/>
      </patternFill>
    </fill>
    <fill>
      <patternFill patternType="solid">
        <fgColor theme="4" tint="0.39997558519241921"/>
        <bgColor indexed="64"/>
      </patternFill>
    </fill>
    <fill>
      <patternFill patternType="solid">
        <fgColor rgb="FF4EA72E"/>
        <bgColor rgb="FF000000"/>
      </patternFill>
    </fill>
    <fill>
      <patternFill patternType="solid">
        <fgColor rgb="FFFFFF00"/>
        <bgColor rgb="FF000000"/>
      </patternFill>
    </fill>
    <fill>
      <patternFill patternType="solid">
        <fgColor rgb="FFFF0000"/>
        <bgColor rgb="FF000000"/>
      </patternFill>
    </fill>
    <fill>
      <patternFill patternType="solid">
        <fgColor rgb="FFF2CEEF"/>
        <bgColor rgb="FF000000"/>
      </patternFill>
    </fill>
    <fill>
      <patternFill patternType="solid">
        <fgColor theme="5"/>
        <bgColor indexed="64"/>
      </patternFill>
    </fill>
    <fill>
      <patternFill patternType="solid">
        <fgColor theme="3" tint="0.749992370372631"/>
        <bgColor indexed="64"/>
      </patternFill>
    </fill>
    <fill>
      <patternFill patternType="solid">
        <fgColor theme="1" tint="0.14999847407452621"/>
        <bgColor indexed="64"/>
      </patternFill>
    </fill>
    <fill>
      <patternFill patternType="solid">
        <fgColor rgb="FF00B050"/>
        <bgColor indexed="64"/>
      </patternFill>
    </fill>
    <fill>
      <patternFill patternType="solid">
        <fgColor theme="2" tint="-0.249977111117893"/>
        <bgColor indexed="64"/>
      </patternFill>
    </fill>
    <fill>
      <patternFill patternType="solid">
        <fgColor theme="8" tint="0.59999389629810485"/>
        <bgColor indexed="64"/>
      </patternFill>
    </fill>
  </fills>
  <borders count="31">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bottom style="thin">
        <color rgb="FF000000"/>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rgb="FF000000"/>
      </right>
      <top/>
      <bottom/>
      <diagonal/>
    </border>
    <border>
      <left/>
      <right style="thin">
        <color indexed="64"/>
      </right>
      <top style="thin">
        <color indexed="64"/>
      </top>
      <bottom/>
      <diagonal/>
    </border>
    <border>
      <left/>
      <right style="thin">
        <color indexed="64"/>
      </right>
      <top style="thin">
        <color rgb="FF000000"/>
      </top>
      <bottom style="thin">
        <color rgb="FF000000"/>
      </bottom>
      <diagonal/>
    </border>
    <border>
      <left/>
      <right/>
      <top style="thin">
        <color rgb="FFABABAB"/>
      </top>
      <bottom style="thin">
        <color rgb="FFABABAB"/>
      </bottom>
      <diagonal/>
    </border>
    <border>
      <left style="thin">
        <color indexed="64"/>
      </left>
      <right style="thin">
        <color indexed="64"/>
      </right>
      <top style="thin">
        <color indexed="64"/>
      </top>
      <bottom/>
      <diagonal/>
    </border>
    <border>
      <left style="thin">
        <color indexed="64"/>
      </left>
      <right style="thin">
        <color indexed="64"/>
      </right>
      <top style="thin">
        <color rgb="FF000000"/>
      </top>
      <bottom style="thin">
        <color rgb="FF000000"/>
      </bottom>
      <diagonal/>
    </border>
    <border>
      <left style="thin">
        <color rgb="FFABABAB"/>
      </left>
      <right style="thin">
        <color rgb="FFABABAB"/>
      </right>
      <top style="thin">
        <color rgb="FFABABAB"/>
      </top>
      <bottom style="thin">
        <color rgb="FFABABAB"/>
      </bottom>
      <diagonal/>
    </border>
    <border>
      <left style="thin">
        <color rgb="FF652589"/>
      </left>
      <right style="thin">
        <color rgb="FF652589"/>
      </right>
      <top style="thin">
        <color rgb="FF652589"/>
      </top>
      <bottom style="thin">
        <color rgb="FF652589"/>
      </bottom>
      <diagonal/>
    </border>
    <border>
      <left style="thin">
        <color rgb="FFABABAB"/>
      </left>
      <right/>
      <top style="thin">
        <color rgb="FFABABAB"/>
      </top>
      <bottom style="thin">
        <color rgb="FFABABAB"/>
      </bottom>
      <diagonal/>
    </border>
    <border>
      <left style="thin">
        <color indexed="64"/>
      </left>
      <right/>
      <top style="thin">
        <color indexed="64"/>
      </top>
      <bottom style="thin">
        <color indexed="64"/>
      </bottom>
      <diagonal/>
    </border>
    <border>
      <left style="thin">
        <color rgb="FF652589"/>
      </left>
      <right style="thin">
        <color rgb="FF652589"/>
      </right>
      <top/>
      <bottom style="thin">
        <color rgb="FF652589"/>
      </bottom>
      <diagonal/>
    </border>
    <border>
      <left style="thin">
        <color indexed="64"/>
      </left>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s>
  <cellStyleXfs count="2">
    <xf numFmtId="0" fontId="0" fillId="0" borderId="0"/>
    <xf numFmtId="0" fontId="21" fillId="0" borderId="0" applyNumberFormat="0" applyFill="0" applyBorder="0" applyAlignment="0" applyProtection="0"/>
  </cellStyleXfs>
  <cellXfs count="610">
    <xf numFmtId="0" fontId="0" fillId="0" borderId="0" xfId="0"/>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2" fillId="4" borderId="1" xfId="0" applyFont="1" applyFill="1" applyBorder="1" applyAlignment="1">
      <alignment horizontal="center" vertical="center"/>
    </xf>
    <xf numFmtId="164" fontId="2" fillId="4" borderId="1" xfId="0" applyNumberFormat="1" applyFont="1" applyFill="1" applyBorder="1" applyAlignment="1">
      <alignment horizontal="center" vertical="center"/>
    </xf>
    <xf numFmtId="0" fontId="2" fillId="4" borderId="1" xfId="0" applyFont="1" applyFill="1" applyBorder="1" applyAlignment="1">
      <alignment horizontal="center" vertical="center" wrapText="1"/>
    </xf>
    <xf numFmtId="0" fontId="0" fillId="5" borderId="1" xfId="0" applyFill="1" applyBorder="1" applyAlignment="1">
      <alignment horizontal="center" vertical="center"/>
    </xf>
    <xf numFmtId="0" fontId="8"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xf numFmtId="0" fontId="5" fillId="0" borderId="1" xfId="0" applyFont="1" applyBorder="1" applyAlignment="1">
      <alignment horizontal="center" vertical="center"/>
    </xf>
    <xf numFmtId="0" fontId="7" fillId="0" borderId="1" xfId="0" applyFont="1" applyBorder="1" applyAlignment="1">
      <alignment horizontal="center" vertical="center"/>
    </xf>
    <xf numFmtId="0" fontId="6" fillId="6" borderId="1" xfId="0" applyFont="1" applyFill="1" applyBorder="1" applyAlignment="1">
      <alignment horizontal="center" vertical="center"/>
    </xf>
    <xf numFmtId="0" fontId="0" fillId="6" borderId="1" xfId="0" applyFill="1" applyBorder="1" applyAlignment="1">
      <alignment horizontal="center" vertical="center"/>
    </xf>
    <xf numFmtId="0" fontId="16" fillId="0" borderId="0" xfId="0" applyFont="1"/>
    <xf numFmtId="0" fontId="17" fillId="0" borderId="1" xfId="0" applyFont="1" applyBorder="1"/>
    <xf numFmtId="0" fontId="0" fillId="6" borderId="1" xfId="0" applyFill="1" applyBorder="1" applyAlignment="1">
      <alignment horizontal="center"/>
    </xf>
    <xf numFmtId="0" fontId="8" fillId="0" borderId="1" xfId="0" applyFont="1" applyBorder="1" applyAlignment="1">
      <alignment horizontal="center"/>
    </xf>
    <xf numFmtId="14" fontId="2" fillId="2" borderId="1" xfId="0" applyNumberFormat="1" applyFont="1" applyFill="1" applyBorder="1" applyAlignment="1">
      <alignment horizontal="center" vertical="center"/>
    </xf>
    <xf numFmtId="0" fontId="22" fillId="6" borderId="0" xfId="0" applyFont="1" applyFill="1"/>
    <xf numFmtId="16" fontId="0" fillId="0" borderId="0" xfId="0" applyNumberFormat="1"/>
    <xf numFmtId="0" fontId="23" fillId="0" borderId="0" xfId="0" applyFont="1"/>
    <xf numFmtId="0" fontId="23" fillId="9" borderId="0" xfId="0" applyFont="1" applyFill="1"/>
    <xf numFmtId="0" fontId="23" fillId="3" borderId="0" xfId="0" applyFont="1" applyFill="1"/>
    <xf numFmtId="0" fontId="23" fillId="14" borderId="0" xfId="0" applyFont="1" applyFill="1"/>
    <xf numFmtId="0" fontId="23" fillId="15" borderId="0" xfId="0" applyFont="1" applyFill="1"/>
    <xf numFmtId="0" fontId="24" fillId="0" borderId="0" xfId="0" applyFont="1"/>
    <xf numFmtId="0" fontId="24" fillId="16" borderId="0" xfId="0" applyFont="1" applyFill="1"/>
    <xf numFmtId="0" fontId="23" fillId="16" borderId="0" xfId="0" applyFont="1" applyFill="1"/>
    <xf numFmtId="0" fontId="23" fillId="17" borderId="0" xfId="0" applyFont="1" applyFill="1"/>
    <xf numFmtId="0" fontId="23" fillId="0" borderId="0" xfId="0" applyFont="1" applyAlignment="1">
      <alignment horizontal="center" vertical="center"/>
    </xf>
    <xf numFmtId="0" fontId="21" fillId="0" borderId="10" xfId="1" applyFill="1" applyBorder="1" applyAlignment="1">
      <alignment horizontal="center" vertical="center"/>
    </xf>
    <xf numFmtId="0" fontId="21" fillId="0" borderId="0" xfId="1" applyFill="1" applyBorder="1" applyAlignment="1">
      <alignment horizontal="center" vertical="center"/>
    </xf>
    <xf numFmtId="0" fontId="0" fillId="0" borderId="0" xfId="0" applyAlignment="1">
      <alignment horizontal="center" vertical="center"/>
    </xf>
    <xf numFmtId="0" fontId="4" fillId="0" borderId="7" xfId="0" applyFont="1" applyBorder="1" applyAlignment="1">
      <alignment horizontal="center" vertical="center"/>
    </xf>
    <xf numFmtId="0" fontId="0" fillId="0" borderId="0" xfId="0" applyAlignment="1">
      <alignment horizontal="center" vertical="center" wrapText="1"/>
    </xf>
    <xf numFmtId="0" fontId="25" fillId="0" borderId="10" xfId="1" applyFont="1" applyFill="1" applyBorder="1" applyAlignment="1">
      <alignment horizontal="center" vertical="center"/>
    </xf>
    <xf numFmtId="0" fontId="25" fillId="0" borderId="0" xfId="1" applyFont="1" applyFill="1" applyBorder="1" applyAlignment="1">
      <alignment horizontal="center" vertical="center"/>
    </xf>
    <xf numFmtId="0" fontId="22" fillId="0" borderId="0" xfId="0" applyFont="1" applyAlignment="1">
      <alignment horizontal="center" vertical="center"/>
    </xf>
    <xf numFmtId="0" fontId="26" fillId="0" borderId="1" xfId="0" applyFont="1" applyBorder="1" applyAlignment="1">
      <alignment horizontal="center" vertical="center"/>
    </xf>
    <xf numFmtId="0" fontId="26" fillId="0" borderId="3" xfId="0" applyFont="1" applyBorder="1" applyAlignment="1">
      <alignment horizontal="center" vertical="center"/>
    </xf>
    <xf numFmtId="0" fontId="22" fillId="0" borderId="1" xfId="0" applyFont="1" applyBorder="1" applyAlignment="1">
      <alignment horizontal="center" vertical="center"/>
    </xf>
    <xf numFmtId="0" fontId="26" fillId="0" borderId="0" xfId="0" applyFont="1" applyAlignment="1">
      <alignment horizontal="center" vertical="center"/>
    </xf>
    <xf numFmtId="0" fontId="27" fillId="0" borderId="8" xfId="0" applyFont="1" applyBorder="1" applyAlignment="1">
      <alignment horizontal="center" vertical="center" wrapText="1"/>
    </xf>
    <xf numFmtId="0" fontId="27" fillId="0" borderId="11" xfId="0" applyFont="1" applyBorder="1" applyAlignment="1">
      <alignment horizontal="center" vertical="center" wrapText="1"/>
    </xf>
    <xf numFmtId="0" fontId="27" fillId="0" borderId="1" xfId="0" applyFont="1" applyBorder="1" applyAlignment="1">
      <alignment horizontal="center" vertical="center" wrapText="1"/>
    </xf>
    <xf numFmtId="0" fontId="23" fillId="0" borderId="7" xfId="0" applyFont="1" applyBorder="1" applyAlignment="1">
      <alignment horizontal="center" vertical="center" wrapText="1"/>
    </xf>
    <xf numFmtId="0" fontId="23" fillId="0" borderId="0" xfId="0" applyFont="1" applyAlignment="1">
      <alignment horizontal="center" vertical="center" wrapText="1"/>
    </xf>
    <xf numFmtId="0" fontId="27" fillId="0" borderId="9" xfId="0" applyFont="1" applyBorder="1" applyAlignment="1">
      <alignment horizontal="center" vertical="center" wrapText="1"/>
    </xf>
    <xf numFmtId="0" fontId="23" fillId="0" borderId="9" xfId="0" applyFont="1" applyBorder="1" applyAlignment="1">
      <alignment horizontal="center" vertical="center" wrapText="1"/>
    </xf>
    <xf numFmtId="0" fontId="23" fillId="0" borderId="8" xfId="0" applyFont="1" applyBorder="1" applyAlignment="1">
      <alignment horizontal="center" vertical="center" wrapText="1"/>
    </xf>
    <xf numFmtId="0" fontId="23" fillId="0" borderId="1" xfId="0" applyFont="1" applyBorder="1" applyAlignment="1">
      <alignment horizontal="center" vertical="center" wrapText="1"/>
    </xf>
    <xf numFmtId="0" fontId="27" fillId="0" borderId="1" xfId="0" applyFont="1" applyBorder="1" applyAlignment="1">
      <alignment horizontal="center" vertical="center"/>
    </xf>
    <xf numFmtId="0" fontId="27" fillId="0" borderId="4" xfId="0" applyFont="1" applyBorder="1" applyAlignment="1">
      <alignment horizontal="center" vertical="center"/>
    </xf>
    <xf numFmtId="0" fontId="16" fillId="0" borderId="1" xfId="0" applyFont="1" applyBorder="1" applyAlignment="1">
      <alignment horizontal="center" vertical="center"/>
    </xf>
    <xf numFmtId="0" fontId="19" fillId="0" borderId="1" xfId="0" applyFont="1" applyBorder="1" applyAlignment="1">
      <alignment horizontal="center"/>
    </xf>
    <xf numFmtId="0" fontId="19" fillId="0" borderId="1" xfId="0" applyFont="1" applyBorder="1" applyAlignment="1">
      <alignment horizontal="center" vertical="center"/>
    </xf>
    <xf numFmtId="0" fontId="6" fillId="0" borderId="1" xfId="0" applyFont="1" applyBorder="1" applyAlignment="1">
      <alignment horizontal="center" vertical="center"/>
    </xf>
    <xf numFmtId="0" fontId="27" fillId="0" borderId="3" xfId="0" applyFont="1" applyBorder="1" applyAlignment="1">
      <alignment horizontal="center" vertical="center"/>
    </xf>
    <xf numFmtId="0" fontId="4" fillId="0" borderId="9" xfId="0" applyFont="1" applyBorder="1" applyAlignment="1">
      <alignment horizontal="center" vertical="center"/>
    </xf>
    <xf numFmtId="0" fontId="10" fillId="0" borderId="3" xfId="0" applyFont="1" applyBorder="1" applyAlignment="1">
      <alignment horizontal="center" vertical="center"/>
    </xf>
    <xf numFmtId="0" fontId="28" fillId="0" borderId="3" xfId="0" applyFont="1" applyBorder="1" applyAlignment="1">
      <alignment horizontal="center" vertical="center"/>
      <extLst>
        <ext xmlns:xfpb="http://schemas.microsoft.com/office/spreadsheetml/2022/featurepropertybag" uri="{C7286773-470A-42A8-94C5-96B5CB345126}">
          <xfpb:xfComplement i="0"/>
        </ext>
      </extLst>
    </xf>
    <xf numFmtId="0" fontId="27" fillId="0" borderId="6" xfId="0" applyFont="1" applyBorder="1" applyAlignment="1">
      <alignment horizontal="center" vertical="center"/>
    </xf>
    <xf numFmtId="0" fontId="16" fillId="0" borderId="3" xfId="0" applyFont="1" applyBorder="1" applyAlignment="1">
      <alignment horizontal="center" vertical="center"/>
    </xf>
    <xf numFmtId="0" fontId="19" fillId="0" borderId="3" xfId="0" applyFont="1" applyBorder="1" applyAlignment="1">
      <alignment horizontal="center"/>
    </xf>
    <xf numFmtId="0" fontId="19" fillId="0" borderId="3" xfId="0" applyFont="1" applyBorder="1" applyAlignment="1">
      <alignment horizontal="center" vertical="center"/>
    </xf>
    <xf numFmtId="0" fontId="6" fillId="0" borderId="3" xfId="0" applyFont="1" applyBorder="1" applyAlignment="1">
      <alignment horizontal="center" vertical="center"/>
    </xf>
    <xf numFmtId="0" fontId="18" fillId="11" borderId="1" xfId="0" applyFont="1" applyFill="1" applyBorder="1" applyAlignment="1">
      <alignment horizontal="center" vertical="center"/>
    </xf>
    <xf numFmtId="0" fontId="3" fillId="4" borderId="1" xfId="0" applyFont="1" applyFill="1" applyBorder="1" applyAlignment="1">
      <alignment horizontal="center" vertical="center"/>
    </xf>
    <xf numFmtId="0" fontId="19" fillId="0" borderId="0" xfId="0" applyFont="1"/>
    <xf numFmtId="0" fontId="19" fillId="0" borderId="14" xfId="0" applyFont="1" applyBorder="1"/>
    <xf numFmtId="0" fontId="0" fillId="0" borderId="0" xfId="0" applyAlignment="1">
      <alignment horizontal="center"/>
    </xf>
    <xf numFmtId="0" fontId="0" fillId="0" borderId="1" xfId="0" applyBorder="1" applyAlignment="1">
      <alignment horizontal="center"/>
    </xf>
    <xf numFmtId="0" fontId="12" fillId="0" borderId="1" xfId="0" applyFont="1" applyBorder="1" applyAlignment="1">
      <alignment horizontal="center" vertical="center"/>
    </xf>
    <xf numFmtId="0" fontId="23" fillId="0" borderId="0" xfId="0" applyFont="1" applyAlignment="1">
      <alignment horizontal="center"/>
    </xf>
    <xf numFmtId="0" fontId="0" fillId="6" borderId="0" xfId="0" applyFill="1"/>
    <xf numFmtId="0" fontId="18" fillId="0" borderId="0" xfId="0" applyFont="1"/>
    <xf numFmtId="0" fontId="31" fillId="0" borderId="1" xfId="0" applyFont="1" applyBorder="1" applyAlignment="1">
      <alignment horizontal="center"/>
    </xf>
    <xf numFmtId="0" fontId="6" fillId="0" borderId="1" xfId="0" applyFont="1" applyBorder="1" applyAlignment="1">
      <alignment horizontal="center"/>
    </xf>
    <xf numFmtId="0" fontId="8" fillId="22" borderId="1" xfId="0" applyFont="1" applyFill="1" applyBorder="1" applyAlignment="1">
      <alignment horizontal="center" vertical="center"/>
    </xf>
    <xf numFmtId="0" fontId="6" fillId="22" borderId="1" xfId="0" applyFont="1" applyFill="1" applyBorder="1" applyAlignment="1">
      <alignment horizontal="center" vertical="center"/>
    </xf>
    <xf numFmtId="0" fontId="8" fillId="6" borderId="1" xfId="0" applyFont="1" applyFill="1" applyBorder="1" applyAlignment="1">
      <alignment horizontal="center" vertical="center"/>
    </xf>
    <xf numFmtId="0" fontId="0" fillId="0" borderId="3" xfId="0" applyBorder="1" applyAlignment="1">
      <alignment horizontal="center"/>
    </xf>
    <xf numFmtId="0" fontId="8" fillId="0" borderId="0" xfId="0" applyFont="1" applyAlignment="1">
      <alignment horizontal="center"/>
    </xf>
    <xf numFmtId="0" fontId="6" fillId="0" borderId="0" xfId="0" applyFont="1" applyAlignment="1">
      <alignment horizontal="center" vertical="center"/>
    </xf>
    <xf numFmtId="0" fontId="6" fillId="0" borderId="0" xfId="0" applyFont="1" applyAlignment="1">
      <alignment horizontal="center" vertical="center" wrapText="1"/>
    </xf>
    <xf numFmtId="0" fontId="13" fillId="0" borderId="0" xfId="0" applyFont="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xf>
    <xf numFmtId="0" fontId="32" fillId="0" borderId="0" xfId="0" applyFont="1" applyAlignment="1">
      <alignment horizontal="center" vertical="center"/>
    </xf>
    <xf numFmtId="0" fontId="6" fillId="7" borderId="0" xfId="0" applyFont="1" applyFill="1" applyAlignment="1">
      <alignment horizontal="center" vertical="center"/>
    </xf>
    <xf numFmtId="0" fontId="0" fillId="7" borderId="0" xfId="0" applyFill="1"/>
    <xf numFmtId="0" fontId="32" fillId="7" borderId="0" xfId="0" applyFont="1" applyFill="1" applyAlignment="1">
      <alignment horizontal="center" vertical="center"/>
    </xf>
    <xf numFmtId="0" fontId="8" fillId="7" borderId="0" xfId="0" applyFont="1" applyFill="1" applyAlignment="1">
      <alignment horizontal="center"/>
    </xf>
    <xf numFmtId="0" fontId="0" fillId="0" borderId="0" xfId="0" applyAlignment="1">
      <alignment horizontal="left"/>
    </xf>
    <xf numFmtId="0" fontId="0" fillId="7" borderId="0" xfId="0" applyFill="1" applyAlignment="1">
      <alignment horizontal="center"/>
    </xf>
    <xf numFmtId="0" fontId="0" fillId="23" borderId="1" xfId="0" applyFill="1" applyBorder="1" applyAlignment="1">
      <alignment horizontal="center"/>
    </xf>
    <xf numFmtId="0" fontId="22" fillId="17" borderId="0" xfId="0" applyFont="1" applyFill="1"/>
    <xf numFmtId="0" fontId="22" fillId="23" borderId="0" xfId="0" applyFont="1" applyFill="1"/>
    <xf numFmtId="0" fontId="22" fillId="14" borderId="0" xfId="0" applyFont="1" applyFill="1"/>
    <xf numFmtId="0" fontId="22" fillId="5" borderId="0" xfId="0" applyFont="1" applyFill="1"/>
    <xf numFmtId="0" fontId="22" fillId="19" borderId="0" xfId="0" applyFont="1" applyFill="1"/>
    <xf numFmtId="0" fontId="34" fillId="0" borderId="1" xfId="0" applyFont="1" applyBorder="1" applyAlignment="1">
      <alignment horizontal="center"/>
    </xf>
    <xf numFmtId="0" fontId="34" fillId="0" borderId="3" xfId="0" applyFont="1" applyBorder="1" applyAlignment="1">
      <alignment horizontal="center"/>
    </xf>
    <xf numFmtId="0" fontId="22" fillId="24" borderId="0" xfId="0" applyFont="1" applyFill="1"/>
    <xf numFmtId="0" fontId="20" fillId="0" borderId="0" xfId="0" applyFont="1"/>
    <xf numFmtId="0" fontId="35" fillId="0" borderId="0" xfId="0" applyFont="1"/>
    <xf numFmtId="0" fontId="37" fillId="0" borderId="1" xfId="0" applyFont="1" applyBorder="1" applyAlignment="1">
      <alignment horizontal="center" vertical="center"/>
    </xf>
    <xf numFmtId="0" fontId="36" fillId="0" borderId="1" xfId="0" applyFont="1" applyBorder="1" applyAlignment="1">
      <alignment horizontal="center"/>
    </xf>
    <xf numFmtId="0" fontId="33" fillId="0" borderId="1" xfId="0" applyFont="1" applyBorder="1" applyAlignment="1">
      <alignment horizontal="center" vertical="center"/>
    </xf>
    <xf numFmtId="0" fontId="36" fillId="0" borderId="1" xfId="0" applyFont="1" applyBorder="1" applyAlignment="1">
      <alignment horizontal="center" vertical="center"/>
    </xf>
    <xf numFmtId="0" fontId="33" fillId="0" borderId="1" xfId="0" quotePrefix="1" applyFont="1" applyBorder="1" applyAlignment="1">
      <alignment horizontal="center" vertical="center"/>
    </xf>
    <xf numFmtId="14" fontId="36" fillId="0" borderId="1" xfId="0" applyNumberFormat="1" applyFont="1" applyBorder="1" applyAlignment="1">
      <alignment horizontal="center" vertical="center"/>
    </xf>
    <xf numFmtId="164" fontId="36" fillId="0" borderId="1" xfId="0" applyNumberFormat="1" applyFont="1" applyBorder="1" applyAlignment="1">
      <alignment horizontal="center" vertical="center"/>
    </xf>
    <xf numFmtId="0" fontId="33" fillId="6" borderId="1" xfId="0" applyFont="1" applyFill="1" applyBorder="1" applyAlignment="1">
      <alignment horizontal="center" vertical="center"/>
    </xf>
    <xf numFmtId="0" fontId="20" fillId="7" borderId="0" xfId="0" applyFont="1" applyFill="1"/>
    <xf numFmtId="0" fontId="35" fillId="7" borderId="0" xfId="0" applyFont="1" applyFill="1"/>
    <xf numFmtId="0" fontId="15" fillId="0" borderId="0" xfId="0" applyFont="1" applyAlignment="1">
      <alignment horizontal="center"/>
    </xf>
    <xf numFmtId="0" fontId="15" fillId="3" borderId="0" xfId="0" applyFont="1" applyFill="1" applyAlignment="1">
      <alignment horizontal="center"/>
    </xf>
    <xf numFmtId="0" fontId="15" fillId="23" borderId="0" xfId="0" applyFont="1" applyFill="1" applyAlignment="1">
      <alignment horizontal="center"/>
    </xf>
    <xf numFmtId="0" fontId="15" fillId="7" borderId="0" xfId="0" applyFont="1" applyFill="1" applyAlignment="1">
      <alignment horizontal="center"/>
    </xf>
    <xf numFmtId="0" fontId="38" fillId="0" borderId="0" xfId="0" applyFont="1"/>
    <xf numFmtId="0" fontId="23" fillId="5" borderId="0" xfId="0" applyFont="1" applyFill="1"/>
    <xf numFmtId="0" fontId="6" fillId="0" borderId="4" xfId="0" applyFont="1" applyBorder="1" applyAlignment="1">
      <alignment horizontal="center"/>
    </xf>
    <xf numFmtId="0" fontId="6" fillId="6" borderId="4" xfId="0" applyFont="1" applyFill="1" applyBorder="1" applyAlignment="1">
      <alignment horizontal="center"/>
    </xf>
    <xf numFmtId="0" fontId="8" fillId="0" borderId="4" xfId="0" applyFont="1" applyBorder="1" applyAlignment="1">
      <alignment horizontal="center"/>
    </xf>
    <xf numFmtId="0" fontId="12" fillId="0" borderId="4" xfId="0" applyFont="1" applyBorder="1" applyAlignment="1">
      <alignment horizontal="center" vertical="center"/>
    </xf>
    <xf numFmtId="0" fontId="8" fillId="0" borderId="2" xfId="0" applyFont="1" applyBorder="1" applyAlignment="1">
      <alignment horizontal="center" vertical="center"/>
    </xf>
    <xf numFmtId="0" fontId="8" fillId="6" borderId="2" xfId="0" applyFont="1" applyFill="1" applyBorder="1" applyAlignment="1">
      <alignment horizontal="center" vertical="center"/>
    </xf>
    <xf numFmtId="0" fontId="6" fillId="0" borderId="2" xfId="0" applyFont="1" applyBorder="1" applyAlignment="1">
      <alignment horizontal="center"/>
    </xf>
    <xf numFmtId="0" fontId="0" fillId="0" borderId="4" xfId="0" applyBorder="1" applyAlignment="1">
      <alignment horizontal="center"/>
    </xf>
    <xf numFmtId="0" fontId="40" fillId="0" borderId="4" xfId="0" applyFont="1" applyBorder="1" applyAlignment="1">
      <alignment horizontal="center" wrapText="1"/>
    </xf>
    <xf numFmtId="0" fontId="40" fillId="0" borderId="4" xfId="0" applyFont="1" applyBorder="1" applyAlignment="1">
      <alignment horizontal="center"/>
    </xf>
    <xf numFmtId="0" fontId="30" fillId="0" borderId="7" xfId="0" applyFont="1" applyBorder="1" applyAlignment="1">
      <alignment horizontal="center" vertical="center"/>
    </xf>
    <xf numFmtId="0" fontId="30" fillId="0" borderId="8" xfId="0" applyFont="1" applyBorder="1" applyAlignment="1">
      <alignment horizontal="center" vertical="center"/>
    </xf>
    <xf numFmtId="0" fontId="31" fillId="0" borderId="11" xfId="0" applyFont="1" applyBorder="1" applyAlignment="1">
      <alignment horizontal="center"/>
    </xf>
    <xf numFmtId="0" fontId="24" fillId="0" borderId="11" xfId="0" applyFont="1" applyBorder="1" applyAlignment="1">
      <alignment horizontal="center"/>
    </xf>
    <xf numFmtId="0" fontId="6" fillId="0" borderId="5" xfId="0" applyFont="1" applyBorder="1" applyAlignment="1">
      <alignment horizontal="center"/>
    </xf>
    <xf numFmtId="0" fontId="8" fillId="0" borderId="3" xfId="0" applyFont="1" applyBorder="1" applyAlignment="1">
      <alignment horizontal="center"/>
    </xf>
    <xf numFmtId="0" fontId="8" fillId="0" borderId="3" xfId="0" applyFont="1" applyBorder="1" applyAlignment="1">
      <alignment horizontal="center" vertical="center"/>
    </xf>
    <xf numFmtId="0" fontId="8" fillId="0" borderId="6" xfId="0" applyFont="1" applyBorder="1" applyAlignment="1">
      <alignment horizontal="center"/>
    </xf>
    <xf numFmtId="0" fontId="0" fillId="0" borderId="6" xfId="0" applyBorder="1" applyAlignment="1">
      <alignment horizontal="center"/>
    </xf>
    <xf numFmtId="0" fontId="12" fillId="0" borderId="2" xfId="0" applyFont="1" applyBorder="1" applyAlignment="1">
      <alignment horizontal="center" vertical="center"/>
    </xf>
    <xf numFmtId="0" fontId="29" fillId="0" borderId="7" xfId="0" applyFont="1" applyBorder="1" applyAlignment="1">
      <alignment horizontal="center" vertical="center"/>
    </xf>
    <xf numFmtId="0" fontId="29" fillId="0" borderId="8" xfId="0" applyFont="1" applyBorder="1" applyAlignment="1">
      <alignment horizontal="center" vertical="center"/>
    </xf>
    <xf numFmtId="0" fontId="29" fillId="0" borderId="11" xfId="0" applyFont="1" applyBorder="1" applyAlignment="1">
      <alignment horizontal="center"/>
    </xf>
    <xf numFmtId="0" fontId="12" fillId="0" borderId="5" xfId="0" applyFont="1" applyBorder="1" applyAlignment="1">
      <alignment horizontal="center" vertical="center"/>
    </xf>
    <xf numFmtId="0" fontId="12" fillId="0" borderId="3" xfId="0" applyFont="1" applyBorder="1" applyAlignment="1">
      <alignment horizontal="center" vertical="center"/>
    </xf>
    <xf numFmtId="0" fontId="40" fillId="0" borderId="6" xfId="0" applyFont="1" applyBorder="1" applyAlignment="1">
      <alignment horizontal="center"/>
    </xf>
    <xf numFmtId="0" fontId="33" fillId="0" borderId="0" xfId="0" applyFont="1" applyAlignment="1">
      <alignment horizontal="left" vertical="center" wrapText="1"/>
    </xf>
    <xf numFmtId="0" fontId="4" fillId="0" borderId="8" xfId="0" applyFont="1" applyBorder="1" applyAlignment="1">
      <alignment horizontal="center" vertical="center"/>
    </xf>
    <xf numFmtId="0" fontId="10" fillId="0" borderId="1" xfId="0" applyFont="1" applyBorder="1" applyAlignment="1">
      <alignment horizontal="center" vertical="center"/>
    </xf>
    <xf numFmtId="0" fontId="28" fillId="0" borderId="1" xfId="0" applyFont="1" applyBorder="1" applyAlignment="1">
      <alignment horizontal="center" vertical="center"/>
      <extLst>
        <ext xmlns:xfpb="http://schemas.microsoft.com/office/spreadsheetml/2022/featurepropertybag" uri="{C7286773-470A-42A8-94C5-96B5CB345126}">
          <xfpb:xfComplement i="0"/>
        </ext>
      </extLst>
    </xf>
    <xf numFmtId="0" fontId="36" fillId="6" borderId="1" xfId="0" applyFont="1" applyFill="1" applyBorder="1" applyAlignment="1">
      <alignment horizontal="center" vertical="center"/>
    </xf>
    <xf numFmtId="0" fontId="36" fillId="18" borderId="1" xfId="0" applyFont="1" applyFill="1" applyBorder="1" applyAlignment="1">
      <alignment horizontal="center" vertical="center"/>
    </xf>
    <xf numFmtId="0" fontId="0" fillId="23" borderId="0" xfId="0" applyFill="1"/>
    <xf numFmtId="0" fontId="36" fillId="0" borderId="1" xfId="0" applyFont="1" applyBorder="1" applyAlignment="1">
      <alignment horizontal="center" vertical="center" wrapText="1"/>
    </xf>
    <xf numFmtId="0" fontId="29" fillId="0" borderId="10" xfId="0" applyFont="1" applyBorder="1" applyAlignment="1">
      <alignment horizontal="center" vertical="center"/>
    </xf>
    <xf numFmtId="0" fontId="12" fillId="0" borderId="12" xfId="0" applyFont="1" applyBorder="1" applyAlignment="1">
      <alignment horizontal="center" vertical="center"/>
    </xf>
    <xf numFmtId="0" fontId="12" fillId="0" borderId="14" xfId="0" applyFont="1" applyBorder="1" applyAlignment="1">
      <alignment horizontal="center" vertical="center"/>
    </xf>
    <xf numFmtId="0" fontId="12" fillId="21" borderId="14" xfId="0" applyFont="1" applyFill="1" applyBorder="1" applyAlignment="1">
      <alignment horizontal="center" vertical="center"/>
    </xf>
    <xf numFmtId="0" fontId="12" fillId="0" borderId="10" xfId="0" applyFont="1" applyBorder="1" applyAlignment="1">
      <alignment horizontal="center" vertical="center"/>
    </xf>
    <xf numFmtId="0" fontId="12" fillId="0" borderId="0" xfId="0" applyFont="1" applyAlignment="1">
      <alignment horizontal="center" vertical="center"/>
    </xf>
    <xf numFmtId="0" fontId="12" fillId="23" borderId="2" xfId="0" applyFont="1" applyFill="1" applyBorder="1" applyAlignment="1">
      <alignment horizontal="center" vertical="center"/>
    </xf>
    <xf numFmtId="0" fontId="12" fillId="23" borderId="1" xfId="0" applyFont="1" applyFill="1" applyBorder="1" applyAlignment="1">
      <alignment horizontal="center" vertical="center"/>
    </xf>
    <xf numFmtId="0" fontId="12" fillId="23" borderId="8" xfId="0" applyFont="1" applyFill="1" applyBorder="1" applyAlignment="1">
      <alignment horizontal="center" vertical="center"/>
    </xf>
    <xf numFmtId="0" fontId="0" fillId="23" borderId="4" xfId="0" applyFill="1" applyBorder="1" applyAlignment="1">
      <alignment horizontal="center"/>
    </xf>
    <xf numFmtId="0" fontId="12" fillId="23" borderId="4" xfId="0" applyFont="1" applyFill="1" applyBorder="1" applyAlignment="1">
      <alignment horizontal="center" vertical="center"/>
    </xf>
    <xf numFmtId="0" fontId="20" fillId="23" borderId="0" xfId="0" applyFont="1" applyFill="1"/>
    <xf numFmtId="0" fontId="11" fillId="6" borderId="1" xfId="0" applyFont="1" applyFill="1" applyBorder="1" applyAlignment="1">
      <alignment horizontal="center" vertical="center"/>
    </xf>
    <xf numFmtId="14" fontId="36" fillId="6" borderId="1" xfId="0" applyNumberFormat="1" applyFont="1" applyFill="1" applyBorder="1" applyAlignment="1">
      <alignment horizontal="center" vertical="center"/>
    </xf>
    <xf numFmtId="0" fontId="33" fillId="6" borderId="1" xfId="0" quotePrefix="1" applyFont="1" applyFill="1" applyBorder="1" applyAlignment="1">
      <alignment horizontal="center" vertical="center"/>
    </xf>
    <xf numFmtId="164" fontId="36" fillId="6" borderId="1" xfId="0" applyNumberFormat="1" applyFont="1" applyFill="1" applyBorder="1" applyAlignment="1">
      <alignment horizontal="center" vertical="center"/>
    </xf>
    <xf numFmtId="0" fontId="17" fillId="12" borderId="0" xfId="0" applyFont="1" applyFill="1"/>
    <xf numFmtId="0" fontId="17" fillId="0" borderId="0" xfId="0" applyFont="1"/>
    <xf numFmtId="0" fontId="41" fillId="28" borderId="1" xfId="0" applyFont="1" applyFill="1" applyBorder="1"/>
    <xf numFmtId="0" fontId="42" fillId="29" borderId="13" xfId="0" applyFont="1" applyFill="1" applyBorder="1"/>
    <xf numFmtId="0" fontId="41" fillId="28" borderId="2" xfId="0" applyFont="1" applyFill="1" applyBorder="1"/>
    <xf numFmtId="0" fontId="17" fillId="12" borderId="8" xfId="0" applyFont="1" applyFill="1" applyBorder="1"/>
    <xf numFmtId="0" fontId="17" fillId="12" borderId="7" xfId="0" applyFont="1" applyFill="1" applyBorder="1"/>
    <xf numFmtId="0" fontId="43" fillId="0" borderId="8" xfId="0" applyFont="1" applyBorder="1"/>
    <xf numFmtId="0" fontId="44" fillId="0" borderId="15" xfId="0" applyFont="1" applyBorder="1"/>
    <xf numFmtId="0" fontId="43" fillId="0" borderId="7" xfId="0" applyFont="1" applyBorder="1" applyAlignment="1">
      <alignment wrapText="1"/>
    </xf>
    <xf numFmtId="0" fontId="17" fillId="30" borderId="8" xfId="0" applyFont="1" applyFill="1" applyBorder="1"/>
    <xf numFmtId="0" fontId="17" fillId="30" borderId="7" xfId="0" applyFont="1" applyFill="1" applyBorder="1"/>
    <xf numFmtId="0" fontId="17" fillId="30" borderId="0" xfId="0" applyFont="1" applyFill="1"/>
    <xf numFmtId="0" fontId="17" fillId="0" borderId="8" xfId="0" applyFont="1" applyBorder="1"/>
    <xf numFmtId="0" fontId="45" fillId="12" borderId="8" xfId="0" applyFont="1" applyFill="1" applyBorder="1"/>
    <xf numFmtId="0" fontId="17" fillId="0" borderId="7" xfId="0" applyFont="1" applyBorder="1"/>
    <xf numFmtId="0" fontId="45" fillId="30" borderId="8" xfId="0" applyFont="1" applyFill="1" applyBorder="1"/>
    <xf numFmtId="0" fontId="17" fillId="20" borderId="7" xfId="0" applyFont="1" applyFill="1" applyBorder="1"/>
    <xf numFmtId="0" fontId="5" fillId="12" borderId="7" xfId="0" applyFont="1" applyFill="1" applyBorder="1"/>
    <xf numFmtId="0" fontId="44" fillId="0" borderId="7" xfId="0" applyFont="1" applyBorder="1"/>
    <xf numFmtId="0" fontId="47" fillId="11" borderId="8" xfId="0" applyFont="1" applyFill="1" applyBorder="1"/>
    <xf numFmtId="0" fontId="47" fillId="11" borderId="7" xfId="0" applyFont="1" applyFill="1" applyBorder="1"/>
    <xf numFmtId="0" fontId="3" fillId="31" borderId="8" xfId="0" applyFont="1" applyFill="1" applyBorder="1"/>
    <xf numFmtId="0" fontId="48" fillId="0" borderId="8" xfId="0" applyFont="1" applyBorder="1"/>
    <xf numFmtId="0" fontId="45" fillId="0" borderId="8" xfId="0" applyFont="1" applyBorder="1"/>
    <xf numFmtId="0" fontId="43" fillId="20" borderId="7" xfId="0" applyFont="1" applyFill="1" applyBorder="1" applyAlignment="1">
      <alignment wrapText="1"/>
    </xf>
    <xf numFmtId="0" fontId="17" fillId="0" borderId="8" xfId="0" applyFont="1" applyBorder="1" applyAlignment="1">
      <alignment wrapText="1"/>
    </xf>
    <xf numFmtId="0" fontId="49" fillId="0" borderId="7" xfId="0" applyFont="1" applyBorder="1" applyAlignment="1">
      <alignment wrapText="1"/>
    </xf>
    <xf numFmtId="0" fontId="17" fillId="0" borderId="16" xfId="0" applyFont="1" applyBorder="1"/>
    <xf numFmtId="0" fontId="45" fillId="0" borderId="9" xfId="0" applyFont="1" applyBorder="1"/>
    <xf numFmtId="0" fontId="17" fillId="0" borderId="9" xfId="0" applyFont="1" applyBorder="1"/>
    <xf numFmtId="0" fontId="45" fillId="0" borderId="1" xfId="0" applyFont="1" applyBorder="1"/>
    <xf numFmtId="0" fontId="43" fillId="0" borderId="11" xfId="0" applyFont="1" applyBorder="1"/>
    <xf numFmtId="0" fontId="50" fillId="0" borderId="0" xfId="0" applyFont="1"/>
    <xf numFmtId="0" fontId="43" fillId="0" borderId="8" xfId="0" applyFont="1" applyBorder="1" applyAlignment="1">
      <alignment wrapText="1"/>
    </xf>
    <xf numFmtId="0" fontId="43" fillId="0" borderId="7" xfId="0" applyFont="1" applyBorder="1"/>
    <xf numFmtId="0" fontId="50" fillId="0" borderId="7" xfId="0" applyFont="1" applyBorder="1"/>
    <xf numFmtId="0" fontId="17" fillId="0" borderId="17" xfId="0" applyFont="1" applyBorder="1"/>
    <xf numFmtId="0" fontId="17" fillId="0" borderId="2" xfId="0" applyFont="1" applyBorder="1"/>
    <xf numFmtId="0" fontId="45" fillId="20" borderId="7" xfId="0" applyFont="1" applyFill="1" applyBorder="1"/>
    <xf numFmtId="0" fontId="17" fillId="29" borderId="8" xfId="0" applyFont="1" applyFill="1" applyBorder="1"/>
    <xf numFmtId="0" fontId="5" fillId="20" borderId="7" xfId="0" applyFont="1" applyFill="1" applyBorder="1"/>
    <xf numFmtId="0" fontId="45" fillId="0" borderId="7" xfId="0" applyFont="1" applyBorder="1"/>
    <xf numFmtId="0" fontId="33" fillId="0" borderId="1" xfId="0" applyFont="1" applyBorder="1" applyAlignment="1">
      <alignment horizontal="center" vertical="center" wrapText="1"/>
    </xf>
    <xf numFmtId="0" fontId="18" fillId="2" borderId="1" xfId="0" applyFont="1" applyFill="1" applyBorder="1" applyAlignment="1">
      <alignment horizontal="center" vertical="center"/>
    </xf>
    <xf numFmtId="0" fontId="22" fillId="18" borderId="0" xfId="0" applyFont="1" applyFill="1"/>
    <xf numFmtId="0" fontId="51" fillId="0" borderId="0" xfId="0" applyFont="1"/>
    <xf numFmtId="0" fontId="22" fillId="32" borderId="0" xfId="0" applyFont="1" applyFill="1"/>
    <xf numFmtId="0" fontId="26" fillId="33" borderId="0" xfId="0" applyFont="1" applyFill="1"/>
    <xf numFmtId="0" fontId="0" fillId="18" borderId="1" xfId="0" applyFill="1" applyBorder="1" applyAlignment="1">
      <alignment horizontal="center" vertical="center"/>
    </xf>
    <xf numFmtId="0" fontId="33" fillId="18" borderId="1" xfId="0" applyFont="1" applyFill="1" applyBorder="1" applyAlignment="1">
      <alignment horizontal="center" vertical="center"/>
    </xf>
    <xf numFmtId="164" fontId="36" fillId="18" borderId="1" xfId="0" applyNumberFormat="1" applyFont="1" applyFill="1" applyBorder="1" applyAlignment="1">
      <alignment horizontal="center" vertical="center"/>
    </xf>
    <xf numFmtId="0" fontId="37" fillId="6" borderId="1" xfId="0" applyFont="1" applyFill="1" applyBorder="1" applyAlignment="1">
      <alignment horizontal="center" vertical="center"/>
    </xf>
    <xf numFmtId="0" fontId="39" fillId="6" borderId="1" xfId="0" applyFont="1" applyFill="1" applyBorder="1" applyAlignment="1">
      <alignment horizontal="center" vertical="center"/>
    </xf>
    <xf numFmtId="0" fontId="52" fillId="2" borderId="1" xfId="0" applyFont="1" applyFill="1" applyBorder="1" applyAlignment="1">
      <alignment horizontal="center" vertical="center"/>
    </xf>
    <xf numFmtId="0" fontId="53" fillId="2" borderId="1" xfId="0" applyFont="1" applyFill="1" applyBorder="1" applyAlignment="1">
      <alignment horizontal="center" vertical="center"/>
    </xf>
    <xf numFmtId="0" fontId="54" fillId="2" borderId="1" xfId="0" applyFont="1" applyFill="1" applyBorder="1" applyAlignment="1">
      <alignment horizontal="center" vertical="center"/>
    </xf>
    <xf numFmtId="0" fontId="54" fillId="11" borderId="1" xfId="0" applyFont="1" applyFill="1" applyBorder="1" applyAlignment="1">
      <alignment horizontal="center" vertical="center"/>
    </xf>
    <xf numFmtId="0" fontId="52" fillId="6" borderId="1" xfId="0" applyFont="1" applyFill="1" applyBorder="1" applyAlignment="1">
      <alignment horizontal="center" vertical="center"/>
    </xf>
    <xf numFmtId="0" fontId="53" fillId="4" borderId="1" xfId="0" applyFont="1" applyFill="1" applyBorder="1" applyAlignment="1">
      <alignment horizontal="center" vertical="center"/>
    </xf>
    <xf numFmtId="164" fontId="53" fillId="4" borderId="1" xfId="0" applyNumberFormat="1" applyFont="1" applyFill="1" applyBorder="1" applyAlignment="1">
      <alignment horizontal="center" vertical="center"/>
    </xf>
    <xf numFmtId="0" fontId="53" fillId="4" borderId="1" xfId="0" applyFont="1" applyFill="1" applyBorder="1" applyAlignment="1">
      <alignment horizontal="center" vertical="center" wrapText="1"/>
    </xf>
    <xf numFmtId="0" fontId="55" fillId="0" borderId="1" xfId="0" applyFont="1" applyBorder="1" applyAlignment="1">
      <alignment horizontal="center"/>
    </xf>
    <xf numFmtId="0" fontId="54" fillId="27" borderId="1" xfId="0" applyFont="1" applyFill="1" applyBorder="1" applyAlignment="1">
      <alignment horizontal="center" vertical="center"/>
    </xf>
    <xf numFmtId="0" fontId="55" fillId="0" borderId="1" xfId="0" applyFont="1" applyBorder="1" applyAlignment="1">
      <alignment horizontal="center" vertical="center"/>
    </xf>
    <xf numFmtId="0" fontId="53" fillId="0" borderId="1" xfId="0" applyFont="1" applyBorder="1" applyAlignment="1">
      <alignment horizontal="center" vertical="center"/>
    </xf>
    <xf numFmtId="0" fontId="54" fillId="0" borderId="1" xfId="0" applyFont="1" applyBorder="1" applyAlignment="1">
      <alignment horizontal="center" vertical="center"/>
    </xf>
    <xf numFmtId="0" fontId="56" fillId="0" borderId="1" xfId="0" applyFont="1" applyBorder="1" applyAlignment="1">
      <alignment horizontal="center"/>
    </xf>
    <xf numFmtId="164" fontId="53" fillId="0" borderId="1" xfId="0" applyNumberFormat="1" applyFont="1" applyBorder="1" applyAlignment="1">
      <alignment horizontal="center" vertical="center"/>
    </xf>
    <xf numFmtId="0" fontId="53" fillId="0" borderId="1" xfId="0" applyFont="1" applyBorder="1" applyAlignment="1">
      <alignment horizontal="center" vertical="center" wrapText="1"/>
    </xf>
    <xf numFmtId="0" fontId="56" fillId="0" borderId="1" xfId="0" applyFont="1" applyBorder="1" applyAlignment="1">
      <alignment horizontal="center" vertical="center"/>
    </xf>
    <xf numFmtId="14" fontId="55" fillId="0" borderId="1" xfId="0" applyNumberFormat="1" applyFont="1" applyBorder="1" applyAlignment="1">
      <alignment horizontal="center" vertical="center"/>
    </xf>
    <xf numFmtId="164" fontId="55" fillId="0" borderId="1" xfId="0" applyNumberFormat="1" applyFont="1" applyBorder="1" applyAlignment="1">
      <alignment horizontal="center" vertical="center"/>
    </xf>
    <xf numFmtId="0" fontId="56" fillId="0" borderId="1" xfId="0" quotePrefix="1" applyFont="1" applyBorder="1" applyAlignment="1">
      <alignment horizontal="center" vertical="center"/>
    </xf>
    <xf numFmtId="0" fontId="58" fillId="0" borderId="1" xfId="0" applyFont="1" applyBorder="1" applyAlignment="1">
      <alignment horizontal="center"/>
    </xf>
    <xf numFmtId="0" fontId="55" fillId="0" borderId="1" xfId="0" applyFont="1" applyBorder="1" applyAlignment="1">
      <alignment horizontal="center" vertical="center" wrapText="1"/>
    </xf>
    <xf numFmtId="0" fontId="58" fillId="0" borderId="1" xfId="0" applyFont="1" applyBorder="1" applyAlignment="1">
      <alignment horizontal="center" vertical="center"/>
    </xf>
    <xf numFmtId="0" fontId="56" fillId="12" borderId="1" xfId="0" applyFont="1" applyFill="1" applyBorder="1" applyAlignment="1">
      <alignment horizontal="center" vertical="center"/>
    </xf>
    <xf numFmtId="0" fontId="55" fillId="23" borderId="1" xfId="0" applyFont="1" applyFill="1" applyBorder="1" applyAlignment="1">
      <alignment horizontal="center" vertical="center"/>
    </xf>
    <xf numFmtId="0" fontId="56" fillId="23" borderId="1" xfId="0" applyFont="1" applyFill="1" applyBorder="1" applyAlignment="1">
      <alignment horizontal="center" vertical="center"/>
    </xf>
    <xf numFmtId="0" fontId="55" fillId="23" borderId="1" xfId="0" applyFont="1" applyFill="1" applyBorder="1" applyAlignment="1">
      <alignment horizontal="center"/>
    </xf>
    <xf numFmtId="164" fontId="55" fillId="23" borderId="1" xfId="0" applyNumberFormat="1" applyFont="1" applyFill="1" applyBorder="1" applyAlignment="1">
      <alignment horizontal="center" vertical="center"/>
    </xf>
    <xf numFmtId="0" fontId="57" fillId="0" borderId="1" xfId="0" applyFont="1" applyBorder="1" applyAlignment="1">
      <alignment horizontal="center" vertical="center"/>
    </xf>
    <xf numFmtId="0" fontId="56" fillId="0" borderId="1" xfId="0" applyFont="1" applyBorder="1" applyAlignment="1">
      <alignment horizontal="center" vertical="center" wrapText="1"/>
    </xf>
    <xf numFmtId="0" fontId="56" fillId="6" borderId="1" xfId="0" applyFont="1" applyFill="1" applyBorder="1" applyAlignment="1">
      <alignment horizontal="center" vertical="center"/>
    </xf>
    <xf numFmtId="0" fontId="55" fillId="6" borderId="1" xfId="0" applyFont="1" applyFill="1" applyBorder="1" applyAlignment="1">
      <alignment horizontal="center" vertical="center"/>
    </xf>
    <xf numFmtId="0" fontId="55" fillId="6" borderId="1" xfId="0" applyFont="1" applyFill="1" applyBorder="1" applyAlignment="1">
      <alignment horizontal="center"/>
    </xf>
    <xf numFmtId="14" fontId="55" fillId="6" borderId="1" xfId="0" applyNumberFormat="1" applyFont="1" applyFill="1" applyBorder="1" applyAlignment="1">
      <alignment horizontal="center" vertical="center"/>
    </xf>
    <xf numFmtId="164" fontId="55" fillId="6" borderId="1" xfId="0" applyNumberFormat="1" applyFont="1" applyFill="1" applyBorder="1" applyAlignment="1">
      <alignment horizontal="center" vertical="center"/>
    </xf>
    <xf numFmtId="0" fontId="56" fillId="27" borderId="1" xfId="0" applyFont="1" applyFill="1" applyBorder="1" applyAlignment="1">
      <alignment horizontal="center" vertical="center"/>
    </xf>
    <xf numFmtId="0" fontId="57" fillId="6" borderId="1" xfId="0" applyFont="1" applyFill="1" applyBorder="1" applyAlignment="1">
      <alignment horizontal="center" vertical="center"/>
    </xf>
    <xf numFmtId="0" fontId="55" fillId="18" borderId="1" xfId="0" applyFont="1" applyFill="1" applyBorder="1" applyAlignment="1">
      <alignment horizontal="center" vertical="center"/>
    </xf>
    <xf numFmtId="0" fontId="56" fillId="6" borderId="1" xfId="0" applyFont="1" applyFill="1" applyBorder="1" applyAlignment="1">
      <alignment horizontal="center"/>
    </xf>
    <xf numFmtId="0" fontId="58" fillId="6" borderId="1" xfId="0" applyFont="1" applyFill="1" applyBorder="1" applyAlignment="1">
      <alignment horizontal="center"/>
    </xf>
    <xf numFmtId="0" fontId="55" fillId="5" borderId="1" xfId="0" applyFont="1" applyFill="1" applyBorder="1" applyAlignment="1">
      <alignment horizontal="center" vertical="center"/>
    </xf>
    <xf numFmtId="0" fontId="57" fillId="13" borderId="1" xfId="0" applyFont="1" applyFill="1" applyBorder="1" applyAlignment="1">
      <alignment horizontal="center"/>
    </xf>
    <xf numFmtId="0" fontId="57" fillId="5" borderId="1" xfId="0" applyFont="1" applyFill="1" applyBorder="1" applyAlignment="1">
      <alignment horizontal="center" vertical="center"/>
    </xf>
    <xf numFmtId="0" fontId="55" fillId="27" borderId="1" xfId="0" applyFont="1" applyFill="1" applyBorder="1" applyAlignment="1">
      <alignment horizontal="center" vertical="center"/>
    </xf>
    <xf numFmtId="49" fontId="57" fillId="25" borderId="1" xfId="0" applyNumberFormat="1" applyFont="1" applyFill="1" applyBorder="1" applyAlignment="1">
      <alignment horizontal="center" vertical="center"/>
    </xf>
    <xf numFmtId="0" fontId="59" fillId="0" borderId="1" xfId="0" applyFont="1" applyBorder="1" applyAlignment="1">
      <alignment horizontal="center"/>
    </xf>
    <xf numFmtId="49" fontId="57" fillId="0" borderId="1" xfId="0" applyNumberFormat="1" applyFont="1" applyBorder="1" applyAlignment="1">
      <alignment horizontal="center" vertical="center"/>
    </xf>
    <xf numFmtId="0" fontId="55" fillId="10" borderId="1" xfId="0" applyFont="1" applyFill="1" applyBorder="1" applyAlignment="1">
      <alignment horizontal="center"/>
    </xf>
    <xf numFmtId="0" fontId="55" fillId="10" borderId="1" xfId="0" applyFont="1" applyFill="1" applyBorder="1" applyAlignment="1">
      <alignment horizontal="center" vertical="center"/>
    </xf>
    <xf numFmtId="0" fontId="57" fillId="0" borderId="1" xfId="0" applyFont="1" applyBorder="1" applyAlignment="1">
      <alignment horizontal="center" vertical="center" wrapText="1"/>
    </xf>
    <xf numFmtId="0" fontId="57" fillId="0" borderId="1" xfId="0" applyFont="1" applyBorder="1" applyAlignment="1">
      <alignment horizontal="center"/>
    </xf>
    <xf numFmtId="0" fontId="60" fillId="26" borderId="1" xfId="0" applyFont="1" applyFill="1" applyBorder="1" applyAlignment="1">
      <alignment horizontal="center" vertical="center"/>
    </xf>
    <xf numFmtId="0" fontId="58" fillId="13" borderId="1" xfId="0" applyFont="1" applyFill="1" applyBorder="1" applyAlignment="1">
      <alignment horizontal="center"/>
    </xf>
    <xf numFmtId="0" fontId="13" fillId="0" borderId="1" xfId="0" applyFont="1" applyBorder="1" applyAlignment="1">
      <alignment horizontal="center" vertical="center"/>
    </xf>
    <xf numFmtId="0" fontId="23" fillId="2" borderId="1" xfId="0" applyFont="1" applyFill="1" applyBorder="1" applyAlignment="1">
      <alignment horizontal="center" vertical="center"/>
    </xf>
    <xf numFmtId="0" fontId="27" fillId="0" borderId="1" xfId="0" applyFont="1" applyBorder="1" applyAlignment="1">
      <alignment horizontal="center" vertical="top" wrapText="1"/>
    </xf>
    <xf numFmtId="0" fontId="16" fillId="13" borderId="1" xfId="0" applyFont="1" applyFill="1" applyBorder="1" applyAlignment="1">
      <alignment wrapText="1"/>
    </xf>
    <xf numFmtId="0" fontId="33" fillId="0" borderId="1" xfId="0" applyFont="1" applyBorder="1" applyAlignment="1">
      <alignment horizontal="center"/>
    </xf>
    <xf numFmtId="0" fontId="0" fillId="18" borderId="1" xfId="0" applyFill="1" applyBorder="1"/>
    <xf numFmtId="0" fontId="19" fillId="0" borderId="1" xfId="0" applyFont="1" applyBorder="1"/>
    <xf numFmtId="0" fontId="37" fillId="0" borderId="1" xfId="0" applyFont="1" applyBorder="1" applyAlignment="1">
      <alignment horizontal="center"/>
    </xf>
    <xf numFmtId="0" fontId="20" fillId="0" borderId="0" xfId="0" applyFont="1" applyAlignment="1">
      <alignment horizontal="center"/>
    </xf>
    <xf numFmtId="0" fontId="56" fillId="18" borderId="1" xfId="0" applyFont="1" applyFill="1" applyBorder="1" applyAlignment="1">
      <alignment horizontal="center" vertical="center"/>
    </xf>
    <xf numFmtId="0" fontId="56" fillId="18" borderId="1" xfId="0" applyFont="1" applyFill="1" applyBorder="1" applyAlignment="1">
      <alignment horizontal="center"/>
    </xf>
    <xf numFmtId="0" fontId="57" fillId="18" borderId="1" xfId="0" applyFont="1" applyFill="1" applyBorder="1" applyAlignment="1">
      <alignment horizontal="center"/>
    </xf>
    <xf numFmtId="0" fontId="56" fillId="15" borderId="1" xfId="0" applyFont="1" applyFill="1" applyBorder="1" applyAlignment="1">
      <alignment horizontal="center" vertical="center"/>
    </xf>
    <xf numFmtId="0" fontId="0" fillId="15" borderId="1" xfId="0" applyFill="1" applyBorder="1"/>
    <xf numFmtId="0" fontId="0" fillId="21" borderId="1" xfId="0" applyFill="1" applyBorder="1"/>
    <xf numFmtId="0" fontId="0" fillId="3" borderId="1" xfId="0" applyFill="1" applyBorder="1"/>
    <xf numFmtId="0" fontId="0" fillId="3" borderId="1" xfId="0" applyFill="1" applyBorder="1" applyAlignment="1">
      <alignment horizontal="center"/>
    </xf>
    <xf numFmtId="0" fontId="55" fillId="0" borderId="0" xfId="0" applyFont="1" applyAlignment="1">
      <alignment horizontal="center"/>
    </xf>
    <xf numFmtId="0" fontId="55" fillId="23" borderId="0" xfId="0" applyFont="1" applyFill="1" applyAlignment="1">
      <alignment horizontal="center"/>
    </xf>
    <xf numFmtId="0" fontId="55" fillId="6" borderId="0" xfId="0" applyFont="1" applyFill="1" applyAlignment="1">
      <alignment horizontal="center"/>
    </xf>
    <xf numFmtId="0" fontId="55" fillId="10" borderId="0" xfId="0" applyFont="1" applyFill="1" applyAlignment="1">
      <alignment horizontal="center"/>
    </xf>
    <xf numFmtId="0" fontId="55" fillId="0" borderId="4" xfId="0" applyFont="1" applyBorder="1" applyAlignment="1">
      <alignment horizontal="center"/>
    </xf>
    <xf numFmtId="0" fontId="55" fillId="0" borderId="2" xfId="0" applyFont="1" applyBorder="1" applyAlignment="1">
      <alignment horizontal="center"/>
    </xf>
    <xf numFmtId="0" fontId="55" fillId="23" borderId="2" xfId="0" applyFont="1" applyFill="1" applyBorder="1" applyAlignment="1">
      <alignment horizontal="center"/>
    </xf>
    <xf numFmtId="0" fontId="55" fillId="6" borderId="2" xfId="0" applyFont="1" applyFill="1" applyBorder="1" applyAlignment="1">
      <alignment horizontal="center"/>
    </xf>
    <xf numFmtId="0" fontId="55" fillId="10" borderId="2" xfId="0" applyFont="1" applyFill="1" applyBorder="1" applyAlignment="1">
      <alignment horizontal="center"/>
    </xf>
    <xf numFmtId="0" fontId="55" fillId="18" borderId="1" xfId="0" applyFont="1" applyFill="1" applyBorder="1" applyAlignment="1">
      <alignment horizontal="center"/>
    </xf>
    <xf numFmtId="0" fontId="57" fillId="18" borderId="1" xfId="0" applyFont="1" applyFill="1" applyBorder="1" applyAlignment="1">
      <alignment horizontal="center" vertical="center"/>
    </xf>
    <xf numFmtId="14" fontId="55" fillId="18" borderId="1" xfId="0" applyNumberFormat="1" applyFont="1" applyFill="1" applyBorder="1" applyAlignment="1">
      <alignment horizontal="center" vertical="center"/>
    </xf>
    <xf numFmtId="0" fontId="55" fillId="18" borderId="0" xfId="0" applyFont="1" applyFill="1" applyAlignment="1">
      <alignment horizontal="center"/>
    </xf>
    <xf numFmtId="0" fontId="55" fillId="18" borderId="2" xfId="0" applyFont="1" applyFill="1" applyBorder="1" applyAlignment="1">
      <alignment horizontal="center"/>
    </xf>
    <xf numFmtId="0" fontId="35" fillId="0" borderId="2" xfId="0" applyFont="1" applyBorder="1"/>
    <xf numFmtId="0" fontId="58" fillId="18" borderId="1" xfId="0" applyFont="1" applyFill="1" applyBorder="1" applyAlignment="1">
      <alignment horizontal="center" vertical="center"/>
    </xf>
    <xf numFmtId="0" fontId="56" fillId="18" borderId="1" xfId="0" quotePrefix="1" applyFont="1" applyFill="1" applyBorder="1" applyAlignment="1">
      <alignment horizontal="center" vertical="center"/>
    </xf>
    <xf numFmtId="164" fontId="55" fillId="18" borderId="1" xfId="0" applyNumberFormat="1" applyFont="1" applyFill="1" applyBorder="1" applyAlignment="1">
      <alignment horizontal="center" vertical="center"/>
    </xf>
    <xf numFmtId="0" fontId="56" fillId="18" borderId="1" xfId="0" applyFont="1" applyFill="1" applyBorder="1" applyAlignment="1">
      <alignment horizontal="center" vertical="center" wrapText="1"/>
    </xf>
    <xf numFmtId="0" fontId="0" fillId="21" borderId="1" xfId="0" applyFill="1" applyBorder="1" applyAlignment="1">
      <alignment horizontal="center"/>
    </xf>
    <xf numFmtId="0" fontId="0" fillId="18" borderId="1" xfId="0" applyFill="1" applyBorder="1" applyAlignment="1">
      <alignment horizontal="center"/>
    </xf>
    <xf numFmtId="0" fontId="23" fillId="0" borderId="1" xfId="0" applyFont="1" applyBorder="1"/>
    <xf numFmtId="0" fontId="23" fillId="0" borderId="1" xfId="0" applyFont="1" applyBorder="1" applyAlignment="1">
      <alignment horizontal="center"/>
    </xf>
    <xf numFmtId="0" fontId="46" fillId="18" borderId="8" xfId="0" applyFont="1" applyFill="1" applyBorder="1"/>
    <xf numFmtId="0" fontId="17" fillId="18" borderId="7" xfId="0" applyFont="1" applyFill="1" applyBorder="1"/>
    <xf numFmtId="0" fontId="17" fillId="18" borderId="0" xfId="0" applyFont="1" applyFill="1"/>
    <xf numFmtId="0" fontId="17" fillId="18" borderId="8" xfId="0" applyFont="1" applyFill="1" applyBorder="1"/>
    <xf numFmtId="0" fontId="45" fillId="18" borderId="8" xfId="0" applyFont="1" applyFill="1" applyBorder="1"/>
    <xf numFmtId="0" fontId="17" fillId="18" borderId="2" xfId="0" applyFont="1" applyFill="1" applyBorder="1"/>
    <xf numFmtId="0" fontId="17" fillId="0" borderId="15" xfId="0" applyFont="1" applyBorder="1"/>
    <xf numFmtId="0" fontId="55" fillId="0" borderId="8" xfId="0" applyFont="1" applyBorder="1" applyAlignment="1">
      <alignment horizontal="center" vertical="center"/>
    </xf>
    <xf numFmtId="0" fontId="55" fillId="0" borderId="3" xfId="0" applyFont="1" applyBorder="1" applyAlignment="1">
      <alignment horizontal="center" vertical="center"/>
    </xf>
    <xf numFmtId="0" fontId="53" fillId="6" borderId="1" xfId="0" applyFont="1" applyFill="1" applyBorder="1" applyAlignment="1">
      <alignment horizontal="center" vertical="center"/>
    </xf>
    <xf numFmtId="0" fontId="61" fillId="0" borderId="1" xfId="0" applyFont="1" applyBorder="1" applyAlignment="1">
      <alignment horizontal="center"/>
    </xf>
    <xf numFmtId="0" fontId="61" fillId="0" borderId="8" xfId="0" applyFont="1" applyBorder="1" applyAlignment="1">
      <alignment horizontal="center"/>
    </xf>
    <xf numFmtId="0" fontId="61" fillId="30" borderId="8" xfId="0" applyFont="1" applyFill="1" applyBorder="1" applyAlignment="1">
      <alignment horizontal="center"/>
    </xf>
    <xf numFmtId="0" fontId="61" fillId="29" borderId="8" xfId="0" applyFont="1" applyFill="1" applyBorder="1" applyAlignment="1">
      <alignment horizontal="center"/>
    </xf>
    <xf numFmtId="0" fontId="61" fillId="12" borderId="8" xfId="0" applyFont="1" applyFill="1" applyBorder="1" applyAlignment="1">
      <alignment horizontal="center"/>
    </xf>
    <xf numFmtId="0" fontId="61" fillId="0" borderId="0" xfId="0" applyFont="1" applyAlignment="1">
      <alignment horizontal="center"/>
    </xf>
    <xf numFmtId="0" fontId="61" fillId="29" borderId="1" xfId="0" applyFont="1" applyFill="1" applyBorder="1" applyAlignment="1">
      <alignment horizontal="center"/>
    </xf>
    <xf numFmtId="0" fontId="55" fillId="0" borderId="4" xfId="0" applyFont="1" applyBorder="1" applyAlignment="1">
      <alignment horizontal="center" vertical="center"/>
    </xf>
    <xf numFmtId="0" fontId="55" fillId="6" borderId="4" xfId="0" applyFont="1" applyFill="1" applyBorder="1" applyAlignment="1">
      <alignment horizontal="center" vertical="center"/>
    </xf>
    <xf numFmtId="0" fontId="55" fillId="0" borderId="2" xfId="0" applyFont="1" applyBorder="1" applyAlignment="1">
      <alignment horizontal="center" vertical="center"/>
    </xf>
    <xf numFmtId="0" fontId="55" fillId="6" borderId="2" xfId="0" applyFont="1" applyFill="1" applyBorder="1" applyAlignment="1">
      <alignment horizontal="center" vertical="center"/>
    </xf>
    <xf numFmtId="0" fontId="61" fillId="0" borderId="3" xfId="0" applyFont="1" applyBorder="1" applyAlignment="1">
      <alignment horizontal="center"/>
    </xf>
    <xf numFmtId="0" fontId="55" fillId="0" borderId="8" xfId="0" applyFont="1" applyBorder="1" applyAlignment="1">
      <alignment horizontal="center"/>
    </xf>
    <xf numFmtId="0" fontId="55" fillId="8" borderId="1" xfId="0" applyFont="1" applyFill="1" applyBorder="1" applyAlignment="1">
      <alignment horizontal="center"/>
    </xf>
    <xf numFmtId="0" fontId="57" fillId="8" borderId="1" xfId="0" applyFont="1" applyFill="1" applyBorder="1" applyAlignment="1">
      <alignment horizontal="center"/>
    </xf>
    <xf numFmtId="0" fontId="57" fillId="8" borderId="1" xfId="0" applyFont="1" applyFill="1" applyBorder="1" applyAlignment="1">
      <alignment horizontal="center" vertical="center"/>
    </xf>
    <xf numFmtId="0" fontId="55" fillId="8" borderId="1" xfId="0" applyFont="1" applyFill="1" applyBorder="1" applyAlignment="1">
      <alignment horizontal="center" vertical="center"/>
    </xf>
    <xf numFmtId="0" fontId="55" fillId="8" borderId="4" xfId="0" applyFont="1" applyFill="1" applyBorder="1" applyAlignment="1">
      <alignment horizontal="center" vertical="center"/>
    </xf>
    <xf numFmtId="0" fontId="61" fillId="8" borderId="1" xfId="0" applyFont="1" applyFill="1" applyBorder="1" applyAlignment="1">
      <alignment horizontal="center"/>
    </xf>
    <xf numFmtId="0" fontId="55" fillId="8" borderId="2" xfId="0" applyFont="1" applyFill="1" applyBorder="1" applyAlignment="1">
      <alignment horizontal="center"/>
    </xf>
    <xf numFmtId="0" fontId="55" fillId="8" borderId="0" xfId="0" applyFont="1" applyFill="1" applyAlignment="1">
      <alignment horizontal="center"/>
    </xf>
    <xf numFmtId="0" fontId="55" fillId="8" borderId="4" xfId="0" applyFont="1" applyFill="1" applyBorder="1" applyAlignment="1">
      <alignment horizontal="center"/>
    </xf>
    <xf numFmtId="0" fontId="56" fillId="8" borderId="1" xfId="0" applyFont="1" applyFill="1" applyBorder="1" applyAlignment="1">
      <alignment horizontal="center"/>
    </xf>
    <xf numFmtId="0" fontId="56" fillId="8" borderId="1" xfId="0" applyFont="1" applyFill="1" applyBorder="1" applyAlignment="1">
      <alignment horizontal="center" vertical="center"/>
    </xf>
    <xf numFmtId="14" fontId="55" fillId="8" borderId="1" xfId="0" applyNumberFormat="1" applyFont="1" applyFill="1" applyBorder="1" applyAlignment="1">
      <alignment horizontal="center" vertical="center"/>
    </xf>
    <xf numFmtId="0" fontId="55" fillId="8" borderId="2" xfId="0" applyFont="1" applyFill="1" applyBorder="1" applyAlignment="1">
      <alignment horizontal="center" vertical="center"/>
    </xf>
    <xf numFmtId="49" fontId="57" fillId="8" borderId="1" xfId="0" applyNumberFormat="1" applyFont="1" applyFill="1" applyBorder="1" applyAlignment="1">
      <alignment horizontal="center" vertical="center"/>
    </xf>
    <xf numFmtId="0" fontId="56" fillId="8" borderId="1" xfId="0" quotePrefix="1" applyFont="1" applyFill="1" applyBorder="1" applyAlignment="1">
      <alignment horizontal="center" vertical="center"/>
    </xf>
    <xf numFmtId="0" fontId="61" fillId="8" borderId="0" xfId="0" applyFont="1" applyFill="1" applyAlignment="1">
      <alignment horizontal="center"/>
    </xf>
    <xf numFmtId="0" fontId="20" fillId="8" borderId="0" xfId="0" applyFont="1" applyFill="1" applyAlignment="1">
      <alignment horizontal="center"/>
    </xf>
    <xf numFmtId="0" fontId="61" fillId="6" borderId="1" xfId="0" applyFont="1" applyFill="1" applyBorder="1" applyAlignment="1">
      <alignment horizontal="center"/>
    </xf>
    <xf numFmtId="0" fontId="16" fillId="13" borderId="1" xfId="0" applyFont="1" applyFill="1" applyBorder="1" applyAlignment="1">
      <alignment horizontal="center" wrapText="1"/>
    </xf>
    <xf numFmtId="0" fontId="20" fillId="0" borderId="1" xfId="0" applyFont="1" applyBorder="1" applyAlignment="1">
      <alignment horizontal="center"/>
    </xf>
    <xf numFmtId="0" fontId="16" fillId="0" borderId="1" xfId="0" applyFont="1" applyBorder="1" applyAlignment="1">
      <alignment horizontal="center" wrapText="1"/>
    </xf>
    <xf numFmtId="0" fontId="55" fillId="18" borderId="4" xfId="0" applyFont="1" applyFill="1" applyBorder="1" applyAlignment="1">
      <alignment horizontal="center" vertical="center"/>
    </xf>
    <xf numFmtId="0" fontId="61" fillId="18" borderId="1" xfId="0" applyFont="1" applyFill="1" applyBorder="1" applyAlignment="1">
      <alignment horizontal="center"/>
    </xf>
    <xf numFmtId="0" fontId="61" fillId="18" borderId="8" xfId="0" applyFont="1" applyFill="1" applyBorder="1" applyAlignment="1">
      <alignment horizontal="center"/>
    </xf>
    <xf numFmtId="0" fontId="11" fillId="6" borderId="1" xfId="0" applyFont="1" applyFill="1" applyBorder="1" applyAlignment="1">
      <alignment horizontal="center"/>
    </xf>
    <xf numFmtId="0" fontId="11" fillId="0" borderId="1" xfId="0" applyFont="1" applyBorder="1" applyAlignment="1">
      <alignment horizontal="center"/>
    </xf>
    <xf numFmtId="0" fontId="11" fillId="23" borderId="1" xfId="0" applyFont="1" applyFill="1" applyBorder="1" applyAlignment="1">
      <alignment horizontal="center"/>
    </xf>
    <xf numFmtId="0" fontId="11" fillId="21" borderId="1" xfId="0" applyFont="1" applyFill="1" applyBorder="1" applyAlignment="1">
      <alignment horizontal="center"/>
    </xf>
    <xf numFmtId="0" fontId="9" fillId="0" borderId="1" xfId="0" applyFont="1" applyBorder="1" applyAlignment="1">
      <alignment horizontal="center"/>
    </xf>
    <xf numFmtId="0" fontId="4" fillId="20" borderId="13" xfId="0" applyFont="1" applyFill="1" applyBorder="1" applyAlignment="1">
      <alignment horizontal="center"/>
    </xf>
    <xf numFmtId="0" fontId="4" fillId="20" borderId="0" xfId="0" applyFont="1" applyFill="1" applyAlignment="1">
      <alignment horizontal="center"/>
    </xf>
    <xf numFmtId="0" fontId="50" fillId="0" borderId="0" xfId="0" applyFont="1" applyAlignment="1">
      <alignment horizontal="center"/>
    </xf>
    <xf numFmtId="0" fontId="4" fillId="20" borderId="18" xfId="0" applyFont="1" applyFill="1" applyBorder="1" applyAlignment="1">
      <alignment horizontal="center"/>
    </xf>
    <xf numFmtId="0" fontId="4" fillId="20" borderId="19" xfId="0" applyFont="1" applyFill="1" applyBorder="1" applyAlignment="1">
      <alignment horizontal="center"/>
    </xf>
    <xf numFmtId="0" fontId="19" fillId="0" borderId="13" xfId="0" applyFont="1" applyBorder="1" applyAlignment="1">
      <alignment horizontal="center"/>
    </xf>
    <xf numFmtId="0" fontId="9" fillId="18" borderId="1" xfId="0" applyFont="1" applyFill="1" applyBorder="1" applyAlignment="1">
      <alignment horizontal="center"/>
    </xf>
    <xf numFmtId="0" fontId="6" fillId="18" borderId="1" xfId="0" applyFont="1" applyFill="1" applyBorder="1" applyAlignment="1">
      <alignment horizontal="center" vertical="center"/>
    </xf>
    <xf numFmtId="0" fontId="6" fillId="18" borderId="1" xfId="0" applyFont="1" applyFill="1" applyBorder="1" applyAlignment="1">
      <alignment horizontal="center"/>
    </xf>
    <xf numFmtId="0" fontId="9" fillId="21" borderId="1" xfId="0" applyFont="1" applyFill="1" applyBorder="1" applyAlignment="1">
      <alignment horizontal="center"/>
    </xf>
    <xf numFmtId="0" fontId="6" fillId="21" borderId="1" xfId="0" applyFont="1" applyFill="1" applyBorder="1" applyAlignment="1">
      <alignment horizontal="center" vertical="center"/>
    </xf>
    <xf numFmtId="0" fontId="19" fillId="0" borderId="0" xfId="0" applyFont="1" applyAlignment="1">
      <alignment horizontal="center"/>
    </xf>
    <xf numFmtId="0" fontId="19" fillId="0" borderId="0" xfId="0" applyFont="1" applyAlignment="1">
      <alignment horizontal="center" wrapText="1"/>
    </xf>
    <xf numFmtId="0" fontId="8" fillId="0" borderId="20" xfId="0" applyFont="1" applyBorder="1" applyAlignment="1">
      <alignment horizontal="center" wrapText="1"/>
    </xf>
    <xf numFmtId="0" fontId="18" fillId="0" borderId="0" xfId="0" applyFont="1" applyAlignment="1">
      <alignment horizontal="center"/>
    </xf>
    <xf numFmtId="0" fontId="6" fillId="13" borderId="1" xfId="0" applyFont="1" applyFill="1" applyBorder="1" applyAlignment="1">
      <alignment horizontal="center"/>
    </xf>
    <xf numFmtId="0" fontId="16" fillId="13" borderId="2" xfId="0" applyFont="1" applyFill="1" applyBorder="1" applyAlignment="1">
      <alignment horizontal="center" wrapText="1"/>
    </xf>
    <xf numFmtId="0" fontId="4" fillId="20" borderId="12" xfId="0" applyFont="1" applyFill="1" applyBorder="1" applyAlignment="1">
      <alignment horizontal="center"/>
    </xf>
    <xf numFmtId="0" fontId="9" fillId="0" borderId="4" xfId="0" applyFont="1" applyBorder="1" applyAlignment="1">
      <alignment horizontal="center"/>
    </xf>
    <xf numFmtId="0" fontId="9" fillId="0" borderId="0" xfId="0" applyFont="1" applyAlignment="1">
      <alignment horizontal="center"/>
    </xf>
    <xf numFmtId="0" fontId="4" fillId="20" borderId="21" xfId="0" applyFont="1" applyFill="1" applyBorder="1" applyAlignment="1">
      <alignment horizontal="center"/>
    </xf>
    <xf numFmtId="0" fontId="4" fillId="20" borderId="22" xfId="0" applyFont="1" applyFill="1" applyBorder="1" applyAlignment="1">
      <alignment horizontal="center"/>
    </xf>
    <xf numFmtId="0" fontId="19" fillId="0" borderId="12" xfId="0" applyFont="1" applyBorder="1" applyAlignment="1">
      <alignment horizontal="center"/>
    </xf>
    <xf numFmtId="0" fontId="4" fillId="20" borderId="1" xfId="0" applyFont="1" applyFill="1" applyBorder="1"/>
    <xf numFmtId="0" fontId="4" fillId="20" borderId="8" xfId="0" applyFont="1" applyFill="1" applyBorder="1"/>
    <xf numFmtId="0" fontId="4" fillId="20" borderId="7" xfId="0" applyFont="1" applyFill="1" applyBorder="1"/>
    <xf numFmtId="0" fontId="62" fillId="20" borderId="1" xfId="0" applyFont="1" applyFill="1" applyBorder="1" applyAlignment="1">
      <alignment horizontal="center"/>
    </xf>
    <xf numFmtId="0" fontId="9" fillId="18" borderId="0" xfId="0" applyFont="1" applyFill="1" applyAlignment="1">
      <alignment horizontal="center"/>
    </xf>
    <xf numFmtId="0" fontId="19" fillId="18" borderId="1" xfId="0" applyFont="1" applyFill="1" applyBorder="1" applyAlignment="1">
      <alignment horizontal="center"/>
    </xf>
    <xf numFmtId="0" fontId="16" fillId="0" borderId="1" xfId="0" applyFont="1" applyBorder="1" applyAlignment="1">
      <alignment horizontal="center"/>
    </xf>
    <xf numFmtId="0" fontId="63" fillId="34" borderId="1" xfId="0" applyFont="1" applyFill="1" applyBorder="1" applyAlignment="1">
      <alignment horizontal="center"/>
    </xf>
    <xf numFmtId="0" fontId="0" fillId="26" borderId="1" xfId="0" applyFill="1" applyBorder="1"/>
    <xf numFmtId="0" fontId="0" fillId="26" borderId="1" xfId="0" applyFill="1" applyBorder="1" applyAlignment="1">
      <alignment horizontal="center"/>
    </xf>
    <xf numFmtId="0" fontId="0" fillId="0" borderId="3" xfId="0" applyBorder="1"/>
    <xf numFmtId="0" fontId="16" fillId="13" borderId="4" xfId="0" applyFont="1" applyFill="1" applyBorder="1" applyAlignment="1">
      <alignment horizontal="center"/>
    </xf>
    <xf numFmtId="0" fontId="0" fillId="0" borderId="2" xfId="0" applyBorder="1" applyAlignment="1">
      <alignment horizontal="center"/>
    </xf>
    <xf numFmtId="0" fontId="16" fillId="0" borderId="4" xfId="0" applyFont="1" applyBorder="1" applyAlignment="1">
      <alignment horizontal="center"/>
    </xf>
    <xf numFmtId="0" fontId="11" fillId="0" borderId="1" xfId="0" applyFont="1" applyBorder="1" applyAlignment="1">
      <alignment vertical="center" wrapText="1"/>
    </xf>
    <xf numFmtId="0" fontId="11" fillId="0" borderId="1" xfId="0" applyFont="1" applyBorder="1" applyAlignment="1">
      <alignment horizontal="center" vertical="center" wrapText="1"/>
    </xf>
    <xf numFmtId="0" fontId="0" fillId="0" borderId="1" xfId="0" applyBorder="1" applyAlignment="1">
      <alignment vertical="center" wrapText="1"/>
    </xf>
    <xf numFmtId="0" fontId="0" fillId="0" borderId="0" xfId="0" applyAlignment="1">
      <alignment vertical="center" wrapText="1"/>
    </xf>
    <xf numFmtId="0" fontId="11" fillId="0" borderId="0" xfId="0" applyFont="1" applyAlignment="1">
      <alignment vertical="center" wrapText="1"/>
    </xf>
    <xf numFmtId="0" fontId="18" fillId="20" borderId="12" xfId="0" applyFont="1" applyFill="1" applyBorder="1" applyAlignment="1">
      <alignment vertical="center" wrapText="1"/>
    </xf>
    <xf numFmtId="0" fontId="0" fillId="27" borderId="0" xfId="0" applyFill="1" applyAlignment="1">
      <alignment vertical="center" wrapText="1"/>
    </xf>
    <xf numFmtId="0" fontId="11" fillId="35" borderId="0" xfId="0" applyFont="1" applyFill="1" applyAlignment="1">
      <alignment vertical="center" wrapText="1"/>
    </xf>
    <xf numFmtId="0" fontId="11" fillId="35" borderId="1" xfId="0" applyFont="1" applyFill="1" applyBorder="1" applyAlignment="1">
      <alignment vertical="center" wrapText="1"/>
    </xf>
    <xf numFmtId="0" fontId="18" fillId="20" borderId="0" xfId="0" applyFont="1" applyFill="1" applyAlignment="1">
      <alignment vertical="center" wrapText="1"/>
    </xf>
    <xf numFmtId="0" fontId="18" fillId="20" borderId="1" xfId="0" applyFont="1" applyFill="1" applyBorder="1" applyAlignment="1">
      <alignment vertical="center" wrapText="1"/>
    </xf>
    <xf numFmtId="0" fontId="10" fillId="15" borderId="1" xfId="0" applyFont="1" applyFill="1" applyBorder="1" applyAlignment="1">
      <alignment horizontal="center"/>
    </xf>
    <xf numFmtId="0" fontId="50" fillId="0" borderId="8" xfId="0" applyFont="1" applyBorder="1"/>
    <xf numFmtId="0" fontId="16" fillId="13" borderId="23" xfId="0" applyFont="1" applyFill="1" applyBorder="1" applyAlignment="1">
      <alignment wrapText="1"/>
    </xf>
    <xf numFmtId="0" fontId="62" fillId="0" borderId="1" xfId="0" applyFont="1" applyBorder="1"/>
    <xf numFmtId="0" fontId="0" fillId="4" borderId="0" xfId="0" applyFill="1"/>
    <xf numFmtId="0" fontId="0" fillId="3" borderId="0" xfId="0" applyFill="1"/>
    <xf numFmtId="0" fontId="62" fillId="27" borderId="1" xfId="0" applyFont="1" applyFill="1" applyBorder="1"/>
    <xf numFmtId="0" fontId="16" fillId="0" borderId="8" xfId="0" applyFont="1" applyBorder="1" applyAlignment="1">
      <alignment horizontal="center"/>
    </xf>
    <xf numFmtId="0" fontId="0" fillId="0" borderId="8" xfId="0" applyBorder="1" applyAlignment="1">
      <alignment horizontal="center"/>
    </xf>
    <xf numFmtId="0" fontId="64" fillId="0" borderId="24" xfId="0" applyFont="1" applyBorder="1" applyAlignment="1">
      <alignment wrapText="1"/>
    </xf>
    <xf numFmtId="0" fontId="19" fillId="0" borderId="1" xfId="0" applyFont="1" applyBorder="1" applyAlignment="1">
      <alignment wrapText="1"/>
    </xf>
    <xf numFmtId="0" fontId="19" fillId="0" borderId="0" xfId="0" applyFont="1" applyAlignment="1">
      <alignment wrapText="1"/>
    </xf>
    <xf numFmtId="0" fontId="19" fillId="0" borderId="12" xfId="0" applyFont="1" applyBorder="1"/>
    <xf numFmtId="0" fontId="65" fillId="0" borderId="25" xfId="0" applyFont="1" applyBorder="1" applyAlignment="1">
      <alignment wrapText="1"/>
    </xf>
    <xf numFmtId="0" fontId="65" fillId="0" borderId="0" xfId="0" applyFont="1" applyAlignment="1">
      <alignment wrapText="1"/>
    </xf>
    <xf numFmtId="0" fontId="62" fillId="0" borderId="12" xfId="0" applyFont="1" applyBorder="1"/>
    <xf numFmtId="0" fontId="62" fillId="0" borderId="26" xfId="0" applyFont="1" applyBorder="1"/>
    <xf numFmtId="0" fontId="19" fillId="6" borderId="12" xfId="0" applyFont="1" applyFill="1" applyBorder="1"/>
    <xf numFmtId="0" fontId="50" fillId="0" borderId="1" xfId="0" applyFont="1" applyBorder="1"/>
    <xf numFmtId="0" fontId="6" fillId="15" borderId="1" xfId="0" applyFont="1" applyFill="1" applyBorder="1" applyAlignment="1">
      <alignment horizontal="center"/>
    </xf>
    <xf numFmtId="0" fontId="64" fillId="0" borderId="27" xfId="0" applyFont="1" applyBorder="1" applyAlignment="1">
      <alignment wrapText="1"/>
    </xf>
    <xf numFmtId="0" fontId="16" fillId="0" borderId="3" xfId="0" applyFont="1" applyBorder="1" applyAlignment="1">
      <alignment horizontal="center"/>
    </xf>
    <xf numFmtId="0" fontId="10" fillId="15" borderId="1" xfId="0" applyFont="1" applyFill="1" applyBorder="1" applyAlignment="1">
      <alignment horizontal="center" vertical="center"/>
    </xf>
    <xf numFmtId="0" fontId="0" fillId="15" borderId="1" xfId="0" applyFill="1" applyBorder="1" applyAlignment="1">
      <alignment horizontal="center"/>
    </xf>
    <xf numFmtId="0" fontId="6" fillId="15" borderId="1" xfId="0" applyFont="1" applyFill="1" applyBorder="1" applyAlignment="1">
      <alignment horizontal="center" vertical="center"/>
    </xf>
    <xf numFmtId="0" fontId="19" fillId="15" borderId="1" xfId="0" applyFont="1" applyFill="1" applyBorder="1" applyAlignment="1">
      <alignment horizontal="center"/>
    </xf>
    <xf numFmtId="0" fontId="19" fillId="0" borderId="21" xfId="0" applyFont="1" applyBorder="1"/>
    <xf numFmtId="0" fontId="16" fillId="13" borderId="1" xfId="0" applyFont="1" applyFill="1" applyBorder="1"/>
    <xf numFmtId="0" fontId="10" fillId="23" borderId="1" xfId="0" applyFont="1" applyFill="1" applyBorder="1" applyAlignment="1">
      <alignment horizontal="center" vertical="center"/>
    </xf>
    <xf numFmtId="0" fontId="10" fillId="23" borderId="1" xfId="0" applyFont="1" applyFill="1" applyBorder="1" applyAlignment="1">
      <alignment horizontal="center"/>
    </xf>
    <xf numFmtId="0" fontId="10" fillId="6" borderId="1" xfId="0" applyFont="1" applyFill="1" applyBorder="1" applyAlignment="1">
      <alignment horizontal="center"/>
    </xf>
    <xf numFmtId="0" fontId="10" fillId="35" borderId="1" xfId="0" applyFont="1" applyFill="1" applyBorder="1" applyAlignment="1">
      <alignment horizontal="center" vertical="center"/>
    </xf>
    <xf numFmtId="0" fontId="0" fillId="35" borderId="1" xfId="0" applyFill="1" applyBorder="1"/>
    <xf numFmtId="0" fontId="62" fillId="20" borderId="8" xfId="0" applyFont="1" applyFill="1" applyBorder="1"/>
    <xf numFmtId="0" fontId="62" fillId="20" borderId="0" xfId="0" applyFont="1" applyFill="1"/>
    <xf numFmtId="0" fontId="16" fillId="0" borderId="1" xfId="0" applyFont="1" applyBorder="1" applyAlignment="1">
      <alignment horizontal="left"/>
    </xf>
    <xf numFmtId="0" fontId="62" fillId="20" borderId="10" xfId="0" applyFont="1" applyFill="1" applyBorder="1"/>
    <xf numFmtId="0" fontId="6" fillId="0" borderId="0" xfId="0" applyFont="1" applyAlignment="1">
      <alignment horizontal="center"/>
    </xf>
    <xf numFmtId="0" fontId="19" fillId="0" borderId="14" xfId="0" applyFont="1" applyBorder="1" applyAlignment="1">
      <alignment horizontal="center"/>
    </xf>
    <xf numFmtId="0" fontId="16" fillId="0" borderId="0" xfId="0" applyFont="1" applyAlignment="1">
      <alignment horizontal="center" wrapText="1"/>
    </xf>
    <xf numFmtId="0" fontId="18" fillId="29" borderId="1" xfId="0" applyFont="1" applyFill="1" applyBorder="1" applyAlignment="1">
      <alignment horizontal="center"/>
    </xf>
    <xf numFmtId="0" fontId="0" fillId="3" borderId="12" xfId="0" applyFill="1" applyBorder="1"/>
    <xf numFmtId="0" fontId="11" fillId="6" borderId="21" xfId="0" applyFont="1" applyFill="1" applyBorder="1" applyAlignment="1">
      <alignment horizontal="center"/>
    </xf>
    <xf numFmtId="0" fontId="11" fillId="6" borderId="0" xfId="0" applyFont="1" applyFill="1" applyAlignment="1">
      <alignment horizontal="center"/>
    </xf>
    <xf numFmtId="0" fontId="66" fillId="6" borderId="1" xfId="0" applyFont="1" applyFill="1" applyBorder="1" applyAlignment="1">
      <alignment horizontal="center"/>
    </xf>
    <xf numFmtId="0" fontId="66" fillId="6" borderId="12" xfId="0" applyFont="1" applyFill="1" applyBorder="1" applyAlignment="1">
      <alignment horizontal="center"/>
    </xf>
    <xf numFmtId="0" fontId="67" fillId="6" borderId="1" xfId="0" applyFont="1" applyFill="1" applyBorder="1"/>
    <xf numFmtId="0" fontId="66" fillId="6" borderId="3" xfId="0" applyFont="1" applyFill="1" applyBorder="1" applyAlignment="1">
      <alignment horizontal="center"/>
    </xf>
    <xf numFmtId="0" fontId="67" fillId="6" borderId="3" xfId="0" applyFont="1" applyFill="1" applyBorder="1"/>
    <xf numFmtId="17" fontId="0" fillId="3" borderId="26" xfId="0" applyNumberFormat="1" applyFill="1" applyBorder="1" applyAlignment="1">
      <alignment horizontal="center"/>
    </xf>
    <xf numFmtId="0" fontId="67" fillId="0" borderId="0" xfId="0" applyFont="1"/>
    <xf numFmtId="0" fontId="0" fillId="35" borderId="0" xfId="0" applyFill="1"/>
    <xf numFmtId="0" fontId="0" fillId="26" borderId="0" xfId="0" applyFill="1"/>
    <xf numFmtId="0" fontId="50" fillId="0" borderId="14" xfId="0" applyFont="1" applyBorder="1" applyAlignment="1">
      <alignment horizontal="center"/>
    </xf>
    <xf numFmtId="49" fontId="9" fillId="0" borderId="1" xfId="0" applyNumberFormat="1" applyFont="1" applyBorder="1" applyAlignment="1">
      <alignment horizontal="center" vertical="center"/>
    </xf>
    <xf numFmtId="0" fontId="50" fillId="0" borderId="1" xfId="0" applyFont="1" applyBorder="1" applyAlignment="1">
      <alignment horizontal="center" vertical="center"/>
    </xf>
    <xf numFmtId="0" fontId="14" fillId="0" borderId="1" xfId="0" applyFont="1" applyBorder="1" applyAlignment="1">
      <alignment horizontal="center"/>
    </xf>
    <xf numFmtId="0" fontId="0" fillId="0" borderId="12" xfId="0" applyBorder="1" applyAlignment="1">
      <alignment horizontal="center"/>
    </xf>
    <xf numFmtId="0" fontId="62" fillId="0" borderId="12" xfId="0" applyFont="1" applyBorder="1" applyAlignment="1">
      <alignment horizontal="center" vertical="center"/>
    </xf>
    <xf numFmtId="0" fontId="14" fillId="0" borderId="1" xfId="0" applyFont="1" applyBorder="1"/>
    <xf numFmtId="0" fontId="14" fillId="0" borderId="12" xfId="0" applyFont="1" applyBorder="1" applyAlignment="1">
      <alignment horizontal="center"/>
    </xf>
    <xf numFmtId="0" fontId="68" fillId="0" borderId="12" xfId="0" applyFont="1" applyBorder="1" applyAlignment="1">
      <alignment horizontal="center" vertical="center"/>
    </xf>
    <xf numFmtId="0" fontId="14" fillId="0" borderId="12" xfId="0" applyFont="1" applyBorder="1" applyAlignment="1">
      <alignment horizontal="center" vertical="center"/>
    </xf>
    <xf numFmtId="0" fontId="14" fillId="0" borderId="1" xfId="0" applyFont="1" applyBorder="1" applyAlignment="1">
      <alignment horizontal="center" vertical="center"/>
    </xf>
    <xf numFmtId="0" fontId="14" fillId="0" borderId="0" xfId="0" applyFont="1" applyAlignment="1">
      <alignment horizontal="center" vertical="center"/>
    </xf>
    <xf numFmtId="0" fontId="69" fillId="13" borderId="0" xfId="0" applyFont="1" applyFill="1"/>
    <xf numFmtId="0" fontId="16" fillId="13" borderId="0" xfId="0" applyFont="1" applyFill="1"/>
    <xf numFmtId="0" fontId="16" fillId="13" borderId="4" xfId="0" applyFont="1" applyFill="1" applyBorder="1"/>
    <xf numFmtId="0" fontId="16" fillId="13" borderId="1" xfId="0" applyFont="1" applyFill="1" applyBorder="1" applyAlignment="1">
      <alignment horizontal="center"/>
    </xf>
    <xf numFmtId="0" fontId="19" fillId="0" borderId="2" xfId="0" applyFont="1" applyBorder="1" applyAlignment="1">
      <alignment horizontal="center"/>
    </xf>
    <xf numFmtId="0" fontId="19" fillId="0" borderId="7" xfId="0" applyFont="1" applyBorder="1" applyAlignment="1">
      <alignment horizontal="center"/>
    </xf>
    <xf numFmtId="49" fontId="50" fillId="25" borderId="1" xfId="0" applyNumberFormat="1" applyFont="1" applyFill="1" applyBorder="1" applyAlignment="1">
      <alignment horizontal="center" vertical="center"/>
    </xf>
    <xf numFmtId="0" fontId="14" fillId="0" borderId="3" xfId="0" applyFont="1" applyBorder="1" applyAlignment="1">
      <alignment horizontal="center" vertical="center"/>
    </xf>
    <xf numFmtId="0" fontId="9" fillId="0" borderId="0" xfId="0" applyFont="1" applyAlignment="1">
      <alignment horizontal="left"/>
    </xf>
    <xf numFmtId="49" fontId="9" fillId="0" borderId="3" xfId="0" applyNumberFormat="1" applyFont="1" applyBorder="1" applyAlignment="1">
      <alignment horizontal="center" vertical="center"/>
    </xf>
    <xf numFmtId="0" fontId="50" fillId="0" borderId="28" xfId="0" applyFont="1" applyBorder="1" applyAlignment="1">
      <alignment horizontal="center"/>
    </xf>
    <xf numFmtId="49" fontId="13" fillId="25" borderId="1" xfId="0" applyNumberFormat="1" applyFont="1" applyFill="1" applyBorder="1" applyAlignment="1">
      <alignment horizontal="center" vertical="center"/>
    </xf>
    <xf numFmtId="0" fontId="5" fillId="0" borderId="1" xfId="0" applyFont="1" applyBorder="1" applyAlignment="1">
      <alignment horizontal="center"/>
    </xf>
    <xf numFmtId="0" fontId="50" fillId="0" borderId="29" xfId="0" applyFont="1" applyBorder="1" applyAlignment="1">
      <alignment horizontal="center"/>
    </xf>
    <xf numFmtId="0" fontId="62" fillId="20" borderId="12" xfId="0" applyFont="1" applyFill="1" applyBorder="1" applyAlignment="1">
      <alignment horizontal="center" vertical="center"/>
    </xf>
    <xf numFmtId="0" fontId="50" fillId="0" borderId="1" xfId="0" applyFont="1" applyBorder="1" applyAlignment="1">
      <alignment horizontal="center"/>
    </xf>
    <xf numFmtId="0" fontId="0" fillId="6" borderId="14" xfId="0" applyFill="1" applyBorder="1"/>
    <xf numFmtId="0" fontId="50" fillId="6" borderId="14" xfId="0" applyFont="1" applyFill="1" applyBorder="1" applyAlignment="1">
      <alignment horizontal="center" vertical="center"/>
    </xf>
    <xf numFmtId="0" fontId="14" fillId="0" borderId="12" xfId="0" applyFont="1" applyBorder="1"/>
    <xf numFmtId="49" fontId="13" fillId="0" borderId="1" xfId="0" applyNumberFormat="1" applyFont="1" applyBorder="1" applyAlignment="1">
      <alignment horizontal="center" vertical="center"/>
    </xf>
    <xf numFmtId="49" fontId="9" fillId="25" borderId="1" xfId="0" applyNumberFormat="1" applyFont="1" applyFill="1" applyBorder="1" applyAlignment="1">
      <alignment horizontal="center" vertical="center"/>
    </xf>
    <xf numFmtId="0" fontId="0" fillId="6" borderId="12" xfId="0" applyFill="1" applyBorder="1"/>
    <xf numFmtId="0" fontId="50" fillId="6" borderId="12" xfId="0" applyFont="1" applyFill="1" applyBorder="1" applyAlignment="1">
      <alignment horizontal="center" vertical="center"/>
    </xf>
    <xf numFmtId="0" fontId="14" fillId="0" borderId="3" xfId="0" applyFont="1" applyBorder="1" applyAlignment="1">
      <alignment horizontal="center"/>
    </xf>
    <xf numFmtId="0" fontId="14" fillId="0" borderId="3" xfId="0" applyFont="1" applyBorder="1"/>
    <xf numFmtId="0" fontId="0" fillId="6" borderId="12" xfId="0" applyFill="1" applyBorder="1" applyAlignment="1">
      <alignment horizontal="center"/>
    </xf>
    <xf numFmtId="0" fontId="62" fillId="0" borderId="1" xfId="0" applyFont="1" applyBorder="1" applyAlignment="1">
      <alignment horizontal="center" vertical="center"/>
    </xf>
    <xf numFmtId="0" fontId="0" fillId="0" borderId="17" xfId="0" applyBorder="1"/>
    <xf numFmtId="0" fontId="62" fillId="0" borderId="8" xfId="0" applyFont="1" applyBorder="1" applyAlignment="1">
      <alignment horizontal="center"/>
    </xf>
    <xf numFmtId="0" fontId="62" fillId="0" borderId="1" xfId="0" applyFont="1" applyBorder="1" applyAlignment="1">
      <alignment horizontal="center"/>
    </xf>
    <xf numFmtId="0" fontId="19" fillId="0" borderId="8" xfId="0" applyFont="1" applyBorder="1" applyAlignment="1">
      <alignment horizontal="center"/>
    </xf>
    <xf numFmtId="0" fontId="19" fillId="0" borderId="9" xfId="0" applyFont="1" applyBorder="1" applyAlignment="1">
      <alignment horizontal="center"/>
    </xf>
    <xf numFmtId="0" fontId="68" fillId="0" borderId="14" xfId="0" applyFont="1" applyBorder="1" applyAlignment="1">
      <alignment horizontal="center"/>
    </xf>
    <xf numFmtId="0" fontId="16" fillId="20" borderId="11" xfId="0" applyFont="1" applyFill="1" applyBorder="1" applyAlignment="1">
      <alignment horizontal="center"/>
    </xf>
    <xf numFmtId="0" fontId="34" fillId="0" borderId="1" xfId="0" applyFont="1" applyBorder="1" applyAlignment="1">
      <alignment horizontal="center" vertical="center"/>
    </xf>
    <xf numFmtId="0" fontId="17" fillId="0" borderId="1" xfId="0" applyFont="1" applyBorder="1" applyAlignment="1">
      <alignment horizontal="center" vertical="center"/>
    </xf>
    <xf numFmtId="164" fontId="53" fillId="2" borderId="1" xfId="0" applyNumberFormat="1" applyFont="1" applyFill="1" applyBorder="1" applyAlignment="1">
      <alignment horizontal="center" vertical="center"/>
    </xf>
    <xf numFmtId="164" fontId="55" fillId="8" borderId="1" xfId="0" applyNumberFormat="1" applyFont="1" applyFill="1" applyBorder="1" applyAlignment="1">
      <alignment horizontal="center" vertical="center"/>
    </xf>
    <xf numFmtId="164" fontId="55" fillId="8" borderId="1" xfId="0" applyNumberFormat="1" applyFont="1" applyFill="1" applyBorder="1" applyAlignment="1">
      <alignment horizontal="center"/>
    </xf>
    <xf numFmtId="164" fontId="55" fillId="0" borderId="1" xfId="0" applyNumberFormat="1" applyFont="1" applyBorder="1" applyAlignment="1">
      <alignment horizontal="center"/>
    </xf>
    <xf numFmtId="0" fontId="27" fillId="0" borderId="0" xfId="0" applyFont="1" applyAlignment="1">
      <alignment horizontal="center" vertical="center"/>
    </xf>
    <xf numFmtId="0" fontId="27" fillId="0" borderId="0" xfId="0" applyFont="1" applyAlignment="1">
      <alignment horizontal="center" vertical="center" wrapText="1"/>
    </xf>
    <xf numFmtId="164" fontId="55" fillId="0" borderId="4" xfId="0" applyNumberFormat="1" applyFont="1" applyBorder="1" applyAlignment="1">
      <alignment horizontal="center" vertical="center"/>
    </xf>
    <xf numFmtId="164" fontId="55" fillId="6" borderId="4" xfId="0" applyNumberFormat="1" applyFont="1" applyFill="1" applyBorder="1" applyAlignment="1">
      <alignment horizontal="center" vertical="center"/>
    </xf>
    <xf numFmtId="164" fontId="55" fillId="0" borderId="4" xfId="0" applyNumberFormat="1" applyFont="1" applyBorder="1" applyAlignment="1">
      <alignment horizontal="center"/>
    </xf>
    <xf numFmtId="164" fontId="55" fillId="18" borderId="4" xfId="0" applyNumberFormat="1" applyFont="1" applyFill="1" applyBorder="1" applyAlignment="1">
      <alignment horizontal="center"/>
    </xf>
    <xf numFmtId="0" fontId="55" fillId="0" borderId="0" xfId="0" applyFont="1" applyAlignment="1">
      <alignment horizontal="center" vertical="center"/>
    </xf>
    <xf numFmtId="0" fontId="0" fillId="5" borderId="1" xfId="0" applyFill="1" applyBorder="1" applyAlignment="1">
      <alignment horizontal="center"/>
    </xf>
    <xf numFmtId="0" fontId="23" fillId="5" borderId="1" xfId="0" applyFont="1" applyFill="1" applyBorder="1" applyAlignment="1">
      <alignment horizontal="center"/>
    </xf>
    <xf numFmtId="0" fontId="53" fillId="6" borderId="4" xfId="0" applyFont="1" applyFill="1" applyBorder="1" applyAlignment="1">
      <alignment horizontal="center" vertical="center"/>
    </xf>
    <xf numFmtId="0" fontId="4" fillId="0" borderId="1" xfId="0" applyFont="1" applyBorder="1" applyAlignment="1">
      <alignment horizontal="center"/>
    </xf>
    <xf numFmtId="0" fontId="5" fillId="0" borderId="1" xfId="0" applyFont="1" applyBorder="1" applyAlignment="1">
      <alignment horizontal="center" wrapText="1"/>
    </xf>
    <xf numFmtId="0" fontId="5" fillId="20" borderId="1" xfId="0" applyFont="1" applyFill="1" applyBorder="1" applyAlignment="1">
      <alignment horizontal="center"/>
    </xf>
    <xf numFmtId="0" fontId="34" fillId="20" borderId="1" xfId="0" applyFont="1" applyFill="1" applyBorder="1" applyAlignment="1">
      <alignment horizontal="center" wrapText="1"/>
    </xf>
    <xf numFmtId="0" fontId="5" fillId="35" borderId="1" xfId="0" applyFont="1" applyFill="1" applyBorder="1" applyAlignment="1">
      <alignment horizontal="center"/>
    </xf>
    <xf numFmtId="0" fontId="5" fillId="35" borderId="1" xfId="0" applyFont="1" applyFill="1" applyBorder="1" applyAlignment="1">
      <alignment horizontal="center" wrapText="1"/>
    </xf>
    <xf numFmtId="0" fontId="34" fillId="35" borderId="1" xfId="0" applyFont="1" applyFill="1" applyBorder="1" applyAlignment="1">
      <alignment horizontal="center"/>
    </xf>
    <xf numFmtId="0" fontId="55" fillId="0" borderId="5" xfId="0" applyFont="1" applyBorder="1" applyAlignment="1">
      <alignment horizontal="center"/>
    </xf>
    <xf numFmtId="0" fontId="55" fillId="0" borderId="7" xfId="0" applyFont="1" applyBorder="1" applyAlignment="1">
      <alignment horizontal="center"/>
    </xf>
    <xf numFmtId="0" fontId="55" fillId="0" borderId="6" xfId="0" applyFont="1" applyBorder="1" applyAlignment="1">
      <alignment horizontal="center" vertical="center"/>
    </xf>
    <xf numFmtId="0" fontId="55" fillId="0" borderId="11" xfId="0" applyFont="1" applyBorder="1" applyAlignment="1">
      <alignment horizontal="center" vertical="center"/>
    </xf>
    <xf numFmtId="0" fontId="5" fillId="0" borderId="4" xfId="0" applyFont="1" applyBorder="1" applyAlignment="1">
      <alignment horizontal="center"/>
    </xf>
    <xf numFmtId="0" fontId="5" fillId="35" borderId="4" xfId="0" applyFont="1" applyFill="1" applyBorder="1" applyAlignment="1">
      <alignment horizontal="center"/>
    </xf>
    <xf numFmtId="0" fontId="5" fillId="0" borderId="4" xfId="0" applyFont="1" applyBorder="1" applyAlignment="1">
      <alignment horizontal="center" wrapText="1"/>
    </xf>
    <xf numFmtId="14" fontId="5" fillId="0" borderId="1" xfId="0" applyNumberFormat="1" applyFont="1" applyBorder="1" applyAlignment="1">
      <alignment horizontal="center"/>
    </xf>
    <xf numFmtId="0" fontId="56" fillId="0" borderId="4" xfId="0" applyFont="1" applyBorder="1" applyAlignment="1">
      <alignment horizontal="center" vertical="center"/>
    </xf>
    <xf numFmtId="0" fontId="56" fillId="0" borderId="4" xfId="0" applyFont="1" applyBorder="1" applyAlignment="1">
      <alignment horizontal="center" vertical="center" wrapText="1"/>
    </xf>
    <xf numFmtId="0" fontId="56" fillId="18" borderId="4" xfId="0" applyFont="1" applyFill="1" applyBorder="1" applyAlignment="1">
      <alignment horizontal="center" vertical="center"/>
    </xf>
    <xf numFmtId="14" fontId="57" fillId="0" borderId="4" xfId="0" applyNumberFormat="1" applyFont="1" applyBorder="1" applyAlignment="1">
      <alignment horizontal="center" vertical="center"/>
    </xf>
    <xf numFmtId="0" fontId="59" fillId="0" borderId="4" xfId="0" applyFont="1" applyBorder="1" applyAlignment="1">
      <alignment horizontal="center" vertical="center"/>
    </xf>
    <xf numFmtId="0" fontId="57" fillId="0" borderId="4" xfId="0" applyFont="1" applyBorder="1" applyAlignment="1">
      <alignment horizontal="center" vertical="center"/>
    </xf>
    <xf numFmtId="0" fontId="58" fillId="18" borderId="4" xfId="0" applyFont="1" applyFill="1" applyBorder="1" applyAlignment="1">
      <alignment horizontal="center" vertical="center"/>
    </xf>
    <xf numFmtId="0" fontId="57" fillId="18" borderId="4" xfId="0" applyFont="1" applyFill="1" applyBorder="1" applyAlignment="1">
      <alignment horizontal="center" vertical="center"/>
    </xf>
    <xf numFmtId="0" fontId="56" fillId="18" borderId="4" xfId="0" applyFont="1" applyFill="1" applyBorder="1" applyAlignment="1">
      <alignment horizontal="center" vertical="center" wrapText="1"/>
    </xf>
    <xf numFmtId="0" fontId="57" fillId="13" borderId="4" xfId="0" applyFont="1" applyFill="1" applyBorder="1" applyAlignment="1">
      <alignment horizontal="center" vertical="center"/>
    </xf>
    <xf numFmtId="0" fontId="71" fillId="18" borderId="1" xfId="0" applyFont="1" applyFill="1" applyBorder="1" applyAlignment="1">
      <alignment horizontal="center"/>
    </xf>
    <xf numFmtId="165" fontId="55" fillId="0" borderId="2" xfId="0" applyNumberFormat="1" applyFont="1" applyBorder="1" applyAlignment="1">
      <alignment horizontal="center" vertical="center"/>
    </xf>
    <xf numFmtId="165" fontId="56" fillId="0" borderId="2" xfId="0" applyNumberFormat="1" applyFont="1" applyBorder="1" applyAlignment="1">
      <alignment horizontal="center" vertical="center"/>
    </xf>
    <xf numFmtId="165" fontId="56" fillId="0" borderId="2" xfId="0" applyNumberFormat="1" applyFont="1" applyBorder="1" applyAlignment="1">
      <alignment horizontal="center"/>
    </xf>
    <xf numFmtId="165" fontId="58" fillId="18" borderId="2" xfId="0" applyNumberFormat="1" applyFont="1" applyFill="1" applyBorder="1" applyAlignment="1">
      <alignment horizontal="center" vertical="center"/>
    </xf>
    <xf numFmtId="165" fontId="56" fillId="18" borderId="2" xfId="0" applyNumberFormat="1" applyFont="1" applyFill="1" applyBorder="1" applyAlignment="1">
      <alignment horizontal="center" vertical="center"/>
    </xf>
    <xf numFmtId="165" fontId="56" fillId="0" borderId="2" xfId="0" applyNumberFormat="1" applyFont="1" applyBorder="1" applyAlignment="1">
      <alignment horizontal="center" vertical="center" wrapText="1"/>
    </xf>
    <xf numFmtId="165" fontId="56" fillId="18" borderId="2" xfId="0" applyNumberFormat="1" applyFont="1" applyFill="1" applyBorder="1" applyAlignment="1">
      <alignment horizontal="center" vertical="center" wrapText="1"/>
    </xf>
    <xf numFmtId="165" fontId="55" fillId="0" borderId="2" xfId="0" applyNumberFormat="1" applyFont="1" applyBorder="1" applyAlignment="1">
      <alignment horizontal="center"/>
    </xf>
    <xf numFmtId="14" fontId="54" fillId="6" borderId="2" xfId="0" applyNumberFormat="1" applyFont="1" applyFill="1" applyBorder="1" applyAlignment="1">
      <alignment horizontal="center" vertical="center"/>
    </xf>
    <xf numFmtId="165" fontId="56" fillId="13" borderId="2" xfId="0" applyNumberFormat="1" applyFont="1" applyFill="1" applyBorder="1" applyAlignment="1">
      <alignment horizontal="center" vertical="center"/>
    </xf>
    <xf numFmtId="0" fontId="56" fillId="0" borderId="1" xfId="0" applyFont="1" applyBorder="1" applyAlignment="1">
      <alignment horizontal="left" vertical="center"/>
    </xf>
    <xf numFmtId="0" fontId="70" fillId="0" borderId="0" xfId="0" applyFont="1"/>
    <xf numFmtId="0" fontId="0" fillId="23" borderId="1" xfId="0" applyFill="1" applyBorder="1"/>
    <xf numFmtId="164" fontId="56" fillId="0" borderId="2" xfId="0" applyNumberFormat="1" applyFont="1" applyBorder="1" applyAlignment="1">
      <alignment horizontal="center" vertical="center"/>
    </xf>
    <xf numFmtId="164" fontId="55" fillId="18" borderId="4" xfId="0" applyNumberFormat="1" applyFont="1" applyFill="1" applyBorder="1" applyAlignment="1">
      <alignment horizontal="center" vertical="center"/>
    </xf>
    <xf numFmtId="0" fontId="55" fillId="18" borderId="2" xfId="0" applyFont="1" applyFill="1" applyBorder="1" applyAlignment="1">
      <alignment horizontal="center" vertical="center"/>
    </xf>
    <xf numFmtId="165" fontId="55" fillId="18" borderId="2" xfId="0" applyNumberFormat="1" applyFont="1" applyFill="1" applyBorder="1" applyAlignment="1">
      <alignment horizontal="center" vertical="center"/>
    </xf>
    <xf numFmtId="0" fontId="57" fillId="18" borderId="1" xfId="0" applyFont="1" applyFill="1" applyBorder="1" applyAlignment="1">
      <alignment horizontal="center" vertical="center" wrapText="1"/>
    </xf>
    <xf numFmtId="0" fontId="72" fillId="18" borderId="0" xfId="0" applyFont="1" applyFill="1"/>
    <xf numFmtId="0" fontId="56" fillId="0" borderId="3" xfId="0" applyFont="1" applyBorder="1" applyAlignment="1">
      <alignment horizontal="center" vertical="center"/>
    </xf>
    <xf numFmtId="0" fontId="56" fillId="0" borderId="8" xfId="0" applyFont="1" applyBorder="1" applyAlignment="1">
      <alignment horizontal="center" vertical="center"/>
    </xf>
    <xf numFmtId="0" fontId="70" fillId="0" borderId="0" xfId="0" applyFont="1" applyAlignment="1">
      <alignment horizontal="center"/>
    </xf>
    <xf numFmtId="0" fontId="58" fillId="18" borderId="1" xfId="0" applyFont="1" applyFill="1" applyBorder="1" applyAlignment="1">
      <alignment horizontal="center"/>
    </xf>
    <xf numFmtId="0" fontId="0" fillId="36" borderId="1" xfId="0" applyFill="1" applyBorder="1"/>
    <xf numFmtId="0" fontId="0" fillId="14" borderId="1" xfId="0" applyFill="1" applyBorder="1"/>
    <xf numFmtId="0" fontId="0" fillId="37" borderId="1" xfId="0" applyFill="1" applyBorder="1"/>
    <xf numFmtId="0" fontId="13" fillId="18" borderId="1" xfId="0" applyFont="1" applyFill="1" applyBorder="1" applyAlignment="1">
      <alignment wrapText="1"/>
    </xf>
    <xf numFmtId="0" fontId="73" fillId="0" borderId="0" xfId="0" applyFont="1" applyAlignment="1">
      <alignment horizontal="center"/>
    </xf>
    <xf numFmtId="0" fontId="0" fillId="14" borderId="0" xfId="0" applyFill="1"/>
    <xf numFmtId="0" fontId="0" fillId="36" borderId="0" xfId="0" applyFill="1"/>
    <xf numFmtId="0" fontId="20" fillId="37" borderId="0" xfId="0" applyFont="1" applyFill="1"/>
    <xf numFmtId="0" fontId="0" fillId="17" borderId="1" xfId="0" applyFill="1" applyBorder="1"/>
    <xf numFmtId="0" fontId="20" fillId="17" borderId="0" xfId="0" applyFont="1" applyFill="1"/>
    <xf numFmtId="0" fontId="0" fillId="5" borderId="0" xfId="0" applyFill="1"/>
    <xf numFmtId="0" fontId="74" fillId="0" borderId="0" xfId="0" applyFont="1" applyAlignment="1">
      <alignment horizontal="center"/>
    </xf>
    <xf numFmtId="0" fontId="20" fillId="18" borderId="0" xfId="0" applyFont="1" applyFill="1" applyAlignment="1">
      <alignment horizontal="center"/>
    </xf>
    <xf numFmtId="0" fontId="26" fillId="0" borderId="3" xfId="0" applyFont="1" applyBorder="1" applyAlignment="1">
      <alignment horizontal="center" vertical="center"/>
    </xf>
    <xf numFmtId="0" fontId="26" fillId="0" borderId="1" xfId="0" applyFont="1" applyBorder="1" applyAlignment="1">
      <alignment horizontal="center" vertical="center"/>
    </xf>
    <xf numFmtId="0" fontId="0" fillId="6" borderId="12" xfId="0" applyFill="1" applyBorder="1" applyAlignment="1">
      <alignment horizontal="center"/>
    </xf>
    <xf numFmtId="0" fontId="0" fillId="6" borderId="26" xfId="0" applyFill="1" applyBorder="1" applyAlignment="1">
      <alignment horizontal="center"/>
    </xf>
    <xf numFmtId="0" fontId="0" fillId="6" borderId="30" xfId="0" applyFill="1" applyBorder="1" applyAlignment="1">
      <alignment horizontal="center"/>
    </xf>
    <xf numFmtId="0" fontId="0" fillId="6" borderId="13" xfId="0" applyFill="1" applyBorder="1" applyAlignment="1">
      <alignment horizontal="center"/>
    </xf>
    <xf numFmtId="0" fontId="1" fillId="0" borderId="1" xfId="0" applyFont="1" applyBorder="1" applyAlignment="1">
      <alignment horizontal="center"/>
    </xf>
    <xf numFmtId="0" fontId="1" fillId="0" borderId="0" xfId="0" applyFont="1" applyAlignment="1">
      <alignment horizontal="center"/>
    </xf>
    <xf numFmtId="0" fontId="1" fillId="18" borderId="1" xfId="0" applyFont="1" applyFill="1" applyBorder="1" applyAlignment="1">
      <alignment horizontal="center"/>
    </xf>
    <xf numFmtId="0" fontId="1" fillId="21" borderId="1" xfId="0" applyFont="1" applyFill="1" applyBorder="1" applyAlignment="1">
      <alignment horizontal="center" wrapText="1"/>
    </xf>
    <xf numFmtId="0" fontId="1" fillId="21" borderId="1" xfId="0" applyFont="1" applyFill="1" applyBorder="1" applyAlignment="1">
      <alignment horizontal="center"/>
    </xf>
    <xf numFmtId="0" fontId="1" fillId="15" borderId="0" xfId="0" applyFont="1" applyFill="1" applyAlignment="1">
      <alignment horizontal="center"/>
    </xf>
    <xf numFmtId="0" fontId="1" fillId="23" borderId="0" xfId="0" applyFont="1" applyFill="1" applyAlignment="1">
      <alignment horizontal="center"/>
    </xf>
  </cellXfs>
  <cellStyles count="2">
    <cellStyle name="Hyperlink" xfId="1" builtinId="8"/>
    <cellStyle name="Normal" xfId="0" builtinId="0"/>
  </cellStyles>
  <dxfs count="103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b val="0"/>
        <i val="0"/>
        <strike val="0"/>
        <condense val="0"/>
        <extend val="0"/>
        <outline val="0"/>
        <shadow val="0"/>
        <u val="none"/>
        <vertAlign val="baseline"/>
        <sz val="12"/>
        <color theme="1"/>
        <name val="Times New Roman"/>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scheme val="none"/>
      </font>
      <alignment horizontal="center"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theme="1"/>
        <name val="Times New Roman"/>
        <scheme val="none"/>
      </font>
      <alignment horizontal="center" vertical="center" textRotation="0" wrapText="0" indent="0" justifyLastLine="0" shrinkToFit="0" readingOrder="0"/>
    </dxf>
    <dxf>
      <font>
        <b/>
        <i val="0"/>
        <strike val="0"/>
        <condense val="0"/>
        <extend val="0"/>
        <outline val="0"/>
        <shadow val="0"/>
        <u val="none"/>
        <vertAlign val="baseline"/>
        <sz val="12"/>
        <color theme="1"/>
        <name val="Times New Roman"/>
        <scheme val="none"/>
      </font>
      <alignment horizontal="center" vertical="center" textRotation="0" wrapText="0" indent="0" justifyLastLine="0" shrinkToFit="0" readingOrder="0"/>
    </dxf>
    <dxf>
      <alignment horizontal="center"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Calibri"/>
        <scheme val="minor"/>
      </font>
      <alignment horizontal="center"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2"/>
        <color theme="1"/>
        <name val="Calibri"/>
        <scheme val="minor"/>
      </font>
      <alignment horizontal="center" vertical="center" textRotation="0" wrapText="0" indent="0" justifyLastLine="0" shrinkToFit="0" readingOrder="0"/>
      <border diagonalUp="0" diagonalDown="0" outline="0">
        <left style="thin">
          <color rgb="FF000000"/>
        </left>
        <right style="thin">
          <color rgb="FF000000"/>
        </right>
        <top/>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2"/>
        <color rgb="FF00000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dxf>
    <dxf>
      <alignment horizontal="center" vertical="center" textRotation="0" wrapText="0" indent="0" justifyLastLine="0" shrinkToFit="0" readingOrder="0"/>
    </dxf>
    <dxf>
      <border outline="0">
        <bottom style="thin">
          <color rgb="FF000000"/>
        </bottom>
      </border>
    </dxf>
    <dxf>
      <border outline="0">
        <top style="thin">
          <color rgb="FF000000"/>
        </top>
      </border>
    </dxf>
    <dxf>
      <alignment horizontal="center" vertical="center" textRotation="0" wrapText="0" indent="0" justifyLastLine="0" shrinkToFit="0" readingOrder="0"/>
    </dxf>
    <dxf>
      <font>
        <b/>
        <i val="0"/>
        <strike val="0"/>
        <condense val="0"/>
        <extend val="0"/>
        <outline val="0"/>
        <shadow val="0"/>
        <u val="none"/>
        <vertAlign val="baseline"/>
        <sz val="12"/>
        <color theme="1"/>
        <name val="Aptos Narrow"/>
        <family val="2"/>
        <scheme val="minor"/>
      </font>
      <alignment horizontal="center" vertical="center" textRotation="0" wrapText="1" indent="0" justifyLastLine="0" shrinkToFit="0" readingOrder="0"/>
      <border diagonalUp="0" diagonalDown="0" outline="0">
        <left style="thin">
          <color rgb="FF000000"/>
        </left>
        <right style="thin">
          <color rgb="FF000000"/>
        </right>
        <top/>
        <bottom/>
      </border>
    </dxf>
    <dxf>
      <alignment horizontal="center" vertical="center" textRotation="0" wrapText="0" indent="0" justifyLastLine="0" shrinkToFit="0" readingOrder="0"/>
    </dxf>
    <dxf>
      <font>
        <b val="0"/>
        <i val="0"/>
        <strike val="0"/>
        <condense val="0"/>
        <extend val="0"/>
        <outline val="0"/>
        <shadow val="0"/>
        <u val="none"/>
        <vertAlign val="baseline"/>
        <sz val="11"/>
        <color rgb="FF00B050"/>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extLst>
        <ext xmlns:xfpb="http://schemas.microsoft.com/office/spreadsheetml/2022/featurepropertybag" uri="{0417FA29-78FA-4A13-93AC-8FF0FAFDF519}">
          <xfpb:DXFComplement i="0"/>
        </ext>
      </extLst>
    </dxf>
    <dxf>
      <font>
        <b val="0"/>
        <i val="0"/>
        <strike val="0"/>
        <condense val="0"/>
        <extend val="0"/>
        <outline val="0"/>
        <shadow val="0"/>
        <u val="none"/>
        <vertAlign val="baseline"/>
        <sz val="12"/>
        <color rgb="FF000000"/>
        <name val="Calibri"/>
        <family val="2"/>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Calibri"/>
        <family val="2"/>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bottom style="thin">
          <color rgb="FF000000"/>
        </bottom>
        <vertical/>
        <horizontal/>
      </border>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2"/>
        <color theme="1"/>
        <name val="Aptos Narrow"/>
        <family val="2"/>
        <scheme val="minor"/>
      </font>
      <alignment horizontal="center" vertical="center" textRotation="0" wrapText="1" indent="0" justifyLastLine="0" shrinkToFit="0" readingOrder="0"/>
      <border diagonalUp="0" diagonalDown="0" outline="0">
        <left style="thin">
          <color rgb="FF000000"/>
        </left>
        <right style="thin">
          <color rgb="FF000000"/>
        </right>
        <top/>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2"/>
        <color rgb="FF00000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dxf>
    <dxf>
      <alignment horizontal="center" vertical="center" textRotation="0" wrapText="0" indent="0" justifyLastLine="0" shrinkToFit="0" readingOrder="0"/>
    </dxf>
    <dxf>
      <border outline="0">
        <bottom style="thin">
          <color rgb="FF000000"/>
        </bottom>
      </border>
    </dxf>
    <dxf>
      <border outline="0">
        <top style="thin">
          <color rgb="FF000000"/>
        </top>
      </border>
    </dxf>
    <dxf>
      <alignment horizontal="center" vertical="center" textRotation="0" wrapText="0" indent="0" justifyLastLine="0" shrinkToFit="0" readingOrder="0"/>
    </dxf>
    <dxf>
      <font>
        <b/>
        <i val="0"/>
        <strike val="0"/>
        <condense val="0"/>
        <extend val="0"/>
        <outline val="0"/>
        <shadow val="0"/>
        <u val="none"/>
        <vertAlign val="baseline"/>
        <sz val="12"/>
        <color theme="1"/>
        <name val="Aptos Narrow"/>
        <family val="2"/>
        <scheme val="minor"/>
      </font>
      <alignment horizontal="center" vertical="center" textRotation="0" wrapText="1" indent="0" justifyLastLine="0" shrinkToFit="0" readingOrder="0"/>
      <border diagonalUp="0" diagonalDown="0" outline="0">
        <left style="thin">
          <color rgb="FF000000"/>
        </left>
        <right style="thin">
          <color rgb="FF000000"/>
        </right>
        <top/>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bottom style="thin">
          <color rgb="FF000000"/>
        </bottom>
      </border>
    </dxf>
    <dxf>
      <border outline="0">
        <top style="thin">
          <color rgb="FF000000"/>
        </top>
      </border>
    </dxf>
    <dxf>
      <alignment horizontal="center" vertical="center" textRotation="0" wrapText="0" indent="0" justifyLastLine="0" shrinkToFit="0" readingOrder="0"/>
    </dxf>
    <dxf>
      <font>
        <b/>
        <i val="0"/>
        <strike val="0"/>
        <condense val="0"/>
        <extend val="0"/>
        <outline val="0"/>
        <shadow val="0"/>
        <u val="none"/>
        <vertAlign val="baseline"/>
        <sz val="12"/>
        <color theme="1"/>
        <name val="Aptos Narrow"/>
        <family val="2"/>
        <scheme val="minor"/>
      </font>
      <alignment horizontal="center" vertical="center" textRotation="0" wrapText="1" indent="0" justifyLastLine="0" shrinkToFit="0" readingOrder="0"/>
      <border diagonalUp="0" diagonalDown="0" outline="0">
        <left style="thin">
          <color rgb="FF000000"/>
        </left>
        <right style="thin">
          <color rgb="FF000000"/>
        </right>
        <top/>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bottom style="thin">
          <color rgb="FF000000"/>
        </bottom>
      </border>
    </dxf>
    <dxf>
      <border outline="0">
        <top style="thin">
          <color rgb="FF000000"/>
        </top>
      </border>
    </dxf>
    <dxf>
      <alignment horizontal="center" vertical="center" textRotation="0" wrapText="0" indent="0" justifyLastLine="0" shrinkToFit="0" readingOrder="0"/>
    </dxf>
    <dxf>
      <font>
        <b/>
        <i val="0"/>
        <strike val="0"/>
        <condense val="0"/>
        <extend val="0"/>
        <outline val="0"/>
        <shadow val="0"/>
        <u val="none"/>
        <vertAlign val="baseline"/>
        <sz val="12"/>
        <color theme="1"/>
        <name val="Aptos Narrow"/>
        <family val="2"/>
        <scheme val="minor"/>
      </font>
      <alignment horizontal="center" vertical="center" textRotation="0" wrapText="1" indent="0" justifyLastLine="0" shrinkToFit="0" readingOrder="0"/>
      <border diagonalUp="0" diagonalDown="0" outline="0">
        <left style="thin">
          <color rgb="FF000000"/>
        </left>
        <right style="thin">
          <color rgb="FF000000"/>
        </right>
        <top/>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top style="thin">
          <color rgb="FF000000"/>
        </top>
      </border>
    </dxf>
    <dxf>
      <alignment horizontal="center" vertical="center" textRotation="0" wrapText="0" indent="0" justifyLastLine="0" shrinkToFit="0" readingOrder="0"/>
    </dxf>
    <dxf>
      <font>
        <b/>
        <i val="0"/>
        <strike val="0"/>
        <condense val="0"/>
        <extend val="0"/>
        <outline val="0"/>
        <shadow val="0"/>
        <u val="none"/>
        <vertAlign val="baseline"/>
        <sz val="12"/>
        <color theme="1"/>
        <name val="Aptos Narrow"/>
        <family val="2"/>
        <scheme val="minor"/>
      </font>
      <alignment horizontal="center" vertical="center" textRotation="0" wrapText="1" indent="0" justifyLastLine="0" shrinkToFit="0" readingOrder="0"/>
      <border diagonalUp="0" diagonalDown="0" outline="0">
        <left style="thin">
          <color rgb="FF000000"/>
        </left>
        <right style="thin">
          <color rgb="FF000000"/>
        </right>
        <top/>
        <bottom/>
      </border>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Aptos"/>
        <charset val="1"/>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bottom style="thin">
          <color rgb="FF000000"/>
        </bottom>
      </border>
    </dxf>
    <dxf>
      <font>
        <b/>
        <i val="0"/>
        <strike val="0"/>
        <condense val="0"/>
        <extend val="0"/>
        <outline val="0"/>
        <shadow val="0"/>
        <u val="none"/>
        <vertAlign val="baseline"/>
        <sz val="12"/>
        <color theme="1"/>
        <name val="Aptos Narrow"/>
        <family val="2"/>
        <scheme val="minor"/>
      </font>
      <alignment horizontal="center" vertical="center" textRotation="0" wrapText="1" indent="0" justifyLastLine="0" shrinkToFit="0" readingOrder="0"/>
      <border diagonalUp="0" diagonalDown="0" outline="0">
        <left style="thin">
          <color rgb="FF000000"/>
        </left>
        <right style="thin">
          <color rgb="FF000000"/>
        </right>
        <top/>
        <bottom/>
      </border>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name val="Aptos Display"/>
        <scheme val="major"/>
      </font>
      <numFmt numFmtId="0" formatCode="Genera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Display"/>
        <scheme val="major"/>
      </font>
      <numFmt numFmtId="0" formatCode="Genera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name val="Aptos Display"/>
        <scheme val="major"/>
      </font>
      <numFmt numFmtId="0" formatCode="General"/>
      <alignment horizontal="center" vertical="center"/>
      <border>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Aptos Display"/>
        <scheme val="major"/>
      </font>
      <numFmt numFmtId="0" formatCode="Genera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name val="Aptos Display"/>
        <scheme val="major"/>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Display"/>
        <scheme val="major"/>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Display"/>
        <scheme val="major"/>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Display"/>
        <scheme val="major"/>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Display"/>
        <scheme val="major"/>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Display"/>
        <scheme val="major"/>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Aptos Display"/>
        <scheme val="major"/>
      </font>
      <numFmt numFmtId="0" formatCode="Genera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Aptos Display"/>
        <scheme val="major"/>
      </font>
      <numFmt numFmtId="0" formatCode="Genera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Aptos Display"/>
        <scheme val="major"/>
      </font>
      <numFmt numFmtId="164" formatCode="[$-409]d\-mmm\-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name val="Aptos Display"/>
        <scheme val="major"/>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Display"/>
        <scheme val="major"/>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Display"/>
        <scheme val="major"/>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Display"/>
        <scheme val="major"/>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Display"/>
        <scheme val="major"/>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Display"/>
        <scheme val="major"/>
      </font>
      <alignment horizont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Aptos Display"/>
        <scheme val="major"/>
      </font>
      <numFmt numFmtId="0" formatCode="Genera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Display"/>
        <scheme val="major"/>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Display"/>
        <scheme val="major"/>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Display"/>
        <scheme val="maj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Display"/>
        <scheme val="maj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Display"/>
        <scheme val="maj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2"/>
        <color rgb="FF000000"/>
        <name val="Aptos Display"/>
        <scheme val="major"/>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Display"/>
        <scheme val="major"/>
      </font>
      <fill>
        <patternFill patternType="none"/>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Display"/>
        <scheme val="maj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font>
        <name val="Aptos Display"/>
        <scheme val="major"/>
      </font>
      <alignment horizontal="center" vertical="center"/>
    </dxf>
    <dxf>
      <font>
        <name val="Aptos Display"/>
        <scheme val="major"/>
      </font>
      <alignment horizontal="center" vertical="center"/>
      <border>
        <left style="thin">
          <color rgb="FF000000"/>
        </left>
        <right style="thin">
          <color rgb="FF000000"/>
        </right>
        <top/>
        <bottom/>
        <vertical style="thin">
          <color rgb="FF000000"/>
        </vertical>
        <horizontal style="thin">
          <color rgb="FF000000"/>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name val="Aptos Display"/>
        <scheme val="major"/>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Aptos Display"/>
        <scheme val="major"/>
      </font>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name val="Aptos Display"/>
        <scheme val="major"/>
      </font>
      <numFmt numFmtId="165" formatCode="[$-409]dd\-mmm\-yy;@"/>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Display"/>
        <scheme val="major"/>
      </font>
      <numFmt numFmtId="0" formatCode="Genera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Display"/>
        <scheme val="major"/>
      </font>
      <numFmt numFmtId="0" formatCode="Genera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name val="Aptos Display"/>
        <scheme val="major"/>
      </font>
      <numFmt numFmtId="0" formatCode="General"/>
      <alignment horizontal="center" vertical="center"/>
      <border>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Aptos Display"/>
        <scheme val="major"/>
      </font>
      <numFmt numFmtId="0" formatCode="Genera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name val="Aptos Display"/>
        <scheme val="major"/>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Display"/>
        <scheme val="major"/>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Display"/>
        <scheme val="major"/>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Display"/>
        <scheme val="major"/>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Display"/>
        <scheme val="major"/>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Display"/>
        <scheme val="major"/>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Aptos Display"/>
        <scheme val="major"/>
      </font>
      <numFmt numFmtId="0" formatCode="Genera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Aptos Display"/>
        <scheme val="major"/>
      </font>
      <numFmt numFmtId="0" formatCode="Genera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Aptos Display"/>
        <scheme val="major"/>
      </font>
      <numFmt numFmtId="164" formatCode="[$-409]d\-mmm\-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name val="Aptos Display"/>
        <scheme val="major"/>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Display"/>
        <scheme val="major"/>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Display"/>
        <scheme val="major"/>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Display"/>
        <scheme val="major"/>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Display"/>
        <scheme val="major"/>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Display"/>
        <scheme val="major"/>
      </font>
      <alignment horizont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Aptos Display"/>
        <scheme val="major"/>
      </font>
      <numFmt numFmtId="0" formatCode="Genera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Display"/>
        <scheme val="major"/>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Display"/>
        <scheme val="major"/>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Display"/>
        <scheme val="maj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Display"/>
        <scheme val="maj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Display"/>
        <scheme val="maj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2"/>
        <color rgb="FF000000"/>
        <name val="Aptos Display"/>
        <scheme val="major"/>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Display"/>
        <scheme val="major"/>
      </font>
      <fill>
        <patternFill patternType="none"/>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Display"/>
        <scheme val="maj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font>
        <name val="Aptos Display"/>
        <scheme val="major"/>
      </font>
      <alignment horizontal="center" vertical="center"/>
    </dxf>
    <dxf>
      <font>
        <name val="Aptos Display"/>
        <scheme val="major"/>
      </font>
      <alignment horizontal="center" vertical="center"/>
      <border>
        <left style="thin">
          <color rgb="FF000000"/>
        </left>
        <right style="thin">
          <color rgb="FF000000"/>
        </right>
        <top/>
        <bottom/>
        <vertical style="thin">
          <color rgb="FF000000"/>
        </vertical>
        <horizontal style="thin">
          <color rgb="FF000000"/>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patternType="none">
          <fgColor indexed="64"/>
          <bgColor indexed="65"/>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1/relationships/FeaturePropertyBag" Target="featurePropertyBag/featurePropertyBag.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0</xdr:colOff>
      <xdr:row>2</xdr:row>
      <xdr:rowOff>0</xdr:rowOff>
    </xdr:from>
    <xdr:to>
      <xdr:col>4</xdr:col>
      <xdr:colOff>92075</xdr:colOff>
      <xdr:row>3</xdr:row>
      <xdr:rowOff>92075</xdr:rowOff>
    </xdr:to>
    <xdr:sp macro="" textlink="">
      <xdr:nvSpPr>
        <xdr:cNvPr id="2" name="Rounded Rectangle 1">
          <a:extLst>
            <a:ext uri="{FF2B5EF4-FFF2-40B4-BE49-F238E27FC236}">
              <a16:creationId xmlns:a16="http://schemas.microsoft.com/office/drawing/2014/main" id="{F56B105D-836C-4740-95C5-B66C7F3206A3}"/>
            </a:ext>
            <a:ext uri="{6ECC49D1-AA05-4338-93AA-15A1B29DFB0A}">
              <asl:scriptLink xmlns:asl="http://schemas.microsoft.com/office/drawing/2021/scriptlink" val="{&quot;shareId&quot;:&quot;ms-officescript%3A%2F%2Fonedrive_business_sharinglink%2Fu!aHR0cHM6Ly90emFybGFicy1teS5zaGFyZXBvaW50LmNvbS86dTovcC9hYWthc2hfY2hhcmkvSVFCSVdFTnk0VmxnVDZLcktxSVMtbGRsQVZDR1RHaVFDWExERUpqWjRQMWlvZ3c&quot;}"/>
            </a:ext>
          </a:extLst>
        </xdr:cNvPr>
        <xdr:cNvSpPr/>
      </xdr:nvSpPr>
      <xdr:spPr>
        <a:xfrm>
          <a:off x="3400425" y="400050"/>
          <a:ext cx="1168400" cy="292100"/>
        </a:xfrm>
        <a:prstGeom prst="roundRect">
          <a:avLst/>
        </a:prstGeom>
        <a:solidFill>
          <a:srgbClr val="107C41"/>
        </a:solidFill>
        <a:ln w="1905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Run Script 1</a:t>
          </a:r>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shruti_dutta_tzarlabs_com/Documents/DNA%20list%20for%20Seq_log%20030925.xlsx" TargetMode="External"/><Relationship Id="rId2" Type="http://schemas.openxmlformats.org/officeDocument/2006/relationships/externalLinkPath" Target="https://tzarlabs-my.sharepoint.com/personal/shruti_dutta_tzarlabs_com/Documents/DNA%20list%20for%20Seq_log%20030925.xlsx" TargetMode="External"/><Relationship Id="rId1" Type="http://schemas.openxmlformats.org/officeDocument/2006/relationships/externalLinkPath" Target="/personal/shruti_dutta_tzarlabs_com/Documents/DNA%20list%20for%20Seq_log%200309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b8GDvyx8E0WQUtUGIDFzbAcyiWJAA31HmAQZ5NBmlAIOUswM7xGCQJwkdITfhAEq" itemId="01LNQKKYE3UF3LHA67P5GKTKAF6PQRQRRQ">
      <xxl21:absoluteUrl r:id="rId2"/>
      <xxl21:relativeUrl r:id="rId3"/>
    </xxl21:alternateUrls>
    <sheetNames>
      <sheetName val="For Vikas"/>
      <sheetName val="FINAL"/>
      <sheetName val="DNA list 22 to 25"/>
      <sheetName val="WES log"/>
      <sheetName val="Sheet3"/>
      <sheetName val="Pancreatic sample"/>
      <sheetName val="Sheet1"/>
      <sheetName val="updated"/>
      <sheetName val="Sheet2"/>
      <sheetName val="Sheet4"/>
      <sheetName val="COHORT"/>
      <sheetName val="DNA_case level_comorbidity"/>
      <sheetName val="Sheet5"/>
    </sheetNames>
    <sheetDataSet>
      <sheetData sheetId="0"/>
      <sheetData sheetId="1"/>
      <sheetData sheetId="2"/>
      <sheetData sheetId="3">
        <row r="1">
          <cell r="B1" t="str">
            <v>Seq list</v>
          </cell>
          <cell r="C1" t="str">
            <v>Comments</v>
          </cell>
          <cell r="D1" t="str">
            <v>Sample sending Date</v>
          </cell>
          <cell r="E1" t="str">
            <v>Case Label</v>
          </cell>
        </row>
        <row r="2">
          <cell r="B2" t="str">
            <v>2A0398</v>
          </cell>
          <cell r="C2"/>
          <cell r="D2"/>
          <cell r="E2" t="str">
            <v>COT</v>
          </cell>
        </row>
        <row r="3">
          <cell r="B3" t="str">
            <v>2A0399</v>
          </cell>
          <cell r="C3"/>
          <cell r="D3"/>
          <cell r="E3" t="str">
            <v>CS</v>
          </cell>
        </row>
        <row r="4">
          <cell r="B4" t="str">
            <v>2A0400</v>
          </cell>
          <cell r="C4"/>
          <cell r="D4"/>
          <cell r="E4" t="str">
            <v>CTN</v>
          </cell>
        </row>
        <row r="5">
          <cell r="B5" t="str">
            <v>2A0401</v>
          </cell>
          <cell r="C5"/>
          <cell r="D5"/>
          <cell r="E5" t="str">
            <v>COT</v>
          </cell>
        </row>
        <row r="6">
          <cell r="B6" t="str">
            <v>2A0402</v>
          </cell>
          <cell r="C6"/>
          <cell r="D6"/>
          <cell r="E6" t="str">
            <v>CTN</v>
          </cell>
        </row>
        <row r="7">
          <cell r="B7" t="str">
            <v>2A0623</v>
          </cell>
          <cell r="C7"/>
          <cell r="D7"/>
          <cell r="E7" t="str">
            <v>Benign</v>
          </cell>
        </row>
        <row r="8">
          <cell r="B8" t="str">
            <v>2A0668</v>
          </cell>
          <cell r="C8"/>
          <cell r="D8"/>
          <cell r="E8" t="str">
            <v>CON</v>
          </cell>
        </row>
        <row r="9">
          <cell r="B9" t="str">
            <v>2A1236</v>
          </cell>
          <cell r="C9"/>
          <cell r="D9"/>
          <cell r="E9" t="str">
            <v>CON</v>
          </cell>
        </row>
        <row r="10">
          <cell r="B10" t="str">
            <v>3A0594</v>
          </cell>
          <cell r="C10"/>
          <cell r="D10"/>
          <cell r="E10" t="str">
            <v>CON</v>
          </cell>
        </row>
        <row r="11">
          <cell r="B11" t="str">
            <v>3A0607</v>
          </cell>
          <cell r="C11"/>
          <cell r="D11"/>
          <cell r="E11" t="str">
            <v>CON</v>
          </cell>
        </row>
        <row r="12">
          <cell r="B12" t="str">
            <v>3A0633</v>
          </cell>
          <cell r="C12"/>
          <cell r="D12"/>
          <cell r="E12" t="str">
            <v>CON</v>
          </cell>
        </row>
        <row r="13">
          <cell r="B13" t="str">
            <v>3A0634</v>
          </cell>
          <cell r="C13"/>
          <cell r="D13"/>
          <cell r="E13" t="str">
            <v>CON</v>
          </cell>
        </row>
        <row r="14">
          <cell r="B14" t="str">
            <v>3A0635</v>
          </cell>
          <cell r="C14"/>
          <cell r="D14"/>
          <cell r="E14" t="str">
            <v>CON</v>
          </cell>
        </row>
        <row r="15">
          <cell r="B15" t="str">
            <v>3A0636</v>
          </cell>
          <cell r="C15"/>
          <cell r="D15"/>
          <cell r="E15" t="str">
            <v>CON</v>
          </cell>
        </row>
        <row r="16">
          <cell r="B16" t="str">
            <v>3A0637</v>
          </cell>
          <cell r="C16"/>
          <cell r="D16"/>
          <cell r="E16" t="str">
            <v>CON</v>
          </cell>
        </row>
        <row r="17">
          <cell r="B17" t="str">
            <v>3A0638</v>
          </cell>
          <cell r="C17"/>
          <cell r="D17"/>
          <cell r="E17" t="str">
            <v>CON</v>
          </cell>
        </row>
        <row r="18">
          <cell r="B18" t="str">
            <v>3A0639</v>
          </cell>
          <cell r="C18"/>
          <cell r="D18"/>
          <cell r="E18" t="str">
            <v>CON</v>
          </cell>
        </row>
        <row r="19">
          <cell r="B19" t="str">
            <v>3A0640</v>
          </cell>
          <cell r="C19"/>
          <cell r="D19"/>
          <cell r="E19" t="str">
            <v>CON</v>
          </cell>
        </row>
        <row r="20">
          <cell r="B20" t="str">
            <v>3A0641</v>
          </cell>
          <cell r="C20"/>
          <cell r="D20"/>
          <cell r="E20" t="str">
            <v>CON</v>
          </cell>
        </row>
        <row r="21">
          <cell r="B21" t="str">
            <v>3A0642</v>
          </cell>
          <cell r="C21"/>
          <cell r="D21"/>
          <cell r="E21" t="str">
            <v>CON</v>
          </cell>
        </row>
        <row r="22">
          <cell r="B22" t="str">
            <v>3A0643</v>
          </cell>
          <cell r="C22"/>
          <cell r="D22"/>
          <cell r="E22" t="str">
            <v>CON</v>
          </cell>
        </row>
        <row r="23">
          <cell r="B23" t="str">
            <v>3A0644</v>
          </cell>
          <cell r="C23"/>
          <cell r="D23"/>
          <cell r="E23" t="str">
            <v>CON</v>
          </cell>
        </row>
        <row r="24">
          <cell r="B24" t="str">
            <v>3A0645</v>
          </cell>
          <cell r="C24"/>
          <cell r="D24"/>
          <cell r="E24" t="str">
            <v>CON</v>
          </cell>
        </row>
        <row r="25">
          <cell r="B25" t="str">
            <v>3A0646</v>
          </cell>
          <cell r="C25"/>
          <cell r="D25"/>
          <cell r="E25" t="str">
            <v>CON</v>
          </cell>
        </row>
        <row r="26">
          <cell r="B26" t="str">
            <v>3A0647</v>
          </cell>
          <cell r="C26"/>
          <cell r="D26"/>
          <cell r="E26" t="str">
            <v>CON</v>
          </cell>
        </row>
        <row r="27">
          <cell r="B27" t="str">
            <v>3A0658</v>
          </cell>
          <cell r="C27"/>
          <cell r="D27"/>
          <cell r="E27" t="str">
            <v>CON</v>
          </cell>
        </row>
        <row r="28">
          <cell r="B28" t="str">
            <v>3A0659</v>
          </cell>
          <cell r="C28"/>
          <cell r="D28"/>
          <cell r="E28" t="str">
            <v>CON</v>
          </cell>
        </row>
        <row r="29">
          <cell r="B29" t="str">
            <v>3A0660</v>
          </cell>
          <cell r="C29"/>
          <cell r="D29"/>
          <cell r="E29" t="str">
            <v>CON</v>
          </cell>
        </row>
        <row r="30">
          <cell r="B30" t="str">
            <v>3A0662</v>
          </cell>
          <cell r="C30"/>
          <cell r="D30"/>
          <cell r="E30" t="str">
            <v>CON</v>
          </cell>
        </row>
        <row r="31">
          <cell r="B31" t="str">
            <v>3A0661</v>
          </cell>
          <cell r="C31"/>
          <cell r="D31"/>
          <cell r="E31" t="str">
            <v>CON</v>
          </cell>
        </row>
        <row r="32">
          <cell r="B32" t="str">
            <v>3A0663</v>
          </cell>
          <cell r="C32"/>
          <cell r="D32"/>
          <cell r="E32" t="str">
            <v>CON</v>
          </cell>
        </row>
        <row r="33">
          <cell r="B33" t="str">
            <v>3A0664</v>
          </cell>
          <cell r="C33"/>
          <cell r="D33"/>
          <cell r="E33" t="str">
            <v>CON</v>
          </cell>
        </row>
        <row r="34">
          <cell r="B34" t="str">
            <v>3A0665</v>
          </cell>
          <cell r="C34"/>
          <cell r="D34"/>
          <cell r="E34" t="str">
            <v>CON</v>
          </cell>
        </row>
        <row r="35">
          <cell r="B35" t="str">
            <v>3A0666</v>
          </cell>
          <cell r="C35"/>
          <cell r="D35"/>
          <cell r="E35" t="str">
            <v>CON</v>
          </cell>
        </row>
        <row r="36">
          <cell r="B36" t="str">
            <v>3A0667</v>
          </cell>
          <cell r="C36"/>
          <cell r="D36"/>
          <cell r="E36" t="str">
            <v>CON</v>
          </cell>
        </row>
        <row r="37">
          <cell r="B37" t="str">
            <v>3A0668</v>
          </cell>
          <cell r="C37"/>
          <cell r="D37"/>
          <cell r="E37" t="str">
            <v>CON</v>
          </cell>
        </row>
        <row r="38">
          <cell r="B38" t="str">
            <v>3A0669</v>
          </cell>
          <cell r="C38"/>
          <cell r="D38"/>
          <cell r="E38" t="str">
            <v>CON</v>
          </cell>
        </row>
        <row r="39">
          <cell r="B39" t="str">
            <v>3A0670</v>
          </cell>
          <cell r="C39"/>
          <cell r="D39"/>
          <cell r="E39" t="str">
            <v>CON</v>
          </cell>
        </row>
        <row r="40">
          <cell r="B40" t="str">
            <v>3A0671</v>
          </cell>
          <cell r="C40"/>
          <cell r="D40"/>
          <cell r="E40" t="str">
            <v>CON</v>
          </cell>
        </row>
        <row r="41">
          <cell r="B41" t="str">
            <v>3A0673</v>
          </cell>
          <cell r="C41"/>
          <cell r="D41"/>
          <cell r="E41" t="str">
            <v>CON</v>
          </cell>
        </row>
        <row r="42">
          <cell r="B42" t="str">
            <v>3A0674</v>
          </cell>
          <cell r="C42"/>
          <cell r="D42"/>
          <cell r="E42" t="str">
            <v>CON</v>
          </cell>
        </row>
        <row r="43">
          <cell r="B43" t="str">
            <v>3A0675</v>
          </cell>
          <cell r="C43"/>
          <cell r="D43"/>
          <cell r="E43" t="str">
            <v>CON</v>
          </cell>
        </row>
        <row r="44">
          <cell r="B44" t="str">
            <v>3A0676</v>
          </cell>
          <cell r="C44"/>
          <cell r="D44"/>
          <cell r="E44" t="str">
            <v>CON</v>
          </cell>
        </row>
        <row r="45">
          <cell r="B45" t="str">
            <v>3A0677</v>
          </cell>
          <cell r="C45"/>
          <cell r="D45"/>
          <cell r="E45" t="str">
            <v>CON</v>
          </cell>
        </row>
        <row r="46">
          <cell r="B46" t="str">
            <v>3A0678</v>
          </cell>
          <cell r="C46"/>
          <cell r="D46"/>
          <cell r="E46" t="str">
            <v>CON</v>
          </cell>
        </row>
        <row r="47">
          <cell r="B47" t="str">
            <v>3A0679</v>
          </cell>
          <cell r="C47"/>
          <cell r="D47"/>
          <cell r="E47" t="str">
            <v>CON</v>
          </cell>
        </row>
        <row r="48">
          <cell r="B48" t="str">
            <v>3A0681</v>
          </cell>
          <cell r="C48"/>
          <cell r="D48"/>
          <cell r="E48" t="str">
            <v>Benign Survivor</v>
          </cell>
        </row>
        <row r="49">
          <cell r="B49" t="str">
            <v>3A0680</v>
          </cell>
          <cell r="C49"/>
          <cell r="D49"/>
          <cell r="E49" t="str">
            <v>CON</v>
          </cell>
        </row>
        <row r="50">
          <cell r="B50" t="str">
            <v>3A0682</v>
          </cell>
          <cell r="C50"/>
          <cell r="D50"/>
          <cell r="E50" t="str">
            <v>CON</v>
          </cell>
        </row>
        <row r="51">
          <cell r="B51" t="str">
            <v>3A0683</v>
          </cell>
          <cell r="C51"/>
          <cell r="D51"/>
          <cell r="E51" t="str">
            <v>CON</v>
          </cell>
        </row>
        <row r="52">
          <cell r="B52" t="str">
            <v>3A0684</v>
          </cell>
          <cell r="C52"/>
          <cell r="D52"/>
          <cell r="E52" t="str">
            <v>CON</v>
          </cell>
        </row>
        <row r="53">
          <cell r="B53" t="str">
            <v>3A0685</v>
          </cell>
          <cell r="C53"/>
          <cell r="D53"/>
          <cell r="E53" t="str">
            <v>CON</v>
          </cell>
        </row>
        <row r="54">
          <cell r="B54" t="str">
            <v>3A0713</v>
          </cell>
          <cell r="C54"/>
          <cell r="D54"/>
          <cell r="E54" t="str">
            <v>CON</v>
          </cell>
        </row>
        <row r="55">
          <cell r="B55" t="str">
            <v>3A0705</v>
          </cell>
          <cell r="C55"/>
          <cell r="D55"/>
          <cell r="E55" t="str">
            <v>CON</v>
          </cell>
        </row>
        <row r="56">
          <cell r="B56" t="str">
            <v>3A0706</v>
          </cell>
          <cell r="C56"/>
          <cell r="D56"/>
          <cell r="E56" t="str">
            <v>CON</v>
          </cell>
        </row>
        <row r="57">
          <cell r="B57" t="str">
            <v>3A0690</v>
          </cell>
          <cell r="C57"/>
          <cell r="D57"/>
          <cell r="E57" t="str">
            <v>Benign Survivor</v>
          </cell>
        </row>
        <row r="58">
          <cell r="B58" t="str">
            <v>3A0691</v>
          </cell>
          <cell r="C58"/>
          <cell r="D58"/>
          <cell r="E58" t="str">
            <v>CON</v>
          </cell>
        </row>
        <row r="59">
          <cell r="B59" t="str">
            <v>3A0707</v>
          </cell>
          <cell r="C59"/>
          <cell r="D59"/>
          <cell r="E59" t="str">
            <v>CON</v>
          </cell>
        </row>
        <row r="60">
          <cell r="B60" t="str">
            <v>3A0708</v>
          </cell>
          <cell r="C60"/>
          <cell r="D60"/>
          <cell r="E60" t="str">
            <v>CON</v>
          </cell>
        </row>
        <row r="61">
          <cell r="B61" t="str">
            <v>3A0709</v>
          </cell>
          <cell r="C61"/>
          <cell r="D61"/>
          <cell r="E61" t="str">
            <v>CON</v>
          </cell>
        </row>
        <row r="62">
          <cell r="B62" t="str">
            <v>3A0710</v>
          </cell>
          <cell r="C62"/>
          <cell r="D62"/>
          <cell r="E62" t="str">
            <v>CON</v>
          </cell>
        </row>
        <row r="63">
          <cell r="B63" t="str">
            <v>3A0711</v>
          </cell>
          <cell r="C63"/>
          <cell r="D63"/>
          <cell r="E63" t="str">
            <v>CON</v>
          </cell>
        </row>
        <row r="64">
          <cell r="B64" t="str">
            <v>3A0712</v>
          </cell>
          <cell r="C64"/>
          <cell r="D64"/>
          <cell r="E64" t="str">
            <v>CON</v>
          </cell>
        </row>
        <row r="65">
          <cell r="B65" t="str">
            <v>3A0714</v>
          </cell>
          <cell r="C65"/>
          <cell r="D65"/>
          <cell r="E65" t="str">
            <v>CON</v>
          </cell>
        </row>
        <row r="66">
          <cell r="B66" t="str">
            <v>3A0716</v>
          </cell>
          <cell r="C66"/>
          <cell r="D66"/>
          <cell r="E66" t="str">
            <v>CON</v>
          </cell>
        </row>
        <row r="67">
          <cell r="B67" t="str">
            <v>3A0717</v>
          </cell>
          <cell r="C67"/>
          <cell r="D67"/>
          <cell r="E67" t="str">
            <v>CON</v>
          </cell>
        </row>
        <row r="68">
          <cell r="B68" t="str">
            <v>3A0721</v>
          </cell>
          <cell r="C68"/>
          <cell r="D68"/>
          <cell r="E68" t="str">
            <v>CS</v>
          </cell>
        </row>
        <row r="69">
          <cell r="B69" t="str">
            <v>3A0715</v>
          </cell>
          <cell r="C69"/>
          <cell r="D69"/>
          <cell r="E69" t="str">
            <v>CON</v>
          </cell>
        </row>
        <row r="70">
          <cell r="B70" t="str">
            <v>3A0718</v>
          </cell>
          <cell r="C70"/>
          <cell r="D70"/>
          <cell r="E70" t="str">
            <v>CON</v>
          </cell>
        </row>
        <row r="71">
          <cell r="B71" t="str">
            <v>3A0722</v>
          </cell>
          <cell r="C71"/>
          <cell r="D71"/>
          <cell r="E71" t="str">
            <v>CON</v>
          </cell>
        </row>
        <row r="72">
          <cell r="B72" t="str">
            <v>3A0851</v>
          </cell>
          <cell r="C72"/>
          <cell r="D72"/>
          <cell r="E72" t="str">
            <v>CON</v>
          </cell>
        </row>
        <row r="73">
          <cell r="B73" t="str">
            <v>3A0725</v>
          </cell>
          <cell r="C73"/>
          <cell r="D73"/>
          <cell r="E73" t="str">
            <v>CON</v>
          </cell>
        </row>
        <row r="74">
          <cell r="B74" t="str">
            <v>3A0726</v>
          </cell>
          <cell r="C74"/>
          <cell r="D74"/>
          <cell r="E74" t="str">
            <v>CON</v>
          </cell>
        </row>
        <row r="75">
          <cell r="B75" t="str">
            <v>3A0740</v>
          </cell>
          <cell r="C75"/>
          <cell r="D75"/>
          <cell r="E75" t="str">
            <v>COT</v>
          </cell>
        </row>
        <row r="76">
          <cell r="B76" t="str">
            <v>3A1091</v>
          </cell>
          <cell r="C76"/>
          <cell r="D76"/>
          <cell r="E76" t="str">
            <v>CON</v>
          </cell>
        </row>
        <row r="77">
          <cell r="B77" t="str">
            <v>3A0833</v>
          </cell>
          <cell r="C77"/>
          <cell r="D77"/>
          <cell r="E77" t="str">
            <v>CON</v>
          </cell>
        </row>
        <row r="78">
          <cell r="B78" t="str">
            <v>3A0834</v>
          </cell>
          <cell r="C78"/>
          <cell r="D78"/>
          <cell r="E78" t="str">
            <v>CON</v>
          </cell>
        </row>
        <row r="79">
          <cell r="B79" t="str">
            <v>3A1092</v>
          </cell>
          <cell r="C79"/>
          <cell r="D79"/>
          <cell r="E79" t="str">
            <v>CON</v>
          </cell>
        </row>
        <row r="80">
          <cell r="B80" t="str">
            <v>3A0837</v>
          </cell>
          <cell r="C80"/>
          <cell r="D80"/>
          <cell r="E80" t="str">
            <v>CON</v>
          </cell>
        </row>
        <row r="81">
          <cell r="B81" t="str">
            <v>3A0853</v>
          </cell>
          <cell r="C81"/>
          <cell r="D81"/>
          <cell r="E81" t="str">
            <v>CON</v>
          </cell>
        </row>
        <row r="82">
          <cell r="B82" t="str">
            <v>3A1168</v>
          </cell>
          <cell r="C82"/>
          <cell r="D82"/>
          <cell r="E82" t="str">
            <v>COT</v>
          </cell>
        </row>
        <row r="83">
          <cell r="B83" t="str">
            <v>3A0855</v>
          </cell>
          <cell r="C83"/>
          <cell r="D83"/>
          <cell r="E83" t="str">
            <v>CON</v>
          </cell>
        </row>
        <row r="84">
          <cell r="B84" t="str">
            <v>3A0852</v>
          </cell>
          <cell r="C84"/>
          <cell r="D84"/>
          <cell r="E84" t="str">
            <v>CON</v>
          </cell>
        </row>
        <row r="85">
          <cell r="B85" t="str">
            <v>3A0875</v>
          </cell>
          <cell r="C85"/>
          <cell r="D85"/>
          <cell r="E85" t="str">
            <v>CON</v>
          </cell>
        </row>
        <row r="86">
          <cell r="B86" t="str">
            <v>3A0882</v>
          </cell>
          <cell r="C86"/>
          <cell r="D86"/>
          <cell r="E86" t="str">
            <v>CON</v>
          </cell>
        </row>
        <row r="87">
          <cell r="B87" t="str">
            <v>3A1069</v>
          </cell>
          <cell r="C87"/>
          <cell r="D87"/>
          <cell r="E87" t="str">
            <v>CON</v>
          </cell>
        </row>
        <row r="88">
          <cell r="B88" t="str">
            <v>3A1273</v>
          </cell>
          <cell r="C88"/>
          <cell r="D88"/>
          <cell r="E88" t="str">
            <v>CON</v>
          </cell>
        </row>
        <row r="89">
          <cell r="B89">
            <v>426</v>
          </cell>
          <cell r="C89" t="str">
            <v>1A0428</v>
          </cell>
          <cell r="D89"/>
          <cell r="E89" t="str">
            <v>CON</v>
          </cell>
        </row>
        <row r="90">
          <cell r="B90">
            <v>427</v>
          </cell>
          <cell r="C90" t="str">
            <v>1A0429</v>
          </cell>
          <cell r="D90"/>
          <cell r="E90" t="str">
            <v>COT</v>
          </cell>
        </row>
        <row r="91">
          <cell r="B91">
            <v>429</v>
          </cell>
          <cell r="C91" t="str">
            <v>1A0431</v>
          </cell>
          <cell r="D91"/>
          <cell r="E91" t="str">
            <v>COT</v>
          </cell>
        </row>
        <row r="92">
          <cell r="B92">
            <v>430</v>
          </cell>
          <cell r="C92" t="str">
            <v>1A0432</v>
          </cell>
          <cell r="D92"/>
          <cell r="E92" t="str">
            <v>CON</v>
          </cell>
        </row>
        <row r="93">
          <cell r="B93">
            <v>431</v>
          </cell>
          <cell r="C93" t="str">
            <v>1A0433</v>
          </cell>
          <cell r="D93"/>
          <cell r="E93" t="str">
            <v>CON</v>
          </cell>
        </row>
        <row r="94">
          <cell r="B94">
            <v>433</v>
          </cell>
          <cell r="C94" t="str">
            <v>1A0435</v>
          </cell>
          <cell r="D94"/>
          <cell r="E94" t="str">
            <v>Unavailable</v>
          </cell>
        </row>
        <row r="95">
          <cell r="B95">
            <v>435</v>
          </cell>
          <cell r="C95" t="str">
            <v>1A0437</v>
          </cell>
          <cell r="D95"/>
          <cell r="E95" t="str">
            <v>COT</v>
          </cell>
        </row>
        <row r="96">
          <cell r="B96">
            <v>444</v>
          </cell>
          <cell r="C96" t="str">
            <v>1A0446</v>
          </cell>
          <cell r="D96"/>
          <cell r="E96" t="str">
            <v>COT</v>
          </cell>
        </row>
        <row r="97">
          <cell r="B97">
            <v>448</v>
          </cell>
          <cell r="C97" t="str">
            <v>1A0450</v>
          </cell>
          <cell r="D97"/>
          <cell r="E97" t="str">
            <v>COT</v>
          </cell>
        </row>
        <row r="98">
          <cell r="B98">
            <v>449</v>
          </cell>
          <cell r="C98" t="str">
            <v>1A0451</v>
          </cell>
          <cell r="D98"/>
          <cell r="E98" t="str">
            <v>COT</v>
          </cell>
        </row>
        <row r="99">
          <cell r="B99">
            <v>450</v>
          </cell>
          <cell r="C99" t="str">
            <v>1A0452</v>
          </cell>
          <cell r="D99"/>
          <cell r="E99" t="str">
            <v>CR COT</v>
          </cell>
        </row>
        <row r="100">
          <cell r="B100">
            <v>459</v>
          </cell>
          <cell r="C100" t="str">
            <v>1A0462</v>
          </cell>
          <cell r="D100"/>
          <cell r="E100" t="str">
            <v>CR COT</v>
          </cell>
        </row>
        <row r="101">
          <cell r="B101">
            <v>460</v>
          </cell>
          <cell r="C101" t="str">
            <v>1A0463</v>
          </cell>
          <cell r="D101"/>
          <cell r="E101" t="str">
            <v>CTN</v>
          </cell>
        </row>
        <row r="102">
          <cell r="B102">
            <v>461</v>
          </cell>
          <cell r="C102" t="str">
            <v>1A0464</v>
          </cell>
          <cell r="D102"/>
          <cell r="E102" t="str">
            <v>COT</v>
          </cell>
        </row>
        <row r="103">
          <cell r="B103">
            <v>462</v>
          </cell>
          <cell r="C103" t="str">
            <v>1A0465</v>
          </cell>
          <cell r="D103"/>
          <cell r="E103" t="str">
            <v>COT</v>
          </cell>
        </row>
        <row r="104">
          <cell r="B104">
            <v>464</v>
          </cell>
          <cell r="C104" t="str">
            <v>1A0467</v>
          </cell>
          <cell r="D104"/>
          <cell r="E104" t="str">
            <v>CTN</v>
          </cell>
        </row>
        <row r="105">
          <cell r="B105">
            <v>465</v>
          </cell>
          <cell r="C105" t="str">
            <v>1A0468</v>
          </cell>
          <cell r="D105"/>
          <cell r="E105" t="str">
            <v>COT</v>
          </cell>
        </row>
        <row r="106">
          <cell r="B106">
            <v>466</v>
          </cell>
          <cell r="C106" t="str">
            <v>1A0469</v>
          </cell>
          <cell r="D106"/>
          <cell r="E106" t="str">
            <v>COT</v>
          </cell>
        </row>
        <row r="107">
          <cell r="B107">
            <v>467</v>
          </cell>
          <cell r="C107" t="str">
            <v>1A0470</v>
          </cell>
          <cell r="D107"/>
          <cell r="E107" t="str">
            <v>CR CTN</v>
          </cell>
        </row>
        <row r="108">
          <cell r="B108">
            <v>468</v>
          </cell>
          <cell r="C108" t="str">
            <v>1A0471</v>
          </cell>
          <cell r="D108"/>
          <cell r="E108" t="str">
            <v>COT</v>
          </cell>
        </row>
        <row r="109">
          <cell r="B109">
            <v>469</v>
          </cell>
          <cell r="C109" t="str">
            <v>1A0472</v>
          </cell>
          <cell r="D109"/>
          <cell r="E109" t="str">
            <v>CTN</v>
          </cell>
        </row>
        <row r="110">
          <cell r="B110">
            <v>472</v>
          </cell>
          <cell r="C110" t="str">
            <v>1A0475</v>
          </cell>
          <cell r="D110"/>
          <cell r="E110" t="str">
            <v>COT</v>
          </cell>
        </row>
        <row r="111">
          <cell r="B111">
            <v>474</v>
          </cell>
          <cell r="C111" t="str">
            <v>1A0477</v>
          </cell>
          <cell r="D111"/>
          <cell r="E111" t="str">
            <v>COT</v>
          </cell>
        </row>
        <row r="112">
          <cell r="B112">
            <v>40123494</v>
          </cell>
          <cell r="C112" t="str">
            <v>2A0008</v>
          </cell>
          <cell r="D112"/>
          <cell r="E112" t="str">
            <v>CTN</v>
          </cell>
        </row>
        <row r="113">
          <cell r="B113">
            <v>50123496</v>
          </cell>
          <cell r="C113" t="str">
            <v>2A0010</v>
          </cell>
          <cell r="D113"/>
          <cell r="E113" t="str">
            <v>COT</v>
          </cell>
        </row>
        <row r="114">
          <cell r="B114">
            <v>60123507</v>
          </cell>
          <cell r="C114" t="str">
            <v>2A0021</v>
          </cell>
          <cell r="D114"/>
          <cell r="E114" t="str">
            <v>CTN</v>
          </cell>
        </row>
        <row r="115">
          <cell r="B115">
            <v>90123513</v>
          </cell>
          <cell r="C115" t="str">
            <v>2A0029</v>
          </cell>
          <cell r="D115"/>
          <cell r="E115" t="str">
            <v>CON</v>
          </cell>
        </row>
        <row r="116">
          <cell r="B116">
            <v>120123552</v>
          </cell>
          <cell r="C116" t="str">
            <v>2A0070</v>
          </cell>
          <cell r="D116"/>
          <cell r="E116" t="str">
            <v>CTN</v>
          </cell>
        </row>
        <row r="117">
          <cell r="B117" t="str">
            <v>256 R1</v>
          </cell>
          <cell r="C117" t="str">
            <v>1A0461</v>
          </cell>
          <cell r="D117"/>
          <cell r="E117" t="str">
            <v>CON</v>
          </cell>
        </row>
        <row r="118">
          <cell r="B118" t="str">
            <v>270922205 R2</v>
          </cell>
          <cell r="C118" t="str">
            <v>N</v>
          </cell>
          <cell r="D118"/>
          <cell r="E118" t="str">
            <v>Check SID. Sample does not exist</v>
          </cell>
        </row>
        <row r="119">
          <cell r="B119" t="str">
            <v>2A0355</v>
          </cell>
          <cell r="C119"/>
          <cell r="D119"/>
          <cell r="E119" t="str">
            <v>COT</v>
          </cell>
        </row>
        <row r="120">
          <cell r="B120" t="str">
            <v>2A0356</v>
          </cell>
          <cell r="C120"/>
          <cell r="D120"/>
          <cell r="E120" t="str">
            <v>COT</v>
          </cell>
        </row>
        <row r="121">
          <cell r="B121" t="str">
            <v>2A0370</v>
          </cell>
          <cell r="C121"/>
          <cell r="D121"/>
          <cell r="E121" t="str">
            <v>CS</v>
          </cell>
        </row>
        <row r="122">
          <cell r="B122" t="str">
            <v>2A0371</v>
          </cell>
          <cell r="C122"/>
          <cell r="D122"/>
          <cell r="E122" t="str">
            <v>COT</v>
          </cell>
        </row>
        <row r="123">
          <cell r="B123" t="str">
            <v>2A0379</v>
          </cell>
          <cell r="C123"/>
          <cell r="D123"/>
          <cell r="E123" t="str">
            <v>COT</v>
          </cell>
        </row>
        <row r="124">
          <cell r="B124" t="str">
            <v>2A0380</v>
          </cell>
          <cell r="C124"/>
          <cell r="D124"/>
          <cell r="E124" t="str">
            <v>COT</v>
          </cell>
        </row>
        <row r="125">
          <cell r="B125" t="str">
            <v>2A0388</v>
          </cell>
          <cell r="C125"/>
          <cell r="D125"/>
          <cell r="E125" t="str">
            <v>CTN</v>
          </cell>
        </row>
        <row r="126">
          <cell r="B126" t="str">
            <v>2A0389</v>
          </cell>
          <cell r="C126"/>
          <cell r="D126"/>
          <cell r="E126" t="str">
            <v>COT</v>
          </cell>
        </row>
        <row r="127">
          <cell r="B127" t="str">
            <v>2A0390</v>
          </cell>
          <cell r="C127"/>
          <cell r="D127"/>
          <cell r="E127" t="str">
            <v>CTN</v>
          </cell>
        </row>
        <row r="128">
          <cell r="B128" t="str">
            <v>2A0396</v>
          </cell>
          <cell r="C128"/>
          <cell r="D128"/>
          <cell r="E128" t="str">
            <v>CTN</v>
          </cell>
        </row>
        <row r="129">
          <cell r="B129" t="str">
            <v>2A0397</v>
          </cell>
          <cell r="C129"/>
          <cell r="D129"/>
          <cell r="E129" t="str">
            <v>CTN</v>
          </cell>
        </row>
        <row r="130">
          <cell r="B130" t="str">
            <v>2A0695</v>
          </cell>
          <cell r="C130"/>
          <cell r="D130"/>
          <cell r="E130" t="str">
            <v>CON</v>
          </cell>
        </row>
        <row r="131">
          <cell r="B131" t="str">
            <v>2A0728</v>
          </cell>
          <cell r="C131"/>
          <cell r="D131"/>
          <cell r="E131" t="str">
            <v>CON</v>
          </cell>
        </row>
        <row r="132">
          <cell r="B132" t="str">
            <v>3A0672</v>
          </cell>
          <cell r="C132"/>
          <cell r="D132"/>
          <cell r="E132" t="str">
            <v>CON</v>
          </cell>
        </row>
        <row r="133">
          <cell r="B133" t="str">
            <v>3A1201</v>
          </cell>
          <cell r="C133"/>
          <cell r="D133"/>
          <cell r="E133" t="str">
            <v>CON</v>
          </cell>
        </row>
        <row r="134">
          <cell r="B134" t="str">
            <v>3A1311</v>
          </cell>
          <cell r="C134"/>
          <cell r="D134"/>
          <cell r="E134" t="str">
            <v>CON</v>
          </cell>
        </row>
        <row r="135">
          <cell r="B135" t="str">
            <v>3A1312</v>
          </cell>
          <cell r="C135"/>
          <cell r="D135"/>
          <cell r="E135" t="str">
            <v>CON</v>
          </cell>
        </row>
        <row r="136">
          <cell r="B136" t="str">
            <v>3A1313</v>
          </cell>
          <cell r="C136"/>
          <cell r="D136"/>
          <cell r="E136" t="str">
            <v>CON</v>
          </cell>
        </row>
        <row r="137">
          <cell r="B137" t="str">
            <v>3A1314</v>
          </cell>
          <cell r="C137"/>
          <cell r="D137"/>
          <cell r="E137" t="str">
            <v>CON</v>
          </cell>
        </row>
        <row r="138">
          <cell r="B138" t="str">
            <v>3A1315</v>
          </cell>
          <cell r="C138"/>
          <cell r="D138"/>
          <cell r="E138" t="str">
            <v>CON</v>
          </cell>
        </row>
        <row r="139">
          <cell r="B139" t="str">
            <v>3A1316</v>
          </cell>
          <cell r="C139"/>
          <cell r="D139"/>
          <cell r="E139" t="str">
            <v>CON</v>
          </cell>
        </row>
        <row r="140">
          <cell r="B140" t="str">
            <v>3A1317</v>
          </cell>
          <cell r="C140"/>
          <cell r="D140"/>
          <cell r="E140" t="str">
            <v>CON</v>
          </cell>
        </row>
        <row r="141">
          <cell r="B141" t="str">
            <v>3A1318</v>
          </cell>
          <cell r="C141"/>
          <cell r="D141"/>
          <cell r="E141" t="str">
            <v>CON</v>
          </cell>
        </row>
        <row r="142">
          <cell r="B142" t="str">
            <v>3A1324</v>
          </cell>
          <cell r="C142"/>
          <cell r="D142"/>
          <cell r="E142" t="str">
            <v>CON</v>
          </cell>
        </row>
        <row r="143">
          <cell r="B143" t="str">
            <v>3A1326</v>
          </cell>
          <cell r="C143"/>
          <cell r="D143"/>
          <cell r="E143" t="str">
            <v>CON</v>
          </cell>
        </row>
        <row r="144">
          <cell r="B144" t="str">
            <v>3A1327</v>
          </cell>
          <cell r="C144"/>
          <cell r="D144"/>
          <cell r="E144" t="str">
            <v>COT</v>
          </cell>
        </row>
        <row r="145">
          <cell r="B145" t="str">
            <v>3A1331</v>
          </cell>
          <cell r="C145"/>
          <cell r="D145"/>
          <cell r="E145" t="str">
            <v>CON</v>
          </cell>
        </row>
        <row r="146">
          <cell r="B146" t="str">
            <v>3A1332</v>
          </cell>
          <cell r="C146"/>
          <cell r="D146"/>
          <cell r="E146" t="str">
            <v>CON</v>
          </cell>
        </row>
        <row r="147">
          <cell r="B147" t="str">
            <v>3A1333</v>
          </cell>
          <cell r="C147"/>
          <cell r="D147"/>
          <cell r="E147" t="str">
            <v>CON</v>
          </cell>
        </row>
        <row r="148">
          <cell r="B148" t="str">
            <v>3A1334</v>
          </cell>
          <cell r="C148"/>
          <cell r="D148"/>
          <cell r="E148" t="str">
            <v>CON</v>
          </cell>
        </row>
        <row r="149">
          <cell r="B149" t="str">
            <v>3A1335</v>
          </cell>
          <cell r="C149"/>
          <cell r="D149"/>
          <cell r="E149" t="str">
            <v>CON</v>
          </cell>
        </row>
        <row r="150">
          <cell r="B150" t="str">
            <v>3A1336</v>
          </cell>
          <cell r="C150"/>
          <cell r="D150"/>
          <cell r="E150" t="str">
            <v>CON</v>
          </cell>
        </row>
        <row r="151">
          <cell r="B151" t="str">
            <v>3A1337</v>
          </cell>
          <cell r="C151"/>
          <cell r="D151"/>
          <cell r="E151" t="str">
            <v>CON</v>
          </cell>
        </row>
        <row r="152">
          <cell r="B152" t="str">
            <v>3A1338</v>
          </cell>
          <cell r="C152"/>
          <cell r="D152"/>
          <cell r="E152" t="str">
            <v>CON</v>
          </cell>
        </row>
        <row r="153">
          <cell r="B153" t="str">
            <v>3A1344</v>
          </cell>
          <cell r="C153"/>
          <cell r="D153"/>
          <cell r="E153" t="str">
            <v>CON</v>
          </cell>
        </row>
        <row r="154">
          <cell r="B154" t="str">
            <v>3A1345</v>
          </cell>
          <cell r="C154"/>
          <cell r="D154"/>
          <cell r="E154" t="str">
            <v>CON</v>
          </cell>
        </row>
        <row r="155">
          <cell r="B155" t="str">
            <v>3A1347</v>
          </cell>
          <cell r="C155"/>
          <cell r="D155"/>
          <cell r="E155" t="str">
            <v>CON</v>
          </cell>
        </row>
        <row r="156">
          <cell r="B156" t="str">
            <v>3A1350</v>
          </cell>
          <cell r="C156"/>
          <cell r="D156"/>
          <cell r="E156" t="str">
            <v>CON</v>
          </cell>
        </row>
        <row r="157">
          <cell r="B157" t="str">
            <v>4A0003</v>
          </cell>
          <cell r="C157"/>
          <cell r="D157"/>
          <cell r="E157" t="str">
            <v>CON</v>
          </cell>
        </row>
        <row r="158">
          <cell r="B158" t="str">
            <v>4A0007</v>
          </cell>
          <cell r="C158"/>
          <cell r="D158"/>
          <cell r="E158" t="str">
            <v>CTN</v>
          </cell>
        </row>
        <row r="159">
          <cell r="B159" t="str">
            <v>4A0010</v>
          </cell>
          <cell r="C159"/>
          <cell r="D159"/>
          <cell r="E159" t="str">
            <v>CON</v>
          </cell>
        </row>
        <row r="160">
          <cell r="B160" t="str">
            <v>4A0012</v>
          </cell>
          <cell r="C160"/>
          <cell r="D160"/>
          <cell r="E160" t="str">
            <v>CON</v>
          </cell>
        </row>
        <row r="161">
          <cell r="B161" t="str">
            <v>4A0013</v>
          </cell>
          <cell r="C161"/>
          <cell r="D161"/>
          <cell r="E161" t="str">
            <v>CON</v>
          </cell>
        </row>
        <row r="162">
          <cell r="B162" t="str">
            <v>4A0014</v>
          </cell>
          <cell r="C162"/>
          <cell r="D162"/>
          <cell r="E162" t="str">
            <v>CON</v>
          </cell>
        </row>
        <row r="163">
          <cell r="B163" t="str">
            <v>4A0015</v>
          </cell>
          <cell r="C163"/>
          <cell r="D163"/>
          <cell r="E163" t="str">
            <v>COT</v>
          </cell>
        </row>
        <row r="164">
          <cell r="B164" t="str">
            <v>4A0016</v>
          </cell>
          <cell r="C164"/>
          <cell r="D164"/>
          <cell r="E164" t="str">
            <v>CTN</v>
          </cell>
        </row>
        <row r="165">
          <cell r="B165" t="str">
            <v>4A0017</v>
          </cell>
          <cell r="C165"/>
          <cell r="D165"/>
          <cell r="E165" t="str">
            <v>CTN</v>
          </cell>
        </row>
        <row r="166">
          <cell r="B166" t="str">
            <v>4A0018</v>
          </cell>
          <cell r="C166"/>
          <cell r="D166"/>
          <cell r="E166" t="str">
            <v>CTN</v>
          </cell>
        </row>
        <row r="167">
          <cell r="B167" t="str">
            <v>4A0019</v>
          </cell>
          <cell r="C167"/>
          <cell r="D167"/>
          <cell r="E167" t="str">
            <v>CTN</v>
          </cell>
        </row>
        <row r="168">
          <cell r="B168" t="str">
            <v>4A0021</v>
          </cell>
          <cell r="C168"/>
          <cell r="D168"/>
          <cell r="E168" t="str">
            <v>CON</v>
          </cell>
        </row>
        <row r="169">
          <cell r="B169" t="str">
            <v>4A0022</v>
          </cell>
          <cell r="C169"/>
          <cell r="D169"/>
          <cell r="E169" t="str">
            <v>Benign</v>
          </cell>
        </row>
        <row r="170">
          <cell r="B170" t="str">
            <v>4A0023</v>
          </cell>
          <cell r="C170"/>
          <cell r="D170"/>
          <cell r="E170" t="str">
            <v>CON</v>
          </cell>
        </row>
        <row r="171">
          <cell r="B171" t="str">
            <v>4A0024</v>
          </cell>
          <cell r="C171"/>
          <cell r="D171"/>
          <cell r="E171" t="str">
            <v>CON</v>
          </cell>
        </row>
        <row r="172">
          <cell r="B172" t="str">
            <v>4A0025</v>
          </cell>
          <cell r="C172"/>
          <cell r="D172"/>
          <cell r="E172" t="str">
            <v>CON</v>
          </cell>
        </row>
        <row r="173">
          <cell r="B173" t="str">
            <v>4A0026</v>
          </cell>
          <cell r="C173"/>
          <cell r="D173"/>
          <cell r="E173" t="str">
            <v>CON</v>
          </cell>
        </row>
        <row r="174">
          <cell r="B174" t="str">
            <v>4A0027</v>
          </cell>
          <cell r="C174"/>
          <cell r="D174"/>
          <cell r="E174" t="str">
            <v>CON</v>
          </cell>
        </row>
        <row r="175">
          <cell r="B175" t="str">
            <v>4A0028</v>
          </cell>
          <cell r="C175"/>
          <cell r="D175"/>
          <cell r="E175" t="str">
            <v>CON</v>
          </cell>
        </row>
        <row r="176">
          <cell r="B176" t="str">
            <v>4A0029</v>
          </cell>
          <cell r="C176"/>
          <cell r="D176"/>
          <cell r="E176" t="str">
            <v>CON</v>
          </cell>
        </row>
        <row r="177">
          <cell r="B177" t="str">
            <v>4A0031</v>
          </cell>
          <cell r="C177"/>
          <cell r="D177"/>
          <cell r="E177" t="str">
            <v>CON</v>
          </cell>
        </row>
        <row r="178">
          <cell r="B178" t="str">
            <v>4A0032</v>
          </cell>
          <cell r="C178"/>
          <cell r="D178"/>
          <cell r="E178" t="str">
            <v>Benign</v>
          </cell>
        </row>
        <row r="179">
          <cell r="B179" t="str">
            <v>4A0033</v>
          </cell>
          <cell r="C179"/>
          <cell r="D179"/>
          <cell r="E179" t="str">
            <v>CON</v>
          </cell>
        </row>
        <row r="180">
          <cell r="B180" t="str">
            <v>4A0034</v>
          </cell>
          <cell r="C180"/>
          <cell r="D180"/>
          <cell r="E180" t="str">
            <v>CON</v>
          </cell>
        </row>
        <row r="181">
          <cell r="B181" t="str">
            <v>4A0035</v>
          </cell>
          <cell r="C181"/>
          <cell r="D181"/>
          <cell r="E181" t="str">
            <v>CON</v>
          </cell>
        </row>
        <row r="182">
          <cell r="B182" t="str">
            <v>4A0036</v>
          </cell>
          <cell r="C182"/>
          <cell r="D182"/>
          <cell r="E182" t="str">
            <v>CON</v>
          </cell>
        </row>
        <row r="183">
          <cell r="B183" t="str">
            <v>4A0037</v>
          </cell>
          <cell r="C183"/>
          <cell r="D183"/>
          <cell r="E183" t="str">
            <v>CON</v>
          </cell>
        </row>
        <row r="184">
          <cell r="B184" t="str">
            <v>4A0038</v>
          </cell>
          <cell r="C184"/>
          <cell r="D184"/>
          <cell r="E184" t="str">
            <v>CON</v>
          </cell>
        </row>
        <row r="185">
          <cell r="B185" t="str">
            <v>4A0039</v>
          </cell>
          <cell r="C185"/>
          <cell r="D185"/>
          <cell r="E185" t="str">
            <v>CON</v>
          </cell>
        </row>
        <row r="186">
          <cell r="B186" t="str">
            <v>4A0040</v>
          </cell>
          <cell r="C186"/>
          <cell r="D186"/>
          <cell r="E186" t="str">
            <v>CON</v>
          </cell>
        </row>
        <row r="187">
          <cell r="B187" t="str">
            <v>4A0041</v>
          </cell>
          <cell r="C187"/>
          <cell r="D187"/>
          <cell r="E187" t="str">
            <v>CON</v>
          </cell>
        </row>
        <row r="188">
          <cell r="B188" t="str">
            <v>4A0042</v>
          </cell>
          <cell r="C188"/>
          <cell r="D188"/>
          <cell r="E188" t="str">
            <v>CON</v>
          </cell>
        </row>
        <row r="189">
          <cell r="B189" t="str">
            <v>4A0043</v>
          </cell>
          <cell r="C189"/>
          <cell r="D189"/>
          <cell r="E189" t="str">
            <v>CON</v>
          </cell>
        </row>
        <row r="190">
          <cell r="B190" t="str">
            <v>4A0044</v>
          </cell>
          <cell r="C190"/>
          <cell r="D190"/>
          <cell r="E190" t="str">
            <v>CON</v>
          </cell>
        </row>
        <row r="191">
          <cell r="B191" t="str">
            <v>4A0045</v>
          </cell>
          <cell r="C191"/>
          <cell r="D191"/>
          <cell r="E191" t="str">
            <v>CON</v>
          </cell>
        </row>
        <row r="192">
          <cell r="B192" t="str">
            <v>4A0046</v>
          </cell>
          <cell r="C192"/>
          <cell r="D192"/>
          <cell r="E192" t="str">
            <v>CON</v>
          </cell>
        </row>
        <row r="193">
          <cell r="B193" t="str">
            <v>4A0047</v>
          </cell>
          <cell r="C193"/>
          <cell r="D193"/>
          <cell r="E193" t="str">
            <v>CON</v>
          </cell>
        </row>
        <row r="194">
          <cell r="B194" t="str">
            <v>4A0048</v>
          </cell>
          <cell r="C194"/>
          <cell r="D194"/>
          <cell r="E194" t="str">
            <v>CON</v>
          </cell>
        </row>
        <row r="195">
          <cell r="B195" t="str">
            <v>4A0049</v>
          </cell>
          <cell r="C195"/>
          <cell r="D195"/>
          <cell r="E195" t="str">
            <v>CON</v>
          </cell>
        </row>
        <row r="196">
          <cell r="B196" t="str">
            <v>4A0050</v>
          </cell>
          <cell r="C196"/>
          <cell r="D196"/>
          <cell r="E196" t="str">
            <v>CON</v>
          </cell>
        </row>
        <row r="197">
          <cell r="B197" t="str">
            <v>4A0080</v>
          </cell>
          <cell r="C197"/>
          <cell r="D197"/>
          <cell r="E197" t="str">
            <v>CON</v>
          </cell>
        </row>
        <row r="198">
          <cell r="B198" t="str">
            <v>4A0081</v>
          </cell>
          <cell r="C198"/>
          <cell r="D198"/>
          <cell r="E198" t="str">
            <v>CON</v>
          </cell>
        </row>
        <row r="199">
          <cell r="B199" t="str">
            <v>4A0082</v>
          </cell>
          <cell r="C199"/>
          <cell r="D199"/>
          <cell r="E199" t="str">
            <v>CON</v>
          </cell>
        </row>
        <row r="200">
          <cell r="B200" t="str">
            <v>4A0083</v>
          </cell>
          <cell r="C200"/>
          <cell r="D200"/>
          <cell r="E200" t="str">
            <v>CON</v>
          </cell>
        </row>
        <row r="201">
          <cell r="B201" t="str">
            <v>4A0085</v>
          </cell>
          <cell r="C201"/>
          <cell r="D201"/>
          <cell r="E201" t="str">
            <v>CON</v>
          </cell>
        </row>
        <row r="202">
          <cell r="B202" t="str">
            <v>4A0086</v>
          </cell>
          <cell r="C202"/>
          <cell r="D202"/>
          <cell r="E202" t="str">
            <v>CON</v>
          </cell>
        </row>
        <row r="203">
          <cell r="B203" t="str">
            <v>4A0087</v>
          </cell>
          <cell r="C203"/>
          <cell r="D203"/>
          <cell r="E203" t="str">
            <v>CON</v>
          </cell>
        </row>
        <row r="204">
          <cell r="B204" t="str">
            <v>4A0088</v>
          </cell>
          <cell r="C204"/>
          <cell r="D204"/>
          <cell r="E204" t="str">
            <v>CON</v>
          </cell>
        </row>
        <row r="205">
          <cell r="B205" t="str">
            <v>4A0090</v>
          </cell>
          <cell r="C205"/>
          <cell r="D205"/>
          <cell r="E205" t="str">
            <v>CON</v>
          </cell>
        </row>
        <row r="206">
          <cell r="B206" t="str">
            <v>4A0091</v>
          </cell>
          <cell r="C206"/>
          <cell r="D206"/>
          <cell r="E206" t="str">
            <v>CON</v>
          </cell>
        </row>
        <row r="207">
          <cell r="B207" t="str">
            <v>4A0092</v>
          </cell>
          <cell r="C207"/>
          <cell r="D207"/>
          <cell r="E207" t="str">
            <v>CON</v>
          </cell>
        </row>
        <row r="208">
          <cell r="B208" t="str">
            <v>4A0093</v>
          </cell>
          <cell r="C208"/>
          <cell r="D208"/>
          <cell r="E208" t="str">
            <v>CON</v>
          </cell>
        </row>
        <row r="209">
          <cell r="B209" t="str">
            <v>4A0094</v>
          </cell>
          <cell r="C209"/>
          <cell r="D209"/>
          <cell r="E209" t="str">
            <v>CON</v>
          </cell>
        </row>
        <row r="210">
          <cell r="B210" t="str">
            <v>4A0095</v>
          </cell>
          <cell r="C210"/>
          <cell r="D210"/>
          <cell r="E210" t="str">
            <v>CON</v>
          </cell>
        </row>
        <row r="211">
          <cell r="B211" t="str">
            <v>4A0097</v>
          </cell>
          <cell r="C211"/>
          <cell r="D211"/>
          <cell r="E211" t="str">
            <v>CON</v>
          </cell>
        </row>
        <row r="212">
          <cell r="B212" t="str">
            <v>4A0102</v>
          </cell>
          <cell r="C212"/>
          <cell r="D212"/>
          <cell r="E212" t="str">
            <v>CON</v>
          </cell>
        </row>
        <row r="213">
          <cell r="B213" t="str">
            <v>4A0119</v>
          </cell>
          <cell r="C213"/>
          <cell r="D213"/>
          <cell r="E213" t="str">
            <v>CON</v>
          </cell>
        </row>
        <row r="214">
          <cell r="B214" t="str">
            <v>4A0121</v>
          </cell>
          <cell r="C214"/>
          <cell r="D214"/>
          <cell r="E214" t="str">
            <v>CON</v>
          </cell>
        </row>
        <row r="215">
          <cell r="B215" t="str">
            <v>4A0123</v>
          </cell>
          <cell r="C215"/>
          <cell r="D215"/>
          <cell r="E215" t="str">
            <v>CON</v>
          </cell>
        </row>
        <row r="216">
          <cell r="B216" t="str">
            <v>4A0124</v>
          </cell>
          <cell r="C216"/>
          <cell r="D216"/>
          <cell r="E216" t="str">
            <v>CON</v>
          </cell>
        </row>
        <row r="217">
          <cell r="B217" t="str">
            <v>4A0125</v>
          </cell>
          <cell r="C217"/>
          <cell r="D217"/>
          <cell r="E217" t="str">
            <v>CON</v>
          </cell>
        </row>
        <row r="218">
          <cell r="B218" t="str">
            <v>4A0130</v>
          </cell>
          <cell r="C218"/>
          <cell r="D218"/>
          <cell r="E218" t="str">
            <v>CON</v>
          </cell>
        </row>
        <row r="219">
          <cell r="B219" t="str">
            <v>4A0131</v>
          </cell>
          <cell r="C219"/>
          <cell r="D219"/>
          <cell r="E219" t="str">
            <v>CON</v>
          </cell>
        </row>
        <row r="220">
          <cell r="B220" t="str">
            <v>4A0132</v>
          </cell>
          <cell r="C220"/>
          <cell r="D220"/>
          <cell r="E220" t="str">
            <v>CON</v>
          </cell>
        </row>
        <row r="221">
          <cell r="B221" t="str">
            <v>4A0133</v>
          </cell>
          <cell r="C221"/>
          <cell r="D221"/>
          <cell r="E221" t="str">
            <v>CON</v>
          </cell>
        </row>
        <row r="222">
          <cell r="B222" t="str">
            <v>4A0134</v>
          </cell>
          <cell r="C222"/>
          <cell r="D222"/>
          <cell r="E222" t="str">
            <v>CON</v>
          </cell>
        </row>
        <row r="223">
          <cell r="B223" t="str">
            <v>4A0135</v>
          </cell>
          <cell r="C223"/>
          <cell r="D223"/>
          <cell r="E223" t="str">
            <v>CON</v>
          </cell>
        </row>
        <row r="224">
          <cell r="B224" t="str">
            <v>4A0138</v>
          </cell>
          <cell r="C224"/>
          <cell r="D224"/>
          <cell r="E224" t="str">
            <v>CON</v>
          </cell>
        </row>
        <row r="225">
          <cell r="B225" t="str">
            <v>4A0140</v>
          </cell>
          <cell r="C225"/>
          <cell r="D225"/>
          <cell r="E225" t="str">
            <v>CON</v>
          </cell>
        </row>
        <row r="226">
          <cell r="B226" t="str">
            <v>4A0141</v>
          </cell>
          <cell r="C226"/>
          <cell r="D226"/>
          <cell r="E226" t="str">
            <v>CON</v>
          </cell>
        </row>
        <row r="227">
          <cell r="B227" t="str">
            <v>4A0142</v>
          </cell>
          <cell r="C227"/>
          <cell r="D227"/>
          <cell r="E227" t="str">
            <v>CON</v>
          </cell>
        </row>
        <row r="228">
          <cell r="B228" t="str">
            <v>4A0143</v>
          </cell>
          <cell r="C228"/>
          <cell r="D228"/>
          <cell r="E228" t="str">
            <v>CON</v>
          </cell>
        </row>
        <row r="229">
          <cell r="B229" t="str">
            <v>4A0144</v>
          </cell>
          <cell r="C229"/>
          <cell r="D229"/>
          <cell r="E229" t="str">
            <v>CON</v>
          </cell>
        </row>
        <row r="230">
          <cell r="B230" t="str">
            <v>4A0145</v>
          </cell>
          <cell r="C230"/>
          <cell r="D230"/>
          <cell r="E230" t="str">
            <v>CON</v>
          </cell>
        </row>
        <row r="231">
          <cell r="B231" t="str">
            <v>4A0147</v>
          </cell>
          <cell r="C231"/>
          <cell r="D231"/>
          <cell r="E231" t="str">
            <v>CON</v>
          </cell>
        </row>
        <row r="232">
          <cell r="B232" t="str">
            <v>4A0148</v>
          </cell>
          <cell r="C232"/>
          <cell r="D232"/>
          <cell r="E232" t="str">
            <v>CON</v>
          </cell>
        </row>
        <row r="233">
          <cell r="B233" t="str">
            <v>4A0154</v>
          </cell>
          <cell r="C233"/>
          <cell r="D233"/>
          <cell r="E233" t="str">
            <v>CON</v>
          </cell>
        </row>
        <row r="234">
          <cell r="B234" t="str">
            <v>4A0155</v>
          </cell>
          <cell r="C234"/>
          <cell r="D234"/>
          <cell r="E234" t="str">
            <v>Benign</v>
          </cell>
        </row>
        <row r="235">
          <cell r="B235" t="str">
            <v>4A0156</v>
          </cell>
          <cell r="C235"/>
          <cell r="D235"/>
          <cell r="E235" t="str">
            <v>CON</v>
          </cell>
        </row>
        <row r="236">
          <cell r="B236" t="str">
            <v>4A0157</v>
          </cell>
          <cell r="C236"/>
          <cell r="D236"/>
          <cell r="E236" t="str">
            <v>CON</v>
          </cell>
        </row>
        <row r="237">
          <cell r="B237" t="str">
            <v>4A0158</v>
          </cell>
          <cell r="C237"/>
          <cell r="D237"/>
          <cell r="E237" t="str">
            <v>Benign Survivor</v>
          </cell>
        </row>
        <row r="238">
          <cell r="B238" t="str">
            <v>4A0159</v>
          </cell>
          <cell r="C238"/>
          <cell r="D238"/>
          <cell r="E238" t="str">
            <v>CON</v>
          </cell>
        </row>
        <row r="239">
          <cell r="B239" t="str">
            <v>4A0161</v>
          </cell>
          <cell r="C239"/>
          <cell r="D239"/>
          <cell r="E239" t="str">
            <v>CON</v>
          </cell>
        </row>
        <row r="240">
          <cell r="B240" t="str">
            <v>4A0162</v>
          </cell>
          <cell r="C240"/>
          <cell r="D240"/>
          <cell r="E240" t="str">
            <v>CON</v>
          </cell>
        </row>
        <row r="241">
          <cell r="B241" t="str">
            <v>4A0163</v>
          </cell>
          <cell r="C241"/>
          <cell r="D241"/>
          <cell r="E241" t="str">
            <v>CON</v>
          </cell>
        </row>
        <row r="242">
          <cell r="B242" t="str">
            <v>4A0164</v>
          </cell>
          <cell r="C242"/>
          <cell r="D242"/>
          <cell r="E242" t="str">
            <v>CON</v>
          </cell>
        </row>
        <row r="243">
          <cell r="B243" t="str">
            <v>4A0165</v>
          </cell>
          <cell r="C243"/>
          <cell r="D243"/>
          <cell r="E243" t="str">
            <v>CON</v>
          </cell>
        </row>
        <row r="244">
          <cell r="B244" t="str">
            <v>4A0167</v>
          </cell>
          <cell r="C244"/>
          <cell r="D244"/>
          <cell r="E244" t="str">
            <v>CON</v>
          </cell>
        </row>
        <row r="245">
          <cell r="B245" t="str">
            <v>4A0168</v>
          </cell>
          <cell r="C245"/>
          <cell r="D245"/>
          <cell r="E245" t="str">
            <v>CON</v>
          </cell>
        </row>
        <row r="246">
          <cell r="B246" t="str">
            <v>4A0172</v>
          </cell>
          <cell r="C246"/>
          <cell r="D246"/>
          <cell r="E246" t="str">
            <v>CON</v>
          </cell>
        </row>
        <row r="247">
          <cell r="B247" t="str">
            <v>4A0173</v>
          </cell>
          <cell r="C247"/>
          <cell r="D247"/>
          <cell r="E247" t="str">
            <v>CON</v>
          </cell>
        </row>
        <row r="248">
          <cell r="B248" t="str">
            <v>4A0174</v>
          </cell>
          <cell r="C248"/>
          <cell r="D248"/>
          <cell r="E248" t="str">
            <v>CON</v>
          </cell>
        </row>
        <row r="249">
          <cell r="B249" t="str">
            <v>4A0175</v>
          </cell>
          <cell r="C249"/>
          <cell r="D249"/>
          <cell r="E249" t="str">
            <v>CON</v>
          </cell>
        </row>
        <row r="250">
          <cell r="B250" t="str">
            <v>4A0176</v>
          </cell>
          <cell r="C250"/>
          <cell r="D250"/>
          <cell r="E250" t="str">
            <v>CON</v>
          </cell>
        </row>
        <row r="251">
          <cell r="B251" t="str">
            <v>4A0177</v>
          </cell>
          <cell r="C251"/>
          <cell r="D251"/>
          <cell r="E251" t="str">
            <v>Benign Survivor</v>
          </cell>
        </row>
        <row r="252">
          <cell r="B252" t="str">
            <v>4A0178</v>
          </cell>
          <cell r="C252"/>
          <cell r="D252"/>
          <cell r="E252" t="str">
            <v>CON</v>
          </cell>
        </row>
        <row r="253">
          <cell r="B253" t="str">
            <v>4A0179</v>
          </cell>
          <cell r="C253"/>
          <cell r="D253"/>
          <cell r="E253" t="str">
            <v>CON</v>
          </cell>
        </row>
        <row r="254">
          <cell r="B254" t="str">
            <v>4A0180</v>
          </cell>
          <cell r="C254"/>
          <cell r="D254"/>
          <cell r="E254" t="str">
            <v>CON</v>
          </cell>
        </row>
        <row r="255">
          <cell r="B255" t="str">
            <v>4A0181</v>
          </cell>
          <cell r="C255"/>
          <cell r="D255"/>
          <cell r="E255" t="str">
            <v>CON</v>
          </cell>
        </row>
        <row r="256">
          <cell r="B256" t="str">
            <v>4A0182</v>
          </cell>
          <cell r="C256"/>
          <cell r="D256"/>
          <cell r="E256" t="str">
            <v>CON</v>
          </cell>
        </row>
        <row r="257">
          <cell r="B257" t="str">
            <v>4A0198</v>
          </cell>
          <cell r="C257"/>
          <cell r="D257"/>
          <cell r="E257" t="str">
            <v>CON</v>
          </cell>
        </row>
        <row r="258">
          <cell r="B258" t="str">
            <v>4A0199</v>
          </cell>
          <cell r="C258"/>
          <cell r="D258"/>
          <cell r="E258" t="str">
            <v>CON</v>
          </cell>
        </row>
        <row r="259">
          <cell r="B259" t="str">
            <v>4A0202</v>
          </cell>
          <cell r="C259"/>
          <cell r="D259"/>
          <cell r="E259" t="str">
            <v>CON</v>
          </cell>
        </row>
        <row r="260">
          <cell r="B260" t="str">
            <v>4A0209</v>
          </cell>
          <cell r="C260"/>
          <cell r="D260"/>
          <cell r="E260" t="str">
            <v>CON</v>
          </cell>
        </row>
        <row r="261">
          <cell r="B261" t="str">
            <v>4A0216</v>
          </cell>
          <cell r="C261"/>
          <cell r="D261"/>
          <cell r="E261" t="str">
            <v>CON</v>
          </cell>
        </row>
        <row r="262">
          <cell r="B262" t="str">
            <v>4A0217</v>
          </cell>
          <cell r="C262"/>
          <cell r="D262"/>
          <cell r="E262" t="str">
            <v>CON</v>
          </cell>
        </row>
        <row r="263">
          <cell r="B263" t="str">
            <v>4A0219</v>
          </cell>
          <cell r="C263"/>
          <cell r="D263"/>
          <cell r="E263" t="str">
            <v>CON</v>
          </cell>
        </row>
        <row r="264">
          <cell r="B264" t="str">
            <v>4A0220</v>
          </cell>
          <cell r="C264"/>
          <cell r="D264"/>
          <cell r="E264" t="str">
            <v>CON</v>
          </cell>
        </row>
        <row r="265">
          <cell r="B265" t="str">
            <v>4A0221</v>
          </cell>
          <cell r="C265"/>
          <cell r="D265"/>
          <cell r="E265" t="str">
            <v>CON</v>
          </cell>
        </row>
        <row r="266">
          <cell r="B266" t="str">
            <v>4A0222</v>
          </cell>
          <cell r="C266"/>
          <cell r="D266"/>
          <cell r="E266" t="str">
            <v>CON</v>
          </cell>
        </row>
        <row r="267">
          <cell r="B267" t="str">
            <v>4A0224</v>
          </cell>
          <cell r="C267"/>
          <cell r="D267"/>
          <cell r="E267" t="str">
            <v>CON</v>
          </cell>
        </row>
        <row r="268">
          <cell r="B268" t="str">
            <v>4A0226</v>
          </cell>
          <cell r="C268"/>
          <cell r="D268"/>
          <cell r="E268" t="str">
            <v>CON</v>
          </cell>
        </row>
        <row r="269">
          <cell r="B269" t="str">
            <v>4A0229</v>
          </cell>
          <cell r="C269"/>
          <cell r="D269"/>
          <cell r="E269" t="str">
            <v>CON</v>
          </cell>
        </row>
        <row r="270">
          <cell r="B270" t="str">
            <v>4A0231</v>
          </cell>
          <cell r="C270"/>
          <cell r="D270"/>
          <cell r="E270" t="str">
            <v>CON</v>
          </cell>
        </row>
        <row r="271">
          <cell r="B271" t="str">
            <v>4A0232</v>
          </cell>
          <cell r="C271"/>
          <cell r="D271"/>
          <cell r="E271" t="str">
            <v>CON</v>
          </cell>
        </row>
        <row r="272">
          <cell r="B272" t="str">
            <v>4A0236</v>
          </cell>
          <cell r="C272"/>
          <cell r="D272"/>
          <cell r="E272" t="str">
            <v>CON</v>
          </cell>
        </row>
        <row r="273">
          <cell r="B273" t="str">
            <v>4A0238</v>
          </cell>
          <cell r="C273"/>
          <cell r="D273"/>
          <cell r="E273" t="str">
            <v>CON</v>
          </cell>
        </row>
        <row r="274">
          <cell r="B274" t="str">
            <v>4A0239</v>
          </cell>
          <cell r="C274"/>
          <cell r="D274"/>
          <cell r="E274" t="str">
            <v>CON</v>
          </cell>
        </row>
        <row r="275">
          <cell r="B275" t="str">
            <v>4A0251</v>
          </cell>
          <cell r="C275"/>
          <cell r="D275"/>
          <cell r="E275" t="str">
            <v>CON</v>
          </cell>
        </row>
        <row r="276">
          <cell r="B276" t="str">
            <v>4A0252</v>
          </cell>
          <cell r="C276"/>
          <cell r="D276"/>
          <cell r="E276" t="str">
            <v>CON</v>
          </cell>
        </row>
        <row r="277">
          <cell r="B277" t="str">
            <v>4A0253</v>
          </cell>
          <cell r="C277"/>
          <cell r="D277"/>
          <cell r="E277" t="str">
            <v>CON</v>
          </cell>
        </row>
        <row r="278">
          <cell r="B278" t="str">
            <v>4A0254</v>
          </cell>
          <cell r="C278"/>
          <cell r="D278"/>
          <cell r="E278" t="str">
            <v>CON</v>
          </cell>
        </row>
        <row r="279">
          <cell r="B279" t="str">
            <v>4A0255</v>
          </cell>
          <cell r="C279"/>
          <cell r="D279"/>
          <cell r="E279" t="str">
            <v>CON</v>
          </cell>
        </row>
        <row r="280">
          <cell r="B280" t="str">
            <v>4A0256</v>
          </cell>
          <cell r="C280"/>
          <cell r="D280"/>
          <cell r="E280" t="str">
            <v>CON</v>
          </cell>
        </row>
        <row r="281">
          <cell r="B281" t="str">
            <v>4A0257</v>
          </cell>
          <cell r="C281"/>
          <cell r="D281"/>
          <cell r="E281" t="str">
            <v>CON</v>
          </cell>
        </row>
        <row r="282">
          <cell r="B282" t="str">
            <v>4A0258</v>
          </cell>
          <cell r="C282"/>
          <cell r="D282"/>
          <cell r="E282" t="str">
            <v>CON</v>
          </cell>
        </row>
        <row r="283">
          <cell r="B283" t="str">
            <v>4A0259</v>
          </cell>
          <cell r="C283"/>
          <cell r="D283"/>
          <cell r="E283" t="str">
            <v>CON</v>
          </cell>
        </row>
        <row r="284">
          <cell r="B284" t="str">
            <v>4A0290</v>
          </cell>
          <cell r="C284"/>
          <cell r="D284"/>
          <cell r="E284" t="str">
            <v>Benign</v>
          </cell>
        </row>
        <row r="285">
          <cell r="B285" t="str">
            <v xml:space="preserve">4A0295 </v>
          </cell>
          <cell r="C285"/>
          <cell r="D285"/>
          <cell r="E285" t="str">
            <v>CON</v>
          </cell>
        </row>
        <row r="286">
          <cell r="B286" t="str">
            <v>4A0297</v>
          </cell>
          <cell r="C286"/>
          <cell r="D286"/>
          <cell r="E286" t="str">
            <v>CON</v>
          </cell>
        </row>
        <row r="287">
          <cell r="B287" t="str">
            <v>4A0304</v>
          </cell>
          <cell r="C287"/>
          <cell r="D287"/>
          <cell r="E287" t="str">
            <v>CON</v>
          </cell>
        </row>
        <row r="288">
          <cell r="B288" t="str">
            <v>4A0306</v>
          </cell>
          <cell r="C288"/>
          <cell r="D288"/>
          <cell r="E288" t="str">
            <v>CON</v>
          </cell>
        </row>
        <row r="289">
          <cell r="B289" t="str">
            <v>4A0307</v>
          </cell>
          <cell r="C289"/>
          <cell r="D289"/>
          <cell r="E289" t="str">
            <v>CON</v>
          </cell>
        </row>
        <row r="290">
          <cell r="B290" t="str">
            <v>4A0308</v>
          </cell>
          <cell r="C290"/>
          <cell r="D290"/>
          <cell r="E290" t="str">
            <v>CON</v>
          </cell>
        </row>
        <row r="291">
          <cell r="B291" t="str">
            <v>4A0311</v>
          </cell>
          <cell r="C291"/>
          <cell r="D291"/>
          <cell r="E291" t="str">
            <v>CON</v>
          </cell>
        </row>
        <row r="292">
          <cell r="B292" t="str">
            <v>4A0312</v>
          </cell>
          <cell r="C292"/>
          <cell r="D292"/>
          <cell r="E292" t="str">
            <v>CON</v>
          </cell>
        </row>
        <row r="293">
          <cell r="B293" t="str">
            <v>4A0313</v>
          </cell>
          <cell r="C293"/>
          <cell r="D293"/>
          <cell r="E293" t="str">
            <v>CON</v>
          </cell>
        </row>
        <row r="294">
          <cell r="B294" t="str">
            <v>4A0314</v>
          </cell>
          <cell r="C294"/>
          <cell r="D294"/>
          <cell r="E294" t="str">
            <v>CON</v>
          </cell>
        </row>
        <row r="295">
          <cell r="B295" t="str">
            <v>4A0315</v>
          </cell>
          <cell r="C295"/>
          <cell r="D295"/>
          <cell r="E295" t="str">
            <v>CON</v>
          </cell>
        </row>
        <row r="296">
          <cell r="B296" t="str">
            <v>4A0319</v>
          </cell>
          <cell r="C296"/>
          <cell r="D296"/>
          <cell r="E296" t="str">
            <v>CON</v>
          </cell>
        </row>
        <row r="297">
          <cell r="B297" t="str">
            <v>4A0320</v>
          </cell>
          <cell r="C297"/>
          <cell r="D297"/>
          <cell r="E297" t="str">
            <v>CON</v>
          </cell>
        </row>
        <row r="298">
          <cell r="B298" t="str">
            <v>4A0321</v>
          </cell>
          <cell r="C298"/>
          <cell r="D298"/>
          <cell r="E298" t="str">
            <v>CON</v>
          </cell>
        </row>
        <row r="299">
          <cell r="B299" t="str">
            <v>4A0322</v>
          </cell>
          <cell r="C299"/>
          <cell r="D299"/>
          <cell r="E299" t="str">
            <v>CON</v>
          </cell>
        </row>
        <row r="300">
          <cell r="B300" t="str">
            <v>4A0323</v>
          </cell>
          <cell r="C300"/>
          <cell r="D300"/>
          <cell r="E300" t="str">
            <v>CON</v>
          </cell>
        </row>
        <row r="301">
          <cell r="B301" t="str">
            <v>4A0324</v>
          </cell>
          <cell r="C301"/>
          <cell r="D301"/>
          <cell r="E301" t="str">
            <v>CON</v>
          </cell>
        </row>
        <row r="302">
          <cell r="B302" t="str">
            <v>4A0325</v>
          </cell>
          <cell r="C302"/>
          <cell r="D302"/>
          <cell r="E302" t="str">
            <v>CON</v>
          </cell>
        </row>
        <row r="303">
          <cell r="B303" t="str">
            <v>4A0326</v>
          </cell>
          <cell r="C303"/>
          <cell r="D303"/>
          <cell r="E303" t="str">
            <v>CON</v>
          </cell>
        </row>
        <row r="304">
          <cell r="B304" t="str">
            <v>4A0327</v>
          </cell>
          <cell r="C304"/>
          <cell r="D304"/>
          <cell r="E304" t="str">
            <v>CON</v>
          </cell>
        </row>
        <row r="305">
          <cell r="B305" t="str">
            <v>4A0329</v>
          </cell>
          <cell r="C305"/>
          <cell r="D305"/>
          <cell r="E305" t="str">
            <v>CON</v>
          </cell>
        </row>
        <row r="306">
          <cell r="B306" t="str">
            <v>4A0334</v>
          </cell>
          <cell r="C306"/>
          <cell r="D306"/>
          <cell r="E306" t="str">
            <v>CON</v>
          </cell>
        </row>
        <row r="307">
          <cell r="B307" t="str">
            <v>4A0336</v>
          </cell>
          <cell r="C307"/>
          <cell r="D307"/>
          <cell r="E307" t="str">
            <v>CON</v>
          </cell>
        </row>
        <row r="308">
          <cell r="B308" t="str">
            <v>4A0342</v>
          </cell>
          <cell r="C308"/>
          <cell r="D308"/>
          <cell r="E308" t="str">
            <v>CON</v>
          </cell>
        </row>
        <row r="309">
          <cell r="B309" t="str">
            <v>4A0351</v>
          </cell>
          <cell r="C309"/>
          <cell r="D309"/>
          <cell r="E309" t="str">
            <v>CON</v>
          </cell>
        </row>
        <row r="310">
          <cell r="B310" t="str">
            <v>4A0354</v>
          </cell>
          <cell r="C310"/>
          <cell r="D310"/>
          <cell r="E310" t="str">
            <v>CON</v>
          </cell>
        </row>
        <row r="311">
          <cell r="B311" t="str">
            <v>4A0355</v>
          </cell>
          <cell r="C311"/>
          <cell r="D311"/>
          <cell r="E311" t="str">
            <v>CON</v>
          </cell>
        </row>
        <row r="312">
          <cell r="B312" t="str">
            <v>4A0359</v>
          </cell>
          <cell r="C312"/>
          <cell r="D312"/>
          <cell r="E312" t="str">
            <v>CON</v>
          </cell>
        </row>
        <row r="313">
          <cell r="B313" t="str">
            <v>4A0362</v>
          </cell>
          <cell r="C313"/>
          <cell r="D313"/>
          <cell r="E313" t="str">
            <v>CON</v>
          </cell>
        </row>
        <row r="314">
          <cell r="B314" t="str">
            <v>4A0363</v>
          </cell>
          <cell r="C314"/>
          <cell r="D314"/>
          <cell r="E314" t="str">
            <v>CON</v>
          </cell>
        </row>
        <row r="315">
          <cell r="B315" t="str">
            <v>4A0364</v>
          </cell>
          <cell r="C315"/>
          <cell r="D315"/>
          <cell r="E315" t="str">
            <v>CON</v>
          </cell>
        </row>
        <row r="316">
          <cell r="B316" t="str">
            <v>4A0365</v>
          </cell>
          <cell r="C316"/>
          <cell r="D316"/>
          <cell r="E316" t="str">
            <v>CON</v>
          </cell>
        </row>
        <row r="317">
          <cell r="B317" t="str">
            <v>4A0371</v>
          </cell>
          <cell r="C317"/>
          <cell r="D317"/>
          <cell r="E317" t="str">
            <v>CON</v>
          </cell>
        </row>
        <row r="318">
          <cell r="B318" t="str">
            <v>4A0385</v>
          </cell>
          <cell r="C318"/>
          <cell r="D318"/>
          <cell r="E318" t="str">
            <v>CON</v>
          </cell>
        </row>
        <row r="319">
          <cell r="B319" t="str">
            <v>4A0388</v>
          </cell>
          <cell r="C319"/>
          <cell r="D319"/>
          <cell r="E319" t="str">
            <v>Benign Survivor</v>
          </cell>
        </row>
        <row r="320">
          <cell r="B320" t="str">
            <v>4A0391</v>
          </cell>
          <cell r="C320"/>
          <cell r="D320"/>
          <cell r="E320" t="str">
            <v>CON</v>
          </cell>
        </row>
        <row r="321">
          <cell r="B321" t="str">
            <v>4A0392</v>
          </cell>
          <cell r="C321"/>
          <cell r="D321"/>
          <cell r="E321" t="str">
            <v>CON</v>
          </cell>
        </row>
        <row r="322">
          <cell r="B322" t="str">
            <v>4A0393</v>
          </cell>
          <cell r="C322"/>
          <cell r="D322"/>
          <cell r="E322" t="str">
            <v>CON</v>
          </cell>
        </row>
        <row r="323">
          <cell r="B323" t="str">
            <v>4A0400</v>
          </cell>
          <cell r="C323"/>
          <cell r="D323"/>
          <cell r="E323" t="str">
            <v>CON</v>
          </cell>
        </row>
        <row r="324">
          <cell r="B324" t="str">
            <v>4A0402</v>
          </cell>
          <cell r="C324"/>
          <cell r="D324"/>
          <cell r="E324" t="str">
            <v>CON</v>
          </cell>
        </row>
        <row r="325">
          <cell r="B325" t="str">
            <v>4A0403</v>
          </cell>
          <cell r="C325"/>
          <cell r="D325"/>
          <cell r="E325" t="str">
            <v>CON</v>
          </cell>
        </row>
        <row r="326">
          <cell r="B326" t="str">
            <v>4A0404</v>
          </cell>
          <cell r="C326"/>
          <cell r="D326"/>
          <cell r="E326" t="str">
            <v>CON</v>
          </cell>
        </row>
        <row r="327">
          <cell r="B327" t="str">
            <v>4A0410</v>
          </cell>
          <cell r="C327"/>
          <cell r="D327"/>
          <cell r="E327" t="str">
            <v>CON</v>
          </cell>
        </row>
        <row r="328">
          <cell r="B328" t="str">
            <v>4A0411</v>
          </cell>
          <cell r="C328"/>
          <cell r="D328"/>
          <cell r="E328" t="str">
            <v>CON</v>
          </cell>
        </row>
        <row r="329">
          <cell r="B329" t="str">
            <v>4A0419</v>
          </cell>
          <cell r="C329"/>
          <cell r="D329"/>
          <cell r="E329" t="str">
            <v>CON</v>
          </cell>
        </row>
        <row r="330">
          <cell r="B330" t="str">
            <v>4A0420</v>
          </cell>
          <cell r="C330"/>
          <cell r="D330"/>
          <cell r="E330" t="str">
            <v>CON</v>
          </cell>
        </row>
        <row r="331">
          <cell r="B331" t="str">
            <v>4A0421</v>
          </cell>
          <cell r="C331"/>
          <cell r="D331"/>
          <cell r="E331" t="str">
            <v>CON</v>
          </cell>
        </row>
        <row r="332">
          <cell r="B332" t="str">
            <v>4A0428</v>
          </cell>
          <cell r="C332"/>
          <cell r="D332"/>
          <cell r="E332" t="str">
            <v>CON</v>
          </cell>
        </row>
        <row r="333">
          <cell r="B333" t="str">
            <v>4A0429</v>
          </cell>
          <cell r="C333"/>
          <cell r="D333"/>
          <cell r="E333" t="str">
            <v>CON</v>
          </cell>
        </row>
        <row r="334">
          <cell r="B334" t="str">
            <v>4A0430</v>
          </cell>
          <cell r="C334"/>
          <cell r="D334"/>
          <cell r="E334" t="str">
            <v>CON</v>
          </cell>
        </row>
        <row r="335">
          <cell r="B335" t="str">
            <v>4A0431</v>
          </cell>
          <cell r="C335"/>
          <cell r="D335"/>
          <cell r="E335" t="str">
            <v>CON</v>
          </cell>
        </row>
        <row r="336">
          <cell r="B336" t="str">
            <v>4A0432</v>
          </cell>
          <cell r="C336"/>
          <cell r="D336"/>
          <cell r="E336" t="str">
            <v>CON</v>
          </cell>
        </row>
        <row r="337">
          <cell r="B337" t="str">
            <v>4A0440</v>
          </cell>
          <cell r="C337"/>
          <cell r="D337"/>
          <cell r="E337" t="str">
            <v>CON</v>
          </cell>
        </row>
        <row r="338">
          <cell r="B338" t="str">
            <v>4A0443</v>
          </cell>
          <cell r="C338"/>
          <cell r="D338"/>
          <cell r="E338" t="str">
            <v>CON</v>
          </cell>
        </row>
        <row r="339">
          <cell r="B339" t="str">
            <v>4A0444</v>
          </cell>
          <cell r="C339"/>
          <cell r="D339"/>
          <cell r="E339" t="str">
            <v>CON</v>
          </cell>
        </row>
        <row r="340">
          <cell r="B340" t="str">
            <v>4A0447</v>
          </cell>
          <cell r="C340"/>
          <cell r="D340"/>
          <cell r="E340" t="str">
            <v>CON</v>
          </cell>
        </row>
        <row r="341">
          <cell r="B341" t="str">
            <v>4A0450</v>
          </cell>
          <cell r="C341"/>
          <cell r="D341"/>
          <cell r="E341" t="str">
            <v>CS</v>
          </cell>
        </row>
        <row r="342">
          <cell r="B342" t="str">
            <v>4A0456</v>
          </cell>
          <cell r="C342"/>
          <cell r="D342"/>
          <cell r="E342" t="str">
            <v>Benign</v>
          </cell>
        </row>
        <row r="343">
          <cell r="B343" t="str">
            <v>4A0460</v>
          </cell>
          <cell r="C343"/>
          <cell r="D343"/>
          <cell r="E343" t="str">
            <v>CON</v>
          </cell>
        </row>
        <row r="344">
          <cell r="B344" t="str">
            <v>4A0461</v>
          </cell>
          <cell r="C344"/>
          <cell r="D344"/>
          <cell r="E344" t="str">
            <v>CON</v>
          </cell>
        </row>
        <row r="345">
          <cell r="B345" t="str">
            <v>4A0475</v>
          </cell>
          <cell r="C345"/>
          <cell r="D345"/>
          <cell r="E345" t="str">
            <v>COT</v>
          </cell>
        </row>
        <row r="346">
          <cell r="B346" t="str">
            <v>4A0500</v>
          </cell>
          <cell r="C346"/>
          <cell r="D346"/>
          <cell r="E346" t="str">
            <v>CON</v>
          </cell>
        </row>
        <row r="347">
          <cell r="B347" t="str">
            <v>4A0506</v>
          </cell>
          <cell r="C347"/>
          <cell r="D347"/>
          <cell r="E347" t="str">
            <v>CON</v>
          </cell>
        </row>
        <row r="348">
          <cell r="B348" t="str">
            <v>4A0511</v>
          </cell>
          <cell r="C348"/>
          <cell r="D348"/>
          <cell r="E348" t="str">
            <v>CON</v>
          </cell>
        </row>
        <row r="349">
          <cell r="B349" t="str">
            <v>4A0521</v>
          </cell>
          <cell r="C349"/>
          <cell r="D349"/>
          <cell r="E349" t="str">
            <v>Benign On Treatment</v>
          </cell>
        </row>
        <row r="350">
          <cell r="B350" t="str">
            <v>4A0525</v>
          </cell>
          <cell r="C350"/>
          <cell r="D350"/>
          <cell r="E350" t="str">
            <v>CON</v>
          </cell>
        </row>
        <row r="351">
          <cell r="B351" t="str">
            <v>4A0526</v>
          </cell>
          <cell r="C351"/>
          <cell r="D351"/>
          <cell r="E351" t="str">
            <v>CON</v>
          </cell>
        </row>
        <row r="352">
          <cell r="B352" t="str">
            <v>4A0527</v>
          </cell>
          <cell r="C352"/>
          <cell r="D352"/>
          <cell r="E352" t="str">
            <v>CON</v>
          </cell>
        </row>
        <row r="353">
          <cell r="B353" t="str">
            <v>4A0528</v>
          </cell>
          <cell r="C353"/>
          <cell r="D353"/>
          <cell r="E353" t="str">
            <v>CON</v>
          </cell>
        </row>
        <row r="354">
          <cell r="B354" t="str">
            <v>4A0529</v>
          </cell>
          <cell r="C354"/>
          <cell r="D354"/>
          <cell r="E354" t="str">
            <v>CON</v>
          </cell>
        </row>
        <row r="355">
          <cell r="B355" t="str">
            <v>4A0530</v>
          </cell>
          <cell r="C355"/>
          <cell r="D355"/>
          <cell r="E355" t="str">
            <v>CON</v>
          </cell>
        </row>
        <row r="356">
          <cell r="B356" t="str">
            <v>4A0531</v>
          </cell>
          <cell r="C356"/>
          <cell r="D356"/>
          <cell r="E356" t="str">
            <v>Benign</v>
          </cell>
        </row>
        <row r="357">
          <cell r="B357" t="str">
            <v>4A0576</v>
          </cell>
          <cell r="C357"/>
          <cell r="D357"/>
          <cell r="E357" t="str">
            <v>CON</v>
          </cell>
        </row>
        <row r="358">
          <cell r="B358" t="str">
            <v>4A0580</v>
          </cell>
          <cell r="C358"/>
          <cell r="D358"/>
          <cell r="E358" t="str">
            <v>CON</v>
          </cell>
        </row>
        <row r="359">
          <cell r="B359" t="str">
            <v>4A0581</v>
          </cell>
          <cell r="C359"/>
          <cell r="D359"/>
          <cell r="E359" t="str">
            <v>CON</v>
          </cell>
        </row>
        <row r="360">
          <cell r="B360" t="str">
            <v>4A0582</v>
          </cell>
          <cell r="C360"/>
          <cell r="D360"/>
          <cell r="E360" t="str">
            <v>CON</v>
          </cell>
        </row>
        <row r="361">
          <cell r="B361" t="str">
            <v>4A0601</v>
          </cell>
          <cell r="C361"/>
          <cell r="D361"/>
          <cell r="E361" t="str">
            <v>CON</v>
          </cell>
        </row>
        <row r="362">
          <cell r="B362" t="str">
            <v>4A0602</v>
          </cell>
          <cell r="C362"/>
          <cell r="D362"/>
          <cell r="E362" t="str">
            <v>CON</v>
          </cell>
        </row>
        <row r="363">
          <cell r="B363" t="str">
            <v>4A0607</v>
          </cell>
          <cell r="C363"/>
          <cell r="D363"/>
          <cell r="E363" t="str">
            <v>CON</v>
          </cell>
        </row>
        <row r="364">
          <cell r="B364" t="str">
            <v>4A0609</v>
          </cell>
          <cell r="C364"/>
          <cell r="D364"/>
          <cell r="E364" t="str">
            <v>CON</v>
          </cell>
        </row>
        <row r="365">
          <cell r="B365" t="str">
            <v>4A0610</v>
          </cell>
          <cell r="C365"/>
          <cell r="D365"/>
          <cell r="E365" t="str">
            <v>CON</v>
          </cell>
        </row>
        <row r="366">
          <cell r="B366" t="str">
            <v>4A0611</v>
          </cell>
          <cell r="C366"/>
          <cell r="D366"/>
          <cell r="E366" t="str">
            <v>CON</v>
          </cell>
        </row>
        <row r="367">
          <cell r="B367" t="str">
            <v>4A0612</v>
          </cell>
          <cell r="C367"/>
          <cell r="D367"/>
          <cell r="E367" t="str">
            <v>CON</v>
          </cell>
        </row>
        <row r="368">
          <cell r="B368" t="str">
            <v>4A0613</v>
          </cell>
          <cell r="C368"/>
          <cell r="D368"/>
          <cell r="E368" t="str">
            <v>CON</v>
          </cell>
        </row>
        <row r="369">
          <cell r="B369" t="str">
            <v>4A0615</v>
          </cell>
          <cell r="C369"/>
          <cell r="D369"/>
          <cell r="E369" t="str">
            <v>CON</v>
          </cell>
        </row>
        <row r="370">
          <cell r="B370" t="str">
            <v>4A0627</v>
          </cell>
          <cell r="C370"/>
          <cell r="D370"/>
          <cell r="E370" t="str">
            <v>CON</v>
          </cell>
        </row>
        <row r="371">
          <cell r="B371" t="str">
            <v>4A0628</v>
          </cell>
          <cell r="C371"/>
          <cell r="D371"/>
          <cell r="E371" t="str">
            <v>CON</v>
          </cell>
        </row>
        <row r="372">
          <cell r="B372" t="str">
            <v>4A0646</v>
          </cell>
          <cell r="C372"/>
          <cell r="D372"/>
          <cell r="E372" t="str">
            <v>CON</v>
          </cell>
        </row>
        <row r="373">
          <cell r="B373" t="str">
            <v>4A0647</v>
          </cell>
          <cell r="C373"/>
          <cell r="D373"/>
          <cell r="E373" t="str">
            <v>CON</v>
          </cell>
        </row>
        <row r="374">
          <cell r="B374" t="str">
            <v>4A0648</v>
          </cell>
          <cell r="C374"/>
          <cell r="D374"/>
          <cell r="E374" t="str">
            <v>CON</v>
          </cell>
        </row>
        <row r="375">
          <cell r="B375" t="str">
            <v>4A0649</v>
          </cell>
          <cell r="C375"/>
          <cell r="D375"/>
          <cell r="E375" t="str">
            <v>CON</v>
          </cell>
        </row>
        <row r="376">
          <cell r="B376" t="str">
            <v>4A0650</v>
          </cell>
          <cell r="C376"/>
          <cell r="D376"/>
          <cell r="E376" t="str">
            <v>CON</v>
          </cell>
        </row>
        <row r="377">
          <cell r="B377" t="str">
            <v>4A0651</v>
          </cell>
          <cell r="C377"/>
          <cell r="D377"/>
          <cell r="E377" t="str">
            <v>CON</v>
          </cell>
        </row>
        <row r="378">
          <cell r="B378" t="str">
            <v>4A0653</v>
          </cell>
          <cell r="C378"/>
          <cell r="D378"/>
          <cell r="E378" t="str">
            <v>CON</v>
          </cell>
        </row>
        <row r="379">
          <cell r="B379" t="str">
            <v>4A1015</v>
          </cell>
          <cell r="C379"/>
          <cell r="D379"/>
          <cell r="E379" t="str">
            <v>CON</v>
          </cell>
        </row>
        <row r="380">
          <cell r="B380" t="str">
            <v>4A1022</v>
          </cell>
          <cell r="C380"/>
          <cell r="D380"/>
          <cell r="E380" t="str">
            <v>CON</v>
          </cell>
        </row>
        <row r="381">
          <cell r="B381" t="str">
            <v>4A1023</v>
          </cell>
          <cell r="C381"/>
          <cell r="D381"/>
          <cell r="E381" t="str">
            <v>CON</v>
          </cell>
        </row>
        <row r="382">
          <cell r="B382" t="str">
            <v>4A1033</v>
          </cell>
          <cell r="C382"/>
          <cell r="D382"/>
          <cell r="E382" t="str">
            <v>CON</v>
          </cell>
        </row>
        <row r="383">
          <cell r="B383" t="str">
            <v>4A1044</v>
          </cell>
          <cell r="C383"/>
          <cell r="D383"/>
          <cell r="E383" t="str">
            <v>Benign</v>
          </cell>
        </row>
        <row r="384">
          <cell r="B384" t="str">
            <v>4A1052</v>
          </cell>
          <cell r="C384"/>
          <cell r="D384"/>
          <cell r="E384" t="str">
            <v>COT</v>
          </cell>
        </row>
        <row r="385">
          <cell r="B385" t="str">
            <v>4A1056</v>
          </cell>
          <cell r="C385"/>
          <cell r="D385"/>
          <cell r="E385" t="str">
            <v>CON</v>
          </cell>
        </row>
        <row r="386">
          <cell r="B386" t="str">
            <v>4A1064</v>
          </cell>
          <cell r="C386"/>
          <cell r="D386"/>
          <cell r="E386" t="str">
            <v>CON</v>
          </cell>
        </row>
        <row r="387">
          <cell r="B387" t="str">
            <v>4A1074</v>
          </cell>
          <cell r="C387"/>
          <cell r="D387"/>
          <cell r="E387" t="str">
            <v>CON</v>
          </cell>
        </row>
        <row r="388">
          <cell r="B388" t="str">
            <v>4A1075</v>
          </cell>
          <cell r="C388"/>
          <cell r="D388"/>
          <cell r="E388" t="str">
            <v>CON</v>
          </cell>
        </row>
        <row r="389">
          <cell r="B389" t="str">
            <v>4A1101</v>
          </cell>
          <cell r="C389"/>
          <cell r="D389"/>
          <cell r="E389" t="str">
            <v>CTN</v>
          </cell>
        </row>
        <row r="390">
          <cell r="B390" t="str">
            <v>4A1107</v>
          </cell>
          <cell r="C390"/>
          <cell r="D390"/>
          <cell r="E390" t="str">
            <v>CON</v>
          </cell>
        </row>
        <row r="391">
          <cell r="B391" t="str">
            <v>4A1110</v>
          </cell>
          <cell r="C391"/>
          <cell r="D391"/>
          <cell r="E391" t="str">
            <v>CON</v>
          </cell>
        </row>
        <row r="392">
          <cell r="B392" t="str">
            <v>4A1111</v>
          </cell>
          <cell r="C392"/>
          <cell r="D392"/>
          <cell r="E392" t="str">
            <v>CON</v>
          </cell>
        </row>
        <row r="393">
          <cell r="B393" t="str">
            <v>4A1112</v>
          </cell>
          <cell r="C393"/>
          <cell r="D393"/>
          <cell r="E393" t="str">
            <v>CON</v>
          </cell>
        </row>
        <row r="394">
          <cell r="B394" t="str">
            <v>4A1113</v>
          </cell>
          <cell r="C394"/>
          <cell r="D394"/>
          <cell r="E394" t="str">
            <v>CON</v>
          </cell>
        </row>
        <row r="395">
          <cell r="B395" t="str">
            <v>4A1114</v>
          </cell>
          <cell r="C395"/>
          <cell r="D395"/>
          <cell r="E395" t="str">
            <v>CON</v>
          </cell>
        </row>
        <row r="396">
          <cell r="B396" t="str">
            <v>4A1115</v>
          </cell>
          <cell r="C396"/>
          <cell r="D396"/>
          <cell r="E396" t="str">
            <v>CON</v>
          </cell>
        </row>
        <row r="397">
          <cell r="B397" t="str">
            <v>4A1118</v>
          </cell>
          <cell r="C397"/>
          <cell r="D397"/>
          <cell r="E397" t="str">
            <v>CON</v>
          </cell>
        </row>
        <row r="398">
          <cell r="B398" t="str">
            <v>4A1132</v>
          </cell>
          <cell r="C398"/>
          <cell r="D398"/>
          <cell r="E398" t="str">
            <v>CON</v>
          </cell>
        </row>
        <row r="399">
          <cell r="B399" t="str">
            <v>4A1134</v>
          </cell>
          <cell r="C399"/>
          <cell r="D399"/>
          <cell r="E399" t="str">
            <v>CON</v>
          </cell>
        </row>
        <row r="400">
          <cell r="B400" t="str">
            <v>4A1136</v>
          </cell>
          <cell r="C400"/>
          <cell r="D400"/>
          <cell r="E400" t="str">
            <v>CON</v>
          </cell>
        </row>
        <row r="401">
          <cell r="B401" t="str">
            <v>4A0020</v>
          </cell>
          <cell r="C401"/>
          <cell r="D401"/>
          <cell r="E401" t="str">
            <v>CON</v>
          </cell>
        </row>
        <row r="402">
          <cell r="B402" t="str">
            <v>4A1100</v>
          </cell>
          <cell r="C402"/>
          <cell r="D402"/>
          <cell r="E402" t="str">
            <v>CS</v>
          </cell>
        </row>
        <row r="403">
          <cell r="B403" t="str">
            <v>4A0603</v>
          </cell>
          <cell r="C403"/>
          <cell r="D403"/>
          <cell r="E403" t="str">
            <v>CON</v>
          </cell>
        </row>
        <row r="404">
          <cell r="B404" t="str">
            <v>4A0309</v>
          </cell>
          <cell r="C404"/>
          <cell r="D404"/>
          <cell r="E404" t="str">
            <v>CON</v>
          </cell>
        </row>
        <row r="405">
          <cell r="B405" t="str">
            <v>4A0084</v>
          </cell>
          <cell r="C405"/>
          <cell r="D405"/>
          <cell r="E405" t="str">
            <v>CON</v>
          </cell>
        </row>
        <row r="406">
          <cell r="B406" t="str">
            <v>4A0189</v>
          </cell>
          <cell r="C406"/>
          <cell r="D406"/>
          <cell r="E406" t="str">
            <v>CON</v>
          </cell>
        </row>
        <row r="407">
          <cell r="B407" t="str">
            <v>4A0191</v>
          </cell>
          <cell r="C407"/>
          <cell r="D407"/>
          <cell r="E407" t="str">
            <v>CON</v>
          </cell>
        </row>
        <row r="408">
          <cell r="B408" t="str">
            <v>4A0242</v>
          </cell>
          <cell r="C408"/>
          <cell r="D408"/>
          <cell r="E408" t="str">
            <v>CON</v>
          </cell>
        </row>
        <row r="409">
          <cell r="B409" t="str">
            <v>4A0246</v>
          </cell>
          <cell r="C409"/>
          <cell r="D409"/>
          <cell r="E409" t="str">
            <v>CON</v>
          </cell>
        </row>
        <row r="410">
          <cell r="B410" t="str">
            <v>4A0261</v>
          </cell>
          <cell r="C410"/>
          <cell r="D410"/>
          <cell r="E410" t="str">
            <v>CON</v>
          </cell>
        </row>
        <row r="411">
          <cell r="B411" t="str">
            <v>4A0262</v>
          </cell>
          <cell r="C411"/>
          <cell r="D411"/>
          <cell r="E411" t="str">
            <v>CON</v>
          </cell>
        </row>
        <row r="412">
          <cell r="B412" t="str">
            <v>4A0263</v>
          </cell>
          <cell r="C412"/>
          <cell r="D412"/>
          <cell r="E412" t="str">
            <v>CON</v>
          </cell>
        </row>
        <row r="413">
          <cell r="B413" t="str">
            <v>4A0296</v>
          </cell>
          <cell r="C413"/>
          <cell r="D413"/>
          <cell r="E413" t="str">
            <v>CON</v>
          </cell>
        </row>
        <row r="414">
          <cell r="B414" t="str">
            <v>4A0298</v>
          </cell>
          <cell r="C414"/>
          <cell r="D414"/>
          <cell r="E414" t="str">
            <v>CON</v>
          </cell>
        </row>
        <row r="415">
          <cell r="B415" t="str">
            <v>4A0299</v>
          </cell>
          <cell r="C415"/>
          <cell r="D415"/>
          <cell r="E415" t="str">
            <v>CON</v>
          </cell>
        </row>
        <row r="416">
          <cell r="B416" t="str">
            <v>4A0300</v>
          </cell>
          <cell r="C416"/>
          <cell r="D416"/>
          <cell r="E416" t="str">
            <v>CON</v>
          </cell>
        </row>
        <row r="417">
          <cell r="B417" t="str">
            <v>4A0310</v>
          </cell>
          <cell r="C417"/>
          <cell r="D417"/>
          <cell r="E417" t="str">
            <v>CON</v>
          </cell>
        </row>
        <row r="418">
          <cell r="B418" t="str">
            <v>4A0350</v>
          </cell>
          <cell r="C418"/>
          <cell r="D418"/>
          <cell r="E418" t="str">
            <v>CON</v>
          </cell>
        </row>
        <row r="419">
          <cell r="B419" t="str">
            <v>4A0358</v>
          </cell>
          <cell r="C419"/>
          <cell r="D419"/>
          <cell r="E419" t="str">
            <v>CON</v>
          </cell>
        </row>
        <row r="420">
          <cell r="B420" t="str">
            <v>4A0377</v>
          </cell>
          <cell r="C420"/>
          <cell r="D420"/>
          <cell r="E420" t="str">
            <v>CON</v>
          </cell>
        </row>
        <row r="421">
          <cell r="B421" t="str">
            <v>4A0381</v>
          </cell>
          <cell r="C421"/>
          <cell r="D421"/>
          <cell r="E421" t="str">
            <v>CON</v>
          </cell>
        </row>
        <row r="422">
          <cell r="B422" t="str">
            <v>4A0397</v>
          </cell>
          <cell r="C422"/>
          <cell r="D422"/>
          <cell r="E422" t="str">
            <v>CON</v>
          </cell>
        </row>
        <row r="423">
          <cell r="B423" t="str">
            <v>4A0422</v>
          </cell>
          <cell r="C423"/>
          <cell r="D423"/>
          <cell r="E423" t="str">
            <v>CON</v>
          </cell>
        </row>
        <row r="424">
          <cell r="B424" t="str">
            <v>4A0425</v>
          </cell>
          <cell r="C424"/>
          <cell r="D424"/>
          <cell r="E424" t="str">
            <v>CON</v>
          </cell>
        </row>
        <row r="425">
          <cell r="B425" t="str">
            <v>4A0426</v>
          </cell>
          <cell r="C425"/>
          <cell r="D425"/>
          <cell r="E425" t="str">
            <v>CON</v>
          </cell>
        </row>
        <row r="426">
          <cell r="B426" t="str">
            <v>4A0427</v>
          </cell>
          <cell r="C426"/>
          <cell r="D426"/>
          <cell r="E426" t="str">
            <v>CON</v>
          </cell>
        </row>
        <row r="427">
          <cell r="B427" t="str">
            <v>4A0433</v>
          </cell>
          <cell r="C427"/>
          <cell r="D427"/>
          <cell r="E427" t="str">
            <v>CON</v>
          </cell>
        </row>
        <row r="428">
          <cell r="B428" t="str">
            <v>4A0434</v>
          </cell>
          <cell r="C428"/>
          <cell r="D428"/>
          <cell r="E428" t="str">
            <v>CON</v>
          </cell>
        </row>
        <row r="429">
          <cell r="B429" t="str">
            <v>4A0436</v>
          </cell>
          <cell r="C429"/>
          <cell r="D429"/>
          <cell r="E429" t="str">
            <v>Benign meningioma</v>
          </cell>
        </row>
        <row r="430">
          <cell r="B430" t="str">
            <v>4A0437</v>
          </cell>
          <cell r="C430"/>
          <cell r="D430"/>
          <cell r="E430" t="str">
            <v>CON</v>
          </cell>
        </row>
        <row r="431">
          <cell r="B431" t="str">
            <v>4A0438</v>
          </cell>
          <cell r="C431"/>
          <cell r="D431"/>
          <cell r="E431" t="str">
            <v>CON</v>
          </cell>
        </row>
        <row r="432">
          <cell r="B432" t="str">
            <v>4A0439</v>
          </cell>
          <cell r="C432"/>
          <cell r="D432"/>
          <cell r="E432" t="str">
            <v>CON</v>
          </cell>
        </row>
        <row r="433">
          <cell r="B433" t="str">
            <v>4A0445</v>
          </cell>
          <cell r="C433"/>
          <cell r="D433"/>
          <cell r="E433" t="str">
            <v>CON</v>
          </cell>
        </row>
        <row r="434">
          <cell r="B434" t="str">
            <v>4A0457</v>
          </cell>
          <cell r="C434"/>
          <cell r="D434"/>
          <cell r="E434" t="str">
            <v>CON</v>
          </cell>
        </row>
        <row r="435">
          <cell r="B435" t="str">
            <v>4A0463</v>
          </cell>
          <cell r="C435"/>
          <cell r="D435"/>
          <cell r="E435" t="str">
            <v>CON</v>
          </cell>
        </row>
        <row r="436">
          <cell r="B436" t="str">
            <v>4A0466</v>
          </cell>
          <cell r="C436"/>
          <cell r="D436"/>
          <cell r="E436" t="str">
            <v>CON</v>
          </cell>
        </row>
        <row r="437">
          <cell r="B437" t="str">
            <v>4A0467</v>
          </cell>
          <cell r="C437"/>
          <cell r="D437"/>
          <cell r="E437" t="str">
            <v>CON</v>
          </cell>
        </row>
        <row r="438">
          <cell r="B438" t="str">
            <v>4A0468</v>
          </cell>
          <cell r="C438"/>
          <cell r="D438"/>
          <cell r="E438" t="str">
            <v>CON</v>
          </cell>
        </row>
        <row r="439">
          <cell r="B439" t="str">
            <v>4A0507</v>
          </cell>
          <cell r="C439"/>
          <cell r="D439"/>
          <cell r="E439" t="str">
            <v>CON</v>
          </cell>
        </row>
        <row r="440">
          <cell r="B440" t="str">
            <v>4A0508</v>
          </cell>
          <cell r="C440"/>
          <cell r="D440"/>
          <cell r="E440" t="str">
            <v>CON</v>
          </cell>
        </row>
        <row r="441">
          <cell r="B441" t="str">
            <v>4A0509</v>
          </cell>
          <cell r="C441"/>
          <cell r="D441"/>
          <cell r="E441" t="str">
            <v>CON</v>
          </cell>
        </row>
        <row r="442">
          <cell r="B442" t="str">
            <v>4A0516</v>
          </cell>
          <cell r="C442"/>
          <cell r="D442"/>
          <cell r="E442" t="str">
            <v>CON</v>
          </cell>
        </row>
        <row r="443">
          <cell r="B443" t="str">
            <v>4A0567</v>
          </cell>
          <cell r="C443"/>
          <cell r="D443"/>
          <cell r="E443" t="str">
            <v>CON</v>
          </cell>
        </row>
        <row r="444">
          <cell r="B444" t="str">
            <v>4A0573</v>
          </cell>
          <cell r="C444"/>
          <cell r="D444"/>
          <cell r="E444" t="str">
            <v>CON</v>
          </cell>
        </row>
        <row r="445">
          <cell r="B445" t="str">
            <v>4A0575</v>
          </cell>
          <cell r="C445"/>
          <cell r="D445"/>
          <cell r="E445" t="str">
            <v>CON</v>
          </cell>
        </row>
        <row r="446">
          <cell r="B446" t="str">
            <v>4A0583</v>
          </cell>
          <cell r="C446"/>
          <cell r="D446"/>
          <cell r="E446" t="str">
            <v>CON</v>
          </cell>
        </row>
        <row r="447">
          <cell r="B447" t="str">
            <v>4A0635</v>
          </cell>
          <cell r="C447"/>
          <cell r="D447"/>
          <cell r="E447" t="str">
            <v>CON</v>
          </cell>
        </row>
        <row r="448">
          <cell r="B448" t="str">
            <v>4A0636</v>
          </cell>
          <cell r="C448"/>
          <cell r="D448"/>
          <cell r="E448" t="str">
            <v>CON</v>
          </cell>
        </row>
        <row r="449">
          <cell r="B449" t="str">
            <v>4A0657</v>
          </cell>
          <cell r="C449"/>
          <cell r="D449"/>
          <cell r="E449" t="str">
            <v>CON</v>
          </cell>
        </row>
        <row r="450">
          <cell r="B450" t="str">
            <v>3A1259</v>
          </cell>
          <cell r="C450"/>
          <cell r="D450"/>
          <cell r="E450" t="str">
            <v>CON</v>
          </cell>
        </row>
        <row r="451">
          <cell r="B451" t="str">
            <v>3A1267</v>
          </cell>
          <cell r="C451"/>
          <cell r="D451"/>
          <cell r="E451" t="str">
            <v>CTN</v>
          </cell>
        </row>
        <row r="452">
          <cell r="B452" t="str">
            <v>3A1281</v>
          </cell>
          <cell r="C452"/>
          <cell r="D452"/>
          <cell r="E452" t="str">
            <v>Benign</v>
          </cell>
        </row>
        <row r="453">
          <cell r="B453" t="str">
            <v>3A1286</v>
          </cell>
          <cell r="C453"/>
          <cell r="D453"/>
          <cell r="E453" t="str">
            <v>CTN</v>
          </cell>
        </row>
        <row r="454">
          <cell r="B454" t="str">
            <v>3A1320</v>
          </cell>
          <cell r="C454"/>
          <cell r="D454"/>
          <cell r="E454" t="str">
            <v>CTN</v>
          </cell>
        </row>
        <row r="455">
          <cell r="B455" t="str">
            <v>3A1356</v>
          </cell>
          <cell r="C455"/>
          <cell r="D455"/>
          <cell r="E455" t="str">
            <v>CON</v>
          </cell>
        </row>
        <row r="456">
          <cell r="B456" t="str">
            <v>4A0670</v>
          </cell>
          <cell r="C456"/>
          <cell r="D456"/>
          <cell r="E456" t="str">
            <v>CON</v>
          </cell>
        </row>
        <row r="457">
          <cell r="B457" t="str">
            <v>4A0671</v>
          </cell>
          <cell r="C457"/>
          <cell r="D457"/>
          <cell r="E457" t="str">
            <v>CON</v>
          </cell>
        </row>
        <row r="458">
          <cell r="B458" t="str">
            <v>3A1274</v>
          </cell>
          <cell r="C458"/>
          <cell r="D458"/>
          <cell r="E458" t="str">
            <v>CTN</v>
          </cell>
        </row>
        <row r="459">
          <cell r="B459" t="str">
            <v>3A1279</v>
          </cell>
          <cell r="C459"/>
          <cell r="D459"/>
          <cell r="E459" t="str">
            <v>Benign</v>
          </cell>
        </row>
        <row r="460">
          <cell r="B460" t="str">
            <v>3A1322</v>
          </cell>
          <cell r="C460"/>
          <cell r="D460"/>
          <cell r="E460" t="str">
            <v>CTN</v>
          </cell>
        </row>
        <row r="461">
          <cell r="B461" t="str">
            <v>3A1340</v>
          </cell>
          <cell r="C461"/>
          <cell r="D461"/>
          <cell r="E461" t="str">
            <v>CTN</v>
          </cell>
        </row>
        <row r="462">
          <cell r="B462" t="str">
            <v>3A1354</v>
          </cell>
          <cell r="C462"/>
          <cell r="D462"/>
          <cell r="E462" t="str">
            <v>CTN</v>
          </cell>
        </row>
        <row r="463">
          <cell r="B463" t="str">
            <v>4A0672</v>
          </cell>
          <cell r="C463"/>
          <cell r="D463"/>
          <cell r="E463" t="str">
            <v>CON</v>
          </cell>
        </row>
        <row r="464">
          <cell r="B464" t="str">
            <v>4A0673</v>
          </cell>
          <cell r="C464"/>
          <cell r="D464"/>
          <cell r="E464" t="str">
            <v>CON</v>
          </cell>
        </row>
        <row r="465">
          <cell r="B465" t="str">
            <v>4A0674</v>
          </cell>
          <cell r="C465"/>
          <cell r="D465"/>
          <cell r="E465" t="str">
            <v>CON</v>
          </cell>
        </row>
        <row r="466">
          <cell r="B466" t="str">
            <v>4A0737</v>
          </cell>
          <cell r="C466"/>
          <cell r="D466"/>
          <cell r="E466" t="str">
            <v>CON</v>
          </cell>
        </row>
        <row r="467">
          <cell r="B467" t="str">
            <v>4A0745</v>
          </cell>
          <cell r="C467"/>
          <cell r="D467"/>
          <cell r="E467" t="str">
            <v>CON</v>
          </cell>
        </row>
        <row r="468">
          <cell r="B468" t="str">
            <v>4A0814</v>
          </cell>
          <cell r="C468"/>
          <cell r="D468"/>
          <cell r="E468" t="str">
            <v>CON</v>
          </cell>
        </row>
        <row r="469">
          <cell r="B469" t="str">
            <v>4A0857</v>
          </cell>
          <cell r="C469"/>
          <cell r="D469"/>
          <cell r="E469" t="str">
            <v>CON</v>
          </cell>
        </row>
        <row r="470">
          <cell r="B470" t="str">
            <v>4A0873</v>
          </cell>
          <cell r="C470"/>
          <cell r="D470"/>
          <cell r="E470" t="str">
            <v>CON</v>
          </cell>
        </row>
        <row r="471">
          <cell r="B471" t="str">
            <v>4A0882</v>
          </cell>
          <cell r="C471"/>
          <cell r="D471"/>
          <cell r="E471" t="str">
            <v>CON</v>
          </cell>
        </row>
        <row r="472">
          <cell r="B472" t="str">
            <v>4A0918</v>
          </cell>
          <cell r="C472"/>
          <cell r="D472"/>
          <cell r="E472" t="str">
            <v>CON</v>
          </cell>
        </row>
        <row r="473">
          <cell r="B473" t="str">
            <v>4A0922</v>
          </cell>
          <cell r="C473"/>
          <cell r="D473"/>
          <cell r="E473" t="str">
            <v>CON</v>
          </cell>
        </row>
        <row r="474">
          <cell r="B474" t="str">
            <v>4A0935</v>
          </cell>
          <cell r="C474"/>
          <cell r="D474"/>
          <cell r="E474" t="str">
            <v>CON</v>
          </cell>
        </row>
        <row r="475">
          <cell r="B475" t="str">
            <v>4A0963</v>
          </cell>
          <cell r="C475"/>
          <cell r="D475"/>
          <cell r="E475" t="str">
            <v>Needs confirmation</v>
          </cell>
        </row>
        <row r="476">
          <cell r="B476" t="str">
            <v>4A0778</v>
          </cell>
          <cell r="E476" t="str">
            <v>Benign</v>
          </cell>
        </row>
        <row r="479">
          <cell r="B479" t="str">
            <v>4A1152</v>
          </cell>
          <cell r="C479"/>
          <cell r="D479"/>
          <cell r="E479" t="str">
            <v>CON</v>
          </cell>
        </row>
        <row r="480">
          <cell r="B480" t="str">
            <v>4A1153</v>
          </cell>
          <cell r="C480"/>
          <cell r="D480"/>
          <cell r="E480" t="str">
            <v>CON</v>
          </cell>
        </row>
        <row r="481">
          <cell r="B481" t="str">
            <v>4A1154</v>
          </cell>
          <cell r="C481"/>
          <cell r="D481"/>
          <cell r="E481" t="str">
            <v>CON</v>
          </cell>
        </row>
        <row r="482">
          <cell r="B482" t="str">
            <v>4A1227</v>
          </cell>
          <cell r="C482"/>
          <cell r="D482"/>
          <cell r="E482" t="str">
            <v>Benign Survivor</v>
          </cell>
        </row>
        <row r="483">
          <cell r="B483" t="str">
            <v>4A1234</v>
          </cell>
          <cell r="C483"/>
          <cell r="D483"/>
          <cell r="E483" t="str">
            <v>CON</v>
          </cell>
        </row>
        <row r="484">
          <cell r="B484" t="str">
            <v>4A1338</v>
          </cell>
          <cell r="C484"/>
          <cell r="D484"/>
          <cell r="E484" t="str">
            <v>CTN</v>
          </cell>
        </row>
        <row r="485">
          <cell r="B485" t="str">
            <v>4A1339</v>
          </cell>
          <cell r="C485"/>
          <cell r="D485"/>
          <cell r="E485" t="str">
            <v>COT</v>
          </cell>
        </row>
        <row r="486">
          <cell r="B486" t="str">
            <v>4A1393</v>
          </cell>
          <cell r="C486"/>
          <cell r="D486"/>
          <cell r="E486" t="str">
            <v>CON</v>
          </cell>
        </row>
        <row r="487">
          <cell r="B487" t="str">
            <v>4A1412</v>
          </cell>
          <cell r="C487"/>
          <cell r="D487"/>
          <cell r="E487" t="str">
            <v>CON</v>
          </cell>
        </row>
        <row r="488">
          <cell r="B488" t="str">
            <v>4A1413</v>
          </cell>
          <cell r="C488"/>
          <cell r="D488"/>
          <cell r="E488" t="str">
            <v>CON</v>
          </cell>
        </row>
        <row r="489">
          <cell r="B489" t="str">
            <v>4A1433</v>
          </cell>
          <cell r="C489"/>
          <cell r="D489"/>
          <cell r="E489" t="str">
            <v>CS</v>
          </cell>
        </row>
        <row r="490">
          <cell r="B490" t="str">
            <v>4A1434</v>
          </cell>
          <cell r="C490"/>
          <cell r="D490"/>
          <cell r="E490" t="str">
            <v>CON</v>
          </cell>
        </row>
        <row r="491">
          <cell r="B491" t="str">
            <v>4A1439</v>
          </cell>
          <cell r="E491" t="str">
            <v>CON</v>
          </cell>
        </row>
        <row r="492">
          <cell r="B492" t="str">
            <v>4A1440</v>
          </cell>
          <cell r="E492" t="str">
            <v>CON</v>
          </cell>
        </row>
        <row r="493">
          <cell r="B493" t="str">
            <v>4A1441</v>
          </cell>
          <cell r="E493" t="str">
            <v>CON</v>
          </cell>
        </row>
        <row r="494">
          <cell r="B494" t="str">
            <v>4A1443</v>
          </cell>
          <cell r="E494" t="str">
            <v>CON</v>
          </cell>
        </row>
        <row r="495">
          <cell r="B495" t="str">
            <v>4A1444</v>
          </cell>
          <cell r="E495" t="str">
            <v>CON</v>
          </cell>
        </row>
        <row r="496">
          <cell r="B496" t="str">
            <v>4A1446</v>
          </cell>
          <cell r="C496"/>
          <cell r="D496"/>
          <cell r="E496" t="str">
            <v>COT</v>
          </cell>
        </row>
        <row r="497">
          <cell r="B497" t="str">
            <v>4A1451</v>
          </cell>
          <cell r="E497" t="str">
            <v>CON</v>
          </cell>
        </row>
        <row r="498">
          <cell r="B498" t="str">
            <v>4A1452</v>
          </cell>
          <cell r="E498" t="str">
            <v>CON</v>
          </cell>
        </row>
        <row r="499">
          <cell r="B499" t="str">
            <v>4A1453</v>
          </cell>
          <cell r="E499" t="str">
            <v>CON</v>
          </cell>
        </row>
        <row r="501">
          <cell r="B501" t="str">
            <v>4A1467</v>
          </cell>
          <cell r="E501" t="str">
            <v>CON</v>
          </cell>
        </row>
        <row r="502">
          <cell r="B502" t="str">
            <v>4A1469</v>
          </cell>
          <cell r="E502" t="str">
            <v>CON</v>
          </cell>
        </row>
        <row r="503">
          <cell r="B503" t="str">
            <v>4A1470</v>
          </cell>
          <cell r="E503" t="str">
            <v>CON</v>
          </cell>
        </row>
        <row r="504">
          <cell r="B504" t="str">
            <v>4A1471</v>
          </cell>
          <cell r="E504" t="str">
            <v>CON</v>
          </cell>
        </row>
        <row r="505">
          <cell r="B505" t="str">
            <v>4A1473</v>
          </cell>
          <cell r="E505" t="str">
            <v>CON</v>
          </cell>
        </row>
        <row r="506">
          <cell r="B506" t="str">
            <v>4A1474</v>
          </cell>
          <cell r="E506" t="str">
            <v>CON</v>
          </cell>
        </row>
        <row r="507">
          <cell r="B507" t="str">
            <v>4A1480</v>
          </cell>
          <cell r="E507" t="str">
            <v>CON</v>
          </cell>
        </row>
        <row r="508">
          <cell r="B508" t="str">
            <v>4A1485</v>
          </cell>
          <cell r="E508" t="str">
            <v>CON</v>
          </cell>
        </row>
        <row r="509">
          <cell r="B509" t="str">
            <v>4A1486</v>
          </cell>
          <cell r="E509" t="str">
            <v>CON</v>
          </cell>
        </row>
        <row r="510">
          <cell r="B510" t="str">
            <v>4A1487</v>
          </cell>
          <cell r="E510" t="str">
            <v>CON</v>
          </cell>
        </row>
        <row r="511">
          <cell r="B511" t="str">
            <v>4A1488</v>
          </cell>
          <cell r="E511" t="str">
            <v>CON</v>
          </cell>
        </row>
        <row r="512">
          <cell r="B512" t="str">
            <v>4A1489</v>
          </cell>
          <cell r="E512" t="str">
            <v>CON</v>
          </cell>
        </row>
        <row r="513">
          <cell r="B513" t="str">
            <v>4A1502</v>
          </cell>
          <cell r="C513"/>
          <cell r="D513"/>
          <cell r="E513" t="str">
            <v>Benign On Treatment</v>
          </cell>
        </row>
        <row r="514">
          <cell r="B514" t="str">
            <v>4A1504</v>
          </cell>
          <cell r="E514" t="str">
            <v>CON</v>
          </cell>
        </row>
        <row r="515">
          <cell r="B515" t="str">
            <v>4A1507</v>
          </cell>
          <cell r="E515" t="str">
            <v>CON</v>
          </cell>
        </row>
        <row r="516">
          <cell r="B516" t="str">
            <v>4A1508</v>
          </cell>
          <cell r="C516"/>
          <cell r="D516"/>
          <cell r="E516" t="str">
            <v>Benign</v>
          </cell>
        </row>
        <row r="517">
          <cell r="B517" t="str">
            <v>4A1513</v>
          </cell>
          <cell r="E517" t="str">
            <v>CON</v>
          </cell>
        </row>
        <row r="518">
          <cell r="B518" t="str">
            <v>4A1517</v>
          </cell>
          <cell r="E518" t="str">
            <v>CON</v>
          </cell>
        </row>
        <row r="519">
          <cell r="B519" t="str">
            <v>4A1518</v>
          </cell>
          <cell r="E519" t="str">
            <v>CON</v>
          </cell>
        </row>
        <row r="520">
          <cell r="B520" t="str">
            <v>4A1519</v>
          </cell>
          <cell r="E520" t="str">
            <v>CON</v>
          </cell>
        </row>
        <row r="521">
          <cell r="B521" t="str">
            <v>4A1520</v>
          </cell>
          <cell r="E521" t="str">
            <v>CON</v>
          </cell>
        </row>
        <row r="522">
          <cell r="B522" t="str">
            <v>4A1531</v>
          </cell>
          <cell r="E522" t="str">
            <v>CON</v>
          </cell>
        </row>
        <row r="523">
          <cell r="B523" t="str">
            <v>4A1533</v>
          </cell>
          <cell r="E523" t="str">
            <v>CON</v>
          </cell>
        </row>
        <row r="524">
          <cell r="B524" t="str">
            <v>4A1548</v>
          </cell>
          <cell r="C524"/>
          <cell r="D524"/>
          <cell r="E524" t="str">
            <v>CTN</v>
          </cell>
        </row>
        <row r="525">
          <cell r="B525" t="str">
            <v>4A1556</v>
          </cell>
          <cell r="C525"/>
          <cell r="D525"/>
          <cell r="E525" t="str">
            <v>CTN</v>
          </cell>
        </row>
        <row r="526">
          <cell r="B526" t="str">
            <v>4A1559</v>
          </cell>
          <cell r="E526" t="str">
            <v>CON</v>
          </cell>
        </row>
        <row r="527">
          <cell r="B527" t="str">
            <v>4A1560</v>
          </cell>
          <cell r="E527" t="str">
            <v>CON</v>
          </cell>
        </row>
        <row r="528">
          <cell r="B528" t="str">
            <v>4A1561</v>
          </cell>
          <cell r="E528" t="str">
            <v>CON</v>
          </cell>
        </row>
        <row r="529">
          <cell r="B529" t="str">
            <v>4A1598</v>
          </cell>
          <cell r="C529"/>
          <cell r="D529"/>
          <cell r="E529" t="str">
            <v>COT-recurrenec</v>
          </cell>
        </row>
        <row r="531">
          <cell r="B531" t="str">
            <v>4A1593</v>
          </cell>
          <cell r="C531" t="str">
            <v>seq not done</v>
          </cell>
          <cell r="E531" t="str">
            <v>Control</v>
          </cell>
        </row>
        <row r="532">
          <cell r="B532" t="str">
            <v>4A1594</v>
          </cell>
          <cell r="C532" t="str">
            <v>seq not done</v>
          </cell>
          <cell r="E532" t="str">
            <v>Control</v>
          </cell>
        </row>
        <row r="533">
          <cell r="B533" t="str">
            <v>4A1598</v>
          </cell>
          <cell r="C533"/>
          <cell r="D533"/>
          <cell r="E533" t="str">
            <v>CS</v>
          </cell>
        </row>
        <row r="534">
          <cell r="B534" t="str">
            <v>4A1599</v>
          </cell>
          <cell r="C534"/>
          <cell r="D534"/>
          <cell r="E534" t="str">
            <v>CTN?</v>
          </cell>
        </row>
        <row r="535">
          <cell r="B535" t="str">
            <v>4A1600</v>
          </cell>
          <cell r="C535"/>
          <cell r="D535"/>
          <cell r="E535" t="str">
            <v>CTN?</v>
          </cell>
        </row>
        <row r="536">
          <cell r="B536" t="str">
            <v>4A1614</v>
          </cell>
          <cell r="C536" t="str">
            <v>seq not done</v>
          </cell>
          <cell r="E536" t="str">
            <v>Control</v>
          </cell>
        </row>
        <row r="537">
          <cell r="B537" t="str">
            <v>4A1615</v>
          </cell>
          <cell r="C537" t="str">
            <v>seq not done</v>
          </cell>
          <cell r="E537" t="str">
            <v>Control</v>
          </cell>
        </row>
        <row r="538">
          <cell r="B538" t="str">
            <v>4A1617</v>
          </cell>
          <cell r="C538"/>
          <cell r="D538"/>
          <cell r="E538" t="str">
            <v>CS</v>
          </cell>
        </row>
        <row r="539">
          <cell r="B539" t="str">
            <v>4A1618</v>
          </cell>
          <cell r="C539"/>
          <cell r="D539"/>
          <cell r="E539" t="str">
            <v>CTN?</v>
          </cell>
        </row>
        <row r="540">
          <cell r="B540" t="str">
            <v>4A1635</v>
          </cell>
          <cell r="C540"/>
          <cell r="D540"/>
          <cell r="E540" t="str">
            <v>CTN</v>
          </cell>
        </row>
        <row r="541">
          <cell r="B541" t="str">
            <v>4A1643</v>
          </cell>
          <cell r="C541"/>
          <cell r="D541"/>
          <cell r="E541" t="str">
            <v>COT</v>
          </cell>
        </row>
        <row r="542">
          <cell r="B542" t="str">
            <v>4A1653</v>
          </cell>
          <cell r="C542"/>
          <cell r="D542"/>
          <cell r="E542" t="str">
            <v>CS</v>
          </cell>
        </row>
        <row r="543">
          <cell r="B543" t="str">
            <v>4A1659</v>
          </cell>
          <cell r="C543"/>
          <cell r="D543"/>
          <cell r="E543" t="str">
            <v>Benign</v>
          </cell>
        </row>
        <row r="544">
          <cell r="B544" t="str">
            <v>4A1660</v>
          </cell>
          <cell r="C544" t="str">
            <v>sent for seq</v>
          </cell>
          <cell r="D544"/>
          <cell r="E544" t="str">
            <v>Control</v>
          </cell>
        </row>
        <row r="545">
          <cell r="B545" t="str">
            <v>4A1687</v>
          </cell>
          <cell r="C545" t="str">
            <v>seq not done</v>
          </cell>
          <cell r="E545" t="str">
            <v>Control</v>
          </cell>
        </row>
        <row r="546">
          <cell r="B546" t="str">
            <v>4A1705</v>
          </cell>
          <cell r="C546"/>
          <cell r="D546"/>
          <cell r="E546" t="str">
            <v>CS</v>
          </cell>
        </row>
        <row r="547">
          <cell r="B547" t="str">
            <v>4A1728</v>
          </cell>
          <cell r="C547" t="str">
            <v>seq not done</v>
          </cell>
          <cell r="E547" t="str">
            <v>Control</v>
          </cell>
        </row>
        <row r="548">
          <cell r="B548" t="str">
            <v>4A1740</v>
          </cell>
          <cell r="C548"/>
          <cell r="D548"/>
          <cell r="E548" t="str">
            <v>CTN</v>
          </cell>
        </row>
        <row r="549">
          <cell r="B549" t="str">
            <v>4A1743</v>
          </cell>
          <cell r="C549" t="str">
            <v>seq not done</v>
          </cell>
          <cell r="E549" t="str">
            <v>Control</v>
          </cell>
        </row>
        <row r="550">
          <cell r="B550" t="str">
            <v>4A1787</v>
          </cell>
          <cell r="C550" t="str">
            <v>seq not done</v>
          </cell>
          <cell r="E550" t="str">
            <v>Control</v>
          </cell>
        </row>
        <row r="551">
          <cell r="B551" t="str">
            <v>4A1788</v>
          </cell>
          <cell r="C551" t="str">
            <v>seq not done</v>
          </cell>
          <cell r="E551" t="str">
            <v>Control</v>
          </cell>
        </row>
        <row r="552">
          <cell r="B552" t="str">
            <v>4A1789</v>
          </cell>
          <cell r="C552" t="str">
            <v>seq not done</v>
          </cell>
          <cell r="E552" t="str">
            <v>Control</v>
          </cell>
        </row>
        <row r="553">
          <cell r="B553" t="str">
            <v>4A1790</v>
          </cell>
          <cell r="C553" t="str">
            <v>seq not done</v>
          </cell>
          <cell r="E553" t="str">
            <v>Control</v>
          </cell>
        </row>
        <row r="554">
          <cell r="B554" t="str">
            <v>4A1791</v>
          </cell>
          <cell r="C554" t="str">
            <v>seq not done</v>
          </cell>
          <cell r="E554" t="str">
            <v>Control</v>
          </cell>
        </row>
        <row r="555">
          <cell r="B555" t="str">
            <v>4A1792</v>
          </cell>
          <cell r="C555" t="str">
            <v>seq not done</v>
          </cell>
          <cell r="E555" t="str">
            <v>Control</v>
          </cell>
        </row>
        <row r="556">
          <cell r="B556" t="str">
            <v>4A1793</v>
          </cell>
          <cell r="C556" t="str">
            <v>seq not done</v>
          </cell>
          <cell r="E556" t="str">
            <v>Control</v>
          </cell>
        </row>
        <row r="557">
          <cell r="B557" t="str">
            <v>4A1794</v>
          </cell>
          <cell r="C557" t="str">
            <v>seq not done</v>
          </cell>
          <cell r="E557" t="str">
            <v>Control</v>
          </cell>
        </row>
        <row r="558">
          <cell r="B558" t="str">
            <v>4A1795</v>
          </cell>
          <cell r="C558"/>
          <cell r="D558"/>
          <cell r="E558" t="str">
            <v>Benign</v>
          </cell>
        </row>
        <row r="559">
          <cell r="B559" t="str">
            <v>4A1803</v>
          </cell>
          <cell r="C559"/>
          <cell r="D559"/>
          <cell r="E559" t="str">
            <v>CR CTN</v>
          </cell>
        </row>
        <row r="560">
          <cell r="B560" t="str">
            <v>4A1804</v>
          </cell>
          <cell r="C560" t="str">
            <v>seq not done</v>
          </cell>
          <cell r="E560" t="str">
            <v>Control</v>
          </cell>
        </row>
        <row r="561">
          <cell r="B561" t="str">
            <v>4A1805</v>
          </cell>
          <cell r="C561"/>
          <cell r="D561"/>
          <cell r="E561" t="str">
            <v>Benign?</v>
          </cell>
        </row>
        <row r="562">
          <cell r="B562" t="str">
            <v>4A1814</v>
          </cell>
          <cell r="C562" t="str">
            <v>seq not done</v>
          </cell>
          <cell r="E562" t="str">
            <v>Control</v>
          </cell>
        </row>
        <row r="564">
          <cell r="B564" t="str">
            <v>4A1898</v>
          </cell>
          <cell r="C564" t="str">
            <v>sent for seq</v>
          </cell>
          <cell r="E564" t="str">
            <v>Control</v>
          </cell>
        </row>
        <row r="565">
          <cell r="B565" t="str">
            <v>4A1899</v>
          </cell>
          <cell r="C565" t="str">
            <v>sent for seq</v>
          </cell>
          <cell r="E565" t="str">
            <v>Control</v>
          </cell>
        </row>
        <row r="567">
          <cell r="B567" t="str">
            <v>4A1815</v>
          </cell>
          <cell r="C567" t="str">
            <v>seq not done</v>
          </cell>
          <cell r="E567" t="str">
            <v>Screening</v>
          </cell>
        </row>
        <row r="568">
          <cell r="B568" t="str">
            <v>4A1816</v>
          </cell>
          <cell r="C568" t="str">
            <v>seq not done</v>
          </cell>
          <cell r="E568" t="str">
            <v>Screening</v>
          </cell>
        </row>
        <row r="569">
          <cell r="B569" t="str">
            <v>4A1838</v>
          </cell>
          <cell r="C569" t="str">
            <v>selected for seq</v>
          </cell>
          <cell r="E569" t="str">
            <v>CTN</v>
          </cell>
        </row>
        <row r="570">
          <cell r="B570" t="str">
            <v>4A1897</v>
          </cell>
          <cell r="C570" t="str">
            <v>seq not done</v>
          </cell>
          <cell r="E570" t="str">
            <v>Screening</v>
          </cell>
        </row>
        <row r="571">
          <cell r="B571" t="str">
            <v>4A1909</v>
          </cell>
          <cell r="C571" t="str">
            <v>seq not done</v>
          </cell>
          <cell r="E571" t="str">
            <v>Screening</v>
          </cell>
        </row>
        <row r="572">
          <cell r="B572" t="str">
            <v>4A1922</v>
          </cell>
          <cell r="C572" t="str">
            <v>seq not done</v>
          </cell>
          <cell r="E572" t="str">
            <v>Screening</v>
          </cell>
        </row>
        <row r="573">
          <cell r="B573" t="str">
            <v>4A1923</v>
          </cell>
          <cell r="C573" t="str">
            <v>seq not done</v>
          </cell>
          <cell r="E573" t="str">
            <v>Screening</v>
          </cell>
        </row>
        <row r="574">
          <cell r="B574" t="str">
            <v>4A1992</v>
          </cell>
          <cell r="C574" t="str">
            <v>selected for seq</v>
          </cell>
          <cell r="E574" t="str">
            <v>CTN</v>
          </cell>
        </row>
        <row r="575">
          <cell r="B575" t="str">
            <v>4A2005</v>
          </cell>
          <cell r="C575" t="str">
            <v>seq not done</v>
          </cell>
          <cell r="E575" t="str">
            <v>Screening</v>
          </cell>
        </row>
        <row r="576">
          <cell r="B576" t="str">
            <v>4A2006</v>
          </cell>
          <cell r="C576" t="str">
            <v>seq not done</v>
          </cell>
          <cell r="E576" t="str">
            <v>Screening</v>
          </cell>
        </row>
        <row r="577">
          <cell r="B577" t="str">
            <v>4A2007</v>
          </cell>
          <cell r="C577" t="str">
            <v>seq not done</v>
          </cell>
          <cell r="E577" t="str">
            <v>Screening</v>
          </cell>
        </row>
      </sheetData>
      <sheetData sheetId="4"/>
      <sheetData sheetId="5"/>
      <sheetData sheetId="6"/>
      <sheetData sheetId="7"/>
      <sheetData sheetId="8"/>
      <sheetData sheetId="9"/>
      <sheetData sheetId="10"/>
      <sheetData sheetId="11"/>
      <sheetData sheetId="12"/>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B30FFA4-FB65-46E6-B9ED-5844E2ECDAFF}" name="Exome22" displayName="Exome22" ref="B1:AF1218" totalsRowShown="0" headerRowDxfId="889" dataDxfId="888">
  <autoFilter ref="B1:AF1218" xr:uid="{2BE301ED-C620-445C-A44F-91ACACCA7E18}"/>
  <tableColumns count="31">
    <tableColumn id="14" xr3:uid="{D3E4F559-D7CA-4E94-82B2-CD138FA95310}" name="AOB ID" dataDxfId="887"/>
    <tableColumn id="1" xr3:uid="{2038F301-D563-4854-8496-20B4A2A57926}" name="SID" dataDxfId="886"/>
    <tableColumn id="8" xr3:uid="{4172512A-1536-48B4-A642-0576CAA35390}" name="Name" dataDxfId="885"/>
    <tableColumn id="9" xr3:uid="{B8EECD70-D374-4597-8373-936E2C43B3B1}" name="Age" dataDxfId="884"/>
    <tableColumn id="10" xr3:uid="{15827EC1-5CFA-4FA6-840F-7901D84D51E9}" name="Gender" dataDxfId="883"/>
    <tableColumn id="11" xr3:uid="{696978F0-49A2-43EE-8E77-6BDA27D157C6}" name="Patient ID" dataDxfId="882"/>
    <tableColumn id="2" xr3:uid="{319CAF31-A003-4581-902E-B3D9E5F994F0}" name="New Case label" dataDxfId="881"/>
    <tableColumn id="3" xr3:uid="{F7D44A4C-0A86-4D50-B554-07DB21F4E62F}" name="Additional" dataDxfId="880"/>
    <tableColumn id="26" xr3:uid="{3E61584A-580F-4048-9274-EC20DB73EED8}" name="Source" dataDxfId="879"/>
    <tableColumn id="15" xr3:uid="{CDD0F8D7-DA0E-4A88-81FF-E09C5BBD803C}" name="Detail Disease" dataDxfId="878"/>
    <tableColumn id="5" xr3:uid="{25B5B17E-B652-4C24-B36B-A6CA2E8F428B}" name="Organ Type" dataDxfId="877"/>
    <tableColumn id="6" xr3:uid="{7703C646-0FC0-4CA0-9C2B-0C061CE0ED78}" name="Comorbidity" dataDxfId="876"/>
    <tableColumn id="16" xr3:uid="{564FA851-4B4C-41CC-BC4E-F507DA2862BB}" name="Family history" dataDxfId="875"/>
    <tableColumn id="17" xr3:uid="{F8C58C0D-6B89-43C4-8B8E-072AD4893E52}" name="Metastasis" dataDxfId="874"/>
    <tableColumn id="18" xr3:uid="{C4159432-5342-4C7A-934D-8FD86255184C}" name="Patient status" dataDxfId="873"/>
    <tableColumn id="29" xr3:uid="{DD9DB16E-3CF5-4BF1-8B64-1815FE8EFFE2}" name="Sample Collection Date" dataDxfId="872">
      <calculatedColumnFormula>VLOOKUP(Exome22[[#This Row],[SID]],#REF!,2,FALSE)</calculatedColumnFormula>
    </tableColumn>
    <tableColumn id="12" xr3:uid="{41B6E7EC-6332-4E43-8D5C-8CAFF43EF840}" name="DNA availability" dataDxfId="871"/>
    <tableColumn id="13" xr3:uid="{CF1712AC-0601-486C-9620-E5FE5111C9AD}" name="Sequencing" dataDxfId="870"/>
    <tableColumn id="20" xr3:uid="{0DEE0269-2C22-4A1D-BA77-D01B2B58F4FF}" name="DIN" dataDxfId="869"/>
    <tableColumn id="21" xr3:uid="{3A2F3303-F2EE-4D39-8B06-CE4CC55E3ED7}" name="Research/Report" dataDxfId="868"/>
    <tableColumn id="22" xr3:uid="{FFE9E59A-176A-4F90-B528-654DD5F086AB}" name="Sequencing partner (E)" dataDxfId="867"/>
    <tableColumn id="23" xr3:uid="{4961D228-7276-4882-B00C-B61BEEAF956C}" name="Data received (E)" dataDxfId="866"/>
    <tableColumn id="24" xr3:uid="{B8329A68-29A4-4D1B-822A-4451EA999F03}" name="TMR-E  (Gbp)" dataDxfId="865"/>
    <tableColumn id="25" xr3:uid="{3FEC4163-DE96-4E2E-91DF-1776ED026BA0}" name="Data analysed-E (Som)" dataDxfId="864"/>
    <tableColumn id="7" xr3:uid="{61902BA0-F6D0-49C2-8193-D0D949709FB8}" name="Data analysed-E (Germ)" dataDxfId="863">
      <calculatedColumnFormula>VLOOKUP(Exome22[[#This Row],[SID]],#REF!,2,FALSE)</calculatedColumnFormula>
    </tableColumn>
    <tableColumn id="4" xr3:uid="{42EE3526-F7ED-4399-8002-83487CD97147}" name="Sample lebeling" dataDxfId="862">
      <calculatedColumnFormula>VLOOKUP(Exome22[[#This Row],[SID]],#REF!,2,FALSE)</calculatedColumnFormula>
    </tableColumn>
    <tableColumn id="27" xr3:uid="{35897D0A-A2D2-49AA-90D0-47C4BE294D59}" name="Analysis" dataDxfId="861"/>
    <tableColumn id="28" xr3:uid="{9B61FF93-481F-433A-BE18-0E67753036D7}" name="Report (made/release)" dataDxfId="860"/>
    <tableColumn id="30" xr3:uid="{D0938745-9607-4822-B239-87F037917D1D}" name="Report Release Date" dataDxfId="859"/>
    <tableColumn id="33" xr3:uid="{7E2BE489-9799-4E56-A9D0-428CD8C70300}" name="Comments (report sample ID)" dataDxfId="858"/>
    <tableColumn id="19" xr3:uid="{D6F173F5-1FB2-429C-97F0-74D2EDC3D848}" name="Consultation" dataDxfId="85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BCAE87BD-1190-4292-B227-1BBE393AE80F}" name="Exome" displayName="Exome" ref="B1:AC1218" totalsRowShown="0" headerRowDxfId="774" dataDxfId="773">
  <autoFilter ref="B1:AC1218" xr:uid="{2BE301ED-C620-445C-A44F-91ACACCA7E18}"/>
  <tableColumns count="28">
    <tableColumn id="14" xr3:uid="{BB3AF82D-17B7-4D87-84B9-9E4606798463}" name="AOB ID" dataDxfId="772"/>
    <tableColumn id="1" xr3:uid="{52C98AA4-C467-420A-BD68-4590130B0DD2}" name="SID" dataDxfId="771"/>
    <tableColumn id="8" xr3:uid="{25AD4D96-86EF-460C-8468-6C194C9532CD}" name="Name" dataDxfId="770"/>
    <tableColumn id="9" xr3:uid="{65EBFF4E-4F06-4E5F-BF7E-B9BD7281EA61}" name="Age" dataDxfId="769"/>
    <tableColumn id="10" xr3:uid="{CA5A596D-E41F-4228-BB12-85C9AC71E7E5}" name="Gender" dataDxfId="768"/>
    <tableColumn id="11" xr3:uid="{04B6022C-51B8-4B37-99BD-C8216FFCBE8C}" name="Patient ID" dataDxfId="767"/>
    <tableColumn id="2" xr3:uid="{EC58728E-9651-4E5C-B85A-E05149406C4A}" name="New Case label" dataDxfId="766"/>
    <tableColumn id="3" xr3:uid="{3AD964EA-0E57-4B2B-BC84-A29B7F6DCB33}" name="Additional" dataDxfId="765"/>
    <tableColumn id="26" xr3:uid="{E667C60B-A855-4063-A373-C219059A93B2}" name="Source" dataDxfId="764"/>
    <tableColumn id="15" xr3:uid="{6EAD4B7E-8E35-43B3-8172-03DF27D48559}" name="Detail Disease" dataDxfId="763"/>
    <tableColumn id="5" xr3:uid="{46A456AE-4D27-41AB-90F2-575414DE8486}" name="Organ Type" dataDxfId="762"/>
    <tableColumn id="6" xr3:uid="{163EBB7A-916C-407C-A4FB-BAAE7440B65D}" name="Comorbidity" dataDxfId="761"/>
    <tableColumn id="16" xr3:uid="{DB29E3BA-288E-4F87-8975-883169429D4D}" name="Family history" dataDxfId="760"/>
    <tableColumn id="17" xr3:uid="{6D9AA146-D809-44BB-B7CC-4DE1DDE7EDF1}" name="Metastasis" dataDxfId="759"/>
    <tableColumn id="18" xr3:uid="{C5719277-AFFD-4A05-ABB7-4FBD17B6A424}" name="Patient status" dataDxfId="758"/>
    <tableColumn id="29" xr3:uid="{058F94BE-332E-45D7-8C75-5658717080DC}" name="Sample Collection Date" dataDxfId="757">
      <calculatedColumnFormula>VLOOKUP(Exome[[#This Row],[SID]],#REF!,2,FALSE)</calculatedColumnFormula>
    </tableColumn>
    <tableColumn id="12" xr3:uid="{7D0938CA-E35E-4016-82B5-BDB756EB2D90}" name="DNA availability" dataDxfId="756"/>
    <tableColumn id="13" xr3:uid="{AA3075E5-3CA9-46C2-AE73-698F24DDEDBB}" name="Sequencing" dataDxfId="755"/>
    <tableColumn id="20" xr3:uid="{C9FA3E54-5483-45D7-918F-1E0EBD35B27A}" name="DIN" dataDxfId="754"/>
    <tableColumn id="21" xr3:uid="{70E8F069-6C63-434B-947C-48502BFD510B}" name="Research/Report" dataDxfId="753"/>
    <tableColumn id="22" xr3:uid="{8832704C-5C00-43B4-BC95-FA417507F8F6}" name="Sequencing partner (E)" dataDxfId="752"/>
    <tableColumn id="23" xr3:uid="{D45D8C38-FF3C-4741-829D-9972CA068494}" name="Data received (E)" dataDxfId="751"/>
    <tableColumn id="24" xr3:uid="{8B0D67A8-3AE2-426A-9367-BEC3DF5AFACE}" name="TMR-E  (Gbp)" dataDxfId="750"/>
    <tableColumn id="25" xr3:uid="{77E94C00-34F2-442A-BC7D-60EFAE565F42}" name="Data analysed-E (Som)" dataDxfId="749"/>
    <tableColumn id="7" xr3:uid="{46604FFC-D8FB-40FD-B703-4D2634367BB7}" name="Data analysed-E (Germ)" dataDxfId="748">
      <calculatedColumnFormula>VLOOKUP(Exome[[#This Row],[SID]],#REF!,2,FALSE)</calculatedColumnFormula>
    </tableColumn>
    <tableColumn id="4" xr3:uid="{F7CD9478-D85D-4133-B706-48E561E47603}" name="Sample leveling" dataDxfId="747">
      <calculatedColumnFormula>VLOOKUP(Exome[[#This Row],[SID]],#REF!,2,FALSE)</calculatedColumnFormula>
    </tableColumn>
    <tableColumn id="27" xr3:uid="{9EC21732-D916-4918-8705-4423A04CF45F}" name="Analysis" dataDxfId="746"/>
    <tableColumn id="28" xr3:uid="{8B8FFBA9-63F1-47ED-8011-80FD622F176E}" name="Report (made/release)" dataDxfId="745"/>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E3F8B4-8690-489F-A4AE-4F81ED18B274}" name="CONTROL_1_30" displayName="CONTROL_1_30" ref="A1:B120" totalsRowShown="0">
  <autoFilter ref="A1:B120" xr:uid="{A5E3F8B4-8690-489F-A4AE-4F81ED18B274}"/>
  <tableColumns count="2">
    <tableColumn id="1" xr3:uid="{6E7FFA36-5276-4086-8A8F-69A1F6F9131F}" name="Sample"/>
    <tableColumn id="2" xr3:uid="{2FBC908F-43B6-4DDB-8D62-EB77707D003D}" name="Age (1-3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1486F1E-7F57-4260-B773-2712D10A10D3}" name="CONTROL_31_60" displayName="CONTROL_31_60" ref="D1:E258" totalsRowShown="0">
  <autoFilter ref="D1:E258" xr:uid="{B1486F1E-7F57-4260-B773-2712D10A10D3}"/>
  <tableColumns count="2">
    <tableColumn id="1" xr3:uid="{3BA2560B-B296-42CB-A24E-F5FF7D608797}" name="Sample"/>
    <tableColumn id="2" xr3:uid="{FA266160-EAF0-4810-A8CE-1539435E9DFF}" name="Age (30-6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7886045-AD95-4C51-8E51-FE0A5F93E484}" name="CONTROL_61_Plus" displayName="CONTROL_61_Plus" ref="G1:H55" totalsRowShown="0">
  <autoFilter ref="G1:H55" xr:uid="{77886045-AD95-4C51-8E51-FE0A5F93E484}"/>
  <tableColumns count="2">
    <tableColumn id="1" xr3:uid="{8C9ED025-EF89-41D4-88E5-FEE50FBD1C0F}" name="Sample"/>
    <tableColumn id="2" xr3:uid="{2F491370-9B92-4418-8938-959EAF3C1BCE}" name="Age (6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197E9FC-4A40-4FB0-AFE3-F57CB91E4F55}" name="COT_1_30" displayName="COT_1_30" ref="A1:B5" totalsRowShown="0">
  <autoFilter ref="A1:B5" xr:uid="{B197E9FC-4A40-4FB0-AFE3-F57CB91E4F55}"/>
  <tableColumns count="2">
    <tableColumn id="1" xr3:uid="{6E729AF9-3518-4DE7-9A09-BB565A244B88}" name="Sample"/>
    <tableColumn id="2" xr3:uid="{AB104A74-7F60-4C95-94AA-BA4377C4BE00}" name="Age(1-30)"/>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EB506EF-6FA8-40D9-B779-5D31F26BDEC7}" name="COT_31_60" displayName="COT_31_60" ref="D1:E37" totalsRowShown="0">
  <autoFilter ref="D1:E37" xr:uid="{9EB506EF-6FA8-40D9-B779-5D31F26BDEC7}"/>
  <tableColumns count="2">
    <tableColumn id="1" xr3:uid="{1E8DAA09-E38A-4DC1-A657-3C2B56904239}" name="Sample"/>
    <tableColumn id="2" xr3:uid="{60CBF0A5-5693-4C28-9457-44D297C48706}" name="Age(30-60)"/>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B936AB1-3DE7-43C0-B644-EE54470199B9}" name="COT_61_Plus" displayName="COT_61_Plus" ref="G1:H40" totalsRowShown="0">
  <autoFilter ref="G1:H40" xr:uid="{EB936AB1-3DE7-43C0-B644-EE54470199B9}"/>
  <tableColumns count="2">
    <tableColumn id="1" xr3:uid="{C5AC36EC-E1A1-45E0-950E-EC2BFEC54415}" name="Sample"/>
    <tableColumn id="2" xr3:uid="{EFA72ADF-0DF9-44EA-903D-C0C1EAF5ADAE}" name="Age(60+)"/>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4222482-8C91-4BD6-9D58-DC611D36CBFF}" name="CTN_1_30" displayName="CTN_1_30" ref="A1:B3" totalsRowShown="0">
  <autoFilter ref="A1:B3" xr:uid="{94222482-8C91-4BD6-9D58-DC611D36CBFF}"/>
  <tableColumns count="2">
    <tableColumn id="1" xr3:uid="{831745F7-1D9C-4349-8E1C-6081C9D1B531}" name="Sample"/>
    <tableColumn id="2" xr3:uid="{819418DE-C340-447D-93A4-0856AEAB39D6}" name="Age(1-30)"/>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B0B8470-CD8A-44B1-8D23-84F7E42F13B7}" name="CTN_31_60" displayName="CTN_31_60" ref="D1:E54" totalsRowShown="0">
  <autoFilter ref="D1:E54" xr:uid="{9B0B8470-CD8A-44B1-8D23-84F7E42F13B7}"/>
  <tableColumns count="2">
    <tableColumn id="1" xr3:uid="{4AFBC34B-2BF9-4001-8C5F-74BCED8370DA}" name="Sample"/>
    <tableColumn id="2" xr3:uid="{3D839DE4-A525-480A-8337-8938E2C53E30}" name="Age (30-60)"/>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A4B63C-0918-4D71-81B3-891913F0F3FC}" name="CTN_61_Plus" displayName="CTN_61_Plus" ref="G1:H47" totalsRowShown="0">
  <autoFilter ref="G1:H47" xr:uid="{B4A4B63C-0918-4D71-81B3-891913F0F3FC}"/>
  <tableColumns count="2">
    <tableColumn id="1" xr3:uid="{CFE52375-1211-4D12-9148-1FDDD9ECF344}" name="Sample"/>
    <tableColumn id="2" xr3:uid="{90C604EC-9390-477E-9244-7920BCA2EB8D}" name="Age(60+)"/>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20CA50C-4F34-445A-8A8A-11FA27F5B8B5}" name="CS_1_30" displayName="CS_1_30" ref="A1:B5" totalsRowShown="0">
  <autoFilter ref="A1:B5" xr:uid="{920CA50C-4F34-445A-8A8A-11FA27F5B8B5}"/>
  <tableColumns count="2">
    <tableColumn id="1" xr3:uid="{DDA2B8ED-21BF-4757-A3CE-511B69AD48E2}" name="Sample"/>
    <tableColumn id="2" xr3:uid="{88596924-0885-4DBF-BBE0-FB0D62974C9D}" name="Age(1-30)"/>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DFA31B8-C204-48DB-8A97-A496C1D37B79}" name="CS_31_60" displayName="CS_31_60" ref="D1:E20" totalsRowShown="0">
  <autoFilter ref="D1:E20" xr:uid="{2DFA31B8-C204-48DB-8A97-A496C1D37B79}"/>
  <tableColumns count="2">
    <tableColumn id="1" xr3:uid="{1B33313D-AB0B-4279-8B7C-6BA9219DD5A0}" name="Sample"/>
    <tableColumn id="2" xr3:uid="{63EC848F-75DC-4A28-84B7-DD8E04295B27}" name="Age(30-6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10777C4-7C02-414A-8452-000165170897}" name="CS_61_Plus" displayName="CS_61_Plus" ref="G1:H18" totalsRowShown="0">
  <autoFilter ref="G1:H18" xr:uid="{D10777C4-7C02-414A-8452-000165170897}"/>
  <tableColumns count="2">
    <tableColumn id="1" xr3:uid="{53720764-25CD-47AB-9BFA-28EBB040E994}" name="Sample"/>
    <tableColumn id="2" xr3:uid="{EC575718-3A17-441E-A52E-3AA483B73DCE}" name="Age(60+)"/>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D27AF66-80EA-472E-B561-08CD500DBCE2}" name="CONTROLS" displayName="CONTROLS" ref="A11:H442" totalsRowShown="0" headerRowDxfId="245" headerRowBorderDxfId="244">
  <autoFilter ref="A11:H442" xr:uid="{AD27AF66-80EA-472E-B561-08CD500DBCE2}"/>
  <tableColumns count="8">
    <tableColumn id="1" xr3:uid="{7CCFBD6F-0CA5-40AA-A1B9-2B924C4DB6C8}" name="Sr.no" dataDxfId="243"/>
    <tableColumn id="2" xr3:uid="{1EB3A1DA-C46D-499A-A3A0-6EBA5AE4E777}" name="AOB ID" dataDxfId="242"/>
    <tableColumn id="3" xr3:uid="{D8A2AB9F-84A9-4AE0-AF1C-33F262EA302F}" name="SAMPLE ID" dataDxfId="241"/>
    <tableColumn id="4" xr3:uid="{A0B94AE2-DFDB-4943-A6C0-5441F64B61CD}" name="NAME" dataDxfId="240"/>
    <tableColumn id="5" xr3:uid="{CF0DDDA0-D597-4D50-A707-8D82730CFAA5}" name="AGE" dataDxfId="239"/>
    <tableColumn id="6" xr3:uid="{6E419A3F-BE43-437A-AA9A-6487D8C5E86A}" name="Gender" dataDxfId="238"/>
    <tableColumn id="7" xr3:uid="{4E7599BA-CC45-42CD-9580-04E6B6C221D1}" name="EXOME RE-RUN BY APARNA" dataDxfId="237"/>
    <tableColumn id="8" xr3:uid="{22865DFA-FBA1-47C4-BD64-64E5605C1DCD}" name="GB (OG/TD)" dataDxfId="236"/>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965FF24-C16E-49F0-B165-9773581F60B8}" name="CTN" displayName="CTN" ref="K11:R112" totalsRowShown="0" headerRowDxfId="235" dataDxfId="234" tableBorderDxfId="233">
  <autoFilter ref="K11:R112" xr:uid="{9965FF24-C16E-49F0-B165-9773581F60B8}"/>
  <tableColumns count="8">
    <tableColumn id="1" xr3:uid="{B7EDCCAE-C770-442D-B678-69D8A25CDA9C}" name="Sr.no" dataDxfId="232"/>
    <tableColumn id="2" xr3:uid="{A1715488-55D8-4CED-90F9-8687D77A9123}" name="AOB ID" dataDxfId="231"/>
    <tableColumn id="3" xr3:uid="{CA2A4370-5B1A-4394-B286-E1AA57C709D8}" name="SAMPLE ID" dataDxfId="230"/>
    <tableColumn id="4" xr3:uid="{07B76C59-7A7A-4D33-9ADE-FC929E6A4874}" name="NAME" dataDxfId="229"/>
    <tableColumn id="5" xr3:uid="{F1F2BFF3-0433-47C6-8C0C-CB58A5A4F893}" name="AGE" dataDxfId="228"/>
    <tableColumn id="6" xr3:uid="{D9162FD8-7BB7-4C65-BC5B-BE014184CABE}" name="Gender" dataDxfId="227"/>
    <tableColumn id="7" xr3:uid="{17EE68B1-D2E6-4B24-A497-E610BBAF30A0}" name="EXOME RE-RUN BY APARNA" dataDxfId="226"/>
    <tableColumn id="8" xr3:uid="{EC01B8AE-C87E-4A4F-9D01-245F11D28B2D}" name="GB (OG/TD)" dataDxfId="225"/>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67A64D57-E878-438C-8F0F-A14CBEE412F0}" name="COT" displayName="COT" ref="U11:AB90" totalsRowShown="0" headerRowDxfId="224" dataDxfId="223" headerRowBorderDxfId="221" tableBorderDxfId="222">
  <autoFilter ref="U11:AB90" xr:uid="{67A64D57-E878-438C-8F0F-A14CBEE412F0}"/>
  <tableColumns count="8">
    <tableColumn id="1" xr3:uid="{862C7C05-B74B-45D3-9EF1-47F61A8C9600}" name="Sr.no" dataDxfId="220"/>
    <tableColumn id="2" xr3:uid="{B58009E3-EFA8-447A-A49A-221EEA5853F7}" name="AOB ID" dataDxfId="219"/>
    <tableColumn id="3" xr3:uid="{BA251199-2895-4068-AC8A-6A7803DD4BDC}" name="SAMPLE ID" dataDxfId="218"/>
    <tableColumn id="4" xr3:uid="{DE34BC28-8597-4577-89FB-FD6F6123E962}" name="NAME" dataDxfId="217"/>
    <tableColumn id="5" xr3:uid="{46CDF6A1-AFD0-4A4C-B29A-D6C37303360E}" name="AGE" dataDxfId="216"/>
    <tableColumn id="6" xr3:uid="{35298164-8071-4962-83B2-B7603C269382}" name="Gender" dataDxfId="215"/>
    <tableColumn id="7" xr3:uid="{0201C1AF-539E-42AD-AE78-A2FE94A5B4EB}" name="EXOME RE-RUN BY APARNA" dataDxfId="214"/>
    <tableColumn id="8" xr3:uid="{A6A60AAD-D261-47EB-97C3-394A8682FE76}" name="GB (OG/TD)" dataDxfId="213"/>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E948670-0330-4F35-B068-80468A11AFDC}" name="CS" displayName="CS" ref="AE11:AL51" totalsRowShown="0" headerRowDxfId="212" dataDxfId="211" headerRowBorderDxfId="209" tableBorderDxfId="210">
  <autoFilter ref="AE11:AL51" xr:uid="{6E948670-0330-4F35-B068-80468A11AFDC}"/>
  <tableColumns count="8">
    <tableColumn id="1" xr3:uid="{E016656B-5D91-4034-9EAE-FB48D58AF441}" name="Sr.no" dataDxfId="208"/>
    <tableColumn id="2" xr3:uid="{796F8A9A-D7F7-4EA9-A570-8C6F1E94C069}" name="AOB ID" dataDxfId="207"/>
    <tableColumn id="3" xr3:uid="{853FA611-F6BC-4724-81BE-5AED3083C3A3}" name="SAMPLE ID"/>
    <tableColumn id="4" xr3:uid="{EAD331E1-D87F-420D-86BB-AA6970FAEEDF}" name="NAME" dataDxfId="206"/>
    <tableColumn id="5" xr3:uid="{D8FE2351-89C8-4175-8E18-6BC2E82C0BE1}" name="AGE" dataDxfId="205"/>
    <tableColumn id="6" xr3:uid="{E0F18D0E-4235-4A06-822A-030CCE282652}" name="Gender" dataDxfId="204"/>
    <tableColumn id="7" xr3:uid="{4B780D95-B5BB-4DAB-8CAA-1737C700A31D}" name="EXOME RE-RUN BY APARNA" dataDxfId="203"/>
    <tableColumn id="8" xr3:uid="{0509AE5E-06A8-4A31-B9BE-299098AEEB79}" name="GB (OG/TD)" dataDxfId="202"/>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10F0ADB-7674-4C19-A99A-90A9FB74A828}" name="HR" displayName="HR" ref="AN11:AU15" totalsRowShown="0" headerRowDxfId="201" dataDxfId="200" headerRowBorderDxfId="198" tableBorderDxfId="199">
  <autoFilter ref="AN11:AU15" xr:uid="{E10F0ADB-7674-4C19-A99A-90A9FB74A828}"/>
  <tableColumns count="8">
    <tableColumn id="1" xr3:uid="{649622D0-2E7D-4477-8603-91C0DED3F18E}" name="Sr.no" dataDxfId="197"/>
    <tableColumn id="2" xr3:uid="{993B45C5-0A26-4CE8-BA38-2882E19B9588}" name="AOB ID" dataDxfId="196"/>
    <tableColumn id="3" xr3:uid="{F705A608-41E1-4F52-B072-A5BB86AC6F21}" name="SAMPLE ID" dataDxfId="195"/>
    <tableColumn id="4" xr3:uid="{B2177199-1C69-43A8-A9F5-9BAEAF919987}" name="NAME" dataDxfId="194"/>
    <tableColumn id="5" xr3:uid="{BFE7F2BB-4369-4CA8-88E5-F75BCC3C4DDB}" name="AGE" dataDxfId="193"/>
    <tableColumn id="6" xr3:uid="{A0ADD89B-150F-4F17-9EC3-3A1F506A944A}" name="Gender" dataDxfId="192"/>
    <tableColumn id="7" xr3:uid="{2039C8EB-C349-4CD3-BAA9-3317CBA8CB42}" name="EXOME RE-RUN BY APARNA" dataDxfId="191"/>
    <tableColumn id="8" xr3:uid="{C2B66E4F-BB04-4708-8B09-ED9A0793C1F0}" name="GB (OG/TD)" dataDxfId="190"/>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7D17770-AFA1-459D-BAAA-DF3519810198}" name="Diabetes" displayName="Diabetes" ref="BF11:BM115" totalsRowShown="0" headerRowDxfId="189">
  <autoFilter ref="BF11:BM115" xr:uid="{A7D17770-AFA1-459D-BAAA-DF3519810198}"/>
  <tableColumns count="8">
    <tableColumn id="1" xr3:uid="{5BA8094E-9C6F-4A40-A45D-51FE7252B3D1}" name="Sr.no" dataDxfId="188"/>
    <tableColumn id="2" xr3:uid="{A3D5556A-949E-4931-957B-F6D7C629E503}" name="AOB ID" dataDxfId="187"/>
    <tableColumn id="3" xr3:uid="{1BBE5854-8EBA-4E24-A7B2-60A8666400B0}" name="SAMPLE ID" dataDxfId="186"/>
    <tableColumn id="4" xr3:uid="{85D2F034-66A7-4BC6-BAA1-B5B14C474362}" name="NAME" dataDxfId="185"/>
    <tableColumn id="5" xr3:uid="{5844E360-F9D5-4168-9BDC-23D0B99069E6}" name="AGE" dataDxfId="184"/>
    <tableColumn id="6" xr3:uid="{DA8E428F-2F18-4527-AE35-9A64A6365C29}" name="Gender" dataDxfId="183"/>
    <tableColumn id="7" xr3:uid="{42FECC96-812F-4C19-85C8-107B194C5465}" name="EXOME RE-RUN BY APARNA" dataDxfId="182"/>
    <tableColumn id="8" xr3:uid="{3660B96A-8043-42CA-AF4C-01671B1A9172}" name="GB (OG/TD)" dataDxfId="181"/>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373F885-39CF-4FB8-9685-D7F96036A654}" name="Benign" displayName="Benign" ref="AW11:BD45" totalsRowShown="0" headerRowDxfId="180" dataDxfId="179" headerRowBorderDxfId="177" tableBorderDxfId="178">
  <autoFilter ref="AW11:BD45" xr:uid="{B373F885-39CF-4FB8-9685-D7F96036A654}"/>
  <tableColumns count="8">
    <tableColumn id="1" xr3:uid="{C1DC29F5-2092-4FD9-A775-15672652A5F5}" name="Sr.no" dataDxfId="176"/>
    <tableColumn id="2" xr3:uid="{DEC56E06-6AC3-49F7-9A00-C8A5266EFFDC}" name="AOB ID" dataDxfId="175"/>
    <tableColumn id="3" xr3:uid="{C8ADB45F-A2CB-42B7-96B4-0A155015049C}" name="SAMPLE ID" dataDxfId="174"/>
    <tableColumn id="4" xr3:uid="{FA9246D6-0EDD-41D6-A60B-8EC9AC0D6013}" name="NAME" dataDxfId="173"/>
    <tableColumn id="5" xr3:uid="{C246C99B-8D0E-4C47-AA74-AE9D2306806E}" name="AGE" dataDxfId="172"/>
    <tableColumn id="6" xr3:uid="{BCB5B895-6DD1-4185-8E1D-84E8FDDB09EC}" name="Gender" dataDxfId="171"/>
    <tableColumn id="7" xr3:uid="{87FBC7E3-E8C1-455D-829B-1D967E64695E}" name="EXOME RE-RUN BY APARNA" dataDxfId="170"/>
    <tableColumn id="8" xr3:uid="{9B0A0494-1926-49A6-BC70-A8746834AAD1}" name="GB (OG/TD)" dataDxfId="169"/>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6081E819-65F3-4BC3-ADDA-943E2D244C7F}" name="UK" displayName="UK" ref="A1:M64" totalsRowShown="0" headerRowDxfId="168" headerRowBorderDxfId="166" tableBorderDxfId="167" totalsRowBorderDxfId="165">
  <autoFilter ref="A1:M64" xr:uid="{6081E819-65F3-4BC3-ADDA-943E2D244C7F}"/>
  <tableColumns count="13">
    <tableColumn id="1" xr3:uid="{5140E17C-FAF1-4C62-9532-BE8199AFB282}" name="Sr. No." dataDxfId="164"/>
    <tableColumn id="2" xr3:uid="{F87C7320-9B40-4D8C-AC24-5F34B0E65F38}" name="PID" dataDxfId="163"/>
    <tableColumn id="3" xr3:uid="{CBC0DE9C-47DC-46D1-89E5-3F51D7CEE7E4}" name="SID" dataDxfId="162"/>
    <tableColumn id="4" xr3:uid="{F19C6EAB-8D69-4AD6-AA67-683B74AB4982}" name="UK_ID" dataDxfId="161"/>
    <tableColumn id="5" xr3:uid="{E705FD75-19D2-4665-8F79-3E2F5060C6F6}" name="Name" dataDxfId="160"/>
    <tableColumn id="6" xr3:uid="{8A109C68-C62F-4D5B-8FB9-3F5B26E42CF5}" name="Age" dataDxfId="159"/>
    <tableColumn id="7" xr3:uid="{2300B0D1-20AA-4CAE-B849-6B3F6A3E75CF}" name="Gender" dataDxfId="158"/>
    <tableColumn id="8" xr3:uid="{2C61D53B-687A-48D9-8793-36E4F6A4F718}" name="Sequenced by" dataDxfId="157"/>
    <tableColumn id="9" xr3:uid="{FAD803F8-AF4B-4439-99B7-47E420DC887F}" name="Case Labels" dataDxfId="156"/>
    <tableColumn id="10" xr3:uid="{15C56730-C002-4BCD-A68E-A373F55B2DC3}" name="Cancer Type"/>
    <tableColumn id="11" xr3:uid="{E800BACB-2E0C-423C-ABB7-F657CF3EDE2F}" name="Collection Centre/ Referred by"/>
    <tableColumn id="12" xr3:uid="{9C7BB07A-67DD-4BC1-A61F-55D9B4D5CF82}" name="Type of Test"/>
    <tableColumn id="13" xr3:uid="{95ADB3DF-512F-4809-A646-A050EB6D6D24}" name="Exome report"/>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48DC8E5-2C1E-44E3-86B1-A7E07F9D604C}" name="HRC" displayName="HRC" ref="A67:L109" totalsRowShown="0" headerRowDxfId="155" dataDxfId="154" headerRowBorderDxfId="152" tableBorderDxfId="153">
  <autoFilter ref="A67:L109" xr:uid="{F48DC8E5-2C1E-44E3-86B1-A7E07F9D604C}"/>
  <tableColumns count="12">
    <tableColumn id="1" xr3:uid="{2BCEB099-6FF7-4083-858C-29F42909C738}" name="SR. No." dataDxfId="151"/>
    <tableColumn id="2" xr3:uid="{29FD1588-721D-47DA-A0B4-9F1DF79CDA52}" name="PID" dataDxfId="150"/>
    <tableColumn id="3" xr3:uid="{BB26C4ED-F036-4AC3-80B5-BDD96739C04B}" name="SID" dataDxfId="149"/>
    <tableColumn id="4" xr3:uid="{6BD0E062-D0B0-4B85-BDC8-C906139DB39D}" name="Receipt SID" dataDxfId="148"/>
    <tableColumn id="5" xr3:uid="{572CBC61-BFE2-48B6-9A93-ECDE9BC11486}" name="Name" dataDxfId="147"/>
    <tableColumn id="6" xr3:uid="{011997B3-BED9-4CC9-9428-BC53019D0F45}" name="Age" dataDxfId="146"/>
    <tableColumn id="7" xr3:uid="{9B220A95-1C56-44EB-8103-465EC34D46FA}" name="Gender" dataDxfId="145"/>
    <tableColumn id="8" xr3:uid="{4F8884F0-9817-4665-80A6-C16DED8CE3F7}" name="Column1" dataDxfId="144"/>
    <tableColumn id="9" xr3:uid="{27511167-CF57-4139-BA76-4DDCED12DB5C}" name="Case Label" dataDxfId="143"/>
    <tableColumn id="12" xr3:uid="{31D4B00B-ABF8-489C-B2E7-F8E3F06EEF79}" name="Cancer Type" dataDxfId="142"/>
    <tableColumn id="13" xr3:uid="{6F10A6E5-5752-41A8-B2AB-711C914AC467}" name="Collection Centre/ Referred by" dataDxfId="141"/>
    <tableColumn id="14" xr3:uid="{C4A2FA70-F7D2-48F5-B863-7D8DB2693499}" name="Type of Test" dataDxfId="14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table" Target="../tables/table9.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table" Target="../tables/table12.xml"/></Relationships>
</file>

<file path=xl/worksheets/_rels/sheet9.xml.rels><?xml version="1.0" encoding="UTF-8" standalone="yes"?>
<Relationships xmlns="http://schemas.openxmlformats.org/package/2006/relationships"><Relationship Id="rId8" Type="http://schemas.openxmlformats.org/officeDocument/2006/relationships/table" Target="../tables/table19.xml"/><Relationship Id="rId3" Type="http://schemas.openxmlformats.org/officeDocument/2006/relationships/hyperlink" Target="file://\\10.10.2.7\Genome-Data\Mibiome\2025\Pipeline_results" TargetMode="External"/><Relationship Id="rId7" Type="http://schemas.openxmlformats.org/officeDocument/2006/relationships/table" Target="../tables/table18.xml"/><Relationship Id="rId2" Type="http://schemas.openxmlformats.org/officeDocument/2006/relationships/hyperlink" Target="file://\\EPIGENERESLABS\MedGenome\AOBOnco_data%20analysis\Exome_Results\NGS_FE_Results_EBPL\Exome%20somatic%20re-run_FEB13" TargetMode="External"/><Relationship Id="rId1" Type="http://schemas.openxmlformats.org/officeDocument/2006/relationships/hyperlink" Target="file://\\10.10.2.7\Genome-Data\Mibiome\2025\Pipeline_results" TargetMode="External"/><Relationship Id="rId6" Type="http://schemas.openxmlformats.org/officeDocument/2006/relationships/table" Target="../tables/table17.xml"/><Relationship Id="rId5" Type="http://schemas.openxmlformats.org/officeDocument/2006/relationships/table" Target="../tables/table16.xml"/><Relationship Id="rId10" Type="http://schemas.openxmlformats.org/officeDocument/2006/relationships/table" Target="../tables/table21.xml"/><Relationship Id="rId4" Type="http://schemas.openxmlformats.org/officeDocument/2006/relationships/table" Target="../tables/table15.xml"/><Relationship Id="rId9" Type="http://schemas.openxmlformats.org/officeDocument/2006/relationships/table" Target="../tables/table20.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table" Target="../tables/table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01732-ADD4-404A-B60D-8B5678C7F651}">
  <dimension ref="A1:AP430"/>
  <sheetViews>
    <sheetView workbookViewId="0">
      <selection activeCell="S7" sqref="S7"/>
    </sheetView>
  </sheetViews>
  <sheetFormatPr defaultColWidth="28.85546875" defaultRowHeight="15.75" customHeight="1"/>
  <cols>
    <col min="1" max="1" width="38.42578125" customWidth="1"/>
    <col min="2" max="2" width="7.140625" customWidth="1"/>
    <col min="3" max="3" width="7.5703125" customWidth="1"/>
    <col min="4" max="4" width="13.140625" customWidth="1"/>
    <col min="5" max="5" width="5.85546875" customWidth="1"/>
    <col min="6" max="6" width="5.42578125" customWidth="1"/>
    <col min="7" max="7" width="13.5703125" customWidth="1"/>
    <col min="8" max="8" width="9.5703125" customWidth="1"/>
    <col min="9" max="9" width="4.5703125" customWidth="1"/>
    <col min="10" max="10" width="13.5703125" customWidth="1"/>
    <col min="11" max="11" width="7.42578125" customWidth="1"/>
    <col min="12" max="12" width="5.140625" customWidth="1"/>
    <col min="13" max="13" width="10.85546875" customWidth="1"/>
    <col min="14" max="14" width="6.5703125" customWidth="1"/>
    <col min="15" max="15" width="5" customWidth="1"/>
    <col min="16" max="16" width="10.140625" customWidth="1"/>
    <col min="17" max="17" width="6.7109375" customWidth="1"/>
    <col min="18" max="18" width="4.85546875" customWidth="1"/>
    <col min="19" max="19" width="9.42578125" customWidth="1"/>
    <col min="20" max="20" width="6" customWidth="1"/>
    <col min="21" max="21" width="8" customWidth="1"/>
    <col min="22" max="22" width="15.7109375" customWidth="1"/>
    <col min="23" max="23" width="8.42578125" customWidth="1"/>
    <col min="24" max="24" width="5.28515625" customWidth="1"/>
    <col min="25" max="25" width="25.5703125" customWidth="1"/>
    <col min="26" max="26" width="11.140625" customWidth="1"/>
    <col min="27" max="27" width="8.28515625" customWidth="1"/>
    <col min="28" max="28" width="7.28515625" customWidth="1"/>
    <col min="29" max="29" width="7.5703125" customWidth="1"/>
    <col min="30" max="30" width="23.42578125" customWidth="1"/>
    <col min="31" max="31" width="6.28515625" customWidth="1"/>
    <col min="32" max="32" width="24.28515625" customWidth="1"/>
    <col min="33" max="33" width="10.85546875" customWidth="1"/>
    <col min="34" max="34" width="10" customWidth="1"/>
    <col min="35" max="35" width="9.7109375" customWidth="1"/>
    <col min="36" max="36" width="9.28515625" customWidth="1"/>
    <col min="37" max="37" width="11" customWidth="1"/>
  </cols>
  <sheetData>
    <row r="1" spans="1:42" ht="15.75" customHeight="1">
      <c r="H1" s="121"/>
      <c r="V1" s="293" t="s">
        <v>0</v>
      </c>
      <c r="W1" s="72"/>
      <c r="X1" s="71"/>
      <c r="Y1" s="285" t="s">
        <v>1</v>
      </c>
      <c r="Z1" s="317" t="s">
        <v>2</v>
      </c>
      <c r="AA1" s="317" t="s">
        <v>3</v>
      </c>
      <c r="AB1" s="317" t="s">
        <v>4</v>
      </c>
      <c r="AC1" s="317" t="s">
        <v>5</v>
      </c>
      <c r="AF1" s="285" t="s">
        <v>1</v>
      </c>
      <c r="AG1" s="317" t="s">
        <v>2</v>
      </c>
      <c r="AH1" s="317" t="s">
        <v>3</v>
      </c>
      <c r="AI1" s="317" t="s">
        <v>4</v>
      </c>
      <c r="AJ1" s="317" t="s">
        <v>5</v>
      </c>
      <c r="AL1" s="285" t="s">
        <v>1</v>
      </c>
      <c r="AM1" s="317" t="s">
        <v>2</v>
      </c>
      <c r="AN1" s="317" t="s">
        <v>3</v>
      </c>
      <c r="AO1" s="317" t="s">
        <v>4</v>
      </c>
      <c r="AP1" s="317" t="s">
        <v>5</v>
      </c>
    </row>
    <row r="2" spans="1:42" ht="15.75" customHeight="1">
      <c r="A2" s="97" t="s">
        <v>6</v>
      </c>
      <c r="V2" s="294" t="s">
        <v>7</v>
      </c>
      <c r="W2" s="316">
        <v>441</v>
      </c>
      <c r="X2" s="71"/>
      <c r="Y2" s="9" t="s">
        <v>8</v>
      </c>
      <c r="Z2" s="72">
        <f>SUM(AA2:AC2)</f>
        <v>1</v>
      </c>
      <c r="AA2" s="72">
        <v>1</v>
      </c>
      <c r="AB2" s="72"/>
      <c r="AC2" s="72"/>
      <c r="AF2" s="9" t="s">
        <v>8</v>
      </c>
      <c r="AG2" s="72">
        <f>SUM(AH2:AJ2)</f>
        <v>1</v>
      </c>
      <c r="AH2" s="72">
        <v>1</v>
      </c>
      <c r="AI2" s="72"/>
      <c r="AJ2" s="72"/>
      <c r="AL2" s="9" t="s">
        <v>8</v>
      </c>
      <c r="AM2" s="72">
        <f>SUM(AN2:AP2)</f>
        <v>0</v>
      </c>
      <c r="AN2" s="72"/>
      <c r="AO2" s="72"/>
      <c r="AP2" s="72"/>
    </row>
    <row r="3" spans="1:42" ht="15.75" customHeight="1">
      <c r="V3" s="285" t="s">
        <v>9</v>
      </c>
      <c r="W3" s="317"/>
      <c r="X3" s="71"/>
      <c r="Y3" s="9" t="s">
        <v>10</v>
      </c>
      <c r="Z3" s="72">
        <f t="shared" ref="Z3:Z42" si="0">SUM(AA3:AC3)</f>
        <v>2</v>
      </c>
      <c r="AA3" s="72">
        <v>1</v>
      </c>
      <c r="AB3" s="72">
        <v>1</v>
      </c>
      <c r="AC3" s="72"/>
      <c r="AF3" s="9" t="s">
        <v>10</v>
      </c>
      <c r="AG3" s="72">
        <f t="shared" ref="AG3:AG31" si="1">SUM(AH3:AJ3)</f>
        <v>2</v>
      </c>
      <c r="AH3" s="72">
        <v>1</v>
      </c>
      <c r="AI3" s="72">
        <v>1</v>
      </c>
      <c r="AJ3" s="72"/>
      <c r="AL3" s="9" t="s">
        <v>10</v>
      </c>
      <c r="AM3" s="72">
        <f>SUM(AN3:AP3)</f>
        <v>0</v>
      </c>
      <c r="AN3" s="72"/>
      <c r="AO3" s="72"/>
      <c r="AP3" s="72"/>
    </row>
    <row r="4" spans="1:42" ht="15.75" customHeight="1">
      <c r="V4" s="295" t="s">
        <v>3</v>
      </c>
      <c r="W4" s="296">
        <v>101</v>
      </c>
      <c r="X4" s="71"/>
      <c r="Y4" s="9" t="s">
        <v>11</v>
      </c>
      <c r="Z4" s="72">
        <f t="shared" si="0"/>
        <v>4</v>
      </c>
      <c r="AA4" s="72">
        <v>1</v>
      </c>
      <c r="AB4" s="72">
        <v>3</v>
      </c>
      <c r="AC4" s="72"/>
      <c r="AF4" s="9" t="s">
        <v>11</v>
      </c>
      <c r="AG4" s="72">
        <f t="shared" si="1"/>
        <v>4</v>
      </c>
      <c r="AH4" s="72">
        <v>1</v>
      </c>
      <c r="AI4" s="72">
        <v>3</v>
      </c>
      <c r="AJ4" s="72"/>
      <c r="AL4" s="9" t="s">
        <v>11</v>
      </c>
      <c r="AM4" s="72">
        <f t="shared" ref="AM4:AM38" si="2">SUM(AN4:AP4)</f>
        <v>0</v>
      </c>
      <c r="AN4" s="72"/>
      <c r="AO4" s="72"/>
      <c r="AP4" s="72"/>
    </row>
    <row r="5" spans="1:42" ht="15.75" customHeight="1">
      <c r="A5" s="99" t="s">
        <v>12</v>
      </c>
      <c r="B5" s="21">
        <f>SUM(B12,E12,H12,K12,N12,Q12,T12,N14, Q14,N16,Q16)</f>
        <v>804</v>
      </c>
      <c r="V5" s="295" t="s">
        <v>4</v>
      </c>
      <c r="W5" s="296">
        <v>82</v>
      </c>
      <c r="X5" s="71"/>
      <c r="Y5" s="9" t="s">
        <v>13</v>
      </c>
      <c r="Z5" s="72">
        <v>14</v>
      </c>
      <c r="AA5" s="72">
        <v>3</v>
      </c>
      <c r="AB5" s="72">
        <v>5</v>
      </c>
      <c r="AC5" s="72">
        <v>5</v>
      </c>
      <c r="AF5" s="9" t="s">
        <v>13</v>
      </c>
      <c r="AG5" s="72">
        <f t="shared" si="1"/>
        <v>13</v>
      </c>
      <c r="AH5" s="72">
        <v>3</v>
      </c>
      <c r="AI5" s="72">
        <v>5</v>
      </c>
      <c r="AJ5" s="72">
        <v>5</v>
      </c>
      <c r="AL5" s="9" t="s">
        <v>13</v>
      </c>
      <c r="AM5" s="72">
        <f t="shared" si="2"/>
        <v>0</v>
      </c>
      <c r="AN5" s="72"/>
      <c r="AO5" s="72"/>
      <c r="AP5" s="72"/>
    </row>
    <row r="6" spans="1:42" ht="15.75" customHeight="1">
      <c r="V6" s="295" t="s">
        <v>5</v>
      </c>
      <c r="W6" s="296">
        <v>40</v>
      </c>
      <c r="X6" s="71"/>
      <c r="Y6" s="9" t="s">
        <v>14</v>
      </c>
      <c r="Z6" s="72">
        <f t="shared" si="0"/>
        <v>2</v>
      </c>
      <c r="AA6" s="72">
        <v>1</v>
      </c>
      <c r="AB6" s="72">
        <v>1</v>
      </c>
      <c r="AC6" s="72"/>
      <c r="AF6" s="9" t="s">
        <v>14</v>
      </c>
      <c r="AG6" s="72">
        <f t="shared" si="1"/>
        <v>2</v>
      </c>
      <c r="AH6" s="72">
        <v>1</v>
      </c>
      <c r="AI6" s="72">
        <v>1</v>
      </c>
      <c r="AJ6" s="72"/>
      <c r="AL6" s="9" t="s">
        <v>14</v>
      </c>
      <c r="AM6" s="72">
        <f t="shared" si="2"/>
        <v>0</v>
      </c>
      <c r="AN6" s="72"/>
      <c r="AO6" s="72"/>
      <c r="AP6" s="72"/>
    </row>
    <row r="7" spans="1:42" ht="15.75" customHeight="1">
      <c r="V7" s="9" t="s">
        <v>15</v>
      </c>
      <c r="W7" s="72">
        <v>35</v>
      </c>
      <c r="X7" s="71"/>
      <c r="Y7" s="9" t="s">
        <v>16</v>
      </c>
      <c r="Z7" s="72">
        <v>32</v>
      </c>
      <c r="AA7" s="72">
        <v>13</v>
      </c>
      <c r="AB7" s="72">
        <v>7</v>
      </c>
      <c r="AC7" s="72">
        <v>9</v>
      </c>
      <c r="AF7" s="9" t="s">
        <v>16</v>
      </c>
      <c r="AG7" s="72">
        <f t="shared" si="1"/>
        <v>29</v>
      </c>
      <c r="AH7" s="72">
        <v>13</v>
      </c>
      <c r="AI7" s="72">
        <v>7</v>
      </c>
      <c r="AJ7" s="72">
        <v>9</v>
      </c>
      <c r="AL7" s="9" t="s">
        <v>16</v>
      </c>
      <c r="AM7" s="72">
        <f t="shared" si="2"/>
        <v>0</v>
      </c>
      <c r="AN7" s="532"/>
      <c r="AO7" s="72"/>
      <c r="AP7" s="72"/>
    </row>
    <row r="8" spans="1:42" ht="15.75" customHeight="1">
      <c r="A8" s="98" t="s">
        <v>17</v>
      </c>
      <c r="B8" s="21">
        <f>B5-B227</f>
        <v>779</v>
      </c>
      <c r="V8" s="9" t="s">
        <v>18</v>
      </c>
      <c r="W8" s="72">
        <v>4</v>
      </c>
      <c r="X8" s="71"/>
      <c r="Y8" s="9" t="s">
        <v>19</v>
      </c>
      <c r="Z8" s="72">
        <f t="shared" si="0"/>
        <v>5</v>
      </c>
      <c r="AA8" s="72">
        <v>3</v>
      </c>
      <c r="AB8" s="72">
        <v>1</v>
      </c>
      <c r="AC8" s="72">
        <v>1</v>
      </c>
      <c r="AF8" s="9" t="s">
        <v>19</v>
      </c>
      <c r="AG8" s="72">
        <f t="shared" si="1"/>
        <v>5</v>
      </c>
      <c r="AH8" s="72">
        <v>3</v>
      </c>
      <c r="AI8" s="72">
        <v>1</v>
      </c>
      <c r="AJ8" s="72">
        <v>1</v>
      </c>
      <c r="AL8" s="9" t="s">
        <v>19</v>
      </c>
      <c r="AM8" s="72">
        <f t="shared" si="2"/>
        <v>0</v>
      </c>
      <c r="AN8" s="72"/>
      <c r="AO8" s="72"/>
      <c r="AP8" s="72"/>
    </row>
    <row r="9" spans="1:42" ht="15.75" customHeight="1">
      <c r="A9" s="100"/>
      <c r="V9" s="9" t="s">
        <v>20</v>
      </c>
      <c r="W9" s="72">
        <v>7</v>
      </c>
      <c r="X9" s="71"/>
      <c r="Y9" s="573" t="s">
        <v>21</v>
      </c>
      <c r="Z9" s="72">
        <f t="shared" si="0"/>
        <v>15</v>
      </c>
      <c r="AA9" s="72">
        <v>7</v>
      </c>
      <c r="AB9" s="72">
        <v>4</v>
      </c>
      <c r="AC9" s="72">
        <v>4</v>
      </c>
      <c r="AD9" s="155" t="s">
        <v>22</v>
      </c>
      <c r="AF9" s="9" t="s">
        <v>22</v>
      </c>
      <c r="AG9" s="72">
        <f t="shared" si="1"/>
        <v>40</v>
      </c>
      <c r="AH9" s="72">
        <v>15</v>
      </c>
      <c r="AI9" s="72">
        <v>16</v>
      </c>
      <c r="AJ9" s="72">
        <v>9</v>
      </c>
      <c r="AL9" s="9" t="s">
        <v>21</v>
      </c>
      <c r="AM9" s="72">
        <f t="shared" si="2"/>
        <v>0</v>
      </c>
      <c r="AN9" s="72"/>
      <c r="AO9" s="72"/>
      <c r="AP9" s="72"/>
    </row>
    <row r="10" spans="1:42" ht="15.75" customHeight="1">
      <c r="A10" s="101" t="s">
        <v>23</v>
      </c>
      <c r="V10" s="9" t="s">
        <v>24</v>
      </c>
      <c r="W10" s="72">
        <v>2</v>
      </c>
      <c r="X10" s="71"/>
      <c r="Y10" s="573" t="s">
        <v>25</v>
      </c>
      <c r="Z10" s="72">
        <f t="shared" si="0"/>
        <v>5</v>
      </c>
      <c r="AA10" s="72">
        <v>2</v>
      </c>
      <c r="AB10" s="72">
        <v>2</v>
      </c>
      <c r="AC10" s="72">
        <v>1</v>
      </c>
      <c r="AF10" s="9" t="s">
        <v>26</v>
      </c>
      <c r="AG10" s="72">
        <f t="shared" si="1"/>
        <v>1</v>
      </c>
      <c r="AH10" s="72">
        <v>1</v>
      </c>
      <c r="AI10" s="72"/>
      <c r="AJ10" s="72"/>
      <c r="AL10" s="9" t="s">
        <v>25</v>
      </c>
      <c r="AM10" s="72">
        <f t="shared" si="2"/>
        <v>0</v>
      </c>
      <c r="AN10" s="532"/>
      <c r="AO10" s="532"/>
      <c r="AP10" s="532"/>
    </row>
    <row r="11" spans="1:42" ht="15.75" customHeight="1">
      <c r="V11" s="9" t="s">
        <v>27</v>
      </c>
      <c r="W11" s="72">
        <v>98</v>
      </c>
      <c r="X11" s="71"/>
      <c r="Y11" s="9" t="s">
        <v>26</v>
      </c>
      <c r="Z11" s="72">
        <f t="shared" si="0"/>
        <v>1</v>
      </c>
      <c r="AA11" s="72">
        <v>1</v>
      </c>
      <c r="AB11" s="72"/>
      <c r="AC11" s="72"/>
      <c r="AF11" s="9" t="s">
        <v>28</v>
      </c>
      <c r="AG11" s="72">
        <f t="shared" si="1"/>
        <v>1</v>
      </c>
      <c r="AH11" s="72">
        <v>1</v>
      </c>
      <c r="AI11" s="72"/>
      <c r="AJ11" s="72"/>
      <c r="AL11" s="9" t="s">
        <v>29</v>
      </c>
      <c r="AM11" s="72">
        <f t="shared" si="2"/>
        <v>0</v>
      </c>
      <c r="AN11" s="532"/>
      <c r="AO11" s="532"/>
      <c r="AP11" s="532"/>
    </row>
    <row r="12" spans="1:42" ht="13.5" customHeight="1">
      <c r="A12" s="19" t="s">
        <v>30</v>
      </c>
      <c r="B12" s="21">
        <f>COUNTA(CONTROLS[Sr.no])</f>
        <v>431</v>
      </c>
      <c r="D12" s="19" t="s">
        <v>3</v>
      </c>
      <c r="E12" s="21">
        <f>COUNTA(CTN[Sr.no])</f>
        <v>101</v>
      </c>
      <c r="G12" s="19" t="s">
        <v>4</v>
      </c>
      <c r="H12" s="21">
        <f>COUNTA(COT[Sr.no])</f>
        <v>79</v>
      </c>
      <c r="J12" s="19" t="s">
        <v>5</v>
      </c>
      <c r="K12" s="21">
        <f>COUNTA(CS[Sr.no])</f>
        <v>40</v>
      </c>
      <c r="M12" s="75" t="s">
        <v>15</v>
      </c>
      <c r="N12" s="21">
        <f>COUNTA(Benign[Sr.no])</f>
        <v>34</v>
      </c>
      <c r="P12" s="75" t="s">
        <v>31</v>
      </c>
      <c r="Q12" s="122">
        <f>COUNTA(HR[Sr.no])</f>
        <v>4</v>
      </c>
      <c r="S12" s="75" t="s">
        <v>32</v>
      </c>
      <c r="T12" s="21">
        <f>COUNTA(Diabetes[Sr.no])</f>
        <v>104</v>
      </c>
      <c r="V12" s="21" t="s">
        <v>33</v>
      </c>
      <c r="W12" s="74">
        <f>SUM(W2:W11)</f>
        <v>810</v>
      </c>
      <c r="X12" s="71"/>
      <c r="Y12" s="592" t="s">
        <v>29</v>
      </c>
      <c r="Z12" s="72">
        <f t="shared" si="0"/>
        <v>3</v>
      </c>
      <c r="AA12" s="72">
        <v>1</v>
      </c>
      <c r="AB12" s="72">
        <v>2</v>
      </c>
      <c r="AC12" s="72"/>
      <c r="AD12" s="593" t="s">
        <v>34</v>
      </c>
      <c r="AF12" s="9" t="s">
        <v>34</v>
      </c>
      <c r="AG12" s="72">
        <f t="shared" si="1"/>
        <v>6</v>
      </c>
      <c r="AH12" s="72">
        <v>3</v>
      </c>
      <c r="AI12" s="72">
        <v>3</v>
      </c>
      <c r="AJ12" s="72"/>
      <c r="AL12" s="9" t="s">
        <v>28</v>
      </c>
      <c r="AM12" s="72">
        <f t="shared" si="2"/>
        <v>0</v>
      </c>
      <c r="AN12" s="532"/>
      <c r="AO12" s="532"/>
      <c r="AP12" s="532"/>
    </row>
    <row r="13" spans="1:42" ht="15.75" customHeight="1">
      <c r="A13" s="20" t="s">
        <v>35</v>
      </c>
      <c r="B13" t="s">
        <v>36</v>
      </c>
      <c r="D13" s="20" t="s">
        <v>35</v>
      </c>
      <c r="E13" t="s">
        <v>36</v>
      </c>
      <c r="G13" s="20" t="s">
        <v>35</v>
      </c>
      <c r="H13" t="s">
        <v>36</v>
      </c>
      <c r="J13" s="20" t="s">
        <v>35</v>
      </c>
      <c r="K13" t="s">
        <v>36</v>
      </c>
      <c r="X13" s="71"/>
      <c r="Y13" s="9" t="s">
        <v>28</v>
      </c>
      <c r="Z13" s="72">
        <f t="shared" si="0"/>
        <v>1</v>
      </c>
      <c r="AA13" s="72">
        <v>1</v>
      </c>
      <c r="AB13" s="72"/>
      <c r="AC13" s="72"/>
      <c r="AF13" s="9" t="s">
        <v>37</v>
      </c>
      <c r="AG13" s="72">
        <f t="shared" si="1"/>
        <v>15</v>
      </c>
      <c r="AH13" s="72">
        <v>9</v>
      </c>
      <c r="AI13" s="72">
        <v>5</v>
      </c>
      <c r="AJ13" s="72">
        <v>1</v>
      </c>
      <c r="AL13" s="9" t="s">
        <v>34</v>
      </c>
      <c r="AM13" s="72">
        <f t="shared" si="2"/>
        <v>0</v>
      </c>
      <c r="AN13" s="532"/>
      <c r="AO13" s="532"/>
      <c r="AP13" s="532"/>
    </row>
    <row r="14" spans="1:42" ht="15.75" customHeight="1">
      <c r="A14" s="20" t="s">
        <v>38</v>
      </c>
      <c r="B14">
        <f>COUNTA(CONTROL_1_30[Sample])</f>
        <v>119</v>
      </c>
      <c r="D14" s="20" t="s">
        <v>38</v>
      </c>
      <c r="E14">
        <f>COUNTA(CTN_1_30[Sample])</f>
        <v>2</v>
      </c>
      <c r="G14" s="20" t="s">
        <v>38</v>
      </c>
      <c r="H14">
        <f>COUNTA(COT_1_30[Sample])</f>
        <v>4</v>
      </c>
      <c r="J14" s="20" t="s">
        <v>38</v>
      </c>
      <c r="K14">
        <f>COUNTA(CS_1_30[Sample])</f>
        <v>4</v>
      </c>
      <c r="M14" s="75" t="s">
        <v>39</v>
      </c>
      <c r="N14">
        <f>COUNTIF('India_lab_(duplicate)'!H2:H979,"Screening")</f>
        <v>0</v>
      </c>
      <c r="P14" s="75" t="s">
        <v>20</v>
      </c>
      <c r="Q14">
        <f>COUNTIF(India_Lab!H2:H979,"ND")</f>
        <v>7</v>
      </c>
      <c r="X14" s="71"/>
      <c r="Y14" s="592" t="s">
        <v>40</v>
      </c>
      <c r="Z14" s="72">
        <f t="shared" si="0"/>
        <v>3</v>
      </c>
      <c r="AA14" s="72">
        <v>2</v>
      </c>
      <c r="AB14" s="72">
        <v>1</v>
      </c>
      <c r="AC14" s="72"/>
      <c r="AF14" s="9" t="s">
        <v>41</v>
      </c>
      <c r="AG14" s="72">
        <f t="shared" si="1"/>
        <v>5</v>
      </c>
      <c r="AH14" s="72">
        <v>5</v>
      </c>
      <c r="AI14" s="72"/>
      <c r="AJ14" s="72"/>
      <c r="AK14" s="105"/>
      <c r="AL14" s="9" t="s">
        <v>42</v>
      </c>
      <c r="AM14" s="72">
        <f t="shared" si="2"/>
        <v>0</v>
      </c>
      <c r="AN14" s="532"/>
      <c r="AO14" s="532"/>
      <c r="AP14" s="532"/>
    </row>
    <row r="15" spans="1:42" ht="15.75" customHeight="1">
      <c r="A15" t="s">
        <v>43</v>
      </c>
      <c r="B15">
        <f>COUNTA(CONTROL_31_60[Sample])</f>
        <v>257</v>
      </c>
      <c r="D15" t="s">
        <v>43</v>
      </c>
      <c r="E15">
        <f>COUNTA(CTN_31_60[Sample])</f>
        <v>53</v>
      </c>
      <c r="G15" t="s">
        <v>43</v>
      </c>
      <c r="H15">
        <f>COUNTA(COT_31_60[Sample])</f>
        <v>36</v>
      </c>
      <c r="J15" t="s">
        <v>43</v>
      </c>
      <c r="K15">
        <f>COUNTA(CS_31_60[Sample])</f>
        <v>19</v>
      </c>
      <c r="Y15" s="585" t="s">
        <v>37</v>
      </c>
      <c r="Z15" s="72">
        <f t="shared" si="0"/>
        <v>2</v>
      </c>
      <c r="AA15" s="72">
        <v>2</v>
      </c>
      <c r="AB15" s="72"/>
      <c r="AC15" s="72"/>
      <c r="AD15" s="589" t="s">
        <v>44</v>
      </c>
      <c r="AF15" s="9" t="s">
        <v>45</v>
      </c>
      <c r="AG15" s="72">
        <f t="shared" si="1"/>
        <v>40</v>
      </c>
      <c r="AH15" s="72">
        <v>20</v>
      </c>
      <c r="AI15" s="72">
        <v>18</v>
      </c>
      <c r="AJ15" s="72">
        <v>2</v>
      </c>
      <c r="AL15" s="9" t="s">
        <v>41</v>
      </c>
      <c r="AM15" s="72">
        <f t="shared" si="2"/>
        <v>0</v>
      </c>
      <c r="AN15" s="532"/>
      <c r="AO15" s="532"/>
      <c r="AP15" s="532"/>
    </row>
    <row r="16" spans="1:42" ht="15.75" customHeight="1">
      <c r="A16" t="s">
        <v>46</v>
      </c>
      <c r="B16">
        <f>COUNTA(CONTROL_61_Plus[Sample])</f>
        <v>54</v>
      </c>
      <c r="D16" t="s">
        <v>47</v>
      </c>
      <c r="E16">
        <f>COUNTA(CTN_61_Plus[Sample])</f>
        <v>46</v>
      </c>
      <c r="G16" t="s">
        <v>46</v>
      </c>
      <c r="H16">
        <f>COUNTA(COT_61_Plus[Sample])</f>
        <v>39</v>
      </c>
      <c r="J16" t="s">
        <v>46</v>
      </c>
      <c r="K16">
        <f>COUNTA(CS_61_Plus[Sample])</f>
        <v>17</v>
      </c>
      <c r="M16" s="75" t="s">
        <v>24</v>
      </c>
      <c r="N16">
        <f>COUNTIF('India_lab_(duplicate)'!H2:H768,"NDD")</f>
        <v>2</v>
      </c>
      <c r="P16" s="75" t="s">
        <v>48</v>
      </c>
      <c r="Q16">
        <f>COUNTIF('India_lab_(duplicate)'!H2:H979,"Unavailable")</f>
        <v>2</v>
      </c>
      <c r="Y16" s="584" t="s">
        <v>42</v>
      </c>
      <c r="Z16" s="72">
        <f t="shared" si="0"/>
        <v>1</v>
      </c>
      <c r="AA16" s="72">
        <v>1</v>
      </c>
      <c r="AB16" s="72"/>
      <c r="AC16" s="72"/>
      <c r="AD16" s="590" t="s">
        <v>41</v>
      </c>
      <c r="AF16" s="9" t="s">
        <v>49</v>
      </c>
      <c r="AG16" s="72">
        <f t="shared" si="1"/>
        <v>5</v>
      </c>
      <c r="AH16" s="72">
        <v>1</v>
      </c>
      <c r="AI16" s="72">
        <v>4</v>
      </c>
      <c r="AJ16" s="72"/>
      <c r="AL16" s="9" t="s">
        <v>45</v>
      </c>
      <c r="AM16" s="72">
        <f t="shared" si="2"/>
        <v>0</v>
      </c>
      <c r="AN16" s="532"/>
      <c r="AO16" s="532"/>
      <c r="AP16" s="532"/>
    </row>
    <row r="17" spans="1:42" ht="15.75" customHeight="1">
      <c r="A17" t="s">
        <v>50</v>
      </c>
      <c r="B17">
        <f>SUM(B14:B16)</f>
        <v>430</v>
      </c>
      <c r="D17" t="s">
        <v>50</v>
      </c>
      <c r="E17">
        <f>SUM(E14:E16)</f>
        <v>101</v>
      </c>
      <c r="G17" t="s">
        <v>50</v>
      </c>
      <c r="H17">
        <f>SUM(H14:H16)</f>
        <v>79</v>
      </c>
      <c r="J17" t="s">
        <v>50</v>
      </c>
      <c r="K17">
        <f>SUM(K14:K16)</f>
        <v>40</v>
      </c>
      <c r="Q17" s="21"/>
      <c r="Y17" s="584" t="s">
        <v>41</v>
      </c>
      <c r="Z17" s="72">
        <f t="shared" si="0"/>
        <v>4</v>
      </c>
      <c r="AA17" s="72">
        <v>4</v>
      </c>
      <c r="AB17" s="72"/>
      <c r="AC17" s="72"/>
      <c r="AF17" s="9" t="s">
        <v>51</v>
      </c>
      <c r="AG17" s="72">
        <f t="shared" si="1"/>
        <v>1</v>
      </c>
      <c r="AH17" s="72"/>
      <c r="AI17" s="72">
        <v>1</v>
      </c>
      <c r="AJ17" s="72"/>
      <c r="AL17" s="9" t="s">
        <v>52</v>
      </c>
      <c r="AM17" s="72">
        <f t="shared" si="2"/>
        <v>0</v>
      </c>
      <c r="AN17" s="532"/>
      <c r="AO17" s="532"/>
      <c r="AP17" s="532"/>
    </row>
    <row r="18" spans="1:42" ht="15.75" customHeight="1">
      <c r="R18" s="21"/>
      <c r="Y18" s="9" t="s">
        <v>45</v>
      </c>
      <c r="Z18" s="72">
        <v>41</v>
      </c>
      <c r="AA18" s="72">
        <v>19</v>
      </c>
      <c r="AB18" s="72">
        <v>18</v>
      </c>
      <c r="AC18" s="72">
        <v>2</v>
      </c>
      <c r="AF18" s="9" t="s">
        <v>53</v>
      </c>
      <c r="AG18" s="72">
        <f t="shared" si="1"/>
        <v>6</v>
      </c>
      <c r="AH18" s="72">
        <v>1</v>
      </c>
      <c r="AI18" s="72">
        <v>3</v>
      </c>
      <c r="AJ18" s="72">
        <v>2</v>
      </c>
      <c r="AL18" s="9" t="s">
        <v>54</v>
      </c>
      <c r="AM18" s="72">
        <f t="shared" si="2"/>
        <v>0</v>
      </c>
      <c r="AN18" s="532"/>
      <c r="AO18" s="532"/>
      <c r="AP18" s="532"/>
    </row>
    <row r="19" spans="1:42" ht="15.75" customHeight="1">
      <c r="R19" s="21"/>
      <c r="Y19" s="585" t="s">
        <v>52</v>
      </c>
      <c r="Z19" s="72">
        <f t="shared" si="0"/>
        <v>1</v>
      </c>
      <c r="AA19" s="72">
        <v>1</v>
      </c>
      <c r="AB19" s="72"/>
      <c r="AC19" s="72"/>
      <c r="AF19" s="9" t="s">
        <v>55</v>
      </c>
      <c r="AG19" s="72">
        <f t="shared" si="1"/>
        <v>23</v>
      </c>
      <c r="AH19" s="72">
        <v>15</v>
      </c>
      <c r="AI19" s="72">
        <v>5</v>
      </c>
      <c r="AJ19" s="72">
        <v>3</v>
      </c>
      <c r="AL19" s="9" t="s">
        <v>49</v>
      </c>
      <c r="AM19" s="72">
        <f t="shared" si="2"/>
        <v>0</v>
      </c>
      <c r="AN19" s="532"/>
      <c r="AO19" s="532"/>
      <c r="AP19" s="532"/>
    </row>
    <row r="20" spans="1:42" ht="17.25" customHeight="1">
      <c r="A20" s="219" t="s">
        <v>56</v>
      </c>
      <c r="R20" s="21"/>
      <c r="Y20" s="585" t="s">
        <v>54</v>
      </c>
      <c r="Z20" s="72">
        <f t="shared" si="0"/>
        <v>6</v>
      </c>
      <c r="AA20" s="72">
        <v>4</v>
      </c>
      <c r="AB20" s="72">
        <v>2</v>
      </c>
      <c r="AC20" s="72"/>
      <c r="AF20" s="9" t="s">
        <v>57</v>
      </c>
      <c r="AG20" s="72">
        <f t="shared" si="1"/>
        <v>1</v>
      </c>
      <c r="AH20" s="72">
        <v>1</v>
      </c>
      <c r="AI20" s="72"/>
      <c r="AJ20" s="72"/>
      <c r="AL20" s="9" t="s">
        <v>53</v>
      </c>
      <c r="AM20" s="72">
        <f t="shared" si="2"/>
        <v>0</v>
      </c>
      <c r="AN20" s="532"/>
      <c r="AO20" s="532"/>
      <c r="AP20" s="532"/>
    </row>
    <row r="21" spans="1:42" ht="15.75" customHeight="1">
      <c r="R21" s="21"/>
      <c r="Y21" s="9" t="s">
        <v>49</v>
      </c>
      <c r="Z21" s="72">
        <f t="shared" si="0"/>
        <v>5</v>
      </c>
      <c r="AA21" s="72">
        <v>1</v>
      </c>
      <c r="AB21" s="72">
        <v>4</v>
      </c>
      <c r="AC21" s="72"/>
      <c r="AF21" s="9" t="s">
        <v>58</v>
      </c>
      <c r="AG21" s="72">
        <f t="shared" si="1"/>
        <v>2</v>
      </c>
      <c r="AH21" s="72">
        <v>1</v>
      </c>
      <c r="AI21" s="72">
        <v>1</v>
      </c>
      <c r="AJ21" s="72"/>
      <c r="AL21" s="9" t="s">
        <v>55</v>
      </c>
      <c r="AM21" s="72">
        <f t="shared" si="2"/>
        <v>0</v>
      </c>
      <c r="AN21" s="532"/>
      <c r="AO21" s="532"/>
      <c r="AP21" s="532"/>
    </row>
    <row r="22" spans="1:42" ht="15.75" customHeight="1">
      <c r="A22" s="218" t="s">
        <v>30</v>
      </c>
      <c r="E22" s="21"/>
      <c r="R22" s="21"/>
      <c r="Y22" s="9" t="s">
        <v>51</v>
      </c>
      <c r="Z22" s="72">
        <f t="shared" si="0"/>
        <v>1</v>
      </c>
      <c r="AA22" s="72"/>
      <c r="AB22" s="72">
        <v>1</v>
      </c>
      <c r="AC22" s="72"/>
      <c r="AF22" s="9" t="s">
        <v>59</v>
      </c>
      <c r="AG22" s="72">
        <f t="shared" si="1"/>
        <v>4</v>
      </c>
      <c r="AH22" s="72">
        <v>3</v>
      </c>
      <c r="AI22" s="72"/>
      <c r="AJ22" s="72">
        <v>1</v>
      </c>
      <c r="AL22" s="9" t="s">
        <v>57</v>
      </c>
      <c r="AM22" s="72">
        <f t="shared" si="2"/>
        <v>0</v>
      </c>
      <c r="AN22" s="532"/>
      <c r="AO22" s="532"/>
      <c r="AP22" s="532"/>
    </row>
    <row r="23" spans="1:42" ht="15.75" customHeight="1">
      <c r="A23" s="20" t="s">
        <v>35</v>
      </c>
      <c r="B23" t="s">
        <v>60</v>
      </c>
      <c r="C23" t="s">
        <v>61</v>
      </c>
      <c r="D23" t="s">
        <v>50</v>
      </c>
      <c r="R23" s="21"/>
      <c r="Y23" s="9" t="s">
        <v>53</v>
      </c>
      <c r="Z23" s="72">
        <f t="shared" si="0"/>
        <v>6</v>
      </c>
      <c r="AA23" s="72">
        <v>1</v>
      </c>
      <c r="AB23" s="72">
        <v>3</v>
      </c>
      <c r="AC23" s="72">
        <v>2</v>
      </c>
      <c r="AF23" s="9" t="s">
        <v>62</v>
      </c>
      <c r="AG23" s="72">
        <f t="shared" si="1"/>
        <v>4</v>
      </c>
      <c r="AH23" s="72"/>
      <c r="AI23" s="72">
        <v>2</v>
      </c>
      <c r="AJ23" s="72">
        <v>2</v>
      </c>
      <c r="AL23" s="9" t="s">
        <v>63</v>
      </c>
      <c r="AM23" s="72">
        <f t="shared" si="2"/>
        <v>0</v>
      </c>
      <c r="AN23" s="532"/>
      <c r="AO23" s="532"/>
      <c r="AP23" s="532"/>
    </row>
    <row r="24" spans="1:42" ht="15.75" customHeight="1">
      <c r="A24" s="20" t="s">
        <v>38</v>
      </c>
      <c r="B24">
        <f>COUNTIFS('India_lab_(duplicate)'!H:H,"CON",
'India_lab_(duplicate)'!E:E,"&gt;=1",
'India_lab_(duplicate)'!E:E,"&lt;=30",
'India_lab_(duplicate)'!F:F,"Male",
'India_lab_(duplicate)'!J:J,"&lt;&gt;*other ethnicity*")</f>
        <v>66</v>
      </c>
      <c r="C24">
        <f>COUNTIFS('India_lab_(duplicate)'!H:H,"CON",
'India_lab_(duplicate)'!E:E,"&gt;=1",
'India_lab_(duplicate)'!E:E,"&lt;=30",
'India_lab_(duplicate)'!F:F,"Female",
'India_lab_(duplicate)'!J:J,"&lt;&gt;*other ethnicity*")</f>
        <v>53</v>
      </c>
      <c r="D24">
        <f>SUM(B24:C24)</f>
        <v>119</v>
      </c>
      <c r="R24" s="21"/>
      <c r="Y24" s="9" t="s">
        <v>55</v>
      </c>
      <c r="Z24" s="72">
        <f t="shared" si="0"/>
        <v>23</v>
      </c>
      <c r="AA24" s="72">
        <v>15</v>
      </c>
      <c r="AB24" s="72">
        <v>5</v>
      </c>
      <c r="AC24" s="72">
        <v>3</v>
      </c>
      <c r="AF24" s="9" t="s">
        <v>64</v>
      </c>
      <c r="AG24" s="72">
        <f t="shared" si="1"/>
        <v>2</v>
      </c>
      <c r="AH24" s="72">
        <v>2</v>
      </c>
      <c r="AI24" s="72"/>
      <c r="AJ24" s="72"/>
      <c r="AL24" s="9" t="s">
        <v>65</v>
      </c>
      <c r="AM24" s="72">
        <f t="shared" si="2"/>
        <v>0</v>
      </c>
      <c r="AN24" s="532"/>
      <c r="AO24" s="532"/>
      <c r="AP24" s="532"/>
    </row>
    <row r="25" spans="1:42" ht="15.75" customHeight="1">
      <c r="A25" t="s">
        <v>43</v>
      </c>
      <c r="B25">
        <f>COUNTIFS('India_lab_(duplicate)'!H:H,"CON",
'India_lab_(duplicate)'!E:E,"&gt;=31",
'India_lab_(duplicate)'!E:E,"&lt;=60",
'India_lab_(duplicate)'!F:F,"Male",
'India_lab_(duplicate)'!J:J,"&lt;&gt;*other ethnicity*")</f>
        <v>131</v>
      </c>
      <c r="C25">
        <f>COUNTIFS('India_lab_(duplicate)'!H:H,"CON",
'India_lab_(duplicate)'!E:E,"&gt;=31",
'India_lab_(duplicate)'!E:E,"&lt;=60",
'India_lab_(duplicate)'!F:F,"Female",
'India_lab_(duplicate)'!J:J,"&lt;&gt;*other ethnicity*")</f>
        <v>110</v>
      </c>
      <c r="D25">
        <f>SUM(B25:C25)</f>
        <v>241</v>
      </c>
      <c r="R25" s="21"/>
      <c r="Y25" s="9" t="s">
        <v>57</v>
      </c>
      <c r="Z25" s="72">
        <f t="shared" si="0"/>
        <v>1</v>
      </c>
      <c r="AA25" s="72">
        <v>1</v>
      </c>
      <c r="AB25" s="72"/>
      <c r="AC25" s="72"/>
      <c r="AF25" s="9" t="s">
        <v>66</v>
      </c>
      <c r="AG25" s="72">
        <f t="shared" si="1"/>
        <v>2</v>
      </c>
      <c r="AH25" s="72"/>
      <c r="AI25" s="72">
        <v>2</v>
      </c>
      <c r="AJ25" s="72"/>
      <c r="AL25" s="9" t="s">
        <v>58</v>
      </c>
      <c r="AM25" s="72">
        <f t="shared" si="2"/>
        <v>0</v>
      </c>
      <c r="AN25" s="532"/>
      <c r="AO25" s="532"/>
      <c r="AP25" s="532"/>
    </row>
    <row r="26" spans="1:42" ht="15.75" customHeight="1">
      <c r="A26" t="s">
        <v>46</v>
      </c>
      <c r="B26">
        <f>COUNTIFS('India_lab_(duplicate)'!H:H,"CON",
'India_lab_(duplicate)'!E:E,"&gt;=61",
'India_lab_(duplicate)'!F:F,"Male",
'India_lab_(duplicate)'!J:J,"&lt;&gt;*other ethnicity*")</f>
        <v>30</v>
      </c>
      <c r="C26">
        <f>COUNTIFS('India_lab_(duplicate)'!H:H,"CON",
'India_lab_(duplicate)'!E:E,"&gt;=61",
'India_lab_(duplicate)'!F:F,"Female",
'India_lab_(duplicate)'!J:J,"&lt;&gt;*other ethnicity*")</f>
        <v>20</v>
      </c>
      <c r="D26">
        <f>SUM(B26:C26)</f>
        <v>50</v>
      </c>
      <c r="R26" s="21"/>
      <c r="Y26" s="573" t="s">
        <v>63</v>
      </c>
      <c r="Z26" s="72">
        <f t="shared" si="0"/>
        <v>1</v>
      </c>
      <c r="AA26" s="72"/>
      <c r="AB26" s="72">
        <v>1</v>
      </c>
      <c r="AC26" s="72"/>
      <c r="AF26" s="9" t="s">
        <v>67</v>
      </c>
      <c r="AG26" s="72">
        <f t="shared" si="1"/>
        <v>4</v>
      </c>
      <c r="AH26" s="72"/>
      <c r="AI26" s="72">
        <v>2</v>
      </c>
      <c r="AJ26" s="72">
        <v>2</v>
      </c>
      <c r="AL26" s="9" t="s">
        <v>59</v>
      </c>
      <c r="AM26" s="72">
        <f t="shared" si="2"/>
        <v>0</v>
      </c>
      <c r="AN26" s="532"/>
      <c r="AO26" s="532"/>
      <c r="AP26" s="532"/>
    </row>
    <row r="27" spans="1:42" ht="15.75" customHeight="1">
      <c r="A27" t="s">
        <v>50</v>
      </c>
      <c r="B27" s="21">
        <f>SUM(B24:B26)</f>
        <v>227</v>
      </c>
      <c r="C27" s="21">
        <f>SUM(C24:C26)</f>
        <v>183</v>
      </c>
      <c r="R27" s="21"/>
      <c r="Y27" s="573" t="s">
        <v>65</v>
      </c>
      <c r="Z27" s="72">
        <f t="shared" si="0"/>
        <v>19</v>
      </c>
      <c r="AA27" s="72">
        <v>6</v>
      </c>
      <c r="AB27" s="72">
        <v>9</v>
      </c>
      <c r="AC27" s="72">
        <v>4</v>
      </c>
      <c r="AF27" s="9" t="s">
        <v>68</v>
      </c>
      <c r="AG27" s="72">
        <f t="shared" si="1"/>
        <v>1</v>
      </c>
      <c r="AH27" s="72"/>
      <c r="AI27" s="72">
        <v>1</v>
      </c>
      <c r="AJ27" s="72"/>
      <c r="AL27" s="9" t="s">
        <v>62</v>
      </c>
      <c r="AM27" s="72">
        <f t="shared" si="2"/>
        <v>0</v>
      </c>
      <c r="AN27" s="532"/>
      <c r="AO27" s="532"/>
      <c r="AP27" s="532"/>
    </row>
    <row r="28" spans="1:42" ht="15.75" customHeight="1">
      <c r="R28" s="21"/>
      <c r="Y28" s="9" t="s">
        <v>58</v>
      </c>
      <c r="Z28" s="72">
        <f t="shared" si="0"/>
        <v>2</v>
      </c>
      <c r="AA28" s="72">
        <v>1</v>
      </c>
      <c r="AB28" s="72">
        <v>1</v>
      </c>
      <c r="AC28" s="72"/>
      <c r="AF28" s="9" t="s">
        <v>69</v>
      </c>
      <c r="AG28" s="72">
        <f t="shared" si="1"/>
        <v>1</v>
      </c>
      <c r="AH28" s="72"/>
      <c r="AI28" s="72"/>
      <c r="AJ28" s="72">
        <v>1</v>
      </c>
      <c r="AL28" s="9" t="s">
        <v>64</v>
      </c>
      <c r="AM28" s="72">
        <f t="shared" si="2"/>
        <v>0</v>
      </c>
      <c r="AN28" s="532"/>
      <c r="AO28" s="532"/>
      <c r="AP28" s="532"/>
    </row>
    <row r="29" spans="1:42" ht="15.75" customHeight="1">
      <c r="R29" s="21"/>
      <c r="Y29" s="9" t="s">
        <v>59</v>
      </c>
      <c r="Z29" s="72">
        <f t="shared" si="0"/>
        <v>4</v>
      </c>
      <c r="AA29" s="72">
        <v>3</v>
      </c>
      <c r="AB29" s="72"/>
      <c r="AC29" s="72">
        <v>1</v>
      </c>
      <c r="AF29" s="571" t="s">
        <v>70</v>
      </c>
      <c r="AG29" s="72">
        <f t="shared" si="1"/>
        <v>1</v>
      </c>
      <c r="AH29" s="72"/>
      <c r="AI29" s="72"/>
      <c r="AJ29" s="72">
        <v>1</v>
      </c>
      <c r="AL29" s="9" t="s">
        <v>71</v>
      </c>
      <c r="AM29" s="72">
        <f t="shared" si="2"/>
        <v>0</v>
      </c>
      <c r="AN29" s="532"/>
      <c r="AO29" s="532"/>
      <c r="AP29" s="532"/>
    </row>
    <row r="30" spans="1:42" ht="15.75" customHeight="1">
      <c r="A30" s="218" t="s">
        <v>72</v>
      </c>
      <c r="R30" s="21"/>
      <c r="Y30" s="9" t="s">
        <v>62</v>
      </c>
      <c r="Z30" s="72">
        <f t="shared" si="0"/>
        <v>4</v>
      </c>
      <c r="AA30" s="72"/>
      <c r="AB30" s="72">
        <v>2</v>
      </c>
      <c r="AC30" s="72">
        <v>2</v>
      </c>
      <c r="AF30" s="571" t="s">
        <v>73</v>
      </c>
      <c r="AG30" s="72">
        <f t="shared" si="1"/>
        <v>1</v>
      </c>
      <c r="AH30" s="72"/>
      <c r="AI30" s="72"/>
      <c r="AJ30" s="72">
        <v>1</v>
      </c>
      <c r="AL30" s="9" t="s">
        <v>66</v>
      </c>
      <c r="AM30" s="72">
        <f t="shared" si="2"/>
        <v>0</v>
      </c>
      <c r="AN30" s="532"/>
      <c r="AO30" s="532"/>
      <c r="AP30" s="532"/>
    </row>
    <row r="31" spans="1:42" ht="15.75" customHeight="1">
      <c r="R31" s="21"/>
      <c r="Y31" s="9" t="s">
        <v>64</v>
      </c>
      <c r="Z31" s="72">
        <f t="shared" si="0"/>
        <v>2</v>
      </c>
      <c r="AA31" s="72">
        <v>2</v>
      </c>
      <c r="AB31" s="72"/>
      <c r="AC31" s="72"/>
      <c r="AF31" s="9" t="s">
        <v>20</v>
      </c>
      <c r="AG31" s="72">
        <f t="shared" si="1"/>
        <v>1</v>
      </c>
      <c r="AH31" s="72"/>
      <c r="AI31" s="72">
        <v>1</v>
      </c>
      <c r="AJ31" s="72"/>
      <c r="AL31" s="9" t="s">
        <v>74</v>
      </c>
      <c r="AM31" s="72">
        <f t="shared" si="2"/>
        <v>0</v>
      </c>
      <c r="AN31" s="532"/>
      <c r="AO31" s="532"/>
      <c r="AP31" s="532"/>
    </row>
    <row r="32" spans="1:42" ht="15.75" customHeight="1">
      <c r="A32" s="20" t="s">
        <v>35</v>
      </c>
      <c r="B32" t="s">
        <v>60</v>
      </c>
      <c r="C32" t="s">
        <v>75</v>
      </c>
      <c r="D32" t="s">
        <v>50</v>
      </c>
      <c r="R32" s="21"/>
      <c r="Y32" s="585" t="s">
        <v>71</v>
      </c>
      <c r="Z32" s="72">
        <f t="shared" si="0"/>
        <v>2</v>
      </c>
      <c r="AA32" s="72">
        <v>2</v>
      </c>
      <c r="AB32" s="72"/>
      <c r="AC32" s="72"/>
      <c r="AF32" s="318" t="s">
        <v>36</v>
      </c>
      <c r="AG32" s="319">
        <f>SUM(AG2:AG31)</f>
        <v>223</v>
      </c>
      <c r="AH32" s="319">
        <f>SUM(AH2:AH31)</f>
        <v>101</v>
      </c>
      <c r="AI32" s="319">
        <f>SUM(AI2:AI31)</f>
        <v>82</v>
      </c>
      <c r="AJ32" s="319">
        <f>SUM(AJ2:AJ31)</f>
        <v>40</v>
      </c>
      <c r="AL32" s="9" t="s">
        <v>67</v>
      </c>
      <c r="AM32" s="72">
        <f t="shared" si="2"/>
        <v>0</v>
      </c>
      <c r="AN32" s="532"/>
      <c r="AO32" s="532"/>
      <c r="AP32" s="532"/>
    </row>
    <row r="33" spans="1:42" ht="15.75" customHeight="1">
      <c r="A33" s="20" t="s">
        <v>38</v>
      </c>
      <c r="B33">
        <f>SUM(B138,H138,M138)</f>
        <v>7</v>
      </c>
      <c r="C33">
        <f>SUM(C138,I138,N138)</f>
        <v>3</v>
      </c>
      <c r="D33">
        <f>SUM(B33:C33)</f>
        <v>10</v>
      </c>
      <c r="R33" s="21"/>
      <c r="Y33" s="586" t="s">
        <v>66</v>
      </c>
      <c r="Z33" s="72">
        <f t="shared" si="0"/>
        <v>1</v>
      </c>
      <c r="AA33" s="72"/>
      <c r="AB33" s="72">
        <v>1</v>
      </c>
      <c r="AC33" s="72"/>
      <c r="AD33" s="591" t="s">
        <v>66</v>
      </c>
      <c r="AL33" s="9" t="s">
        <v>68</v>
      </c>
      <c r="AM33" s="72">
        <f t="shared" si="2"/>
        <v>0</v>
      </c>
      <c r="AN33" s="532"/>
      <c r="AO33" s="532"/>
      <c r="AP33" s="532"/>
    </row>
    <row r="34" spans="1:42" ht="15.75" customHeight="1">
      <c r="A34" t="s">
        <v>43</v>
      </c>
      <c r="B34">
        <f>SUM(B139,H139,M139)</f>
        <v>46</v>
      </c>
      <c r="C34">
        <f>SUM(C139,I139,N139)</f>
        <v>56</v>
      </c>
      <c r="D34">
        <f>SUM(B34:C34)</f>
        <v>102</v>
      </c>
      <c r="R34" s="21"/>
      <c r="Y34" s="586" t="s">
        <v>74</v>
      </c>
      <c r="Z34" s="72">
        <f t="shared" si="0"/>
        <v>1</v>
      </c>
      <c r="AA34" s="72"/>
      <c r="AB34" s="72">
        <v>1</v>
      </c>
      <c r="AC34" s="72"/>
      <c r="AF34" s="594"/>
      <c r="AG34" s="71"/>
      <c r="AH34" s="71"/>
      <c r="AI34" s="71"/>
      <c r="AJ34" s="71"/>
      <c r="AK34" s="105"/>
      <c r="AL34" s="9" t="s">
        <v>76</v>
      </c>
      <c r="AM34" s="72">
        <f t="shared" si="2"/>
        <v>0</v>
      </c>
      <c r="AN34" s="532"/>
      <c r="AO34" s="532"/>
      <c r="AP34" s="532"/>
    </row>
    <row r="35" spans="1:42" ht="15.75" customHeight="1">
      <c r="A35" t="s">
        <v>47</v>
      </c>
      <c r="B35">
        <f>SUM(B140,H140,M140)</f>
        <v>48</v>
      </c>
      <c r="C35">
        <f>SUM(C140,I140,N140)</f>
        <v>43</v>
      </c>
      <c r="D35">
        <f>SUM(B35:C35)</f>
        <v>91</v>
      </c>
      <c r="R35" s="21"/>
      <c r="Y35" s="9" t="s">
        <v>67</v>
      </c>
      <c r="Z35" s="72">
        <f t="shared" si="0"/>
        <v>4</v>
      </c>
      <c r="AA35" s="72"/>
      <c r="AB35" s="72">
        <v>2</v>
      </c>
      <c r="AC35" s="72">
        <v>2</v>
      </c>
      <c r="AL35" s="9" t="s">
        <v>69</v>
      </c>
      <c r="AM35" s="72">
        <f t="shared" si="2"/>
        <v>0</v>
      </c>
      <c r="AN35" s="532"/>
      <c r="AO35" s="532"/>
      <c r="AP35" s="532"/>
    </row>
    <row r="36" spans="1:42" ht="15.75" customHeight="1">
      <c r="A36" t="s">
        <v>50</v>
      </c>
      <c r="B36" s="21">
        <f>SUM(B33:B35)</f>
        <v>101</v>
      </c>
      <c r="C36" s="21">
        <f>SUM(C33:C35)</f>
        <v>102</v>
      </c>
      <c r="R36" s="21"/>
      <c r="Y36" s="9" t="s">
        <v>68</v>
      </c>
      <c r="Z36" s="72">
        <f t="shared" si="0"/>
        <v>1</v>
      </c>
      <c r="AA36" s="72"/>
      <c r="AB36" s="72">
        <v>1</v>
      </c>
      <c r="AC36" s="72"/>
      <c r="AL36" s="9" t="s">
        <v>77</v>
      </c>
      <c r="AM36" s="72">
        <f t="shared" si="2"/>
        <v>0</v>
      </c>
      <c r="AN36" s="532"/>
      <c r="AO36" s="532"/>
      <c r="AP36" s="532"/>
    </row>
    <row r="37" spans="1:42" ht="15.75" customHeight="1">
      <c r="R37" s="21"/>
      <c r="Y37" s="585" t="s">
        <v>76</v>
      </c>
      <c r="Z37" s="72">
        <f t="shared" si="0"/>
        <v>3</v>
      </c>
      <c r="AA37" s="72"/>
      <c r="AB37" s="72">
        <v>3</v>
      </c>
      <c r="AC37" s="72"/>
      <c r="AF37" s="594"/>
      <c r="AG37" s="595"/>
      <c r="AH37" s="71"/>
      <c r="AI37" s="595"/>
      <c r="AJ37" s="71"/>
      <c r="AL37" s="9" t="s">
        <v>78</v>
      </c>
      <c r="AM37" s="72">
        <f t="shared" si="2"/>
        <v>0</v>
      </c>
      <c r="AN37" s="532"/>
      <c r="AO37" s="532"/>
      <c r="AP37" s="532"/>
    </row>
    <row r="38" spans="1:42" ht="15.75" customHeight="1">
      <c r="R38" s="21"/>
      <c r="Y38" s="9" t="s">
        <v>69</v>
      </c>
      <c r="Z38" s="72">
        <f t="shared" si="0"/>
        <v>1</v>
      </c>
      <c r="AA38" s="72"/>
      <c r="AB38" s="72"/>
      <c r="AC38" s="72">
        <v>1</v>
      </c>
      <c r="AL38" s="9" t="s">
        <v>20</v>
      </c>
      <c r="AM38" s="72">
        <f t="shared" si="2"/>
        <v>0</v>
      </c>
      <c r="AN38" s="532"/>
      <c r="AO38" s="532"/>
      <c r="AP38" s="532"/>
    </row>
    <row r="39" spans="1:42" ht="15.75" customHeight="1">
      <c r="A39" s="221" t="s">
        <v>79</v>
      </c>
      <c r="R39" s="21"/>
      <c r="Y39" s="585" t="s">
        <v>77</v>
      </c>
      <c r="Z39" s="72">
        <f t="shared" si="0"/>
        <v>1</v>
      </c>
      <c r="AA39" s="72"/>
      <c r="AB39" s="72"/>
      <c r="AC39" s="72">
        <v>1</v>
      </c>
      <c r="AF39" s="594"/>
      <c r="AG39" s="595"/>
      <c r="AH39" s="71"/>
      <c r="AI39" s="71"/>
      <c r="AJ39" s="595"/>
      <c r="AL39" s="318" t="s">
        <v>36</v>
      </c>
      <c r="AM39" s="533">
        <f>SUM(AM2:AM38)</f>
        <v>0</v>
      </c>
      <c r="AN39" s="533"/>
      <c r="AO39" s="533"/>
      <c r="AP39" s="533"/>
    </row>
    <row r="40" spans="1:42" ht="15.75" customHeight="1">
      <c r="R40" s="21"/>
      <c r="Y40" s="571" t="s">
        <v>70</v>
      </c>
      <c r="Z40" s="72">
        <f t="shared" si="0"/>
        <v>1</v>
      </c>
      <c r="AA40" s="72"/>
      <c r="AB40" s="72"/>
      <c r="AC40" s="72">
        <v>1</v>
      </c>
    </row>
    <row r="41" spans="1:42" ht="15.75" customHeight="1">
      <c r="R41" s="21"/>
      <c r="Y41" s="571" t="s">
        <v>73</v>
      </c>
      <c r="Z41" s="72">
        <f t="shared" si="0"/>
        <v>1</v>
      </c>
      <c r="AA41" s="72"/>
      <c r="AB41" s="72"/>
      <c r="AC41" s="72">
        <v>1</v>
      </c>
    </row>
    <row r="42" spans="1:42" ht="15.75" customHeight="1">
      <c r="A42" t="s">
        <v>80</v>
      </c>
      <c r="F42">
        <f>COUNTIF('India_lab_(duplicate)'!L2:L1304,"Acute leukemia")</f>
        <v>0</v>
      </c>
      <c r="R42" s="21"/>
      <c r="Y42" s="9" t="s">
        <v>20</v>
      </c>
      <c r="Z42" s="72">
        <f t="shared" si="0"/>
        <v>1</v>
      </c>
      <c r="AA42" s="72"/>
      <c r="AB42" s="72">
        <v>1</v>
      </c>
      <c r="AC42" s="72"/>
    </row>
    <row r="43" spans="1:42" ht="15.75" customHeight="1">
      <c r="A43" t="s">
        <v>81</v>
      </c>
      <c r="F43">
        <f>COUNTIF('India_lab_(duplicate)'!L2:L1304,"Adenocarcinoma upper rectum")</f>
        <v>0</v>
      </c>
      <c r="R43" s="21"/>
      <c r="Y43" s="318" t="s">
        <v>36</v>
      </c>
      <c r="Z43" s="319">
        <f>SUM(Z2:Z42)</f>
        <v>228</v>
      </c>
      <c r="AA43" s="319">
        <f>SUM(AA2:AA42)</f>
        <v>100</v>
      </c>
      <c r="AB43" s="319">
        <f>SUM(AB2:AB42)</f>
        <v>82</v>
      </c>
      <c r="AC43" s="319">
        <f>SUM(AC2:AC42)</f>
        <v>40</v>
      </c>
    </row>
    <row r="44" spans="1:42" ht="15.75" customHeight="1">
      <c r="A44" t="s">
        <v>82</v>
      </c>
      <c r="F44">
        <f>COUNTIF('India_lab_(duplicate)'!L2:L1304,"Auto- Immune Thyroid Disease")</f>
        <v>0</v>
      </c>
      <c r="R44" s="21"/>
    </row>
    <row r="45" spans="1:42" ht="15.75" customHeight="1">
      <c r="A45" t="s">
        <v>83</v>
      </c>
      <c r="F45">
        <f>COUNTIF('India_lab_(duplicate)'!L2:L1304,"B cell lymphoma")</f>
        <v>0</v>
      </c>
      <c r="R45" s="21"/>
    </row>
    <row r="46" spans="1:42" ht="15.75" customHeight="1">
      <c r="A46" t="s">
        <v>84</v>
      </c>
      <c r="F46">
        <f>COUNTIF('India_lab_(duplicate)'!L2:L1304,"B-CELL MALT Lymphoma (Jejunum)")</f>
        <v>0</v>
      </c>
      <c r="R46" s="21"/>
    </row>
    <row r="47" spans="1:42" ht="15.75" customHeight="1">
      <c r="A47" t="s">
        <v>85</v>
      </c>
      <c r="F47">
        <f>COUNTIF('India_lab_(duplicate)'!L2:L1304,"B-Cell Non-Hodkgins Lymphoma")</f>
        <v>0</v>
      </c>
      <c r="R47" s="21"/>
    </row>
    <row r="48" spans="1:42" ht="15.75" customHeight="1">
      <c r="A48" t="s">
        <v>86</v>
      </c>
      <c r="F48">
        <f>COUNTIF('India_lab_(duplicate)'!L2:L1304,"Bladder Cancer")</f>
        <v>4</v>
      </c>
      <c r="R48" s="21"/>
    </row>
    <row r="49" spans="1:18" ht="15.75" customHeight="1">
      <c r="A49" t="s">
        <v>87</v>
      </c>
      <c r="F49">
        <f>COUNTIF('India_lab_(duplicate)'!L2:L1304,"Breast")</f>
        <v>1</v>
      </c>
      <c r="R49" s="21"/>
    </row>
    <row r="50" spans="1:18" ht="15.75" customHeight="1">
      <c r="A50" t="s">
        <v>88</v>
      </c>
      <c r="F50">
        <f>COUNTIF('India_lab_(duplicate)'!L2:L1304,"Breast  (Invasive Duct Carcinoma)")</f>
        <v>0</v>
      </c>
      <c r="R50" s="21"/>
    </row>
    <row r="51" spans="1:18" ht="15.75" customHeight="1">
      <c r="A51" t="s">
        <v>89</v>
      </c>
      <c r="F51">
        <f>COUNTIF('India_lab_(duplicate)'!L2:L1304,"Breast Cancer")</f>
        <v>23</v>
      </c>
      <c r="R51" s="21"/>
    </row>
    <row r="52" spans="1:18" ht="15.75" customHeight="1">
      <c r="A52" t="s">
        <v>19</v>
      </c>
      <c r="F52">
        <f>COUNTIF('India_lab_(duplicate)'!L2:L1304,"Cervical cancer")</f>
        <v>5</v>
      </c>
      <c r="R52" s="21"/>
    </row>
    <row r="53" spans="1:18" ht="15.75" customHeight="1">
      <c r="A53" t="s">
        <v>90</v>
      </c>
      <c r="F53">
        <f>COUNTIF('India_lab_(duplicate)'!L2:L1304,"Chronic Essential thrombocythemia/Neoplasm")</f>
        <v>0</v>
      </c>
      <c r="R53" s="21"/>
    </row>
    <row r="54" spans="1:18" ht="15.75" customHeight="1">
      <c r="A54" t="s">
        <v>91</v>
      </c>
      <c r="F54">
        <f>COUNTIF('India_lab_(duplicate)'!L2:L1304,"Chronic lymphoid leukemia")</f>
        <v>0</v>
      </c>
      <c r="R54" s="21"/>
    </row>
    <row r="55" spans="1:18" ht="15.75" customHeight="1">
      <c r="A55" t="s">
        <v>92</v>
      </c>
      <c r="F55">
        <f>COUNTIF('India_lab_(duplicate)'!L2:L1304,"Colon Cancer")</f>
        <v>14</v>
      </c>
      <c r="R55" s="21"/>
    </row>
    <row r="56" spans="1:18" ht="15.75" customHeight="1">
      <c r="A56" t="s">
        <v>93</v>
      </c>
      <c r="F56">
        <f>COUNTIF('India_lab_(duplicate)'!L2:L1304,"Colorectal Cancer")</f>
        <v>3</v>
      </c>
      <c r="R56" s="21"/>
    </row>
    <row r="57" spans="1:18" ht="15.75" customHeight="1">
      <c r="A57" t="s">
        <v>69</v>
      </c>
      <c r="F57">
        <f>COUNTIF('India_lab_(duplicate)'!L2:L1304,"Endometrial cancer")</f>
        <v>1</v>
      </c>
      <c r="R57" s="21"/>
    </row>
    <row r="58" spans="1:18" ht="15.75" customHeight="1">
      <c r="A58" t="s">
        <v>94</v>
      </c>
      <c r="F58">
        <f>COUNTIF('India_lab_(duplicate)'!L2:L1304,"Female Reproductive Organ  (Adnexae)")</f>
        <v>0</v>
      </c>
      <c r="R58" s="21"/>
    </row>
    <row r="59" spans="1:18" ht="15.75" customHeight="1">
      <c r="A59" t="s">
        <v>95</v>
      </c>
      <c r="F59">
        <f>COUNTIF('India_lab_(duplicate)'!L2:L1304,"Female Reproductive Organ  (Cervix, carcinoma)")</f>
        <v>0</v>
      </c>
      <c r="R59" s="21"/>
    </row>
    <row r="60" spans="1:18" ht="15.75" customHeight="1">
      <c r="A60" t="s">
        <v>96</v>
      </c>
      <c r="F60">
        <f>COUNTIF('India_lab_(duplicate)'!L2:L1304,"Female Reproductive Organ  (Cervix, Squamous Cell Carcinoma)")</f>
        <v>0</v>
      </c>
      <c r="R60" s="21"/>
    </row>
    <row r="61" spans="1:18" ht="15.75" customHeight="1">
      <c r="A61" t="s">
        <v>97</v>
      </c>
      <c r="F61">
        <f>COUNTIF('India_lab_(duplicate)'!L2:L1304,"Female Reproductive Organ (Endometriosis)")</f>
        <v>0</v>
      </c>
      <c r="R61" s="21"/>
    </row>
    <row r="62" spans="1:18" ht="15.75" customHeight="1">
      <c r="A62" t="s">
        <v>98</v>
      </c>
      <c r="F62">
        <f>COUNTIF('India_lab_(duplicate)'!L2:L1304,"Female Reproductive Organ (Uterine Fibroids)")</f>
        <v>0</v>
      </c>
      <c r="R62" s="21"/>
    </row>
    <row r="63" spans="1:18" ht="15.75" customHeight="1">
      <c r="A63" t="s">
        <v>99</v>
      </c>
      <c r="F63">
        <f>COUNTIF('India_lab_(duplicate)'!L2:L1304,"Follicular Ameloblastoma")</f>
        <v>1</v>
      </c>
      <c r="R63" s="21"/>
    </row>
    <row r="64" spans="1:18" ht="15.75" customHeight="1">
      <c r="A64" t="s">
        <v>100</v>
      </c>
      <c r="F64">
        <f>COUNTIF('India_lab_(duplicate)'!L2:L1304,"Gastroesophageal junction Adenocarcinoma")</f>
        <v>0</v>
      </c>
      <c r="R64" s="21"/>
    </row>
    <row r="65" spans="1:18" ht="15.75" customHeight="1">
      <c r="A65" t="s">
        <v>101</v>
      </c>
      <c r="F65">
        <f>COUNTIF('India_lab_(duplicate)'!L2:L1304,"GI  (Colon)")</f>
        <v>0</v>
      </c>
      <c r="R65" s="21"/>
    </row>
    <row r="66" spans="1:18" ht="15.75" customHeight="1">
      <c r="A66" t="s">
        <v>102</v>
      </c>
      <c r="F66">
        <f>COUNTIF('India_lab_(duplicate)'!L2:L1304,"GI  (Oesophagus, Squamous Cell Carcinoma)")</f>
        <v>0</v>
      </c>
      <c r="R66" s="21"/>
    </row>
    <row r="67" spans="1:18" ht="15.75" customHeight="1">
      <c r="A67" t="s">
        <v>103</v>
      </c>
      <c r="F67">
        <f>COUNTIF('India_lab_(duplicate)'!L2:L1304,"GI  (Rectum, Adenocarcinoma)")</f>
        <v>0</v>
      </c>
      <c r="R67" s="21"/>
    </row>
    <row r="68" spans="1:18" ht="15.75" customHeight="1">
      <c r="A68" t="s">
        <v>104</v>
      </c>
      <c r="F68">
        <f>COUNTIF('India_lab_(duplicate)'!L2:L1304,"GI  (Stomach, neuroendocrine)")</f>
        <v>0</v>
      </c>
      <c r="R68" s="21"/>
    </row>
    <row r="69" spans="1:18" ht="15.75" customHeight="1">
      <c r="A69" t="s">
        <v>105</v>
      </c>
      <c r="F69">
        <f>COUNTIF('India_lab_(duplicate)'!L2:L1304,"GI (Colon?)")</f>
        <v>1</v>
      </c>
      <c r="R69" s="21"/>
    </row>
    <row r="70" spans="1:18" ht="15.75" customHeight="1">
      <c r="A70" t="s">
        <v>106</v>
      </c>
      <c r="F70">
        <f>COUNTIF('India_lab_(duplicate)'!L2:L1304,"GI (Stomach, Neuroendocrine Tumor)")</f>
        <v>0</v>
      </c>
      <c r="R70" s="21"/>
    </row>
    <row r="71" spans="1:18" ht="15.75" customHeight="1">
      <c r="A71" t="s">
        <v>107</v>
      </c>
      <c r="F71">
        <f>COUNTIF('India_lab_(duplicate)'!L2:L1304,"GI (Stomach, Signet Ring Carcinoma)")</f>
        <v>0</v>
      </c>
      <c r="R71" s="21"/>
    </row>
    <row r="72" spans="1:18" ht="15.75" customHeight="1">
      <c r="A72" t="s">
        <v>108</v>
      </c>
      <c r="F72">
        <f>COUNTIF('India_lab_(duplicate)'!L2:L1304,"GIST")</f>
        <v>1</v>
      </c>
      <c r="R72" s="21"/>
    </row>
    <row r="73" spans="1:18" ht="15.75" customHeight="1">
      <c r="A73" t="s">
        <v>109</v>
      </c>
      <c r="F73">
        <f>COUNTIF('India_lab_(duplicate)'!L2:L1304,"Glioblastoma")</f>
        <v>0</v>
      </c>
      <c r="R73" s="21"/>
    </row>
    <row r="74" spans="1:18" ht="15.75" customHeight="1">
      <c r="A74" t="s">
        <v>110</v>
      </c>
      <c r="F74">
        <f>COUNTIF('India_lab_(duplicate)'!L2:L1304,"Granulosa Cell Tumor of Ovary")</f>
        <v>0</v>
      </c>
      <c r="R74" s="21"/>
    </row>
    <row r="75" spans="1:18" ht="15.75" customHeight="1">
      <c r="A75" t="s">
        <v>111</v>
      </c>
      <c r="F75">
        <f>COUNTIF('India_lab_(duplicate)'!L2:L1304,"Hairy Cell Leukemia")</f>
        <v>0</v>
      </c>
      <c r="R75" s="21"/>
    </row>
    <row r="76" spans="1:18" ht="15.75" customHeight="1">
      <c r="A76" t="s">
        <v>112</v>
      </c>
      <c r="F76">
        <f>COUNTIF('India_lab_(duplicate)'!L2:L1304,"Head &amp; Neck  (Oral Cavity, Leimyosarcoma)")</f>
        <v>0</v>
      </c>
      <c r="R76" s="21"/>
    </row>
    <row r="77" spans="1:18" ht="15.75" customHeight="1">
      <c r="A77" t="s">
        <v>113</v>
      </c>
      <c r="F77">
        <f>COUNTIF('India_lab_(duplicate)'!L2:L1304,"Head &amp; Neck  (Tongue, SCC)")</f>
        <v>0</v>
      </c>
      <c r="R77" s="21"/>
    </row>
    <row r="78" spans="1:18" ht="15.75" customHeight="1">
      <c r="A78" t="s">
        <v>114</v>
      </c>
      <c r="F78">
        <f>COUNTIF('India_lab_(duplicate)'!L2:L1304,"Hepatobilliary System (Liver, Hemangioma)")</f>
        <v>0</v>
      </c>
      <c r="R78" s="21"/>
    </row>
    <row r="79" spans="1:18" ht="15.75" customHeight="1">
      <c r="A79" t="s">
        <v>42</v>
      </c>
      <c r="F79">
        <f>COUNTIF('India_lab_(duplicate)'!L2:L1304,"Hepatocellular carcinoma")</f>
        <v>1</v>
      </c>
      <c r="R79" s="21"/>
    </row>
    <row r="80" spans="1:18" ht="15.75" customHeight="1">
      <c r="A80" t="s">
        <v>115</v>
      </c>
      <c r="F80">
        <f>COUNTIF('India_lab_(duplicate)'!L2:L1304,"Hodgkin Lymphoma")</f>
        <v>0</v>
      </c>
      <c r="R80" s="21"/>
    </row>
    <row r="81" spans="1:18" ht="15.75" customHeight="1">
      <c r="A81" t="s">
        <v>116</v>
      </c>
      <c r="F81">
        <f>COUNTIF('India_lab_(duplicate)'!L2:L1304,"Hodgkins Lymphoma")</f>
        <v>0</v>
      </c>
      <c r="R81" s="21"/>
    </row>
    <row r="82" spans="1:18" ht="15.75" customHeight="1">
      <c r="A82" t="s">
        <v>67</v>
      </c>
      <c r="F82">
        <f>COUNTIF('India_lab_(duplicate)'!L2:L1304,"Kidney cancer")</f>
        <v>4</v>
      </c>
      <c r="R82" s="21"/>
    </row>
    <row r="83" spans="1:18" ht="15.75" customHeight="1">
      <c r="A83" t="s">
        <v>41</v>
      </c>
      <c r="F83">
        <f>COUNTIF('India_lab_(duplicate)'!L2:L1304,"liver cancer")</f>
        <v>4</v>
      </c>
      <c r="R83" s="21"/>
    </row>
    <row r="84" spans="1:18" ht="15.75" customHeight="1">
      <c r="A84" t="s">
        <v>117</v>
      </c>
      <c r="F84">
        <f>COUNTIF('India_lab_(duplicate)'!L53:L1367,"Lung  (Adenocarcinoma)")</f>
        <v>0</v>
      </c>
      <c r="R84" s="21"/>
    </row>
    <row r="85" spans="1:18" ht="15.75" customHeight="1">
      <c r="A85" t="s">
        <v>118</v>
      </c>
      <c r="F85">
        <f>COUNTIF('India_lab_(duplicate)'!L54:L1368,"Lung  (Non Small Cell Carcinoma/ Squamous Cell Carcioma)")</f>
        <v>0</v>
      </c>
      <c r="R85" s="21"/>
    </row>
    <row r="86" spans="1:18" ht="15.75" customHeight="1">
      <c r="A86" t="s">
        <v>119</v>
      </c>
      <c r="F86">
        <f>COUNTIF('India_lab_(duplicate)'!L55:L1369,"Lung (Non Small Cell Carcinoma)")</f>
        <v>0</v>
      </c>
      <c r="R86" s="21"/>
    </row>
    <row r="87" spans="1:18" ht="15.75" customHeight="1">
      <c r="A87" t="s">
        <v>120</v>
      </c>
      <c r="F87">
        <f>COUNTIF('India_lab_(duplicate)'!L2:L1304,"Lung Cancer")</f>
        <v>39</v>
      </c>
      <c r="R87" s="21"/>
    </row>
    <row r="88" spans="1:18" ht="15.75" customHeight="1">
      <c r="A88" t="s">
        <v>121</v>
      </c>
      <c r="F88">
        <f>COUNTIF('India_lab_(duplicate)'!L57:L1371,"Male Reproductive Organ  (Prostate)")</f>
        <v>0</v>
      </c>
      <c r="R88" s="21"/>
    </row>
    <row r="89" spans="1:18" ht="15.75" customHeight="1">
      <c r="A89" t="s">
        <v>122</v>
      </c>
      <c r="F89">
        <f>COUNTIF('India_lab_(duplicate)'!L2:L1304,"Male Reproductive Organ  (Prostate, Adenocarcinoma)")</f>
        <v>0</v>
      </c>
      <c r="R89" s="21"/>
    </row>
    <row r="90" spans="1:18" ht="15.75" customHeight="1">
      <c r="A90" t="s">
        <v>123</v>
      </c>
      <c r="F90">
        <f>COUNTIF('India_lab_(duplicate)'!L2:L1304,"Male Reproductive Organ (Prostate)")</f>
        <v>0</v>
      </c>
      <c r="R90" s="21"/>
    </row>
    <row r="91" spans="1:18" ht="15.75" customHeight="1">
      <c r="A91" t="s">
        <v>124</v>
      </c>
      <c r="F91">
        <f>COUNTIF('India_lab_(duplicate)'!L61:L1375,"Metastatic adenocarcinoma of the lung")</f>
        <v>0</v>
      </c>
      <c r="R91" s="21"/>
    </row>
    <row r="92" spans="1:18" ht="15.75" customHeight="1">
      <c r="A92" t="s">
        <v>125</v>
      </c>
      <c r="F92">
        <f>COUNTIF('India_lab_(duplicate)'!L62:L1376,"Breast Cancer")</f>
        <v>23</v>
      </c>
      <c r="R92" s="21"/>
    </row>
    <row r="93" spans="1:18" ht="15.75" customHeight="1">
      <c r="A93" t="s">
        <v>126</v>
      </c>
      <c r="F93">
        <f>COUNTIF('India_lab_(duplicate)'!L2:L1304,"Mucoepidermoid carcinoma")</f>
        <v>0</v>
      </c>
      <c r="R93" s="21"/>
    </row>
    <row r="94" spans="1:18" ht="15.75" customHeight="1">
      <c r="A94" t="s">
        <v>127</v>
      </c>
      <c r="F94">
        <f>COUNTIF('India_lab_(duplicate)'!L2:L1304,"Non Hodgkin's Lymphoma")</f>
        <v>0</v>
      </c>
      <c r="R94" s="21"/>
    </row>
    <row r="95" spans="1:18" ht="15.75" customHeight="1">
      <c r="A95" t="s">
        <v>128</v>
      </c>
      <c r="F95">
        <f>COUNTIF('India_lab_(duplicate)'!L2:L1304,"Non-hodgkin lymphoma")</f>
        <v>0</v>
      </c>
      <c r="R95" s="21"/>
    </row>
    <row r="96" spans="1:18" ht="15.75" customHeight="1">
      <c r="A96" t="s">
        <v>129</v>
      </c>
      <c r="F96">
        <f>COUNTIF('India_lab_(duplicate)'!L2:L1304,"Oral Cancer")</f>
        <v>6</v>
      </c>
      <c r="R96" s="21"/>
    </row>
    <row r="97" spans="1:18" ht="15.75" customHeight="1">
      <c r="A97" t="s">
        <v>130</v>
      </c>
      <c r="F97">
        <f>COUNTIF('India_lab_(duplicate)'!L2:L1304,"Ovarian Cancer")</f>
        <v>5</v>
      </c>
      <c r="R97" s="21"/>
    </row>
    <row r="98" spans="1:18" ht="15.75" customHeight="1">
      <c r="A98" t="s">
        <v>131</v>
      </c>
      <c r="F98">
        <f>COUNTIF('India_lab_(duplicate)'!L2:L1304,"Ovarian carcinoma, metastatic")</f>
        <v>0</v>
      </c>
      <c r="R98" s="21"/>
    </row>
    <row r="99" spans="1:18" ht="15.75" customHeight="1">
      <c r="A99" t="s">
        <v>132</v>
      </c>
      <c r="F99">
        <f>COUNTIF('India_lab_(duplicate)'!L2:L1304,"Pancreatic neuroendocrine tumor")</f>
        <v>0</v>
      </c>
      <c r="R99" s="21"/>
    </row>
    <row r="100" spans="1:18" ht="15.75" customHeight="1">
      <c r="A100" t="s">
        <v>133</v>
      </c>
      <c r="F100">
        <f>COUNTIF('India_lab_(duplicate)'!L2:L1304,"Periampullary carcinoma")</f>
        <v>0</v>
      </c>
      <c r="R100" s="21"/>
    </row>
    <row r="101" spans="1:18" ht="15.75" customHeight="1">
      <c r="A101" t="s">
        <v>134</v>
      </c>
      <c r="F101">
        <f>COUNTIF('India_lab_(duplicate)'!L2:L1304,"Perianal squamous cell carcinoma")</f>
        <v>0</v>
      </c>
      <c r="R101" s="21"/>
    </row>
    <row r="102" spans="1:18" ht="15.75" customHeight="1">
      <c r="A102" t="s">
        <v>135</v>
      </c>
      <c r="F102">
        <f>COUNTIF('India_lab_(duplicate)'!L2:L1304,"Perihilar Cholangiocarcinoma")</f>
        <v>1</v>
      </c>
      <c r="R102" s="21"/>
    </row>
    <row r="103" spans="1:18" ht="15.75" customHeight="1">
      <c r="A103" t="s">
        <v>136</v>
      </c>
      <c r="F103">
        <f>COUNTIF('India_lab_(duplicate)'!L2:L1304,"Pleomorphic Adenoma")</f>
        <v>1</v>
      </c>
      <c r="R103" s="21"/>
    </row>
    <row r="104" spans="1:18" ht="15.75" customHeight="1">
      <c r="A104" t="s">
        <v>137</v>
      </c>
      <c r="F104">
        <f>COUNTIF('India_lab_(duplicate)'!L2:L1304,"Prostate adenocarcinoma")</f>
        <v>0</v>
      </c>
      <c r="R104" s="21"/>
    </row>
    <row r="105" spans="1:18" ht="15.75" customHeight="1">
      <c r="A105" t="s">
        <v>55</v>
      </c>
      <c r="F105">
        <f>COUNTIF('India_lab_(duplicate)'!L2:L1304,"Prostate cancer")</f>
        <v>10</v>
      </c>
      <c r="R105" s="21"/>
    </row>
    <row r="106" spans="1:18" ht="15.75" customHeight="1">
      <c r="A106" t="s">
        <v>138</v>
      </c>
      <c r="F106">
        <f>COUNTIF('India_lab_(duplicate)'!L2:L1304,"Prostate, bladder, bone")</f>
        <v>1</v>
      </c>
      <c r="R106" s="21"/>
    </row>
    <row r="107" spans="1:18" ht="15.75" customHeight="1">
      <c r="A107" t="s">
        <v>57</v>
      </c>
      <c r="F107">
        <f>COUNTIF('India_lab_(duplicate)'!L2:L1304,"PUO")</f>
        <v>1</v>
      </c>
      <c r="R107" s="21"/>
    </row>
    <row r="108" spans="1:18" ht="15.75" customHeight="1">
      <c r="A108" t="s">
        <v>139</v>
      </c>
      <c r="F108">
        <f>COUNTIF('India_lab_(duplicate)'!L2:L1304,"Rectal Cancer")</f>
        <v>1</v>
      </c>
      <c r="R108" s="21"/>
    </row>
    <row r="109" spans="1:18" ht="15.75" customHeight="1">
      <c r="A109" t="s">
        <v>140</v>
      </c>
      <c r="F109">
        <f>COUNTIF('India_lab_(duplicate)'!L2:L1304,"Rectum Cancer")</f>
        <v>19</v>
      </c>
      <c r="R109" s="21"/>
    </row>
    <row r="110" spans="1:18" ht="15.75" customHeight="1">
      <c r="A110" t="s">
        <v>141</v>
      </c>
      <c r="F110">
        <f>COUNTIF('India_lab_(duplicate)'!L2:L1304,"Remission for Sarcoidosis since 27, Thyroid disease")</f>
        <v>0</v>
      </c>
      <c r="R110" s="21"/>
    </row>
    <row r="111" spans="1:18" ht="15.75" customHeight="1">
      <c r="A111" t="s">
        <v>142</v>
      </c>
      <c r="F111">
        <f>COUNTIF('India_lab_(duplicate)'!L2:L1304,"Renal cell carcinoma")</f>
        <v>0</v>
      </c>
      <c r="R111" s="21"/>
    </row>
    <row r="112" spans="1:18" ht="15.75" customHeight="1">
      <c r="A112" t="s">
        <v>143</v>
      </c>
      <c r="F112">
        <f>COUNTIF('India_lab_(duplicate)'!L2:L1304,"SCC Anal Canal")</f>
        <v>0</v>
      </c>
      <c r="R112" s="21"/>
    </row>
    <row r="113" spans="1:18" ht="15.75" customHeight="1">
      <c r="A113" t="s">
        <v>144</v>
      </c>
      <c r="F113">
        <f>COUNTIF('India_lab_(duplicate)'!L2:L1304,"Sigmoid Colon")</f>
        <v>0</v>
      </c>
      <c r="R113" s="21"/>
    </row>
    <row r="114" spans="1:18" ht="15.75" customHeight="1">
      <c r="A114" t="s">
        <v>145</v>
      </c>
      <c r="F114">
        <f>COUNTIF('India_lab_(duplicate)'!L2:L1304,"Soft Tissue (Cyst near rib cage)")</f>
        <v>0</v>
      </c>
      <c r="R114" s="21"/>
    </row>
    <row r="115" spans="1:18" ht="15.75" customHeight="1">
      <c r="A115" t="s">
        <v>146</v>
      </c>
      <c r="F115">
        <f>COUNTIF('India_lab_(duplicate)'!L2:L1304,"Soft Tissue (Lipoma)")</f>
        <v>1</v>
      </c>
      <c r="R115" s="21"/>
    </row>
    <row r="116" spans="1:18" ht="15.75" customHeight="1">
      <c r="A116" t="s">
        <v>147</v>
      </c>
      <c r="F116">
        <f>COUNTIF('India_lab_(duplicate)'!L2:L1304,"Soft Tissue (Pilar Cyst)")</f>
        <v>0</v>
      </c>
      <c r="R116" s="21"/>
    </row>
    <row r="117" spans="1:18" ht="15.75" customHeight="1">
      <c r="A117" t="s">
        <v>148</v>
      </c>
      <c r="F117">
        <f>COUNTIF('India_lab_(duplicate)'!L2:L1304,"Testicular Cancer")</f>
        <v>4</v>
      </c>
      <c r="R117" s="21"/>
    </row>
    <row r="118" spans="1:18" ht="15.75" customHeight="1">
      <c r="A118" t="s">
        <v>149</v>
      </c>
      <c r="F118">
        <f>COUNTIF('India_lab_(duplicate)'!L2:L1304,"Thoracic esophagus and gastroesophageal junction growth squamous cell carcinoma ")</f>
        <v>0</v>
      </c>
      <c r="R118" s="21"/>
    </row>
    <row r="119" spans="1:18" ht="15.75" customHeight="1">
      <c r="A119" t="s">
        <v>150</v>
      </c>
      <c r="F119">
        <f>COUNTIF('India_lab_(duplicate)'!L2:L1304,"Triple negative breast cancer")</f>
        <v>0</v>
      </c>
      <c r="R119" s="21"/>
    </row>
    <row r="120" spans="1:18" ht="15.75" customHeight="1">
      <c r="A120" t="s">
        <v>151</v>
      </c>
      <c r="F120">
        <f>COUNTIF('India_lab_(duplicate)'!L2:L1304,"Urinary Bladder cancer")</f>
        <v>0</v>
      </c>
      <c r="R120" s="21"/>
    </row>
    <row r="121" spans="1:18" ht="15.75" customHeight="1">
      <c r="A121" t="s">
        <v>70</v>
      </c>
      <c r="F121">
        <f>COUNTIF('India_lab_(duplicate)'!L2:L1304,"Uterine Carcinosarcoma")</f>
        <v>1</v>
      </c>
      <c r="R121" s="21"/>
    </row>
    <row r="122" spans="1:18" ht="15.75" customHeight="1">
      <c r="A122" s="75" t="s">
        <v>152</v>
      </c>
      <c r="F122">
        <f>COUNTIF('India_lab_(duplicate)'!L2:L1304,"Benign Prostate Hyperplasia")</f>
        <v>0</v>
      </c>
      <c r="R122" s="21"/>
    </row>
    <row r="123" spans="1:18" ht="15.75" customHeight="1">
      <c r="A123" s="75" t="s">
        <v>153</v>
      </c>
      <c r="F123">
        <f>COUNTIF('India_lab_(duplicate)'!L2:L1304,"Bening tumor on right upper eyelid")</f>
        <v>0</v>
      </c>
      <c r="R123" s="21"/>
    </row>
    <row r="124" spans="1:18" ht="15.75" customHeight="1">
      <c r="A124" s="75" t="s">
        <v>154</v>
      </c>
      <c r="F124">
        <f>COUNTIF('India_lab_(duplicate)'!L2:L1304,"Breast (Lump)")</f>
        <v>0</v>
      </c>
      <c r="R124" s="21"/>
    </row>
    <row r="125" spans="1:18" ht="15.75" customHeight="1">
      <c r="A125" s="75" t="s">
        <v>155</v>
      </c>
      <c r="F125">
        <f>COUNTIF('India_lab_(duplicate)'!L2:L10308,"Endometriosis")</f>
        <v>2</v>
      </c>
      <c r="R125" s="21"/>
    </row>
    <row r="126" spans="1:18" ht="15.75" customHeight="1">
      <c r="A126" s="75" t="s">
        <v>156</v>
      </c>
      <c r="F126">
        <f>COUNTIF('India_lab_(duplicate)'!L24:L1333,"Female Reproductive Organ (Fibroids)")</f>
        <v>0</v>
      </c>
      <c r="R126" s="21"/>
    </row>
    <row r="127" spans="1:18" ht="15.75" customHeight="1">
      <c r="A127" s="75" t="s">
        <v>157</v>
      </c>
      <c r="F127">
        <f>COUNTIF('India_lab_(duplicate)'!L25:L1334,"Female Reproductive Organ (PCOD)")</f>
        <v>2</v>
      </c>
      <c r="R127" s="21"/>
    </row>
    <row r="128" spans="1:18" ht="15.75" customHeight="1">
      <c r="A128" s="75" t="s">
        <v>158</v>
      </c>
      <c r="F128">
        <f>COUNTIF('India_lab_(duplicate)'!L26:L1336,"Fibroid, kidney cyst")</f>
        <v>0</v>
      </c>
      <c r="R128" s="21"/>
    </row>
    <row r="129" spans="1:18" ht="15.75" customHeight="1">
      <c r="A129" s="75" t="s">
        <v>159</v>
      </c>
      <c r="F129">
        <f>COUNTIF('India_lab_(duplicate)'!L2:L1304,"Hepatobilliary System (Fatty Liver)")</f>
        <v>0</v>
      </c>
      <c r="R129" s="21"/>
    </row>
    <row r="130" spans="1:18" ht="15.75" customHeight="1">
      <c r="A130" s="75" t="s">
        <v>160</v>
      </c>
      <c r="F130">
        <f>COUNTIF('India_lab_(duplicate)'!L43:L1357,"Hepatobilliary System (Gall Bladder Lesion)")</f>
        <v>0</v>
      </c>
      <c r="R130" s="21"/>
    </row>
    <row r="131" spans="1:18" ht="15.75" customHeight="1">
      <c r="A131" s="75" t="s">
        <v>161</v>
      </c>
      <c r="F131">
        <f>COUNTIF('India_lab_(duplicate)'!L44:L1358,"Hepatobilliary System (Gall Bladder)")</f>
        <v>0</v>
      </c>
      <c r="R131" s="21"/>
    </row>
    <row r="132" spans="1:18" ht="15.75" customHeight="1">
      <c r="A132" s="75" t="s">
        <v>162</v>
      </c>
      <c r="F132">
        <f>COUNTIF('India_lab_(duplicate)'!L50:L1364,"Lipoma")</f>
        <v>4</v>
      </c>
      <c r="R132" s="21"/>
    </row>
    <row r="133" spans="1:18" ht="15.75" customHeight="1">
      <c r="A133" s="75" t="s">
        <v>163</v>
      </c>
      <c r="F133">
        <f>COUNTIF('India_lab_(duplicate)'!L59:L1373,"Male Reproductive Organ (Benign Enlarged Prostate)")</f>
        <v>1</v>
      </c>
      <c r="R133" s="21"/>
    </row>
    <row r="134" spans="1:18" ht="15.75" customHeight="1">
      <c r="A134" s="75" t="s">
        <v>164</v>
      </c>
      <c r="F134">
        <f>COUNTIF('India_lab_(duplicate)'!L2:L1304,"Suspected case of Intraductal papillary mucinous neoplasm (IPMN), Dementia, Diabetes")</f>
        <v>0</v>
      </c>
      <c r="R134" s="21"/>
    </row>
    <row r="135" spans="1:18" ht="15.75" customHeight="1">
      <c r="R135" s="21"/>
    </row>
    <row r="136" spans="1:18" ht="15.75" customHeight="1">
      <c r="A136" s="220" t="s">
        <v>3</v>
      </c>
      <c r="B136" s="21"/>
      <c r="G136" s="220" t="s">
        <v>4</v>
      </c>
      <c r="H136" s="21"/>
      <c r="L136" s="220" t="s">
        <v>5</v>
      </c>
      <c r="R136" s="21"/>
    </row>
    <row r="137" spans="1:18" ht="15.75" customHeight="1">
      <c r="A137" s="20" t="s">
        <v>35</v>
      </c>
      <c r="B137" t="s">
        <v>60</v>
      </c>
      <c r="C137" t="s">
        <v>75</v>
      </c>
      <c r="D137" t="s">
        <v>50</v>
      </c>
      <c r="G137" s="20" t="s">
        <v>35</v>
      </c>
      <c r="H137" t="s">
        <v>60</v>
      </c>
      <c r="I137" t="s">
        <v>75</v>
      </c>
      <c r="J137" t="s">
        <v>50</v>
      </c>
      <c r="L137" s="20" t="s">
        <v>35</v>
      </c>
      <c r="M137" t="s">
        <v>60</v>
      </c>
      <c r="N137" t="s">
        <v>75</v>
      </c>
      <c r="O137" t="s">
        <v>50</v>
      </c>
      <c r="R137" s="21"/>
    </row>
    <row r="138" spans="1:18" ht="15.75" customHeight="1">
      <c r="A138" s="20" t="s">
        <v>165</v>
      </c>
      <c r="B138">
        <f>COUNTIFS('India_lab_(duplicate)'!H:H,"CTN",
'India_lab_(duplicate)'!E:E,"&gt;=1",
'India_lab_(duplicate)'!E:E,"&lt;=30",
'India_lab_(duplicate)'!F:F,"Male",
'India_lab_(duplicate)'!J:J,"&lt;&gt;*other ethnicity*")</f>
        <v>2</v>
      </c>
      <c r="C138">
        <f>COUNTIFS('India_lab_(duplicate)'!H:H,"CTN",
'India_lab_(duplicate)'!E:E,"&gt;=1",
'India_lab_(duplicate)'!E:E,"&lt;=30",
'India_lab_(duplicate)'!F:F,"Female",
'India_lab_(duplicate)'!J:J,"&lt;&gt;*other ethnicity*")</f>
        <v>0</v>
      </c>
      <c r="D138">
        <f>SUM(B138:C138)</f>
        <v>2</v>
      </c>
      <c r="G138" s="20" t="s">
        <v>165</v>
      </c>
      <c r="H138">
        <f>COUNTIFS('India_lab_(duplicate)'!H:H,"COT",
'India_lab_(duplicate)'!E:E,"&gt;=1",
'India_lab_(duplicate)'!E:E,"&lt;=30",
'India_lab_(duplicate)'!F:F,"Male",
'India_lab_(duplicate)'!J:J,"&lt;&gt;*other ethnicity*")</f>
        <v>2</v>
      </c>
      <c r="I138">
        <f>COUNTIFS('India_lab_(duplicate)'!H:H,"COT",
'India_lab_(duplicate)'!E:E,"&gt;=1",
'India_lab_(duplicate)'!E:E,"&lt;=30",
'India_lab_(duplicate)'!F:F,"Female",
'India_lab_(duplicate)'!J:J,"&lt;&gt;*other ethnicity*")</f>
        <v>2</v>
      </c>
      <c r="J138">
        <f>SUM(H138:I138)</f>
        <v>4</v>
      </c>
      <c r="L138" s="20" t="s">
        <v>165</v>
      </c>
      <c r="M138">
        <f>COUNTIFS('India_lab_(duplicate)'!H:H,"CS",
'India_lab_(duplicate)'!E:E,"&gt;=1",
'India_lab_(duplicate)'!E:E,"&lt;=30",
'India_lab_(duplicate)'!F:F,"Male",
'India_lab_(duplicate)'!J:J,"&lt;&gt;*other ethnicity*")</f>
        <v>3</v>
      </c>
      <c r="N138">
        <f>COUNTIFS('India_lab_(duplicate)'!H:H,"CS",
'India_lab_(duplicate)'!E:E,"&gt;=1",
'India_lab_(duplicate)'!E:E,"&lt;=30",
'India_lab_(duplicate)'!F:F,"Female",
'India_lab_(duplicate)'!J:J,"&lt;&gt;*other ethnicity*")</f>
        <v>1</v>
      </c>
      <c r="O138">
        <f>SUM(M138:N138)</f>
        <v>4</v>
      </c>
      <c r="R138" s="21"/>
    </row>
    <row r="139" spans="1:18" ht="15.75" customHeight="1">
      <c r="A139" t="s">
        <v>43</v>
      </c>
      <c r="B139">
        <f>COUNTIFS('India_lab_(duplicate)'!H:H,"CTN",
'India_lab_(duplicate)'!E:E,"&gt;=31",
'India_lab_(duplicate)'!E:E,"&lt;=60",
'India_lab_(duplicate)'!F:F,"Male",
'India_lab_(duplicate)'!J:J,"&lt;&gt;*other ethnicity*")</f>
        <v>17</v>
      </c>
      <c r="C139">
        <f>COUNTIFS('India_lab_(duplicate)'!H:H,"CTN",
'India_lab_(duplicate)'!E:E,"&gt;=31",
'India_lab_(duplicate)'!E:E,"&lt;=60",
'India_lab_(duplicate)'!F:F,"Female",
'India_lab_(duplicate)'!J:J,"&lt;&gt;*other ethnicity*")</f>
        <v>33</v>
      </c>
      <c r="D139">
        <f>SUM(B139:C139)</f>
        <v>50</v>
      </c>
      <c r="G139" t="s">
        <v>43</v>
      </c>
      <c r="H139">
        <f>COUNTIFS('India_lab_(duplicate)'!H:H,"COT",
'India_lab_(duplicate)'!E:E,"&gt;=31",
'India_lab_(duplicate)'!E:E,"&lt;=60",
'India_lab_(duplicate)'!F:F,"Male",
'India_lab_(duplicate)'!J:J,"&lt;&gt;*other ethnicity*")</f>
        <v>22</v>
      </c>
      <c r="I139">
        <f>COUNTIFS('India_lab_(duplicate)'!H:H,"COT",
'India_lab_(duplicate)'!E:E,"&gt;=31",
'India_lab_(duplicate)'!E:E,"&lt;=60",
'India_lab_(duplicate)'!F:F,"Female",
'India_lab_(duplicate)'!J:J,"&lt;&gt;*other ethnicity*")</f>
        <v>13</v>
      </c>
      <c r="J139">
        <f>SUM(H139:I139)</f>
        <v>35</v>
      </c>
      <c r="L139" t="s">
        <v>43</v>
      </c>
      <c r="M139">
        <f>COUNTIFS('India_lab_(duplicate)'!H:H,"CS",
'India_lab_(duplicate)'!E:E,"&gt;=31",
'India_lab_(duplicate)'!E:E,"&lt;=60",
'India_lab_(duplicate)'!F:F,"Male",
'India_lab_(duplicate)'!J:J,"&lt;&gt;*other ethnicity*")</f>
        <v>7</v>
      </c>
      <c r="N139">
        <f>COUNTIFS('India_lab_(duplicate)'!H:H,"CS",
'India_lab_(duplicate)'!E:E,"&gt;=31",
'India_lab_(duplicate)'!E:E,"&lt;=60",
'India_lab_(duplicate)'!F:F,"Female",
'India_lab_(duplicate)'!J:J,"&lt;&gt;*other ethnicity*")</f>
        <v>10</v>
      </c>
      <c r="O139">
        <f>SUM(M139:N139)</f>
        <v>17</v>
      </c>
      <c r="R139" s="21"/>
    </row>
    <row r="140" spans="1:18" ht="15.75" customHeight="1">
      <c r="A140" t="s">
        <v>47</v>
      </c>
      <c r="B140">
        <f>COUNTIFS('India_lab_(duplicate)'!H:H,"CTN",
'India_lab_(duplicate)'!E:E,"&gt;=61",
'India_lab_(duplicate)'!F:F,"Male",
'India_lab_(duplicate)'!J:J,"&lt;&gt;*other ethnicity*")</f>
        <v>26</v>
      </c>
      <c r="C140">
        <f>COUNTIFS('India_lab_(duplicate)'!H:H,"CTN",
'India_lab_(duplicate)'!E:E,"&gt;=61",
'India_lab_(duplicate)'!F:F,"Female",
'India_lab_(duplicate)'!J:J,"&lt;&gt;*other ethnicity*")</f>
        <v>18</v>
      </c>
      <c r="D140">
        <f ca="1">SUM(B140:D140)</f>
        <v>0</v>
      </c>
      <c r="G140" t="s">
        <v>46</v>
      </c>
      <c r="H140">
        <f>COUNTIFS('India_lab_(duplicate)'!H:H,"COT",
'India_lab_(duplicate)'!E:E,"&gt;=61",
'India_lab_(duplicate)'!F:F,"Male",
'India_lab_(duplicate)'!J:J,"&lt;&gt;*other ethnicity*")</f>
        <v>16</v>
      </c>
      <c r="I140">
        <f>COUNTIFS('India_lab_(duplicate)'!H:H,"COT",
'India_lab_(duplicate)'!E:E,"&gt;=61",
'India_lab_(duplicate)'!F:F,"Female",
'India_lab_(duplicate)'!J:J,"&lt;&gt;*other ethnicity*")</f>
        <v>19</v>
      </c>
      <c r="J140">
        <f>SUM(H140:I140)</f>
        <v>35</v>
      </c>
      <c r="L140" t="s">
        <v>46</v>
      </c>
      <c r="M140">
        <f>COUNTIFS('India_lab_(duplicate)'!H:H,"CS",
'India_lab_(duplicate)'!E:E,"&gt;=61",
'India_lab_(duplicate)'!F:F,"Male",
'India_lab_(duplicate)'!J:J,"&lt;&gt;*other ethnicity*")</f>
        <v>6</v>
      </c>
      <c r="N140">
        <f>COUNTIFS('India_lab_(duplicate)'!H:H,"CS",
'India_lab_(duplicate)'!E:E,"&gt;=61",
'India_lab_(duplicate)'!F:F,"Female",
'India_lab_(duplicate)'!J:J,"&lt;&gt;*other ethnicity*")</f>
        <v>6</v>
      </c>
      <c r="O140">
        <f>SUM(M140:N140)</f>
        <v>12</v>
      </c>
      <c r="R140" s="21"/>
    </row>
    <row r="141" spans="1:18" ht="15.75" customHeight="1">
      <c r="A141" t="s">
        <v>50</v>
      </c>
      <c r="B141" s="21">
        <f>SUM(B138:B140)</f>
        <v>45</v>
      </c>
      <c r="C141" s="21">
        <f>SUM(C138:C140)</f>
        <v>51</v>
      </c>
      <c r="G141" t="s">
        <v>50</v>
      </c>
      <c r="H141" s="21">
        <f>SUM(H138:H140)</f>
        <v>40</v>
      </c>
      <c r="I141" s="21">
        <f>SUM(I138:I140)</f>
        <v>34</v>
      </c>
      <c r="L141" t="s">
        <v>50</v>
      </c>
      <c r="M141" s="21">
        <f>SUM(M138:M140)</f>
        <v>16</v>
      </c>
      <c r="N141" s="21">
        <f>SUM(N138:N140)</f>
        <v>17</v>
      </c>
      <c r="R141" s="21"/>
    </row>
    <row r="142" spans="1:18" ht="15.75" customHeight="1">
      <c r="R142" s="21"/>
    </row>
    <row r="143" spans="1:18" ht="15.75" customHeight="1">
      <c r="R143" s="21"/>
    </row>
    <row r="144" spans="1:18" ht="15.75" customHeight="1">
      <c r="A144" s="221" t="s">
        <v>79</v>
      </c>
      <c r="R144" s="21"/>
    </row>
    <row r="145" spans="18:18" ht="15.75" customHeight="1">
      <c r="R145" s="21"/>
    </row>
    <row r="146" spans="18:18" ht="15.75" customHeight="1">
      <c r="R146" s="21"/>
    </row>
    <row r="147" spans="18:18" ht="15.75" customHeight="1">
      <c r="R147" s="21"/>
    </row>
    <row r="148" spans="18:18" ht="15.75" customHeight="1">
      <c r="R148" s="21"/>
    </row>
    <row r="149" spans="18:18" ht="15.75" customHeight="1">
      <c r="R149" s="21"/>
    </row>
    <row r="150" spans="18:18" ht="15.75" customHeight="1">
      <c r="R150" s="21"/>
    </row>
    <row r="151" spans="18:18" ht="15.75" customHeight="1">
      <c r="R151" s="21"/>
    </row>
    <row r="152" spans="18:18" ht="15.75" customHeight="1">
      <c r="R152" s="21"/>
    </row>
    <row r="153" spans="18:18" ht="15.75" customHeight="1">
      <c r="R153" s="21"/>
    </row>
    <row r="154" spans="18:18" ht="15.75" customHeight="1">
      <c r="R154" s="21"/>
    </row>
    <row r="155" spans="18:18" ht="15.75" customHeight="1">
      <c r="R155" s="21"/>
    </row>
    <row r="156" spans="18:18" ht="15.75" customHeight="1">
      <c r="R156" s="21"/>
    </row>
    <row r="157" spans="18:18" ht="15.75" customHeight="1">
      <c r="R157" s="21"/>
    </row>
    <row r="158" spans="18:18" ht="15.75" customHeight="1">
      <c r="R158" s="21"/>
    </row>
    <row r="159" spans="18:18" ht="15.75" customHeight="1">
      <c r="R159" s="21"/>
    </row>
    <row r="160" spans="18:18" ht="15.75" customHeight="1">
      <c r="R160" s="21"/>
    </row>
    <row r="161" spans="18:18" ht="15.75" customHeight="1">
      <c r="R161" s="21"/>
    </row>
    <row r="162" spans="18:18" ht="15.75" customHeight="1">
      <c r="R162" s="21"/>
    </row>
    <row r="163" spans="18:18" ht="15.75" customHeight="1">
      <c r="R163" s="21"/>
    </row>
    <row r="164" spans="18:18" ht="15.75" customHeight="1">
      <c r="R164" s="21"/>
    </row>
    <row r="165" spans="18:18" ht="15.75" customHeight="1">
      <c r="R165" s="21"/>
    </row>
    <row r="166" spans="18:18" ht="15.75" customHeight="1">
      <c r="R166" s="21"/>
    </row>
    <row r="167" spans="18:18" ht="15.75" customHeight="1">
      <c r="R167" s="21"/>
    </row>
    <row r="168" spans="18:18" ht="15.75" customHeight="1">
      <c r="R168" s="21"/>
    </row>
    <row r="169" spans="18:18" ht="15.75" customHeight="1">
      <c r="R169" s="21"/>
    </row>
    <row r="170" spans="18:18" ht="15.75" customHeight="1">
      <c r="R170" s="21"/>
    </row>
    <row r="171" spans="18:18" ht="15.75" customHeight="1">
      <c r="R171" s="21"/>
    </row>
    <row r="172" spans="18:18" ht="15.75" customHeight="1">
      <c r="R172" s="21"/>
    </row>
    <row r="173" spans="18:18" ht="15.75" customHeight="1">
      <c r="R173" s="21"/>
    </row>
    <row r="174" spans="18:18" ht="15.75" customHeight="1">
      <c r="R174" s="21"/>
    </row>
    <row r="175" spans="18:18" ht="15.75" customHeight="1">
      <c r="R175" s="21"/>
    </row>
    <row r="176" spans="18:18" ht="15.75" customHeight="1">
      <c r="R176" s="21"/>
    </row>
    <row r="177" spans="18:18" ht="15.75" customHeight="1">
      <c r="R177" s="21"/>
    </row>
    <row r="178" spans="18:18" ht="15.75" customHeight="1">
      <c r="R178" s="21"/>
    </row>
    <row r="179" spans="18:18" ht="15.75" customHeight="1">
      <c r="R179" s="21"/>
    </row>
    <row r="180" spans="18:18" ht="15.75" customHeight="1">
      <c r="R180" s="21"/>
    </row>
    <row r="181" spans="18:18" ht="15.75" customHeight="1">
      <c r="R181" s="21"/>
    </row>
    <row r="182" spans="18:18" ht="15.75" customHeight="1">
      <c r="R182" s="21"/>
    </row>
    <row r="183" spans="18:18" ht="15.75" customHeight="1">
      <c r="R183" s="21"/>
    </row>
    <row r="184" spans="18:18" ht="15.75" customHeight="1">
      <c r="R184" s="21"/>
    </row>
    <row r="185" spans="18:18" ht="15.75" customHeight="1">
      <c r="R185" s="21"/>
    </row>
    <row r="186" spans="18:18" ht="15.75" customHeight="1">
      <c r="R186" s="21"/>
    </row>
    <row r="187" spans="18:18" ht="15.75" customHeight="1">
      <c r="R187" s="21"/>
    </row>
    <row r="188" spans="18:18" ht="15.75" customHeight="1">
      <c r="R188" s="21"/>
    </row>
    <row r="189" spans="18:18" ht="15.75" customHeight="1">
      <c r="R189" s="21"/>
    </row>
    <row r="190" spans="18:18" ht="15.75" customHeight="1">
      <c r="R190" s="21"/>
    </row>
    <row r="191" spans="18:18" ht="15.75" customHeight="1">
      <c r="R191" s="21"/>
    </row>
    <row r="192" spans="18:18" ht="15.75" customHeight="1">
      <c r="R192" s="21"/>
    </row>
    <row r="193" spans="1:18" ht="15.75" customHeight="1">
      <c r="R193" s="21"/>
    </row>
    <row r="194" spans="1:18" ht="15.75" customHeight="1">
      <c r="R194" s="21"/>
    </row>
    <row r="195" spans="1:18" ht="15.75" customHeight="1">
      <c r="R195" s="21"/>
    </row>
    <row r="196" spans="1:18" ht="15.75" customHeight="1">
      <c r="R196" s="21"/>
    </row>
    <row r="197" spans="1:18" ht="15.75" customHeight="1">
      <c r="R197" s="21"/>
    </row>
    <row r="198" spans="1:18" ht="15.75" customHeight="1">
      <c r="R198" s="21"/>
    </row>
    <row r="199" spans="1:18" ht="15.75" customHeight="1">
      <c r="R199" s="21"/>
    </row>
    <row r="200" spans="1:18" ht="15.75" customHeight="1">
      <c r="R200" s="21"/>
    </row>
    <row r="201" spans="1:18" ht="15.75" customHeight="1">
      <c r="R201" s="21"/>
    </row>
    <row r="203" spans="1:18" ht="15.75" customHeight="1">
      <c r="A203" s="104" t="s">
        <v>166</v>
      </c>
      <c r="B203" s="21">
        <f>SUM(B205:B225)</f>
        <v>115</v>
      </c>
    </row>
    <row r="205" spans="1:18" ht="15.75" customHeight="1">
      <c r="A205" t="s">
        <v>167</v>
      </c>
      <c r="B205">
        <f>COUNTIFS(Diabetes!D2:D145,"Type 1 Diabetes Mellitus",Diabetes!G2:G145,"Y")</f>
        <v>10</v>
      </c>
    </row>
    <row r="206" spans="1:18" ht="15.75" customHeight="1">
      <c r="A206" t="s">
        <v>168</v>
      </c>
      <c r="B206">
        <f>COUNTIFS(Diabetes!D2:D145,"Type 2 Diabetes Mellitus",Diabetes!G2:G145,"Y")</f>
        <v>21</v>
      </c>
    </row>
    <row r="207" spans="1:18" ht="15.75" customHeight="1">
      <c r="A207" t="s">
        <v>169</v>
      </c>
      <c r="B207">
        <f>COUNTIFS(Diabetes!D2:D145,"Hyperthyroidism",Diabetes!G2:G145,"Y")</f>
        <v>1</v>
      </c>
      <c r="M207" s="21"/>
    </row>
    <row r="208" spans="1:18" ht="15.75" customHeight="1">
      <c r="A208" t="s">
        <v>170</v>
      </c>
      <c r="B208">
        <f>COUNTIFS(Diabetes!D2:D145,"Pancreatic Diabetes Mellitus",Diabetes!G2:G145,"Y")</f>
        <v>8</v>
      </c>
    </row>
    <row r="209" spans="1:2" ht="15.75" customHeight="1">
      <c r="A209" t="s">
        <v>171</v>
      </c>
      <c r="B209">
        <f>COUNTIFS(Diabetes!D2:D145,"Juvenile Diabetes Mellitus",Diabetes!G2:G145,"Y")</f>
        <v>2</v>
      </c>
    </row>
    <row r="210" spans="1:2" ht="15.75" customHeight="1">
      <c r="A210" t="s">
        <v>32</v>
      </c>
      <c r="B210">
        <f>COUNTIFS(Diabetes!D2:D145,"Diabetes",Diabetes!G2:G145,"Y")</f>
        <v>3</v>
      </c>
    </row>
    <row r="211" spans="1:2" ht="15.75" customHeight="1">
      <c r="A211" t="s">
        <v>172</v>
      </c>
      <c r="B211">
        <f>COUNTIFS(Diabetes!D2:D145,"Transient Neonatal Diabetes Mellitus",Diabetes!G2:G145,"Y")</f>
        <v>1</v>
      </c>
    </row>
    <row r="212" spans="1:2" ht="15.75" customHeight="1">
      <c r="A212" t="s">
        <v>173</v>
      </c>
      <c r="B212">
        <f>COUNTIFS(Diabetes!D2:D145,"Grade I Obesity",Diabetes!G2:G145,"Y")</f>
        <v>2</v>
      </c>
    </row>
    <row r="213" spans="1:2" ht="15.75" customHeight="1">
      <c r="A213" t="s">
        <v>174</v>
      </c>
      <c r="B213">
        <f>COUNTIFS(Diabetes!D2:D145,"Grade II obesity",Diabetes!G2:G145,"Y")</f>
        <v>3</v>
      </c>
    </row>
    <row r="214" spans="1:2" ht="15.75" customHeight="1">
      <c r="A214" t="s">
        <v>175</v>
      </c>
      <c r="B214">
        <f>COUNTIFS(Diabetes!D2:D145,"Obesity",Diabetes!G2:G145,"Y")</f>
        <v>1</v>
      </c>
    </row>
    <row r="215" spans="1:2" ht="15.75" customHeight="1">
      <c r="A215" t="s">
        <v>176</v>
      </c>
      <c r="B215">
        <f>COUNTIFS(Diabetes!D2:D145,"Pancreatic DM",Diabetes!G2:G145,"Y")</f>
        <v>2</v>
      </c>
    </row>
    <row r="216" spans="1:2" ht="15.75" customHeight="1">
      <c r="A216" t="s">
        <v>177</v>
      </c>
      <c r="B216">
        <f>COUNTIFS(Diabetes!D2:D145,"Refractory Hyperthyroidism",Diabetes!G2:G145,"Y")</f>
        <v>4</v>
      </c>
    </row>
    <row r="217" spans="1:2" ht="15.75" customHeight="1">
      <c r="A217" t="s">
        <v>178</v>
      </c>
      <c r="B217">
        <f>COUNTIFS(Diabetes!E2:E145,"Mixed",Diabetes!G2:G145,"Y")</f>
        <v>18</v>
      </c>
    </row>
    <row r="218" spans="1:2" ht="15.75" customHeight="1">
      <c r="A218" t="s">
        <v>179</v>
      </c>
      <c r="B218">
        <f>COUNTIFS(Diabetes!E2:E145,"Not Documented yet",Diabetes!G2:G145,"Y")</f>
        <v>26</v>
      </c>
    </row>
    <row r="219" spans="1:2" ht="15.75" customHeight="1">
      <c r="A219" t="s">
        <v>180</v>
      </c>
      <c r="B219">
        <f>COUNTIFS(Diabetes!D2:D145,"PCOS",Diabetes!G2:G145,"Y")</f>
        <v>1</v>
      </c>
    </row>
    <row r="220" spans="1:2" ht="15.75" customHeight="1">
      <c r="A220" s="105" t="s">
        <v>181</v>
      </c>
      <c r="B220">
        <f>COUNTIFS(Diabetes!D2:D145,"Type A insulin resistance with PCOS",Diabetes!G2:G145,"Y")</f>
        <v>1</v>
      </c>
    </row>
    <row r="221" spans="1:2" ht="15.75" customHeight="1">
      <c r="A221" s="105" t="s">
        <v>182</v>
      </c>
      <c r="B221">
        <f>COUNTIFS(Diabetes!D2:D145,"Pancreatic Cancer",Diabetes!G2:G145,"Y")</f>
        <v>1</v>
      </c>
    </row>
    <row r="222" spans="1:2" ht="15.75" customHeight="1">
      <c r="A222" t="s">
        <v>132</v>
      </c>
      <c r="B222">
        <f>COUNTIFS(Diabetes!D2:D145,"Pancreatic neuroendocrine tumor",Diabetes!G2:G145,"Y")</f>
        <v>1</v>
      </c>
    </row>
    <row r="223" spans="1:2" ht="15.75" customHeight="1">
      <c r="A223" t="s">
        <v>183</v>
      </c>
      <c r="B223">
        <f>COUNTIFS(Diabetes!D3:D146,"Prediabetes",Diabetes!G3:G146,"Y")</f>
        <v>7</v>
      </c>
    </row>
    <row r="224" spans="1:2" ht="15.75" customHeight="1">
      <c r="A224" t="s">
        <v>184</v>
      </c>
      <c r="B224">
        <f>COUNTIFS(Diabetes!D4:D147,"Thyroid",Diabetes!G4:G147,"Y")</f>
        <v>1</v>
      </c>
    </row>
    <row r="225" spans="1:13" ht="15.75" customHeight="1">
      <c r="A225" s="105" t="s">
        <v>82</v>
      </c>
      <c r="B225">
        <f>COUNTIFS(Diabetes!D4:D147,"Auto- Immune Thyroid Disease",Diabetes!G4:G147,"Y")</f>
        <v>1</v>
      </c>
    </row>
    <row r="227" spans="1:13" ht="15.75" customHeight="1">
      <c r="A227" s="98" t="s">
        <v>185</v>
      </c>
      <c r="B227" s="21">
        <f>SUM(B237,B235,B232,B230,F230,F232,I230,I232,M230)</f>
        <v>25</v>
      </c>
    </row>
    <row r="228" spans="1:13" ht="15.75" customHeight="1">
      <c r="A228" s="100"/>
    </row>
    <row r="230" spans="1:13" ht="15.75" customHeight="1">
      <c r="A230" s="19" t="s">
        <v>30</v>
      </c>
      <c r="B230" s="21">
        <f>COUNTIFS('India_lab_(duplicate)'!J2:J2296,"*other ethnicity*",'India_lab_(duplicate)'!H2:H2296, "CON" )</f>
        <v>19</v>
      </c>
      <c r="E230" s="75" t="s">
        <v>15</v>
      </c>
      <c r="F230" s="21">
        <f>COUNTIFS('India_lab_(duplicate)'!J2:J2296,"*other ethnicity*",'India_lab_(duplicate)'!H2:H2296, "Benign" )</f>
        <v>0</v>
      </c>
      <c r="H230" s="75" t="s">
        <v>31</v>
      </c>
      <c r="I230" s="122">
        <f>COUNTIFS('India_lab_(duplicate)'!J2:J2296,"*other ethnicity*",'India_lab_(duplicate)'!H2:H2296, "HR" )</f>
        <v>0</v>
      </c>
      <c r="L230" s="75" t="s">
        <v>32</v>
      </c>
      <c r="M230" s="21">
        <f>COUNTIFS('India_lab_(duplicate)'!J2:J2296,"*other ethnicity*",'India_lab_(duplicate)'!H2:H2296, "D" )</f>
        <v>1</v>
      </c>
    </row>
    <row r="232" spans="1:13" ht="15.75" customHeight="1">
      <c r="A232" s="19" t="s">
        <v>3</v>
      </c>
      <c r="B232" s="21">
        <f>COUNTIFS('India_lab_(duplicate)'!J2:J2296,"*other ethnicity*",'India_lab_(duplicate)'!H2:H2296, "CTN" )</f>
        <v>0</v>
      </c>
      <c r="D232" s="20"/>
      <c r="E232" s="75" t="s">
        <v>39</v>
      </c>
      <c r="F232">
        <f>COUNTIFS('India_lab_(duplicate)'!J2:J2296,"other ethnicity",'India_lab_(duplicate)'!H2:H2296, "Screening" )</f>
        <v>0</v>
      </c>
      <c r="H232" s="75" t="s">
        <v>20</v>
      </c>
      <c r="I232">
        <f>COUNTIFS('India_lab_(duplicate)'!J2:J2296,"other ethnicity",'India_lab_(duplicate)'!H2:H2296, "ND" )</f>
        <v>0</v>
      </c>
    </row>
    <row r="233" spans="1:13" ht="15.75" customHeight="1">
      <c r="A233" s="20"/>
    </row>
    <row r="235" spans="1:13" ht="15.75" customHeight="1">
      <c r="A235" s="19" t="s">
        <v>4</v>
      </c>
      <c r="B235" s="21">
        <f>COUNTIFS('India_lab_(duplicate)'!J2:J2296,"*other ethnicity*",'India_lab_(duplicate)'!H2:H2296, "COT" )</f>
        <v>0</v>
      </c>
    </row>
    <row r="237" spans="1:13" ht="15.75" customHeight="1">
      <c r="A237" s="19" t="s">
        <v>5</v>
      </c>
      <c r="B237" s="21">
        <f>COUNTIFS('India_lab_(duplicate)'!J2:J2296,"other ethnicity",'India_lab_(duplicate)'!H2:H2296, "CS" )</f>
        <v>5</v>
      </c>
      <c r="D237" s="20"/>
      <c r="G237" s="20"/>
      <c r="J237" s="20"/>
      <c r="K237" s="20"/>
    </row>
    <row r="238" spans="1:13" ht="15.75" customHeight="1">
      <c r="A238" s="20"/>
      <c r="D238" s="20"/>
      <c r="G238" s="20"/>
      <c r="J238" s="20"/>
      <c r="K238" s="20"/>
    </row>
    <row r="239" spans="1:13" ht="15.75" customHeight="1">
      <c r="A239" s="20"/>
      <c r="D239" s="20"/>
      <c r="G239" s="20"/>
      <c r="J239" s="20"/>
      <c r="K239" s="20"/>
    </row>
    <row r="241" spans="1:2" ht="15.75" customHeight="1">
      <c r="A241" s="97" t="s">
        <v>186</v>
      </c>
    </row>
    <row r="243" spans="1:2" ht="15.75" customHeight="1">
      <c r="A243" t="s">
        <v>187</v>
      </c>
      <c r="B243">
        <f>COUNTIF(Imperial_CRC!L2:L67, 1)</f>
        <v>31</v>
      </c>
    </row>
    <row r="244" spans="1:2" ht="15.75" customHeight="1">
      <c r="A244" t="s">
        <v>188</v>
      </c>
      <c r="B244">
        <f>COUNTIF(Imperial_CRC!L2:L67, 0)</f>
        <v>35</v>
      </c>
    </row>
    <row r="245" spans="1:2" ht="15.75" customHeight="1">
      <c r="A245" t="s">
        <v>50</v>
      </c>
      <c r="B245">
        <f>SUM(B243:B244)</f>
        <v>66</v>
      </c>
    </row>
    <row r="248" spans="1:2" ht="15.75" customHeight="1">
      <c r="A248" s="97" t="s">
        <v>189</v>
      </c>
    </row>
    <row r="250" spans="1:2" ht="15.75" customHeight="1">
      <c r="A250" t="s">
        <v>187</v>
      </c>
      <c r="B250">
        <f>COUNTIF(Manchester_lung!E2:E102,"Positive")</f>
        <v>25</v>
      </c>
    </row>
    <row r="251" spans="1:2" ht="15.75" customHeight="1">
      <c r="A251" t="s">
        <v>188</v>
      </c>
      <c r="B251">
        <f>COUNTIF(Manchester_lung!E2:E102,"Negative")</f>
        <v>73</v>
      </c>
    </row>
    <row r="252" spans="1:2" ht="15.75" customHeight="1">
      <c r="A252" t="s">
        <v>190</v>
      </c>
      <c r="B252">
        <f>COUNTIF(Manchester_lung!E2:E102,"Indeterminate")</f>
        <v>3</v>
      </c>
    </row>
    <row r="253" spans="1:2" ht="15.75" customHeight="1">
      <c r="A253" t="s">
        <v>50</v>
      </c>
      <c r="B253">
        <f>SUM(B250:B252)</f>
        <v>101</v>
      </c>
    </row>
    <row r="256" spans="1:2" ht="15.75" customHeight="1">
      <c r="A256" s="97" t="s">
        <v>191</v>
      </c>
    </row>
    <row r="258" spans="1:2" ht="15.75" customHeight="1">
      <c r="A258" t="s">
        <v>192</v>
      </c>
      <c r="B258">
        <f>COUNTA(UK[Sr. No.])</f>
        <v>63</v>
      </c>
    </row>
    <row r="260" spans="1:2" ht="15.75" customHeight="1">
      <c r="A260" t="s">
        <v>193</v>
      </c>
      <c r="B260">
        <f>COUNTA(HRC[SR. No.])</f>
        <v>42</v>
      </c>
    </row>
    <row r="263" spans="1:2" ht="15.75" customHeight="1">
      <c r="A263" s="97" t="s">
        <v>194</v>
      </c>
    </row>
    <row r="430" spans="1:1" ht="15.75" customHeight="1">
      <c r="A430">
        <v>0</v>
      </c>
    </row>
  </sheetData>
  <sortState xmlns:xlrd2="http://schemas.microsoft.com/office/spreadsheetml/2017/richdata2" ref="A42:F134">
    <sortCondition sortBy="cellColor" ref="A42:A134" dxfId="1037"/>
  </sortState>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AA692-61AA-48C9-900E-E2D1F80C4F3C}">
  <dimension ref="A1:DZ1218"/>
  <sheetViews>
    <sheetView tabSelected="1" topLeftCell="D714" workbookViewId="0">
      <selection activeCell="J701" sqref="J701"/>
    </sheetView>
  </sheetViews>
  <sheetFormatPr defaultColWidth="9.140625" defaultRowHeight="13.5" customHeight="1"/>
  <cols>
    <col min="1" max="1" width="9.140625" style="235" customWidth="1"/>
    <col min="2" max="2" width="14.28515625" style="235" customWidth="1"/>
    <col min="3" max="3" width="12.140625" style="235" customWidth="1"/>
    <col min="4" max="4" width="27.28515625" style="235" customWidth="1"/>
    <col min="5" max="5" width="9.140625" style="235" customWidth="1"/>
    <col min="6" max="6" width="17.7109375" style="235" customWidth="1"/>
    <col min="7" max="7" width="14.7109375" style="235" customWidth="1"/>
    <col min="8" max="8" width="21.28515625" style="235" customWidth="1"/>
    <col min="9" max="9" width="27.28515625" style="235" customWidth="1"/>
    <col min="10" max="10" width="19.5703125" style="235" customWidth="1"/>
    <col min="11" max="11" width="64.140625" style="235" customWidth="1"/>
    <col min="12" max="12" width="36.28515625" style="235" customWidth="1"/>
    <col min="13" max="13" width="33.28515625" style="235" customWidth="1"/>
    <col min="14" max="14" width="39.85546875" style="235" customWidth="1"/>
    <col min="15" max="15" width="30.7109375" style="235" customWidth="1"/>
    <col min="16" max="16" width="17.42578125" style="235" customWidth="1"/>
    <col min="17" max="17" width="25.28515625" style="524" customWidth="1"/>
    <col min="18" max="18" width="16.85546875" style="235" customWidth="1"/>
    <col min="19" max="19" width="21" style="235" customWidth="1"/>
    <col min="20" max="20" width="16.85546875" style="235" bestFit="1" customWidth="1"/>
    <col min="21" max="21" width="19.7109375" style="235" bestFit="1" customWidth="1"/>
    <col min="22" max="22" width="25.28515625" style="235" bestFit="1" customWidth="1"/>
    <col min="23" max="23" width="19.28515625" style="235" customWidth="1"/>
    <col min="24" max="24" width="21" style="235" bestFit="1" customWidth="1"/>
    <col min="25" max="26" width="26" style="235" customWidth="1"/>
    <col min="27" max="27" width="21.42578125" style="235" customWidth="1"/>
    <col min="28" max="28" width="20.85546875" style="301" customWidth="1"/>
    <col min="29" max="29" width="23.85546875" style="235" customWidth="1"/>
    <col min="30" max="30" width="24.28515625" style="568" customWidth="1"/>
    <col min="31" max="31" width="30.7109375" style="301" customWidth="1"/>
    <col min="32" max="32" width="22.140625" style="235" customWidth="1"/>
    <col min="33" max="129" width="9.140625" style="297"/>
    <col min="130" max="130" width="9.140625" style="302"/>
    <col min="131" max="16384" width="9.140625" style="235"/>
  </cols>
  <sheetData>
    <row r="1" spans="1:32" ht="31.5" customHeight="1">
      <c r="A1" s="227" t="s">
        <v>195</v>
      </c>
      <c r="B1" s="228" t="s">
        <v>196</v>
      </c>
      <c r="C1" s="229" t="s">
        <v>197</v>
      </c>
      <c r="D1" s="228" t="s">
        <v>198</v>
      </c>
      <c r="E1" s="228" t="s">
        <v>199</v>
      </c>
      <c r="F1" s="228" t="s">
        <v>200</v>
      </c>
      <c r="G1" s="228" t="s">
        <v>201</v>
      </c>
      <c r="H1" s="230" t="s">
        <v>202</v>
      </c>
      <c r="I1" s="230" t="s">
        <v>203</v>
      </c>
      <c r="J1" s="230" t="s">
        <v>204</v>
      </c>
      <c r="K1" s="230" t="s">
        <v>205</v>
      </c>
      <c r="L1" s="230" t="s">
        <v>206</v>
      </c>
      <c r="M1" s="230" t="s">
        <v>207</v>
      </c>
      <c r="N1" s="228" t="s">
        <v>208</v>
      </c>
      <c r="O1" s="228" t="s">
        <v>209</v>
      </c>
      <c r="P1" s="228" t="s">
        <v>210</v>
      </c>
      <c r="Q1" s="521" t="s">
        <v>211</v>
      </c>
      <c r="R1" s="231" t="s">
        <v>212</v>
      </c>
      <c r="S1" s="231" t="s">
        <v>213</v>
      </c>
      <c r="T1" s="228" t="s">
        <v>214</v>
      </c>
      <c r="U1" s="228" t="s">
        <v>215</v>
      </c>
      <c r="V1" s="232" t="s">
        <v>216</v>
      </c>
      <c r="W1" s="233" t="s">
        <v>217</v>
      </c>
      <c r="X1" s="232" t="s">
        <v>218</v>
      </c>
      <c r="Y1" s="234" t="s">
        <v>219</v>
      </c>
      <c r="Z1" s="5" t="s">
        <v>220</v>
      </c>
      <c r="AA1" s="228" t="s">
        <v>221</v>
      </c>
      <c r="AB1" s="534" t="s">
        <v>222</v>
      </c>
      <c r="AC1" s="329" t="s">
        <v>223</v>
      </c>
      <c r="AD1" s="569" t="s">
        <v>224</v>
      </c>
      <c r="AE1" s="534" t="s">
        <v>225</v>
      </c>
      <c r="AF1" s="329" t="s">
        <v>226</v>
      </c>
    </row>
    <row r="2" spans="1:32" ht="17.25" customHeight="1">
      <c r="B2" s="236" t="s">
        <v>227</v>
      </c>
      <c r="C2" s="237"/>
      <c r="D2" s="238"/>
      <c r="E2" s="238"/>
      <c r="F2" s="238"/>
      <c r="G2" s="238"/>
      <c r="H2" s="239"/>
      <c r="I2" s="239"/>
      <c r="J2" s="237"/>
      <c r="K2" s="240"/>
      <c r="L2" s="239"/>
      <c r="M2" s="239"/>
      <c r="N2" s="238"/>
      <c r="O2" s="238"/>
      <c r="P2" s="238"/>
      <c r="Q2" s="241"/>
      <c r="R2" s="237"/>
      <c r="S2" s="237"/>
      <c r="T2" s="238"/>
      <c r="U2" s="238"/>
      <c r="V2" s="238"/>
      <c r="W2" s="241"/>
      <c r="X2" s="238"/>
      <c r="Y2" s="242"/>
      <c r="Z2" s="242"/>
      <c r="AA2" s="237"/>
      <c r="AB2" s="545" t="s">
        <v>228</v>
      </c>
      <c r="AC2" s="237" t="s">
        <v>228</v>
      </c>
      <c r="AD2" s="561"/>
      <c r="AE2" s="337"/>
      <c r="AF2" s="237"/>
    </row>
    <row r="3" spans="1:32" ht="13.5" customHeight="1">
      <c r="A3" s="235">
        <v>1</v>
      </c>
      <c r="B3" s="237">
        <v>6</v>
      </c>
      <c r="C3" s="243">
        <v>6</v>
      </c>
      <c r="D3" s="237" t="s">
        <v>229</v>
      </c>
      <c r="E3" s="237">
        <v>50</v>
      </c>
      <c r="F3" s="237" t="s">
        <v>60</v>
      </c>
      <c r="G3" s="237" t="s">
        <v>230</v>
      </c>
      <c r="H3" s="243" t="s">
        <v>188</v>
      </c>
      <c r="I3" s="243"/>
      <c r="K3" s="240"/>
      <c r="L3" s="243" t="s">
        <v>231</v>
      </c>
      <c r="M3" s="243" t="s">
        <v>231</v>
      </c>
      <c r="N3" s="237" t="s">
        <v>228</v>
      </c>
      <c r="O3" s="237" t="s">
        <v>228</v>
      </c>
      <c r="P3" s="237" t="s">
        <v>231</v>
      </c>
      <c r="Q3" s="245" t="s">
        <v>228</v>
      </c>
      <c r="R3" s="237" t="s">
        <v>232</v>
      </c>
      <c r="S3" s="330" t="s">
        <v>233</v>
      </c>
      <c r="T3" s="237" t="s">
        <v>228</v>
      </c>
      <c r="U3" s="237" t="s">
        <v>234</v>
      </c>
      <c r="V3" s="237" t="s">
        <v>235</v>
      </c>
      <c r="W3" s="245" t="s">
        <v>228</v>
      </c>
      <c r="X3" s="237" t="s">
        <v>236</v>
      </c>
      <c r="Y3" s="237" t="s">
        <v>237</v>
      </c>
      <c r="Z3" s="237" t="s">
        <v>228</v>
      </c>
      <c r="AA3" s="237" t="s">
        <v>238</v>
      </c>
      <c r="AB3" s="337" t="s">
        <v>228</v>
      </c>
      <c r="AC3" s="237" t="s">
        <v>228</v>
      </c>
      <c r="AD3" s="562"/>
      <c r="AE3" s="550"/>
      <c r="AF3" s="237"/>
    </row>
    <row r="4" spans="1:32" ht="13.5" customHeight="1">
      <c r="A4" s="235">
        <v>2</v>
      </c>
      <c r="B4" s="237">
        <v>9</v>
      </c>
      <c r="C4" s="243" t="s">
        <v>239</v>
      </c>
      <c r="D4" s="237" t="s">
        <v>240</v>
      </c>
      <c r="E4" s="237">
        <v>45</v>
      </c>
      <c r="F4" s="237" t="s">
        <v>75</v>
      </c>
      <c r="G4" s="237" t="s">
        <v>241</v>
      </c>
      <c r="H4" s="243" t="s">
        <v>188</v>
      </c>
      <c r="I4" s="243"/>
      <c r="K4" s="240"/>
      <c r="L4" s="243" t="s">
        <v>231</v>
      </c>
      <c r="M4" s="246" t="s">
        <v>228</v>
      </c>
      <c r="N4" s="237" t="s">
        <v>228</v>
      </c>
      <c r="O4" s="237" t="s">
        <v>228</v>
      </c>
      <c r="P4" s="237" t="s">
        <v>231</v>
      </c>
      <c r="Q4" s="245">
        <v>44698</v>
      </c>
      <c r="R4" s="237" t="s">
        <v>232</v>
      </c>
      <c r="S4" s="331" t="s">
        <v>233</v>
      </c>
      <c r="T4" s="237" t="s">
        <v>228</v>
      </c>
      <c r="U4" s="237" t="s">
        <v>234</v>
      </c>
      <c r="V4" s="237" t="s">
        <v>235</v>
      </c>
      <c r="W4" s="245" t="s">
        <v>228</v>
      </c>
      <c r="X4" s="237" t="s">
        <v>242</v>
      </c>
      <c r="Y4" s="237" t="s">
        <v>237</v>
      </c>
      <c r="Z4" s="237" t="s">
        <v>237</v>
      </c>
      <c r="AA4" s="237" t="s">
        <v>243</v>
      </c>
      <c r="AB4" s="337" t="s">
        <v>228</v>
      </c>
      <c r="AC4" s="237" t="s">
        <v>228</v>
      </c>
      <c r="AD4" s="562"/>
      <c r="AE4" s="550"/>
      <c r="AF4" s="237"/>
    </row>
    <row r="5" spans="1:32" ht="13.5" customHeight="1">
      <c r="A5" s="235">
        <v>3</v>
      </c>
      <c r="B5" s="237">
        <v>11</v>
      </c>
      <c r="C5" s="243" t="s">
        <v>244</v>
      </c>
      <c r="D5" s="237" t="s">
        <v>245</v>
      </c>
      <c r="E5" s="237" t="s">
        <v>246</v>
      </c>
      <c r="F5" s="237" t="s">
        <v>75</v>
      </c>
      <c r="G5" s="237" t="s">
        <v>247</v>
      </c>
      <c r="H5" s="243" t="s">
        <v>188</v>
      </c>
      <c r="I5" s="243"/>
      <c r="K5" s="240"/>
      <c r="L5" s="243" t="s">
        <v>231</v>
      </c>
      <c r="M5" s="246" t="s">
        <v>228</v>
      </c>
      <c r="N5" s="237" t="s">
        <v>228</v>
      </c>
      <c r="O5" s="237" t="s">
        <v>228</v>
      </c>
      <c r="P5" s="237" t="s">
        <v>231</v>
      </c>
      <c r="Q5" s="245">
        <v>44698</v>
      </c>
      <c r="R5" s="237" t="s">
        <v>232</v>
      </c>
      <c r="S5" s="331" t="s">
        <v>233</v>
      </c>
      <c r="T5" s="237" t="s">
        <v>228</v>
      </c>
      <c r="U5" s="237" t="s">
        <v>234</v>
      </c>
      <c r="V5" s="237" t="s">
        <v>235</v>
      </c>
      <c r="W5" s="245" t="s">
        <v>228</v>
      </c>
      <c r="X5" s="237" t="s">
        <v>248</v>
      </c>
      <c r="Y5" s="237" t="s">
        <v>237</v>
      </c>
      <c r="Z5" s="237" t="s">
        <v>237</v>
      </c>
      <c r="AA5" s="237" t="s">
        <v>249</v>
      </c>
      <c r="AB5" s="337" t="s">
        <v>228</v>
      </c>
      <c r="AC5" s="237" t="s">
        <v>228</v>
      </c>
      <c r="AD5" s="562"/>
      <c r="AE5" s="550"/>
      <c r="AF5" s="237"/>
    </row>
    <row r="6" spans="1:32" ht="13.5" customHeight="1">
      <c r="A6" s="235">
        <v>4</v>
      </c>
      <c r="B6" s="237">
        <v>14</v>
      </c>
      <c r="C6" s="243" t="s">
        <v>250</v>
      </c>
      <c r="D6" s="237" t="s">
        <v>251</v>
      </c>
      <c r="E6" s="237">
        <v>52</v>
      </c>
      <c r="F6" s="237" t="s">
        <v>75</v>
      </c>
      <c r="G6" s="237" t="s">
        <v>252</v>
      </c>
      <c r="H6" s="243" t="s">
        <v>188</v>
      </c>
      <c r="I6" s="243"/>
      <c r="K6" s="240"/>
      <c r="L6" s="243" t="s">
        <v>231</v>
      </c>
      <c r="M6" s="246" t="s">
        <v>228</v>
      </c>
      <c r="N6" s="237" t="s">
        <v>253</v>
      </c>
      <c r="O6" s="237" t="s">
        <v>228</v>
      </c>
      <c r="P6" s="237" t="s">
        <v>231</v>
      </c>
      <c r="Q6" s="245">
        <v>44701</v>
      </c>
      <c r="R6" s="237" t="s">
        <v>232</v>
      </c>
      <c r="S6" s="331" t="s">
        <v>233</v>
      </c>
      <c r="T6" s="237" t="s">
        <v>228</v>
      </c>
      <c r="U6" s="237" t="s">
        <v>234</v>
      </c>
      <c r="V6" s="237" t="s">
        <v>235</v>
      </c>
      <c r="W6" s="245" t="s">
        <v>228</v>
      </c>
      <c r="X6" s="237" t="s">
        <v>254</v>
      </c>
      <c r="Y6" s="237" t="s">
        <v>237</v>
      </c>
      <c r="Z6" s="237" t="s">
        <v>237</v>
      </c>
      <c r="AA6" s="237" t="s">
        <v>255</v>
      </c>
      <c r="AB6" s="337" t="s">
        <v>228</v>
      </c>
      <c r="AC6" s="237" t="s">
        <v>228</v>
      </c>
      <c r="AD6" s="562"/>
      <c r="AE6" s="550"/>
      <c r="AF6" s="237"/>
    </row>
    <row r="7" spans="1:32" ht="13.5" customHeight="1">
      <c r="A7" s="235">
        <v>5</v>
      </c>
      <c r="B7" s="237">
        <v>24</v>
      </c>
      <c r="C7" s="243" t="s">
        <v>256</v>
      </c>
      <c r="D7" s="237" t="s">
        <v>257</v>
      </c>
      <c r="E7" s="237">
        <v>63</v>
      </c>
      <c r="F7" s="237" t="s">
        <v>75</v>
      </c>
      <c r="G7" s="237" t="s">
        <v>258</v>
      </c>
      <c r="H7" s="243" t="s">
        <v>188</v>
      </c>
      <c r="I7" s="243"/>
      <c r="K7" s="240"/>
      <c r="L7" s="243" t="s">
        <v>231</v>
      </c>
      <c r="M7" s="246" t="s">
        <v>228</v>
      </c>
      <c r="N7" s="237" t="s">
        <v>228</v>
      </c>
      <c r="O7" s="237" t="s">
        <v>228</v>
      </c>
      <c r="P7" s="237" t="s">
        <v>231</v>
      </c>
      <c r="Q7" s="245">
        <v>44711</v>
      </c>
      <c r="R7" s="237" t="s">
        <v>232</v>
      </c>
      <c r="S7" s="331" t="s">
        <v>233</v>
      </c>
      <c r="T7" s="237">
        <v>8.4</v>
      </c>
      <c r="U7" s="237" t="s">
        <v>234</v>
      </c>
      <c r="V7" s="237" t="s">
        <v>235</v>
      </c>
      <c r="W7" s="245" t="s">
        <v>228</v>
      </c>
      <c r="X7" s="237" t="s">
        <v>259</v>
      </c>
      <c r="Y7" s="237" t="s">
        <v>237</v>
      </c>
      <c r="Z7" s="237" t="s">
        <v>237</v>
      </c>
      <c r="AA7" s="237" t="s">
        <v>260</v>
      </c>
      <c r="AB7" s="337" t="s">
        <v>228</v>
      </c>
      <c r="AC7" s="237" t="s">
        <v>228</v>
      </c>
      <c r="AD7" s="562"/>
      <c r="AE7" s="550"/>
      <c r="AF7" s="237"/>
    </row>
    <row r="8" spans="1:32" ht="13.5" customHeight="1">
      <c r="A8" s="235">
        <v>6</v>
      </c>
      <c r="B8" s="237">
        <v>27</v>
      </c>
      <c r="C8" s="243" t="s">
        <v>261</v>
      </c>
      <c r="D8" s="237" t="s">
        <v>262</v>
      </c>
      <c r="E8" s="237">
        <v>38</v>
      </c>
      <c r="F8" s="237" t="s">
        <v>60</v>
      </c>
      <c r="G8" s="237" t="s">
        <v>263</v>
      </c>
      <c r="H8" s="243" t="s">
        <v>188</v>
      </c>
      <c r="I8" s="243"/>
      <c r="K8" s="240"/>
      <c r="L8" s="243" t="s">
        <v>231</v>
      </c>
      <c r="M8" s="246" t="s">
        <v>228</v>
      </c>
      <c r="N8" s="237" t="s">
        <v>264</v>
      </c>
      <c r="O8" s="237" t="s">
        <v>228</v>
      </c>
      <c r="P8" s="237" t="s">
        <v>231</v>
      </c>
      <c r="Q8" s="245">
        <v>44770</v>
      </c>
      <c r="R8" s="237" t="s">
        <v>232</v>
      </c>
      <c r="S8" s="331" t="s">
        <v>233</v>
      </c>
      <c r="T8" s="237">
        <v>8.4</v>
      </c>
      <c r="U8" s="237" t="s">
        <v>234</v>
      </c>
      <c r="V8" s="237" t="s">
        <v>235</v>
      </c>
      <c r="W8" s="245" t="s">
        <v>228</v>
      </c>
      <c r="X8" s="237" t="s">
        <v>265</v>
      </c>
      <c r="Y8" s="237" t="s">
        <v>237</v>
      </c>
      <c r="Z8" s="237" t="s">
        <v>237</v>
      </c>
      <c r="AA8" s="237" t="s">
        <v>266</v>
      </c>
      <c r="AB8" s="337" t="s">
        <v>228</v>
      </c>
      <c r="AC8" s="237" t="s">
        <v>228</v>
      </c>
      <c r="AD8" s="562"/>
      <c r="AE8" s="550"/>
      <c r="AF8" s="237"/>
    </row>
    <row r="9" spans="1:32" ht="13.5" customHeight="1">
      <c r="A9" s="235">
        <v>7</v>
      </c>
      <c r="B9" s="237">
        <v>32</v>
      </c>
      <c r="C9" s="243" t="s">
        <v>267</v>
      </c>
      <c r="D9" s="237" t="s">
        <v>268</v>
      </c>
      <c r="E9" s="237">
        <v>62</v>
      </c>
      <c r="F9" s="237" t="s">
        <v>75</v>
      </c>
      <c r="G9" s="237" t="s">
        <v>269</v>
      </c>
      <c r="H9" s="243" t="s">
        <v>188</v>
      </c>
      <c r="I9" s="243"/>
      <c r="K9" s="240"/>
      <c r="L9" s="243" t="s">
        <v>231</v>
      </c>
      <c r="M9" s="246" t="s">
        <v>228</v>
      </c>
      <c r="N9" s="237" t="s">
        <v>228</v>
      </c>
      <c r="O9" s="237" t="s">
        <v>228</v>
      </c>
      <c r="P9" s="237" t="s">
        <v>231</v>
      </c>
      <c r="Q9" s="245">
        <v>44796</v>
      </c>
      <c r="R9" s="237" t="s">
        <v>232</v>
      </c>
      <c r="S9" s="331" t="s">
        <v>233</v>
      </c>
      <c r="T9" s="237">
        <v>8.5</v>
      </c>
      <c r="U9" s="237" t="s">
        <v>234</v>
      </c>
      <c r="V9" s="237" t="s">
        <v>235</v>
      </c>
      <c r="W9" s="245" t="s">
        <v>228</v>
      </c>
      <c r="X9" s="237" t="s">
        <v>270</v>
      </c>
      <c r="Y9" s="237" t="s">
        <v>237</v>
      </c>
      <c r="Z9" s="237" t="s">
        <v>237</v>
      </c>
      <c r="AA9" s="237" t="s">
        <v>271</v>
      </c>
      <c r="AB9" s="337" t="s">
        <v>228</v>
      </c>
      <c r="AC9" s="237" t="s">
        <v>228</v>
      </c>
      <c r="AD9" s="562"/>
      <c r="AE9" s="550"/>
      <c r="AF9" s="237"/>
    </row>
    <row r="10" spans="1:32" ht="13.5" customHeight="1">
      <c r="A10" s="235">
        <v>8</v>
      </c>
      <c r="B10" s="237">
        <v>34</v>
      </c>
      <c r="C10" s="243" t="s">
        <v>272</v>
      </c>
      <c r="D10" s="237" t="s">
        <v>273</v>
      </c>
      <c r="E10" s="237">
        <v>35</v>
      </c>
      <c r="F10" s="237" t="s">
        <v>75</v>
      </c>
      <c r="G10" s="237" t="s">
        <v>274</v>
      </c>
      <c r="H10" s="243" t="s">
        <v>188</v>
      </c>
      <c r="I10" s="243"/>
      <c r="K10" s="240"/>
      <c r="L10" s="243" t="s">
        <v>231</v>
      </c>
      <c r="M10" s="246" t="s">
        <v>228</v>
      </c>
      <c r="N10" s="237" t="s">
        <v>228</v>
      </c>
      <c r="O10" s="237" t="s">
        <v>228</v>
      </c>
      <c r="P10" s="237" t="s">
        <v>231</v>
      </c>
      <c r="Q10" s="245">
        <v>44798</v>
      </c>
      <c r="R10" s="237" t="s">
        <v>232</v>
      </c>
      <c r="S10" s="331" t="s">
        <v>233</v>
      </c>
      <c r="T10" s="237">
        <v>8.3000000000000007</v>
      </c>
      <c r="U10" s="237" t="s">
        <v>234</v>
      </c>
      <c r="V10" s="237" t="s">
        <v>235</v>
      </c>
      <c r="W10" s="245" t="s">
        <v>228</v>
      </c>
      <c r="X10" s="237" t="s">
        <v>275</v>
      </c>
      <c r="Y10" s="237" t="s">
        <v>237</v>
      </c>
      <c r="Z10" s="237" t="s">
        <v>237</v>
      </c>
      <c r="AA10" s="237" t="s">
        <v>276</v>
      </c>
      <c r="AB10" s="337" t="s">
        <v>228</v>
      </c>
      <c r="AC10" s="237" t="s">
        <v>228</v>
      </c>
      <c r="AD10" s="562"/>
      <c r="AE10" s="550"/>
      <c r="AF10" s="237"/>
    </row>
    <row r="11" spans="1:32" ht="13.5" customHeight="1">
      <c r="A11" s="235">
        <v>9</v>
      </c>
      <c r="B11" s="237">
        <v>36</v>
      </c>
      <c r="C11" s="243" t="s">
        <v>277</v>
      </c>
      <c r="D11" s="237" t="s">
        <v>278</v>
      </c>
      <c r="E11" s="237">
        <v>37</v>
      </c>
      <c r="F11" s="237" t="s">
        <v>60</v>
      </c>
      <c r="G11" s="237" t="s">
        <v>279</v>
      </c>
      <c r="H11" s="243" t="s">
        <v>188</v>
      </c>
      <c r="I11" s="243"/>
      <c r="K11" s="240"/>
      <c r="L11" s="243" t="s">
        <v>231</v>
      </c>
      <c r="M11" s="246" t="s">
        <v>228</v>
      </c>
      <c r="N11" s="237" t="s">
        <v>280</v>
      </c>
      <c r="O11" s="237" t="s">
        <v>228</v>
      </c>
      <c r="P11" s="237" t="s">
        <v>231</v>
      </c>
      <c r="Q11" s="245">
        <v>44796</v>
      </c>
      <c r="R11" s="237" t="s">
        <v>232</v>
      </c>
      <c r="S11" s="331" t="s">
        <v>233</v>
      </c>
      <c r="T11" s="237">
        <v>8.6</v>
      </c>
      <c r="U11" s="237" t="s">
        <v>234</v>
      </c>
      <c r="V11" s="237" t="s">
        <v>235</v>
      </c>
      <c r="W11" s="245" t="s">
        <v>228</v>
      </c>
      <c r="X11" s="237" t="s">
        <v>281</v>
      </c>
      <c r="Y11" s="237" t="s">
        <v>237</v>
      </c>
      <c r="Z11" s="237" t="s">
        <v>237</v>
      </c>
      <c r="AA11" s="237" t="s">
        <v>282</v>
      </c>
      <c r="AB11" s="337" t="s">
        <v>228</v>
      </c>
      <c r="AC11" s="237" t="s">
        <v>228</v>
      </c>
      <c r="AD11" s="562"/>
      <c r="AE11" s="550"/>
      <c r="AF11" s="237"/>
    </row>
    <row r="12" spans="1:32" ht="13.5" customHeight="1">
      <c r="A12" s="235">
        <v>10</v>
      </c>
      <c r="B12" s="237">
        <v>37</v>
      </c>
      <c r="C12" s="243" t="s">
        <v>283</v>
      </c>
      <c r="D12" s="237" t="s">
        <v>284</v>
      </c>
      <c r="E12" s="237">
        <v>35</v>
      </c>
      <c r="F12" s="237" t="s">
        <v>60</v>
      </c>
      <c r="G12" s="237" t="s">
        <v>285</v>
      </c>
      <c r="H12" s="243" t="s">
        <v>188</v>
      </c>
      <c r="I12" s="243"/>
      <c r="K12" s="240"/>
      <c r="L12" s="243"/>
      <c r="M12" s="246" t="s">
        <v>228</v>
      </c>
      <c r="N12" s="237" t="s">
        <v>228</v>
      </c>
      <c r="O12" s="237" t="s">
        <v>228</v>
      </c>
      <c r="P12" s="237" t="s">
        <v>231</v>
      </c>
      <c r="Q12" s="245">
        <v>44781</v>
      </c>
      <c r="R12" s="237" t="s">
        <v>232</v>
      </c>
      <c r="S12" s="331" t="s">
        <v>233</v>
      </c>
      <c r="T12" s="237">
        <v>8.1999999999999993</v>
      </c>
      <c r="U12" s="237" t="s">
        <v>234</v>
      </c>
      <c r="V12" s="237" t="s">
        <v>235</v>
      </c>
      <c r="W12" s="245" t="s">
        <v>228</v>
      </c>
      <c r="X12" s="237" t="s">
        <v>286</v>
      </c>
      <c r="Y12" s="237" t="s">
        <v>237</v>
      </c>
      <c r="Z12" s="237" t="s">
        <v>228</v>
      </c>
      <c r="AA12" s="237" t="s">
        <v>287</v>
      </c>
      <c r="AB12" s="337" t="s">
        <v>228</v>
      </c>
      <c r="AC12" s="237" t="s">
        <v>228</v>
      </c>
      <c r="AD12" s="562"/>
      <c r="AE12" s="550"/>
      <c r="AF12" s="237"/>
    </row>
    <row r="13" spans="1:32" ht="13.5" customHeight="1">
      <c r="A13" s="235">
        <v>11</v>
      </c>
      <c r="B13" s="237">
        <v>38</v>
      </c>
      <c r="C13" s="243" t="s">
        <v>288</v>
      </c>
      <c r="D13" s="237" t="s">
        <v>289</v>
      </c>
      <c r="E13" s="237">
        <v>50</v>
      </c>
      <c r="F13" s="237" t="s">
        <v>60</v>
      </c>
      <c r="G13" s="237" t="s">
        <v>290</v>
      </c>
      <c r="H13" s="243" t="s">
        <v>188</v>
      </c>
      <c r="I13" s="243"/>
      <c r="K13" s="240"/>
      <c r="L13" s="243" t="s">
        <v>231</v>
      </c>
      <c r="M13" s="246" t="s">
        <v>228</v>
      </c>
      <c r="N13" s="237" t="s">
        <v>228</v>
      </c>
      <c r="O13" s="237" t="s">
        <v>228</v>
      </c>
      <c r="P13" s="237" t="s">
        <v>231</v>
      </c>
      <c r="Q13" s="245" t="s">
        <v>228</v>
      </c>
      <c r="R13" s="237" t="s">
        <v>232</v>
      </c>
      <c r="S13" s="331" t="s">
        <v>233</v>
      </c>
      <c r="T13" s="237">
        <v>9.6</v>
      </c>
      <c r="U13" s="237" t="s">
        <v>234</v>
      </c>
      <c r="V13" s="237" t="s">
        <v>235</v>
      </c>
      <c r="W13" s="245" t="s">
        <v>228</v>
      </c>
      <c r="X13" s="237" t="s">
        <v>291</v>
      </c>
      <c r="Y13" s="237" t="s">
        <v>237</v>
      </c>
      <c r="Z13" s="237" t="s">
        <v>237</v>
      </c>
      <c r="AA13" s="237" t="s">
        <v>292</v>
      </c>
      <c r="AB13" s="337" t="s">
        <v>228</v>
      </c>
      <c r="AC13" s="237" t="s">
        <v>228</v>
      </c>
      <c r="AD13" s="562"/>
      <c r="AE13" s="550"/>
      <c r="AF13" s="237"/>
    </row>
    <row r="14" spans="1:32" ht="13.5" customHeight="1">
      <c r="A14" s="235">
        <v>12</v>
      </c>
      <c r="B14" s="237">
        <v>43</v>
      </c>
      <c r="C14" s="243" t="s">
        <v>293</v>
      </c>
      <c r="D14" s="237" t="s">
        <v>294</v>
      </c>
      <c r="E14" s="237">
        <v>52</v>
      </c>
      <c r="F14" s="237" t="s">
        <v>60</v>
      </c>
      <c r="G14" s="237" t="s">
        <v>295</v>
      </c>
      <c r="H14" s="235" t="s">
        <v>188</v>
      </c>
      <c r="I14" s="235" t="s">
        <v>296</v>
      </c>
      <c r="K14" s="240"/>
      <c r="L14" s="243" t="s">
        <v>231</v>
      </c>
      <c r="M14" s="243" t="s">
        <v>297</v>
      </c>
      <c r="N14" s="237" t="s">
        <v>228</v>
      </c>
      <c r="O14" s="237" t="s">
        <v>228</v>
      </c>
      <c r="P14" s="237" t="s">
        <v>231</v>
      </c>
      <c r="Q14" s="245" t="s">
        <v>228</v>
      </c>
      <c r="R14" s="237" t="s">
        <v>232</v>
      </c>
      <c r="S14" s="331" t="s">
        <v>233</v>
      </c>
      <c r="T14" s="237">
        <v>8.3000000000000007</v>
      </c>
      <c r="U14" s="237" t="s">
        <v>298</v>
      </c>
      <c r="V14" s="237" t="s">
        <v>235</v>
      </c>
      <c r="W14" s="245" t="s">
        <v>228</v>
      </c>
      <c r="X14" s="237" t="s">
        <v>299</v>
      </c>
      <c r="Y14" s="237" t="s">
        <v>237</v>
      </c>
      <c r="Z14" s="237" t="s">
        <v>237</v>
      </c>
      <c r="AA14" s="237" t="s">
        <v>300</v>
      </c>
      <c r="AB14" s="337" t="s">
        <v>228</v>
      </c>
      <c r="AC14" s="237" t="s">
        <v>228</v>
      </c>
      <c r="AD14" s="562"/>
      <c r="AE14" s="550"/>
      <c r="AF14" s="237"/>
    </row>
    <row r="15" spans="1:32" ht="13.5" customHeight="1">
      <c r="A15" s="235">
        <v>13</v>
      </c>
      <c r="B15" s="237">
        <v>44</v>
      </c>
      <c r="C15" s="243" t="s">
        <v>301</v>
      </c>
      <c r="D15" s="237" t="s">
        <v>302</v>
      </c>
      <c r="E15" s="237">
        <v>55</v>
      </c>
      <c r="F15" s="237" t="s">
        <v>75</v>
      </c>
      <c r="G15" s="237" t="s">
        <v>303</v>
      </c>
      <c r="H15" s="243" t="s">
        <v>188</v>
      </c>
      <c r="I15" s="243"/>
      <c r="K15" s="240"/>
      <c r="L15" s="243" t="s">
        <v>231</v>
      </c>
      <c r="M15" s="243" t="s">
        <v>231</v>
      </c>
      <c r="N15" s="237" t="s">
        <v>228</v>
      </c>
      <c r="O15" s="237" t="s">
        <v>228</v>
      </c>
      <c r="P15" s="237" t="s">
        <v>231</v>
      </c>
      <c r="Q15" s="245">
        <v>44875</v>
      </c>
      <c r="R15" s="237" t="s">
        <v>232</v>
      </c>
      <c r="S15" s="331" t="s">
        <v>233</v>
      </c>
      <c r="T15" s="237">
        <v>8.3000000000000007</v>
      </c>
      <c r="U15" s="237" t="s">
        <v>234</v>
      </c>
      <c r="V15" s="237" t="s">
        <v>235</v>
      </c>
      <c r="W15" s="245" t="s">
        <v>228</v>
      </c>
      <c r="X15" s="237" t="s">
        <v>304</v>
      </c>
      <c r="Y15" s="237" t="s">
        <v>237</v>
      </c>
      <c r="Z15" s="237" t="s">
        <v>237</v>
      </c>
      <c r="AA15" s="237" t="s">
        <v>305</v>
      </c>
      <c r="AB15" s="337" t="s">
        <v>228</v>
      </c>
      <c r="AC15" s="237" t="s">
        <v>228</v>
      </c>
      <c r="AD15" s="562"/>
      <c r="AE15" s="550"/>
      <c r="AF15" s="237"/>
    </row>
    <row r="16" spans="1:32" ht="13.5" customHeight="1">
      <c r="A16" s="235">
        <v>14</v>
      </c>
      <c r="B16" s="237">
        <v>56</v>
      </c>
      <c r="C16" s="243" t="s">
        <v>306</v>
      </c>
      <c r="D16" s="237" t="s">
        <v>307</v>
      </c>
      <c r="E16" s="237">
        <v>42</v>
      </c>
      <c r="F16" s="237" t="s">
        <v>75</v>
      </c>
      <c r="G16" s="237" t="s">
        <v>308</v>
      </c>
      <c r="H16" s="243" t="s">
        <v>188</v>
      </c>
      <c r="I16" s="243"/>
      <c r="K16" s="240"/>
      <c r="L16" s="243" t="s">
        <v>231</v>
      </c>
      <c r="M16" s="246" t="s">
        <v>228</v>
      </c>
      <c r="N16" s="237" t="s">
        <v>32</v>
      </c>
      <c r="O16" s="237" t="s">
        <v>228</v>
      </c>
      <c r="P16" s="237" t="s">
        <v>231</v>
      </c>
      <c r="Q16" s="245">
        <v>44905</v>
      </c>
      <c r="R16" s="237" t="s">
        <v>309</v>
      </c>
      <c r="S16" s="331" t="s">
        <v>233</v>
      </c>
      <c r="T16" s="237">
        <v>8.5</v>
      </c>
      <c r="U16" s="237" t="s">
        <v>234</v>
      </c>
      <c r="V16" s="237" t="s">
        <v>235</v>
      </c>
      <c r="W16" s="245" t="s">
        <v>228</v>
      </c>
      <c r="X16" s="237" t="s">
        <v>310</v>
      </c>
      <c r="Y16" s="237" t="s">
        <v>237</v>
      </c>
      <c r="Z16" s="237" t="s">
        <v>237</v>
      </c>
      <c r="AA16" s="237" t="s">
        <v>311</v>
      </c>
      <c r="AB16" s="337" t="s">
        <v>228</v>
      </c>
      <c r="AC16" s="237" t="s">
        <v>228</v>
      </c>
      <c r="AD16" s="562"/>
      <c r="AE16" s="550"/>
      <c r="AF16" s="237"/>
    </row>
    <row r="17" spans="1:32" ht="13.5" customHeight="1">
      <c r="A17" s="235">
        <v>15</v>
      </c>
      <c r="B17" s="237">
        <v>57</v>
      </c>
      <c r="C17" s="243" t="s">
        <v>312</v>
      </c>
      <c r="D17" s="237" t="s">
        <v>313</v>
      </c>
      <c r="E17" s="237">
        <v>47</v>
      </c>
      <c r="F17" s="237" t="s">
        <v>60</v>
      </c>
      <c r="G17" s="237" t="s">
        <v>314</v>
      </c>
      <c r="H17" s="243" t="s">
        <v>188</v>
      </c>
      <c r="I17" s="243"/>
      <c r="K17" s="240"/>
      <c r="L17" s="243" t="s">
        <v>231</v>
      </c>
      <c r="M17" s="246" t="s">
        <v>228</v>
      </c>
      <c r="N17" s="237" t="s">
        <v>32</v>
      </c>
      <c r="O17" s="237" t="s">
        <v>228</v>
      </c>
      <c r="P17" s="237" t="s">
        <v>231</v>
      </c>
      <c r="Q17" s="245">
        <v>44905</v>
      </c>
      <c r="R17" s="237" t="s">
        <v>309</v>
      </c>
      <c r="S17" s="331" t="s">
        <v>233</v>
      </c>
      <c r="T17" s="237">
        <v>8.6</v>
      </c>
      <c r="U17" s="237" t="s">
        <v>234</v>
      </c>
      <c r="V17" s="237" t="s">
        <v>235</v>
      </c>
      <c r="W17" s="245" t="s">
        <v>228</v>
      </c>
      <c r="X17" s="237" t="s">
        <v>315</v>
      </c>
      <c r="Y17" s="237" t="s">
        <v>237</v>
      </c>
      <c r="Z17" s="237" t="s">
        <v>237</v>
      </c>
      <c r="AA17" s="237" t="s">
        <v>316</v>
      </c>
      <c r="AB17" s="337" t="s">
        <v>228</v>
      </c>
      <c r="AC17" s="237" t="s">
        <v>228</v>
      </c>
      <c r="AD17" s="562"/>
      <c r="AE17" s="550"/>
      <c r="AF17" s="237"/>
    </row>
    <row r="18" spans="1:32" ht="13.5" customHeight="1">
      <c r="A18" s="235">
        <v>16</v>
      </c>
      <c r="B18" s="237">
        <v>77</v>
      </c>
      <c r="C18" s="243" t="s">
        <v>317</v>
      </c>
      <c r="D18" s="237" t="s">
        <v>318</v>
      </c>
      <c r="E18" s="237">
        <v>57</v>
      </c>
      <c r="F18" s="237" t="s">
        <v>75</v>
      </c>
      <c r="G18" s="237" t="s">
        <v>319</v>
      </c>
      <c r="H18" s="243" t="s">
        <v>188</v>
      </c>
      <c r="I18" s="243"/>
      <c r="K18" s="240"/>
      <c r="L18" s="243" t="s">
        <v>231</v>
      </c>
      <c r="M18" s="246" t="s">
        <v>228</v>
      </c>
      <c r="N18" s="237" t="s">
        <v>228</v>
      </c>
      <c r="O18" s="237" t="s">
        <v>228</v>
      </c>
      <c r="P18" s="237" t="s">
        <v>231</v>
      </c>
      <c r="Q18" s="245">
        <v>44933</v>
      </c>
      <c r="R18" s="237" t="s">
        <v>309</v>
      </c>
      <c r="S18" s="331" t="s">
        <v>233</v>
      </c>
      <c r="T18" s="237">
        <v>8.8000000000000007</v>
      </c>
      <c r="U18" s="237" t="s">
        <v>234</v>
      </c>
      <c r="V18" s="237" t="s">
        <v>235</v>
      </c>
      <c r="W18" s="245" t="s">
        <v>228</v>
      </c>
      <c r="X18" s="237" t="s">
        <v>320</v>
      </c>
      <c r="Y18" s="237" t="s">
        <v>237</v>
      </c>
      <c r="Z18" s="237" t="s">
        <v>237</v>
      </c>
      <c r="AA18" s="237" t="s">
        <v>321</v>
      </c>
      <c r="AB18" s="337" t="s">
        <v>228</v>
      </c>
      <c r="AC18" s="237" t="s">
        <v>228</v>
      </c>
      <c r="AD18" s="562"/>
      <c r="AE18" s="550"/>
      <c r="AF18" s="237"/>
    </row>
    <row r="19" spans="1:32" ht="13.5" customHeight="1">
      <c r="A19" s="235">
        <v>17</v>
      </c>
      <c r="B19" s="237">
        <v>91</v>
      </c>
      <c r="C19" s="243" t="s">
        <v>322</v>
      </c>
      <c r="D19" s="237" t="s">
        <v>323</v>
      </c>
      <c r="E19" s="237">
        <v>64</v>
      </c>
      <c r="F19" s="237" t="s">
        <v>60</v>
      </c>
      <c r="G19" s="237" t="s">
        <v>324</v>
      </c>
      <c r="H19" s="243" t="s">
        <v>188</v>
      </c>
      <c r="I19" s="243"/>
      <c r="K19" s="240"/>
      <c r="L19" s="243" t="s">
        <v>231</v>
      </c>
      <c r="M19" s="246" t="s">
        <v>228</v>
      </c>
      <c r="N19" s="237" t="s">
        <v>228</v>
      </c>
      <c r="O19" s="237" t="s">
        <v>228</v>
      </c>
      <c r="P19" s="237" t="s">
        <v>231</v>
      </c>
      <c r="Q19" s="245">
        <v>44942</v>
      </c>
      <c r="R19" s="237" t="s">
        <v>309</v>
      </c>
      <c r="S19" s="331" t="s">
        <v>233</v>
      </c>
      <c r="T19" s="237">
        <v>8.1999999999999993</v>
      </c>
      <c r="U19" s="237" t="s">
        <v>234</v>
      </c>
      <c r="V19" s="237" t="s">
        <v>235</v>
      </c>
      <c r="W19" s="245" t="s">
        <v>228</v>
      </c>
      <c r="X19" s="237" t="s">
        <v>325</v>
      </c>
      <c r="Y19" s="237" t="s">
        <v>237</v>
      </c>
      <c r="Z19" s="237" t="s">
        <v>237</v>
      </c>
      <c r="AA19" s="237" t="s">
        <v>326</v>
      </c>
      <c r="AB19" s="337" t="s">
        <v>228</v>
      </c>
      <c r="AC19" s="237" t="s">
        <v>228</v>
      </c>
      <c r="AD19" s="562"/>
      <c r="AE19" s="550"/>
      <c r="AF19" s="237"/>
    </row>
    <row r="20" spans="1:32" ht="13.5" customHeight="1">
      <c r="A20" s="235">
        <v>18</v>
      </c>
      <c r="B20" s="237">
        <v>136</v>
      </c>
      <c r="C20" s="243" t="s">
        <v>327</v>
      </c>
      <c r="D20" s="237" t="s">
        <v>328</v>
      </c>
      <c r="E20" s="237">
        <v>39</v>
      </c>
      <c r="F20" s="237" t="s">
        <v>75</v>
      </c>
      <c r="G20" s="237" t="s">
        <v>329</v>
      </c>
      <c r="H20" s="243" t="s">
        <v>188</v>
      </c>
      <c r="I20" s="243"/>
      <c r="K20" s="240"/>
      <c r="L20" s="243" t="s">
        <v>231</v>
      </c>
      <c r="M20" s="246" t="s">
        <v>228</v>
      </c>
      <c r="N20" s="237" t="s">
        <v>330</v>
      </c>
      <c r="O20" s="237" t="s">
        <v>228</v>
      </c>
      <c r="P20" s="237" t="s">
        <v>231</v>
      </c>
      <c r="Q20" s="254">
        <v>0</v>
      </c>
      <c r="R20" s="237" t="s">
        <v>309</v>
      </c>
      <c r="S20" s="331" t="s">
        <v>233</v>
      </c>
      <c r="T20" s="237" t="s">
        <v>228</v>
      </c>
      <c r="U20" s="237" t="s">
        <v>234</v>
      </c>
      <c r="V20" s="237" t="s">
        <v>235</v>
      </c>
      <c r="W20" s="245">
        <v>45076</v>
      </c>
      <c r="X20" s="237" t="s">
        <v>331</v>
      </c>
      <c r="Y20" s="237" t="s">
        <v>237</v>
      </c>
      <c r="Z20" s="237" t="s">
        <v>228</v>
      </c>
      <c r="AA20" s="237" t="s">
        <v>332</v>
      </c>
      <c r="AB20" s="337" t="s">
        <v>228</v>
      </c>
      <c r="AC20" s="237" t="s">
        <v>228</v>
      </c>
      <c r="AD20" s="562"/>
      <c r="AE20" s="550"/>
      <c r="AF20" s="237"/>
    </row>
    <row r="21" spans="1:32" ht="13.5" customHeight="1">
      <c r="A21" s="235">
        <v>19</v>
      </c>
      <c r="B21" s="237">
        <v>89</v>
      </c>
      <c r="C21" s="243" t="s">
        <v>333</v>
      </c>
      <c r="D21" s="237" t="s">
        <v>334</v>
      </c>
      <c r="E21" s="237">
        <v>62</v>
      </c>
      <c r="F21" s="237" t="s">
        <v>75</v>
      </c>
      <c r="G21" s="237" t="s">
        <v>335</v>
      </c>
      <c r="H21" s="243" t="s">
        <v>188</v>
      </c>
      <c r="I21" s="243"/>
      <c r="K21" s="240"/>
      <c r="L21" s="243" t="s">
        <v>231</v>
      </c>
      <c r="M21" s="246" t="s">
        <v>228</v>
      </c>
      <c r="N21" s="237" t="s">
        <v>336</v>
      </c>
      <c r="O21" s="237" t="s">
        <v>228</v>
      </c>
      <c r="P21" s="237" t="s">
        <v>231</v>
      </c>
      <c r="Q21" s="245">
        <v>44936</v>
      </c>
      <c r="R21" s="237" t="s">
        <v>309</v>
      </c>
      <c r="S21" s="331" t="s">
        <v>233</v>
      </c>
      <c r="T21" s="237">
        <v>8.3000000000000007</v>
      </c>
      <c r="U21" s="237" t="s">
        <v>234</v>
      </c>
      <c r="V21" s="237" t="s">
        <v>235</v>
      </c>
      <c r="W21" s="245">
        <v>45076</v>
      </c>
      <c r="X21" s="237" t="s">
        <v>337</v>
      </c>
      <c r="Y21" s="237" t="s">
        <v>237</v>
      </c>
      <c r="Z21" s="237" t="s">
        <v>237</v>
      </c>
      <c r="AA21" s="237" t="s">
        <v>228</v>
      </c>
      <c r="AB21" s="337" t="s">
        <v>228</v>
      </c>
      <c r="AC21" s="237" t="s">
        <v>228</v>
      </c>
      <c r="AD21" s="562"/>
      <c r="AE21" s="550"/>
      <c r="AF21" s="237"/>
    </row>
    <row r="22" spans="1:32" ht="13.5" customHeight="1">
      <c r="A22" s="235">
        <v>20</v>
      </c>
      <c r="B22" s="237">
        <v>161</v>
      </c>
      <c r="C22" s="243" t="s">
        <v>338</v>
      </c>
      <c r="D22" s="237" t="s">
        <v>339</v>
      </c>
      <c r="E22" s="237">
        <v>46</v>
      </c>
      <c r="F22" s="237" t="s">
        <v>75</v>
      </c>
      <c r="G22" s="237" t="s">
        <v>340</v>
      </c>
      <c r="H22" s="243" t="s">
        <v>188</v>
      </c>
      <c r="I22" s="243"/>
      <c r="K22" s="240"/>
      <c r="L22" s="243" t="s">
        <v>231</v>
      </c>
      <c r="M22" s="246" t="s">
        <v>228</v>
      </c>
      <c r="N22" s="237" t="s">
        <v>341</v>
      </c>
      <c r="O22" s="237" t="s">
        <v>228</v>
      </c>
      <c r="P22" s="237" t="s">
        <v>231</v>
      </c>
      <c r="Q22" s="245">
        <v>45145</v>
      </c>
      <c r="R22" s="237" t="s">
        <v>309</v>
      </c>
      <c r="S22" s="331" t="s">
        <v>233</v>
      </c>
      <c r="T22" s="237">
        <v>8.5</v>
      </c>
      <c r="U22" s="237" t="s">
        <v>234</v>
      </c>
      <c r="V22" s="237" t="s">
        <v>235</v>
      </c>
      <c r="W22" s="245">
        <v>45169</v>
      </c>
      <c r="X22" s="237" t="s">
        <v>342</v>
      </c>
      <c r="Y22" s="237" t="s">
        <v>237</v>
      </c>
      <c r="Z22" s="237" t="s">
        <v>237</v>
      </c>
      <c r="AA22" s="237" t="s">
        <v>343</v>
      </c>
      <c r="AB22" s="337" t="s">
        <v>237</v>
      </c>
      <c r="AC22" s="237" t="s">
        <v>228</v>
      </c>
      <c r="AD22" s="562"/>
      <c r="AE22" s="550"/>
      <c r="AF22" s="237"/>
    </row>
    <row r="23" spans="1:32" ht="15.75" customHeight="1">
      <c r="A23" s="235">
        <v>21</v>
      </c>
      <c r="B23" s="237">
        <v>166</v>
      </c>
      <c r="C23" s="243" t="s">
        <v>344</v>
      </c>
      <c r="D23" s="237" t="s">
        <v>345</v>
      </c>
      <c r="E23" s="237">
        <v>74</v>
      </c>
      <c r="F23" s="237" t="s">
        <v>60</v>
      </c>
      <c r="G23" s="237" t="s">
        <v>346</v>
      </c>
      <c r="H23" s="243" t="s">
        <v>15</v>
      </c>
      <c r="I23" s="240" t="s">
        <v>39</v>
      </c>
      <c r="K23" s="240" t="s">
        <v>347</v>
      </c>
      <c r="L23" s="247" t="s">
        <v>348</v>
      </c>
      <c r="M23" s="243" t="s">
        <v>349</v>
      </c>
      <c r="N23" s="237" t="s">
        <v>350</v>
      </c>
      <c r="O23" s="237" t="s">
        <v>228</v>
      </c>
      <c r="P23" s="237" t="s">
        <v>231</v>
      </c>
      <c r="Q23" s="245">
        <v>45241</v>
      </c>
      <c r="R23" s="237" t="s">
        <v>309</v>
      </c>
      <c r="S23" s="331" t="s">
        <v>233</v>
      </c>
      <c r="T23" s="237">
        <v>8.5</v>
      </c>
      <c r="U23" s="237" t="s">
        <v>298</v>
      </c>
      <c r="V23" s="237" t="s">
        <v>235</v>
      </c>
      <c r="W23" s="245">
        <v>45265</v>
      </c>
      <c r="X23" s="237" t="s">
        <v>351</v>
      </c>
      <c r="Y23" s="237" t="s">
        <v>237</v>
      </c>
      <c r="Z23" s="237" t="s">
        <v>237</v>
      </c>
      <c r="AA23" s="237" t="s">
        <v>352</v>
      </c>
      <c r="AB23" s="337" t="s">
        <v>237</v>
      </c>
      <c r="AC23" s="237" t="s">
        <v>353</v>
      </c>
      <c r="AD23" s="562">
        <v>45275</v>
      </c>
      <c r="AE23" s="551" t="s">
        <v>354</v>
      </c>
      <c r="AF23" s="237"/>
    </row>
    <row r="24" spans="1:32" ht="15.75" customHeight="1">
      <c r="A24" s="235">
        <v>22</v>
      </c>
      <c r="B24" s="237">
        <v>167</v>
      </c>
      <c r="C24" s="243" t="s">
        <v>355</v>
      </c>
      <c r="D24" s="237" t="s">
        <v>356</v>
      </c>
      <c r="E24" s="237">
        <v>68</v>
      </c>
      <c r="F24" s="237" t="s">
        <v>75</v>
      </c>
      <c r="G24" s="237" t="s">
        <v>357</v>
      </c>
      <c r="H24" s="243" t="s">
        <v>15</v>
      </c>
      <c r="I24" s="243"/>
      <c r="K24" s="240" t="s">
        <v>114</v>
      </c>
      <c r="L24" s="243" t="s">
        <v>358</v>
      </c>
      <c r="M24" s="246" t="s">
        <v>228</v>
      </c>
      <c r="N24" s="237" t="s">
        <v>359</v>
      </c>
      <c r="O24" s="237" t="s">
        <v>228</v>
      </c>
      <c r="P24" s="237" t="s">
        <v>231</v>
      </c>
      <c r="Q24" s="245">
        <v>45253</v>
      </c>
      <c r="R24" s="237" t="s">
        <v>309</v>
      </c>
      <c r="S24" s="331" t="s">
        <v>233</v>
      </c>
      <c r="T24" s="237">
        <v>8.9</v>
      </c>
      <c r="U24" s="237" t="s">
        <v>298</v>
      </c>
      <c r="V24" s="237" t="s">
        <v>235</v>
      </c>
      <c r="W24" s="245">
        <v>45280</v>
      </c>
      <c r="X24" s="237" t="s">
        <v>360</v>
      </c>
      <c r="Y24" s="237" t="s">
        <v>237</v>
      </c>
      <c r="Z24" s="237" t="s">
        <v>237</v>
      </c>
      <c r="AA24" s="237" t="s">
        <v>361</v>
      </c>
      <c r="AB24" s="337" t="s">
        <v>237</v>
      </c>
      <c r="AC24" s="535" t="s">
        <v>353</v>
      </c>
      <c r="AD24" s="563">
        <v>45294</v>
      </c>
      <c r="AE24" s="550" t="s">
        <v>362</v>
      </c>
      <c r="AF24" s="237"/>
    </row>
    <row r="25" spans="1:32" ht="13.5" customHeight="1">
      <c r="A25" s="235">
        <v>23</v>
      </c>
      <c r="B25" s="237">
        <v>163</v>
      </c>
      <c r="C25" s="243" t="s">
        <v>363</v>
      </c>
      <c r="D25" s="237" t="s">
        <v>364</v>
      </c>
      <c r="E25" s="237">
        <v>56</v>
      </c>
      <c r="F25" s="237" t="s">
        <v>75</v>
      </c>
      <c r="G25" s="237" t="s">
        <v>365</v>
      </c>
      <c r="H25" s="243" t="s">
        <v>188</v>
      </c>
      <c r="I25" s="243"/>
      <c r="K25" s="240"/>
      <c r="L25" s="243" t="s">
        <v>231</v>
      </c>
      <c r="M25" s="246" t="s">
        <v>228</v>
      </c>
      <c r="N25" s="237" t="s">
        <v>228</v>
      </c>
      <c r="O25" s="237" t="s">
        <v>228</v>
      </c>
      <c r="P25" s="237" t="s">
        <v>231</v>
      </c>
      <c r="Q25" s="245">
        <v>45161</v>
      </c>
      <c r="R25" s="237" t="s">
        <v>309</v>
      </c>
      <c r="S25" s="331" t="s">
        <v>233</v>
      </c>
      <c r="T25" s="237">
        <v>9.1</v>
      </c>
      <c r="U25" s="237" t="s">
        <v>234</v>
      </c>
      <c r="V25" s="237" t="s">
        <v>235</v>
      </c>
      <c r="W25" s="245">
        <v>45183</v>
      </c>
      <c r="X25" s="237" t="s">
        <v>366</v>
      </c>
      <c r="Y25" s="237" t="s">
        <v>237</v>
      </c>
      <c r="Z25" s="237" t="s">
        <v>237</v>
      </c>
      <c r="AA25" s="237" t="s">
        <v>367</v>
      </c>
      <c r="AB25" s="337" t="s">
        <v>228</v>
      </c>
      <c r="AC25" s="237" t="s">
        <v>228</v>
      </c>
      <c r="AD25" s="562"/>
      <c r="AE25" s="550"/>
      <c r="AF25" s="237"/>
    </row>
    <row r="26" spans="1:32" ht="13.5" customHeight="1">
      <c r="A26" s="235">
        <v>24</v>
      </c>
      <c r="B26" s="237">
        <v>189</v>
      </c>
      <c r="C26" s="243" t="s">
        <v>368</v>
      </c>
      <c r="D26" s="237" t="s">
        <v>369</v>
      </c>
      <c r="E26" s="237">
        <v>25</v>
      </c>
      <c r="F26" s="237" t="s">
        <v>75</v>
      </c>
      <c r="G26" s="237" t="s">
        <v>370</v>
      </c>
      <c r="H26" s="243" t="s">
        <v>188</v>
      </c>
      <c r="I26" s="243"/>
      <c r="K26" s="240"/>
      <c r="L26" s="243" t="s">
        <v>231</v>
      </c>
      <c r="M26" s="246" t="s">
        <v>228</v>
      </c>
      <c r="N26" s="237" t="s">
        <v>371</v>
      </c>
      <c r="O26" s="237" t="s">
        <v>228</v>
      </c>
      <c r="P26" s="237"/>
      <c r="Q26" s="245">
        <v>45357</v>
      </c>
      <c r="R26" s="237" t="s">
        <v>309</v>
      </c>
      <c r="S26" s="331" t="s">
        <v>233</v>
      </c>
      <c r="T26" s="237" t="s">
        <v>372</v>
      </c>
      <c r="U26" s="237" t="s">
        <v>234</v>
      </c>
      <c r="V26" s="237" t="s">
        <v>235</v>
      </c>
      <c r="W26" s="245">
        <v>45398</v>
      </c>
      <c r="X26" s="237" t="s">
        <v>373</v>
      </c>
      <c r="Y26" s="237" t="s">
        <v>237</v>
      </c>
      <c r="Z26" s="237" t="s">
        <v>228</v>
      </c>
      <c r="AA26" s="237" t="s">
        <v>374</v>
      </c>
      <c r="AB26" s="337" t="s">
        <v>237</v>
      </c>
      <c r="AC26" s="237" t="s">
        <v>228</v>
      </c>
      <c r="AD26" s="562"/>
      <c r="AE26" s="550"/>
      <c r="AF26" s="237"/>
    </row>
    <row r="27" spans="1:32" ht="11.25" customHeight="1">
      <c r="A27" s="235">
        <v>25</v>
      </c>
      <c r="B27" s="237">
        <v>19</v>
      </c>
      <c r="C27" s="243" t="s">
        <v>375</v>
      </c>
      <c r="D27" s="237" t="s">
        <v>376</v>
      </c>
      <c r="E27" s="237">
        <v>56</v>
      </c>
      <c r="F27" s="237" t="s">
        <v>60</v>
      </c>
      <c r="G27" s="237" t="s">
        <v>377</v>
      </c>
      <c r="H27" s="243" t="s">
        <v>15</v>
      </c>
      <c r="I27" s="235" t="s">
        <v>378</v>
      </c>
      <c r="J27" s="237"/>
      <c r="K27" s="240" t="s">
        <v>379</v>
      </c>
      <c r="L27" s="247" t="s">
        <v>348</v>
      </c>
      <c r="M27" s="243" t="s">
        <v>380</v>
      </c>
      <c r="N27" s="237" t="s">
        <v>381</v>
      </c>
      <c r="O27" s="237" t="s">
        <v>228</v>
      </c>
      <c r="P27" s="237"/>
      <c r="Q27" s="245">
        <v>45369</v>
      </c>
      <c r="R27" s="237" t="s">
        <v>309</v>
      </c>
      <c r="S27" s="331" t="s">
        <v>233</v>
      </c>
      <c r="T27" s="237" t="s">
        <v>382</v>
      </c>
      <c r="U27" s="237" t="s">
        <v>298</v>
      </c>
      <c r="V27" s="237" t="s">
        <v>235</v>
      </c>
      <c r="W27" s="245">
        <v>45411</v>
      </c>
      <c r="X27" s="237" t="s">
        <v>383</v>
      </c>
      <c r="Y27" s="237" t="s">
        <v>237</v>
      </c>
      <c r="Z27" s="237" t="s">
        <v>237</v>
      </c>
      <c r="AA27" s="237" t="s">
        <v>384</v>
      </c>
      <c r="AB27" s="337" t="s">
        <v>237</v>
      </c>
      <c r="AC27" s="237" t="s">
        <v>353</v>
      </c>
      <c r="AD27" s="562">
        <v>45416</v>
      </c>
      <c r="AE27" s="553"/>
      <c r="AF27" s="237"/>
    </row>
    <row r="28" spans="1:32" ht="13.5" customHeight="1">
      <c r="A28" s="235">
        <v>26</v>
      </c>
      <c r="B28" s="237">
        <v>192</v>
      </c>
      <c r="C28" s="243" t="s">
        <v>385</v>
      </c>
      <c r="D28" s="237" t="s">
        <v>386</v>
      </c>
      <c r="E28" s="237">
        <v>27</v>
      </c>
      <c r="F28" s="237" t="s">
        <v>75</v>
      </c>
      <c r="G28" s="237" t="s">
        <v>387</v>
      </c>
      <c r="H28" s="243" t="s">
        <v>188</v>
      </c>
      <c r="I28" s="243"/>
      <c r="K28" s="240"/>
      <c r="L28" s="243" t="s">
        <v>231</v>
      </c>
      <c r="M28" s="246" t="s">
        <v>228</v>
      </c>
      <c r="N28" s="237" t="s">
        <v>388</v>
      </c>
      <c r="O28" s="237" t="s">
        <v>228</v>
      </c>
      <c r="P28" s="237"/>
      <c r="Q28" s="245">
        <v>45390</v>
      </c>
      <c r="R28" s="237" t="s">
        <v>309</v>
      </c>
      <c r="S28" s="331" t="s">
        <v>233</v>
      </c>
      <c r="T28" s="237" t="s">
        <v>389</v>
      </c>
      <c r="U28" s="237" t="s">
        <v>298</v>
      </c>
      <c r="V28" s="237" t="s">
        <v>235</v>
      </c>
      <c r="W28" s="245">
        <v>45427</v>
      </c>
      <c r="X28" s="237" t="s">
        <v>390</v>
      </c>
      <c r="Y28" s="237" t="s">
        <v>237</v>
      </c>
      <c r="Z28" s="237" t="s">
        <v>237</v>
      </c>
      <c r="AA28" s="237" t="s">
        <v>391</v>
      </c>
      <c r="AB28" s="337" t="s">
        <v>228</v>
      </c>
      <c r="AC28" s="237" t="s">
        <v>353</v>
      </c>
      <c r="AD28" s="563">
        <v>45435</v>
      </c>
      <c r="AE28" s="550" t="s">
        <v>392</v>
      </c>
      <c r="AF28" s="237"/>
    </row>
    <row r="29" spans="1:32" ht="13.5" customHeight="1">
      <c r="A29" s="235">
        <v>27</v>
      </c>
      <c r="B29" s="237">
        <v>21</v>
      </c>
      <c r="C29" s="243" t="s">
        <v>393</v>
      </c>
      <c r="D29" s="237" t="s">
        <v>394</v>
      </c>
      <c r="E29" s="237">
        <v>40</v>
      </c>
      <c r="F29" s="237" t="s">
        <v>75</v>
      </c>
      <c r="G29" s="237" t="s">
        <v>395</v>
      </c>
      <c r="H29" s="243" t="s">
        <v>188</v>
      </c>
      <c r="I29" s="243"/>
      <c r="K29" s="240"/>
      <c r="L29" s="243" t="s">
        <v>231</v>
      </c>
      <c r="M29" s="246" t="s">
        <v>228</v>
      </c>
      <c r="N29" s="237" t="s">
        <v>228</v>
      </c>
      <c r="O29" s="237" t="s">
        <v>228</v>
      </c>
      <c r="P29" s="237"/>
      <c r="Q29" s="245">
        <v>45454</v>
      </c>
      <c r="R29" s="237" t="s">
        <v>309</v>
      </c>
      <c r="S29" s="331" t="s">
        <v>233</v>
      </c>
      <c r="T29" s="237" t="s">
        <v>396</v>
      </c>
      <c r="U29" s="237" t="s">
        <v>298</v>
      </c>
      <c r="V29" s="237" t="s">
        <v>235</v>
      </c>
      <c r="W29" s="245">
        <v>45482</v>
      </c>
      <c r="X29" s="237" t="s">
        <v>397</v>
      </c>
      <c r="Y29" s="237" t="s">
        <v>237</v>
      </c>
      <c r="Z29" s="237" t="s">
        <v>237</v>
      </c>
      <c r="AA29" s="237" t="s">
        <v>398</v>
      </c>
      <c r="AB29" s="337" t="s">
        <v>237</v>
      </c>
      <c r="AC29" s="237" t="s">
        <v>228</v>
      </c>
      <c r="AD29" s="562"/>
      <c r="AE29" s="550"/>
      <c r="AF29" s="237"/>
    </row>
    <row r="30" spans="1:32" ht="15.75" customHeight="1">
      <c r="A30" s="235">
        <v>28</v>
      </c>
      <c r="B30" s="237">
        <v>24</v>
      </c>
      <c r="C30" s="243" t="s">
        <v>399</v>
      </c>
      <c r="D30" s="237" t="s">
        <v>400</v>
      </c>
      <c r="E30" s="237">
        <v>67</v>
      </c>
      <c r="F30" s="237" t="s">
        <v>60</v>
      </c>
      <c r="G30" s="237" t="s">
        <v>401</v>
      </c>
      <c r="H30" s="243" t="s">
        <v>188</v>
      </c>
      <c r="I30" s="243"/>
      <c r="K30" s="240"/>
      <c r="L30" s="243" t="s">
        <v>231</v>
      </c>
      <c r="M30" s="243" t="s">
        <v>402</v>
      </c>
      <c r="N30" s="248" t="s">
        <v>403</v>
      </c>
      <c r="O30" s="237" t="s">
        <v>228</v>
      </c>
      <c r="P30" s="237"/>
      <c r="Q30" s="245">
        <v>45472</v>
      </c>
      <c r="R30" s="237" t="s">
        <v>309</v>
      </c>
      <c r="S30" s="331" t="s">
        <v>233</v>
      </c>
      <c r="T30" s="237" t="s">
        <v>404</v>
      </c>
      <c r="U30" s="237" t="s">
        <v>298</v>
      </c>
      <c r="V30" s="237" t="s">
        <v>235</v>
      </c>
      <c r="W30" s="245">
        <v>45510</v>
      </c>
      <c r="X30" s="237" t="s">
        <v>405</v>
      </c>
      <c r="Y30" s="237" t="s">
        <v>237</v>
      </c>
      <c r="Z30" s="237" t="s">
        <v>237</v>
      </c>
      <c r="AA30" s="237" t="s">
        <v>406</v>
      </c>
      <c r="AB30" s="337" t="s">
        <v>228</v>
      </c>
      <c r="AC30" s="55" t="s">
        <v>353</v>
      </c>
      <c r="AD30" s="563">
        <v>45455</v>
      </c>
      <c r="AE30" s="550"/>
      <c r="AF30" s="237"/>
    </row>
    <row r="31" spans="1:32" ht="13.5" customHeight="1">
      <c r="A31" s="235">
        <v>29</v>
      </c>
      <c r="B31" s="237">
        <v>25</v>
      </c>
      <c r="C31" s="243" t="s">
        <v>407</v>
      </c>
      <c r="D31" s="237" t="s">
        <v>408</v>
      </c>
      <c r="E31" s="237">
        <v>26</v>
      </c>
      <c r="F31" s="237" t="s">
        <v>75</v>
      </c>
      <c r="G31" s="237" t="s">
        <v>409</v>
      </c>
      <c r="H31" s="243" t="s">
        <v>188</v>
      </c>
      <c r="I31" s="243"/>
      <c r="K31" s="240"/>
      <c r="L31" s="243" t="s">
        <v>231</v>
      </c>
      <c r="M31" s="246" t="s">
        <v>228</v>
      </c>
      <c r="N31" s="237" t="s">
        <v>228</v>
      </c>
      <c r="O31" s="237" t="s">
        <v>228</v>
      </c>
      <c r="P31" s="237"/>
      <c r="Q31" s="245">
        <v>45478</v>
      </c>
      <c r="R31" s="237" t="s">
        <v>309</v>
      </c>
      <c r="S31" s="331" t="s">
        <v>233</v>
      </c>
      <c r="T31" s="237" t="s">
        <v>410</v>
      </c>
      <c r="U31" s="237" t="s">
        <v>234</v>
      </c>
      <c r="V31" s="237" t="s">
        <v>235</v>
      </c>
      <c r="W31" s="245">
        <v>45516</v>
      </c>
      <c r="X31" s="237" t="s">
        <v>411</v>
      </c>
      <c r="Y31" s="237" t="s">
        <v>237</v>
      </c>
      <c r="Z31" s="237" t="s">
        <v>237</v>
      </c>
      <c r="AA31" s="237" t="s">
        <v>412</v>
      </c>
      <c r="AB31" s="337" t="s">
        <v>237</v>
      </c>
      <c r="AC31" s="237" t="s">
        <v>228</v>
      </c>
      <c r="AD31" s="562"/>
      <c r="AE31" s="550"/>
      <c r="AF31" s="237"/>
    </row>
    <row r="32" spans="1:32" ht="13.5" customHeight="1">
      <c r="A32" s="235">
        <v>30</v>
      </c>
      <c r="B32" s="237">
        <v>29</v>
      </c>
      <c r="C32" s="243" t="s">
        <v>413</v>
      </c>
      <c r="D32" s="237" t="s">
        <v>414</v>
      </c>
      <c r="E32" s="237">
        <v>68</v>
      </c>
      <c r="F32" s="237" t="s">
        <v>60</v>
      </c>
      <c r="G32" s="237" t="s">
        <v>415</v>
      </c>
      <c r="H32" s="243" t="s">
        <v>188</v>
      </c>
      <c r="I32" s="243"/>
      <c r="K32" s="240"/>
      <c r="L32" s="243" t="s">
        <v>231</v>
      </c>
      <c r="M32" s="243" t="s">
        <v>416</v>
      </c>
      <c r="N32" s="248" t="s">
        <v>417</v>
      </c>
      <c r="O32" s="237" t="s">
        <v>228</v>
      </c>
      <c r="P32" s="237"/>
      <c r="Q32" s="245">
        <v>45484</v>
      </c>
      <c r="R32" s="237" t="s">
        <v>309</v>
      </c>
      <c r="S32" s="331" t="s">
        <v>233</v>
      </c>
      <c r="T32" s="237" t="s">
        <v>418</v>
      </c>
      <c r="U32" s="237" t="s">
        <v>298</v>
      </c>
      <c r="V32" s="237" t="s">
        <v>235</v>
      </c>
      <c r="W32" s="245">
        <v>45511</v>
      </c>
      <c r="X32" s="237" t="s">
        <v>419</v>
      </c>
      <c r="Y32" s="237" t="s">
        <v>237</v>
      </c>
      <c r="Z32" s="237" t="s">
        <v>237</v>
      </c>
      <c r="AA32" s="237" t="s">
        <v>420</v>
      </c>
      <c r="AB32" s="337" t="s">
        <v>237</v>
      </c>
      <c r="AC32" s="237" t="s">
        <v>353</v>
      </c>
      <c r="AD32" s="561" t="s">
        <v>421</v>
      </c>
      <c r="AE32" s="554"/>
      <c r="AF32" s="237"/>
    </row>
    <row r="33" spans="1:130" ht="13.5" customHeight="1">
      <c r="A33" s="235">
        <v>31</v>
      </c>
      <c r="B33" s="237">
        <v>213</v>
      </c>
      <c r="C33" s="243" t="s">
        <v>422</v>
      </c>
      <c r="D33" s="237" t="s">
        <v>423</v>
      </c>
      <c r="E33" s="237">
        <v>50</v>
      </c>
      <c r="F33" s="237" t="s">
        <v>424</v>
      </c>
      <c r="G33" s="237" t="s">
        <v>425</v>
      </c>
      <c r="H33" s="243" t="s">
        <v>188</v>
      </c>
      <c r="I33" s="243"/>
      <c r="K33" s="240"/>
      <c r="L33" s="243" t="s">
        <v>231</v>
      </c>
      <c r="M33" s="243" t="s">
        <v>426</v>
      </c>
      <c r="N33" s="237"/>
      <c r="O33" s="237"/>
      <c r="P33" s="237"/>
      <c r="Q33" s="245">
        <v>45496</v>
      </c>
      <c r="R33" s="237" t="s">
        <v>309</v>
      </c>
      <c r="S33" s="331" t="s">
        <v>233</v>
      </c>
      <c r="T33" s="237" t="s">
        <v>427</v>
      </c>
      <c r="U33" s="237" t="s">
        <v>298</v>
      </c>
      <c r="V33" s="237" t="s">
        <v>235</v>
      </c>
      <c r="W33" s="245">
        <v>45561</v>
      </c>
      <c r="X33" s="237" t="s">
        <v>428</v>
      </c>
      <c r="Y33" s="237" t="s">
        <v>237</v>
      </c>
      <c r="Z33" s="237" t="s">
        <v>237</v>
      </c>
      <c r="AA33" s="237" t="s">
        <v>429</v>
      </c>
      <c r="AB33" s="337" t="s">
        <v>228</v>
      </c>
      <c r="AC33" s="55" t="s">
        <v>353</v>
      </c>
      <c r="AD33" s="563">
        <v>45422</v>
      </c>
      <c r="AE33" s="550"/>
      <c r="AF33" s="237"/>
    </row>
    <row r="34" spans="1:130" ht="13.5" customHeight="1">
      <c r="A34" s="235">
        <v>32</v>
      </c>
      <c r="B34" s="237">
        <v>249</v>
      </c>
      <c r="C34" s="243" t="s">
        <v>430</v>
      </c>
      <c r="D34" s="237" t="s">
        <v>431</v>
      </c>
      <c r="E34" s="237">
        <v>59</v>
      </c>
      <c r="F34" s="237" t="s">
        <v>75</v>
      </c>
      <c r="G34" s="237" t="s">
        <v>432</v>
      </c>
      <c r="H34" s="243" t="s">
        <v>27</v>
      </c>
      <c r="I34" s="243"/>
      <c r="J34" s="235" t="s">
        <v>433</v>
      </c>
      <c r="K34" s="240"/>
      <c r="L34" s="243" t="s">
        <v>231</v>
      </c>
      <c r="M34" s="246" t="s">
        <v>228</v>
      </c>
      <c r="N34" s="237"/>
      <c r="O34" s="237"/>
      <c r="P34" s="237"/>
      <c r="Q34" s="245">
        <v>45587</v>
      </c>
      <c r="R34" s="237" t="s">
        <v>309</v>
      </c>
      <c r="S34" s="331" t="s">
        <v>233</v>
      </c>
      <c r="T34" s="237">
        <v>8.6</v>
      </c>
      <c r="U34" s="237" t="s">
        <v>298</v>
      </c>
      <c r="V34" s="237" t="s">
        <v>235</v>
      </c>
      <c r="W34" s="245">
        <v>45624</v>
      </c>
      <c r="X34" s="237" t="s">
        <v>434</v>
      </c>
      <c r="Y34" s="237" t="s">
        <v>237</v>
      </c>
      <c r="Z34" s="237" t="s">
        <v>237</v>
      </c>
      <c r="AA34" s="237" t="s">
        <v>435</v>
      </c>
      <c r="AB34" s="337" t="s">
        <v>237</v>
      </c>
      <c r="AC34" s="237" t="s">
        <v>228</v>
      </c>
      <c r="AD34" s="562"/>
      <c r="AE34" s="550"/>
      <c r="AF34" s="237"/>
    </row>
    <row r="35" spans="1:130" ht="13.5" customHeight="1">
      <c r="A35" s="235">
        <v>33</v>
      </c>
      <c r="B35" s="237">
        <v>276</v>
      </c>
      <c r="C35" s="243" t="s">
        <v>436</v>
      </c>
      <c r="D35" s="237" t="s">
        <v>437</v>
      </c>
      <c r="E35" s="237">
        <v>73</v>
      </c>
      <c r="F35" s="237" t="s">
        <v>424</v>
      </c>
      <c r="G35" s="237" t="s">
        <v>438</v>
      </c>
      <c r="H35" s="243" t="s">
        <v>15</v>
      </c>
      <c r="I35" s="243"/>
      <c r="K35" s="240" t="s">
        <v>439</v>
      </c>
      <c r="L35" s="243" t="s">
        <v>440</v>
      </c>
      <c r="M35" s="243" t="s">
        <v>441</v>
      </c>
      <c r="N35" s="237"/>
      <c r="O35" s="237"/>
      <c r="P35" s="237"/>
      <c r="Q35" s="245">
        <v>45610</v>
      </c>
      <c r="R35" s="237" t="s">
        <v>309</v>
      </c>
      <c r="S35" s="331" t="s">
        <v>233</v>
      </c>
      <c r="T35" s="237" t="s">
        <v>228</v>
      </c>
      <c r="U35" s="237" t="s">
        <v>442</v>
      </c>
      <c r="V35" s="237" t="s">
        <v>235</v>
      </c>
      <c r="W35" s="245">
        <v>45690</v>
      </c>
      <c r="X35" s="237" t="s">
        <v>443</v>
      </c>
      <c r="Y35" s="237" t="s">
        <v>237</v>
      </c>
      <c r="Z35" s="237" t="s">
        <v>237</v>
      </c>
      <c r="AA35" s="237" t="s">
        <v>444</v>
      </c>
      <c r="AB35" s="337" t="s">
        <v>228</v>
      </c>
      <c r="AC35" s="55" t="s">
        <v>353</v>
      </c>
      <c r="AD35" s="563">
        <v>45677</v>
      </c>
      <c r="AE35" s="550" t="s">
        <v>445</v>
      </c>
      <c r="AF35" s="237"/>
    </row>
    <row r="36" spans="1:130" ht="13.5" customHeight="1">
      <c r="A36" s="235">
        <v>34</v>
      </c>
      <c r="B36" s="237">
        <v>31</v>
      </c>
      <c r="C36" s="243" t="s">
        <v>446</v>
      </c>
      <c r="D36" s="237" t="s">
        <v>447</v>
      </c>
      <c r="E36" s="237">
        <v>26</v>
      </c>
      <c r="F36" s="237" t="s">
        <v>60</v>
      </c>
      <c r="G36" s="237" t="s">
        <v>448</v>
      </c>
      <c r="H36" s="243" t="s">
        <v>27</v>
      </c>
      <c r="I36" s="243"/>
      <c r="J36" s="235" t="s">
        <v>433</v>
      </c>
      <c r="K36" s="240"/>
      <c r="L36" s="243" t="s">
        <v>231</v>
      </c>
      <c r="M36" s="243" t="s">
        <v>32</v>
      </c>
      <c r="N36" s="237"/>
      <c r="O36" s="237"/>
      <c r="P36" s="237"/>
      <c r="Q36" s="245">
        <v>45624</v>
      </c>
      <c r="R36" s="237" t="s">
        <v>309</v>
      </c>
      <c r="S36" s="331" t="s">
        <v>233</v>
      </c>
      <c r="T36" s="237">
        <v>9.1</v>
      </c>
      <c r="U36" s="237" t="s">
        <v>234</v>
      </c>
      <c r="V36" s="237" t="s">
        <v>235</v>
      </c>
      <c r="W36" s="245">
        <v>45677</v>
      </c>
      <c r="X36" s="237" t="s">
        <v>449</v>
      </c>
      <c r="Y36" s="237" t="s">
        <v>237</v>
      </c>
      <c r="Z36" s="237" t="s">
        <v>237</v>
      </c>
      <c r="AA36" s="237" t="s">
        <v>450</v>
      </c>
      <c r="AB36" s="337" t="s">
        <v>237</v>
      </c>
      <c r="AC36" s="237" t="s">
        <v>228</v>
      </c>
      <c r="AD36" s="562"/>
      <c r="AE36" s="550"/>
      <c r="AF36" s="237"/>
    </row>
    <row r="37" spans="1:130" ht="13.5" customHeight="1">
      <c r="A37" s="235">
        <v>35</v>
      </c>
      <c r="B37" s="237">
        <v>322</v>
      </c>
      <c r="C37" s="243" t="s">
        <v>451</v>
      </c>
      <c r="D37" s="237" t="s">
        <v>452</v>
      </c>
      <c r="E37" s="237">
        <v>64</v>
      </c>
      <c r="F37" s="237" t="s">
        <v>60</v>
      </c>
      <c r="G37" s="237" t="s">
        <v>453</v>
      </c>
      <c r="H37" s="243" t="s">
        <v>188</v>
      </c>
      <c r="I37" s="243"/>
      <c r="K37" s="240"/>
      <c r="L37" s="243" t="s">
        <v>231</v>
      </c>
      <c r="M37" s="246" t="s">
        <v>228</v>
      </c>
      <c r="N37" s="237"/>
      <c r="O37" s="237"/>
      <c r="P37" s="237"/>
      <c r="Q37" s="245">
        <v>45635</v>
      </c>
      <c r="R37" s="237" t="s">
        <v>309</v>
      </c>
      <c r="S37" s="331" t="s">
        <v>233</v>
      </c>
      <c r="T37" s="237">
        <v>7.9</v>
      </c>
      <c r="U37" s="237" t="s">
        <v>298</v>
      </c>
      <c r="V37" s="237" t="s">
        <v>235</v>
      </c>
      <c r="W37" s="245">
        <v>45677</v>
      </c>
      <c r="X37" s="237" t="s">
        <v>454</v>
      </c>
      <c r="Y37" s="237" t="s">
        <v>237</v>
      </c>
      <c r="Z37" s="237" t="s">
        <v>237</v>
      </c>
      <c r="AA37" s="237" t="s">
        <v>455</v>
      </c>
      <c r="AB37" s="337" t="s">
        <v>237</v>
      </c>
      <c r="AC37" s="55" t="s">
        <v>353</v>
      </c>
      <c r="AD37" s="563">
        <v>45678</v>
      </c>
      <c r="AE37" s="550"/>
      <c r="AF37" s="237"/>
    </row>
    <row r="38" spans="1:130" ht="13.5" customHeight="1">
      <c r="A38" s="235">
        <v>36</v>
      </c>
      <c r="B38" s="237">
        <v>359</v>
      </c>
      <c r="C38" s="243" t="s">
        <v>456</v>
      </c>
      <c r="D38" s="237" t="s">
        <v>457</v>
      </c>
      <c r="E38" s="237">
        <v>44</v>
      </c>
      <c r="F38" s="237" t="s">
        <v>75</v>
      </c>
      <c r="G38" s="237" t="s">
        <v>458</v>
      </c>
      <c r="H38" s="243" t="s">
        <v>15</v>
      </c>
      <c r="I38" s="243"/>
      <c r="K38" s="240" t="s">
        <v>459</v>
      </c>
      <c r="L38" s="240" t="s">
        <v>460</v>
      </c>
      <c r="M38" s="243" t="s">
        <v>461</v>
      </c>
      <c r="N38" s="237"/>
      <c r="O38" s="237"/>
      <c r="P38" s="237"/>
      <c r="Q38" s="245">
        <v>45645</v>
      </c>
      <c r="R38" s="237" t="s">
        <v>309</v>
      </c>
      <c r="S38" s="331" t="s">
        <v>233</v>
      </c>
      <c r="T38" s="237">
        <v>7.7</v>
      </c>
      <c r="U38" s="237" t="s">
        <v>298</v>
      </c>
      <c r="V38" s="237" t="s">
        <v>235</v>
      </c>
      <c r="W38" s="245">
        <v>45692</v>
      </c>
      <c r="X38" s="237" t="s">
        <v>462</v>
      </c>
      <c r="Y38" s="237" t="s">
        <v>237</v>
      </c>
      <c r="Z38" s="237" t="s">
        <v>237</v>
      </c>
      <c r="AA38" s="237" t="s">
        <v>463</v>
      </c>
      <c r="AB38" s="337" t="s">
        <v>237</v>
      </c>
      <c r="AC38" s="55" t="s">
        <v>353</v>
      </c>
      <c r="AD38" s="563">
        <v>45706</v>
      </c>
      <c r="AE38" s="555" t="s">
        <v>464</v>
      </c>
      <c r="AF38" s="237"/>
    </row>
    <row r="39" spans="1:130" ht="13.5" customHeight="1">
      <c r="A39" s="235">
        <v>37</v>
      </c>
      <c r="B39" s="237">
        <v>36</v>
      </c>
      <c r="C39" s="243" t="s">
        <v>465</v>
      </c>
      <c r="D39" s="237" t="s">
        <v>466</v>
      </c>
      <c r="E39" s="237">
        <v>49</v>
      </c>
      <c r="F39" s="237" t="s">
        <v>60</v>
      </c>
      <c r="G39" s="237" t="s">
        <v>467</v>
      </c>
      <c r="H39" s="243" t="s">
        <v>188</v>
      </c>
      <c r="I39" s="243"/>
      <c r="K39" s="240"/>
      <c r="L39" s="243" t="s">
        <v>231</v>
      </c>
      <c r="M39" s="246" t="s">
        <v>228</v>
      </c>
      <c r="N39" s="237"/>
      <c r="O39" s="237"/>
      <c r="P39" s="237"/>
      <c r="Q39" s="245">
        <v>45645</v>
      </c>
      <c r="R39" s="237" t="s">
        <v>309</v>
      </c>
      <c r="S39" s="331" t="s">
        <v>233</v>
      </c>
      <c r="T39" s="237">
        <v>8.1999999999999993</v>
      </c>
      <c r="U39" s="237" t="s">
        <v>298</v>
      </c>
      <c r="V39" s="237" t="s">
        <v>235</v>
      </c>
      <c r="W39" s="245">
        <v>45692</v>
      </c>
      <c r="X39" s="237" t="s">
        <v>275</v>
      </c>
      <c r="Y39" s="237" t="s">
        <v>237</v>
      </c>
      <c r="Z39" s="237" t="s">
        <v>237</v>
      </c>
      <c r="AA39" s="237" t="s">
        <v>468</v>
      </c>
      <c r="AB39" s="337" t="s">
        <v>237</v>
      </c>
      <c r="AC39" s="55" t="s">
        <v>353</v>
      </c>
      <c r="AD39" s="563">
        <v>45706</v>
      </c>
      <c r="AE39" s="550"/>
      <c r="AF39" s="237"/>
    </row>
    <row r="40" spans="1:130" ht="13.5" customHeight="1">
      <c r="A40" s="235">
        <v>38</v>
      </c>
      <c r="B40" s="237"/>
      <c r="C40" s="243" t="s">
        <v>469</v>
      </c>
      <c r="D40" s="237" t="s">
        <v>470</v>
      </c>
      <c r="E40" s="237">
        <v>40</v>
      </c>
      <c r="F40" s="237" t="s">
        <v>60</v>
      </c>
      <c r="G40" s="237" t="s">
        <v>471</v>
      </c>
      <c r="H40" s="243" t="s">
        <v>188</v>
      </c>
      <c r="I40" s="243"/>
      <c r="K40" s="240"/>
      <c r="L40" s="243" t="s">
        <v>231</v>
      </c>
      <c r="M40" s="243" t="s">
        <v>472</v>
      </c>
      <c r="N40" s="237"/>
      <c r="O40" s="237"/>
      <c r="P40" s="237"/>
      <c r="Q40" s="245">
        <v>45717</v>
      </c>
      <c r="R40" s="237" t="s">
        <v>309</v>
      </c>
      <c r="S40" s="331" t="s">
        <v>233</v>
      </c>
      <c r="T40" s="237" t="s">
        <v>228</v>
      </c>
      <c r="U40" s="237" t="s">
        <v>234</v>
      </c>
      <c r="V40" s="237" t="s">
        <v>473</v>
      </c>
      <c r="W40" s="245">
        <v>45832</v>
      </c>
      <c r="X40" s="237" t="s">
        <v>474</v>
      </c>
      <c r="Y40" s="237" t="s">
        <v>237</v>
      </c>
      <c r="Z40" s="237" t="s">
        <v>228</v>
      </c>
      <c r="AA40" s="237" t="s">
        <v>469</v>
      </c>
      <c r="AB40" s="337" t="s">
        <v>228</v>
      </c>
      <c r="AC40" s="237" t="s">
        <v>228</v>
      </c>
      <c r="AD40" s="562"/>
      <c r="AE40" s="550"/>
      <c r="AF40" s="237"/>
    </row>
    <row r="41" spans="1:130" ht="13.5" customHeight="1">
      <c r="A41" s="235">
        <v>39</v>
      </c>
      <c r="B41" s="237"/>
      <c r="C41" s="243" t="s">
        <v>475</v>
      </c>
      <c r="D41" s="237" t="s">
        <v>476</v>
      </c>
      <c r="E41" s="237">
        <v>55</v>
      </c>
      <c r="F41" s="237" t="s">
        <v>75</v>
      </c>
      <c r="G41" s="237" t="s">
        <v>477</v>
      </c>
      <c r="H41" s="243" t="s">
        <v>188</v>
      </c>
      <c r="I41" s="243"/>
      <c r="K41" s="240"/>
      <c r="L41" s="243" t="s">
        <v>231</v>
      </c>
      <c r="M41" s="246" t="s">
        <v>228</v>
      </c>
      <c r="N41" s="237"/>
      <c r="O41" s="237"/>
      <c r="P41" s="237"/>
      <c r="Q41" s="245">
        <v>45719</v>
      </c>
      <c r="R41" s="237" t="s">
        <v>309</v>
      </c>
      <c r="S41" s="331" t="s">
        <v>233</v>
      </c>
      <c r="T41" s="237" t="s">
        <v>228</v>
      </c>
      <c r="U41" s="237" t="s">
        <v>234</v>
      </c>
      <c r="V41" s="237" t="s">
        <v>473</v>
      </c>
      <c r="W41" s="245">
        <v>45832</v>
      </c>
      <c r="X41" s="237" t="s">
        <v>478</v>
      </c>
      <c r="Y41" s="237" t="s">
        <v>237</v>
      </c>
      <c r="Z41" s="237" t="s">
        <v>228</v>
      </c>
      <c r="AA41" s="237" t="s">
        <v>475</v>
      </c>
      <c r="AB41" s="337" t="s">
        <v>228</v>
      </c>
      <c r="AC41" s="237" t="s">
        <v>228</v>
      </c>
      <c r="AD41" s="562"/>
      <c r="AE41" s="550"/>
      <c r="AF41" s="237"/>
    </row>
    <row r="42" spans="1:130" ht="13.5" customHeight="1">
      <c r="A42" s="235">
        <v>40</v>
      </c>
      <c r="B42" s="237"/>
      <c r="C42" s="243" t="s">
        <v>479</v>
      </c>
      <c r="D42" s="237" t="s">
        <v>480</v>
      </c>
      <c r="E42" s="237">
        <v>54</v>
      </c>
      <c r="F42" s="237" t="s">
        <v>60</v>
      </c>
      <c r="G42" s="237" t="s">
        <v>481</v>
      </c>
      <c r="H42" s="243" t="s">
        <v>188</v>
      </c>
      <c r="I42" s="243"/>
      <c r="K42" s="240"/>
      <c r="L42" s="243" t="s">
        <v>231</v>
      </c>
      <c r="M42" s="246" t="s">
        <v>228</v>
      </c>
      <c r="N42" s="237"/>
      <c r="O42" s="237"/>
      <c r="P42" s="237"/>
      <c r="Q42" s="245">
        <v>45719</v>
      </c>
      <c r="R42" s="237" t="s">
        <v>309</v>
      </c>
      <c r="S42" s="331" t="s">
        <v>233</v>
      </c>
      <c r="T42" s="237" t="s">
        <v>228</v>
      </c>
      <c r="U42" s="237" t="s">
        <v>234</v>
      </c>
      <c r="V42" s="237" t="s">
        <v>473</v>
      </c>
      <c r="W42" s="245">
        <v>45832</v>
      </c>
      <c r="X42" s="237" t="s">
        <v>482</v>
      </c>
      <c r="Y42" s="237" t="s">
        <v>237</v>
      </c>
      <c r="Z42" s="237" t="s">
        <v>228</v>
      </c>
      <c r="AA42" s="237" t="s">
        <v>479</v>
      </c>
      <c r="AB42" s="337" t="s">
        <v>228</v>
      </c>
      <c r="AC42" s="237" t="s">
        <v>228</v>
      </c>
      <c r="AD42" s="562"/>
      <c r="AE42" s="550"/>
      <c r="AF42" s="237"/>
    </row>
    <row r="43" spans="1:130" s="306" customFormat="1" ht="13.5" customHeight="1">
      <c r="A43" s="235">
        <v>41</v>
      </c>
      <c r="B43" s="264">
        <v>399</v>
      </c>
      <c r="C43" s="312" t="s">
        <v>483</v>
      </c>
      <c r="D43" s="264" t="s">
        <v>484</v>
      </c>
      <c r="E43" s="264">
        <v>50</v>
      </c>
      <c r="F43" s="264" t="s">
        <v>60</v>
      </c>
      <c r="G43" s="264" t="s">
        <v>485</v>
      </c>
      <c r="H43" s="289" t="s">
        <v>188</v>
      </c>
      <c r="I43" s="289" t="s">
        <v>486</v>
      </c>
      <c r="K43" s="290"/>
      <c r="L43" s="289" t="s">
        <v>231</v>
      </c>
      <c r="M43" s="313" t="s">
        <v>228</v>
      </c>
      <c r="N43" s="264"/>
      <c r="O43" s="264"/>
      <c r="P43" s="264"/>
      <c r="Q43" s="314">
        <v>45657</v>
      </c>
      <c r="R43" s="264" t="s">
        <v>309</v>
      </c>
      <c r="S43" s="332" t="s">
        <v>233</v>
      </c>
      <c r="T43" s="264" t="s">
        <v>228</v>
      </c>
      <c r="U43" s="264" t="s">
        <v>234</v>
      </c>
      <c r="V43" s="264" t="s">
        <v>473</v>
      </c>
      <c r="W43" s="314">
        <v>45832</v>
      </c>
      <c r="X43" s="264" t="s">
        <v>487</v>
      </c>
      <c r="Y43" s="264" t="s">
        <v>237</v>
      </c>
      <c r="Z43" s="237" t="s">
        <v>228</v>
      </c>
      <c r="AA43" s="264" t="s">
        <v>488</v>
      </c>
      <c r="AB43" s="364" t="s">
        <v>237</v>
      </c>
      <c r="AC43" s="264" t="s">
        <v>353</v>
      </c>
      <c r="AD43" s="564"/>
      <c r="AE43" s="556"/>
      <c r="AF43" s="264"/>
      <c r="AG43" s="309"/>
      <c r="AH43" s="309"/>
      <c r="AI43" s="309"/>
      <c r="AJ43" s="309"/>
      <c r="AK43" s="309"/>
      <c r="AL43" s="309"/>
      <c r="AM43" s="309"/>
      <c r="AN43" s="309"/>
      <c r="AO43" s="309"/>
      <c r="AP43" s="309"/>
      <c r="AQ43" s="309"/>
      <c r="AR43" s="309"/>
      <c r="AS43" s="309"/>
      <c r="AT43" s="309"/>
      <c r="AU43" s="309"/>
      <c r="AV43" s="309"/>
      <c r="AW43" s="309"/>
      <c r="AX43" s="309"/>
      <c r="AY43" s="309"/>
      <c r="AZ43" s="309"/>
      <c r="BA43" s="309"/>
      <c r="BB43" s="309"/>
      <c r="BC43" s="309"/>
      <c r="BD43" s="309"/>
      <c r="BE43" s="309"/>
      <c r="BF43" s="309"/>
      <c r="BG43" s="309"/>
      <c r="BH43" s="309"/>
      <c r="BI43" s="309"/>
      <c r="BJ43" s="309"/>
      <c r="BK43" s="309"/>
      <c r="BL43" s="309"/>
      <c r="BM43" s="309"/>
      <c r="BN43" s="309"/>
      <c r="BO43" s="309"/>
      <c r="BP43" s="309"/>
      <c r="BQ43" s="309"/>
      <c r="BR43" s="309"/>
      <c r="BS43" s="309"/>
      <c r="BT43" s="309"/>
      <c r="BU43" s="309"/>
      <c r="BV43" s="309"/>
      <c r="BW43" s="309"/>
      <c r="BX43" s="309"/>
      <c r="BY43" s="309"/>
      <c r="BZ43" s="309"/>
      <c r="CA43" s="309"/>
      <c r="CB43" s="309"/>
      <c r="CC43" s="309"/>
      <c r="CD43" s="309"/>
      <c r="CE43" s="309"/>
      <c r="CF43" s="309"/>
      <c r="CG43" s="309"/>
      <c r="CH43" s="309"/>
      <c r="CI43" s="309"/>
      <c r="CJ43" s="309"/>
      <c r="CK43" s="309"/>
      <c r="CL43" s="309"/>
      <c r="CM43" s="309"/>
      <c r="CN43" s="309"/>
      <c r="CO43" s="309"/>
      <c r="CP43" s="309"/>
      <c r="CQ43" s="309"/>
      <c r="CR43" s="309"/>
      <c r="CS43" s="309"/>
      <c r="CT43" s="309"/>
      <c r="CU43" s="309"/>
      <c r="CV43" s="309"/>
      <c r="CW43" s="309"/>
      <c r="CX43" s="309"/>
      <c r="CY43" s="309"/>
      <c r="CZ43" s="309"/>
      <c r="DA43" s="309"/>
      <c r="DB43" s="309"/>
      <c r="DC43" s="309"/>
      <c r="DD43" s="309"/>
      <c r="DE43" s="309"/>
      <c r="DF43" s="309"/>
      <c r="DG43" s="309"/>
      <c r="DH43" s="309"/>
      <c r="DI43" s="309"/>
      <c r="DJ43" s="309"/>
      <c r="DK43" s="309"/>
      <c r="DL43" s="309"/>
      <c r="DM43" s="309"/>
      <c r="DN43" s="309"/>
      <c r="DO43" s="309"/>
      <c r="DP43" s="309"/>
      <c r="DQ43" s="309"/>
      <c r="DR43" s="309"/>
      <c r="DS43" s="309"/>
      <c r="DT43" s="309"/>
      <c r="DU43" s="309"/>
      <c r="DV43" s="309"/>
      <c r="DW43" s="309"/>
      <c r="DX43" s="309"/>
      <c r="DY43" s="309"/>
      <c r="DZ43" s="310"/>
    </row>
    <row r="44" spans="1:130" ht="13.5" customHeight="1">
      <c r="A44" s="235">
        <v>42</v>
      </c>
      <c r="B44" s="237">
        <v>243</v>
      </c>
      <c r="C44" s="243" t="s">
        <v>489</v>
      </c>
      <c r="D44" s="237" t="s">
        <v>490</v>
      </c>
      <c r="E44" s="237">
        <v>77</v>
      </c>
      <c r="F44" s="237" t="s">
        <v>60</v>
      </c>
      <c r="G44" s="237" t="s">
        <v>491</v>
      </c>
      <c r="H44" s="243" t="s">
        <v>188</v>
      </c>
      <c r="I44" s="243"/>
      <c r="K44" s="240"/>
      <c r="L44" s="243" t="s">
        <v>231</v>
      </c>
      <c r="M44" s="246" t="s">
        <v>228</v>
      </c>
      <c r="N44" s="237"/>
      <c r="O44" s="237"/>
      <c r="P44" s="237"/>
      <c r="Q44" s="245">
        <v>45584</v>
      </c>
      <c r="R44" s="237" t="s">
        <v>309</v>
      </c>
      <c r="S44" s="331" t="s">
        <v>233</v>
      </c>
      <c r="T44" s="237" t="s">
        <v>228</v>
      </c>
      <c r="U44" s="237" t="s">
        <v>234</v>
      </c>
      <c r="V44" s="237" t="s">
        <v>473</v>
      </c>
      <c r="W44" s="245">
        <v>45832</v>
      </c>
      <c r="X44" s="237" t="s">
        <v>492</v>
      </c>
      <c r="Y44" s="237" t="s">
        <v>237</v>
      </c>
      <c r="Z44" s="237" t="s">
        <v>228</v>
      </c>
      <c r="AA44" s="237" t="s">
        <v>493</v>
      </c>
      <c r="AB44" s="337" t="s">
        <v>228</v>
      </c>
      <c r="AC44" s="237" t="s">
        <v>228</v>
      </c>
      <c r="AD44" s="562"/>
      <c r="AE44" s="550"/>
      <c r="AF44" s="237"/>
    </row>
    <row r="45" spans="1:130" ht="13.5" customHeight="1">
      <c r="A45" s="235">
        <v>43</v>
      </c>
      <c r="B45" s="237"/>
      <c r="C45" s="243" t="s">
        <v>494</v>
      </c>
      <c r="D45" s="237" t="s">
        <v>495</v>
      </c>
      <c r="E45" s="237">
        <v>55</v>
      </c>
      <c r="F45" s="237" t="s">
        <v>75</v>
      </c>
      <c r="G45" s="237" t="s">
        <v>496</v>
      </c>
      <c r="H45" s="243" t="s">
        <v>188</v>
      </c>
      <c r="I45" s="243"/>
      <c r="K45" s="240"/>
      <c r="L45" s="243" t="s">
        <v>231</v>
      </c>
      <c r="M45" s="243" t="s">
        <v>497</v>
      </c>
      <c r="N45" s="237"/>
      <c r="O45" s="237"/>
      <c r="P45" s="237"/>
      <c r="Q45" s="245">
        <v>45740</v>
      </c>
      <c r="R45" s="237" t="s">
        <v>309</v>
      </c>
      <c r="S45" s="331" t="s">
        <v>233</v>
      </c>
      <c r="T45" s="237" t="s">
        <v>228</v>
      </c>
      <c r="U45" s="237" t="s">
        <v>234</v>
      </c>
      <c r="V45" s="237" t="s">
        <v>473</v>
      </c>
      <c r="W45" s="245">
        <v>45832</v>
      </c>
      <c r="X45" s="237" t="s">
        <v>498</v>
      </c>
      <c r="Y45" s="237" t="s">
        <v>237</v>
      </c>
      <c r="Z45" s="237" t="s">
        <v>228</v>
      </c>
      <c r="AA45" s="237" t="s">
        <v>499</v>
      </c>
      <c r="AB45" s="337" t="s">
        <v>237</v>
      </c>
      <c r="AC45" s="102" t="s">
        <v>353</v>
      </c>
      <c r="AD45" s="562"/>
      <c r="AE45" s="550" t="s">
        <v>500</v>
      </c>
      <c r="AF45" s="237"/>
    </row>
    <row r="46" spans="1:130" ht="13.5" customHeight="1">
      <c r="A46" s="235">
        <v>44</v>
      </c>
      <c r="B46" s="237"/>
      <c r="C46" s="243" t="s">
        <v>501</v>
      </c>
      <c r="D46" s="237" t="s">
        <v>502</v>
      </c>
      <c r="E46" s="237">
        <v>57</v>
      </c>
      <c r="F46" s="237" t="s">
        <v>60</v>
      </c>
      <c r="G46" s="237" t="s">
        <v>503</v>
      </c>
      <c r="H46" s="243" t="s">
        <v>188</v>
      </c>
      <c r="I46" s="243"/>
      <c r="K46" s="240"/>
      <c r="L46" s="243" t="s">
        <v>231</v>
      </c>
      <c r="M46" s="243" t="s">
        <v>504</v>
      </c>
      <c r="N46" s="237"/>
      <c r="O46" s="237"/>
      <c r="P46" s="237"/>
      <c r="Q46" s="245">
        <v>45740</v>
      </c>
      <c r="R46" s="237" t="s">
        <v>309</v>
      </c>
      <c r="S46" s="331" t="s">
        <v>233</v>
      </c>
      <c r="T46" s="237" t="s">
        <v>228</v>
      </c>
      <c r="U46" s="237" t="s">
        <v>234</v>
      </c>
      <c r="V46" s="237" t="s">
        <v>473</v>
      </c>
      <c r="W46" s="245">
        <v>45832</v>
      </c>
      <c r="X46" s="237" t="s">
        <v>505</v>
      </c>
      <c r="Y46" s="237" t="s">
        <v>237</v>
      </c>
      <c r="Z46" s="237" t="s">
        <v>228</v>
      </c>
      <c r="AA46" s="237" t="s">
        <v>506</v>
      </c>
      <c r="AB46" s="337" t="s">
        <v>228</v>
      </c>
      <c r="AC46" s="237" t="s">
        <v>228</v>
      </c>
      <c r="AD46" s="562"/>
      <c r="AE46" s="550"/>
      <c r="AF46" s="237"/>
    </row>
    <row r="47" spans="1:130" ht="13.5" customHeight="1">
      <c r="A47" s="235">
        <v>45</v>
      </c>
      <c r="B47" s="237"/>
      <c r="C47" s="243" t="s">
        <v>507</v>
      </c>
      <c r="D47" s="237" t="s">
        <v>508</v>
      </c>
      <c r="E47" s="237">
        <v>58</v>
      </c>
      <c r="F47" s="237" t="s">
        <v>60</v>
      </c>
      <c r="G47" s="237" t="s">
        <v>509</v>
      </c>
      <c r="H47" s="243" t="s">
        <v>188</v>
      </c>
      <c r="I47" s="243"/>
      <c r="K47" s="240"/>
      <c r="L47" s="243" t="s">
        <v>231</v>
      </c>
      <c r="M47" s="243" t="s">
        <v>426</v>
      </c>
      <c r="N47" s="237"/>
      <c r="O47" s="237"/>
      <c r="P47" s="237"/>
      <c r="Q47" s="245">
        <v>45743</v>
      </c>
      <c r="R47" s="237" t="s">
        <v>309</v>
      </c>
      <c r="S47" s="331" t="s">
        <v>233</v>
      </c>
      <c r="T47" s="237" t="s">
        <v>228</v>
      </c>
      <c r="U47" s="237" t="s">
        <v>234</v>
      </c>
      <c r="V47" s="237" t="s">
        <v>473</v>
      </c>
      <c r="W47" s="245">
        <v>45832</v>
      </c>
      <c r="X47" s="237" t="s">
        <v>510</v>
      </c>
      <c r="Y47" s="237" t="s">
        <v>237</v>
      </c>
      <c r="Z47" s="237" t="s">
        <v>228</v>
      </c>
      <c r="AA47" s="237" t="s">
        <v>511</v>
      </c>
      <c r="AB47" s="337" t="s">
        <v>228</v>
      </c>
      <c r="AC47" s="237" t="s">
        <v>228</v>
      </c>
      <c r="AD47" s="562"/>
      <c r="AE47" s="550"/>
      <c r="AF47" s="237"/>
    </row>
    <row r="48" spans="1:130" ht="13.5" customHeight="1">
      <c r="A48" s="235">
        <v>46</v>
      </c>
      <c r="B48" s="237">
        <v>158</v>
      </c>
      <c r="C48" s="243" t="s">
        <v>512</v>
      </c>
      <c r="D48" s="237" t="s">
        <v>513</v>
      </c>
      <c r="E48" s="237">
        <v>18</v>
      </c>
      <c r="F48" s="237" t="s">
        <v>60</v>
      </c>
      <c r="G48" s="237" t="s">
        <v>514</v>
      </c>
      <c r="H48" s="243" t="s">
        <v>188</v>
      </c>
      <c r="I48" s="243"/>
      <c r="K48" s="240"/>
      <c r="L48" s="243" t="s">
        <v>231</v>
      </c>
      <c r="M48" s="246" t="s">
        <v>228</v>
      </c>
      <c r="N48" s="237"/>
      <c r="O48" s="237"/>
      <c r="P48" s="237"/>
      <c r="Q48" s="245">
        <v>45750</v>
      </c>
      <c r="R48" s="237" t="s">
        <v>309</v>
      </c>
      <c r="S48" s="331" t="s">
        <v>233</v>
      </c>
      <c r="T48" s="237" t="s">
        <v>228</v>
      </c>
      <c r="U48" s="237" t="s">
        <v>515</v>
      </c>
      <c r="V48" s="237" t="s">
        <v>473</v>
      </c>
      <c r="W48" s="245">
        <v>45832</v>
      </c>
      <c r="X48" s="237" t="s">
        <v>516</v>
      </c>
      <c r="Y48" s="237" t="s">
        <v>237</v>
      </c>
      <c r="Z48" s="237" t="s">
        <v>228</v>
      </c>
      <c r="AA48" s="237" t="s">
        <v>517</v>
      </c>
      <c r="AB48" s="337" t="s">
        <v>228</v>
      </c>
      <c r="AC48" s="237" t="s">
        <v>228</v>
      </c>
      <c r="AD48" s="562"/>
      <c r="AE48" s="550"/>
      <c r="AF48" s="237"/>
    </row>
    <row r="49" spans="1:130" ht="13.5" customHeight="1">
      <c r="A49" s="235">
        <v>47</v>
      </c>
      <c r="B49" s="237"/>
      <c r="C49" s="243" t="s">
        <v>518</v>
      </c>
      <c r="D49" s="237" t="s">
        <v>519</v>
      </c>
      <c r="E49" s="237">
        <v>31</v>
      </c>
      <c r="F49" s="237" t="s">
        <v>75</v>
      </c>
      <c r="G49" s="237" t="s">
        <v>520</v>
      </c>
      <c r="H49" s="243" t="s">
        <v>188</v>
      </c>
      <c r="I49" s="243"/>
      <c r="K49" s="240"/>
      <c r="L49" s="243" t="s">
        <v>231</v>
      </c>
      <c r="M49" s="246" t="s">
        <v>228</v>
      </c>
      <c r="N49" s="237"/>
      <c r="O49" s="237"/>
      <c r="P49" s="237"/>
      <c r="Q49" s="245">
        <v>45777</v>
      </c>
      <c r="R49" s="237" t="s">
        <v>309</v>
      </c>
      <c r="S49" s="331" t="s">
        <v>233</v>
      </c>
      <c r="T49" s="237" t="s">
        <v>228</v>
      </c>
      <c r="U49" s="237" t="s">
        <v>515</v>
      </c>
      <c r="V49" s="237" t="s">
        <v>473</v>
      </c>
      <c r="W49" s="245">
        <v>45832</v>
      </c>
      <c r="X49" s="237" t="s">
        <v>521</v>
      </c>
      <c r="Y49" s="237" t="s">
        <v>237</v>
      </c>
      <c r="Z49" s="237" t="s">
        <v>228</v>
      </c>
      <c r="AA49" s="237" t="s">
        <v>522</v>
      </c>
      <c r="AB49" s="337" t="s">
        <v>228</v>
      </c>
      <c r="AC49" s="237" t="s">
        <v>228</v>
      </c>
      <c r="AD49" s="562"/>
      <c r="AE49" s="550"/>
      <c r="AF49" s="237"/>
    </row>
    <row r="50" spans="1:130" ht="13.5" customHeight="1">
      <c r="A50" s="235">
        <v>48</v>
      </c>
      <c r="B50" s="237"/>
      <c r="C50" s="243" t="s">
        <v>523</v>
      </c>
      <c r="D50" s="237" t="s">
        <v>524</v>
      </c>
      <c r="E50" s="237">
        <v>76</v>
      </c>
      <c r="F50" s="237" t="s">
        <v>75</v>
      </c>
      <c r="G50" s="237" t="s">
        <v>525</v>
      </c>
      <c r="H50" s="243" t="s">
        <v>15</v>
      </c>
      <c r="I50" s="243"/>
      <c r="K50" s="240" t="s">
        <v>526</v>
      </c>
      <c r="L50" s="243" t="s">
        <v>527</v>
      </c>
      <c r="M50" s="243" t="s">
        <v>528</v>
      </c>
      <c r="N50" s="237"/>
      <c r="O50" s="237"/>
      <c r="P50" s="237"/>
      <c r="Q50" s="245">
        <v>45794</v>
      </c>
      <c r="R50" s="237" t="s">
        <v>309</v>
      </c>
      <c r="S50" s="331" t="s">
        <v>233</v>
      </c>
      <c r="T50" s="237" t="s">
        <v>228</v>
      </c>
      <c r="U50" s="237" t="s">
        <v>515</v>
      </c>
      <c r="V50" s="237" t="s">
        <v>473</v>
      </c>
      <c r="W50" s="245">
        <v>45832</v>
      </c>
      <c r="X50" s="237" t="s">
        <v>529</v>
      </c>
      <c r="Y50" s="237" t="s">
        <v>237</v>
      </c>
      <c r="Z50" s="237" t="s">
        <v>228</v>
      </c>
      <c r="AA50" s="237" t="s">
        <v>530</v>
      </c>
      <c r="AB50" s="337" t="s">
        <v>228</v>
      </c>
      <c r="AC50" s="237" t="s">
        <v>228</v>
      </c>
      <c r="AD50" s="562"/>
      <c r="AE50" s="550"/>
      <c r="AF50" s="237"/>
    </row>
    <row r="51" spans="1:130" ht="13.5" customHeight="1">
      <c r="A51" s="235">
        <v>49</v>
      </c>
      <c r="B51" s="237"/>
      <c r="C51" s="243" t="s">
        <v>531</v>
      </c>
      <c r="D51" s="237" t="s">
        <v>532</v>
      </c>
      <c r="E51" s="237">
        <v>73</v>
      </c>
      <c r="F51" s="237" t="s">
        <v>60</v>
      </c>
      <c r="G51" s="237" t="s">
        <v>533</v>
      </c>
      <c r="H51" s="243" t="s">
        <v>4</v>
      </c>
      <c r="I51" s="243"/>
      <c r="K51" s="240" t="s">
        <v>534</v>
      </c>
      <c r="L51" s="240" t="s">
        <v>53</v>
      </c>
      <c r="M51" s="246" t="s">
        <v>535</v>
      </c>
      <c r="N51" s="237"/>
      <c r="O51" s="237"/>
      <c r="P51" s="237"/>
      <c r="Q51" s="245">
        <v>45814</v>
      </c>
      <c r="R51" s="237" t="s">
        <v>309</v>
      </c>
      <c r="S51" s="331" t="s">
        <v>233</v>
      </c>
      <c r="T51" s="237" t="s">
        <v>228</v>
      </c>
      <c r="U51" s="237" t="s">
        <v>515</v>
      </c>
      <c r="V51" s="237" t="s">
        <v>473</v>
      </c>
      <c r="W51" s="245">
        <v>45832</v>
      </c>
      <c r="X51" s="237" t="s">
        <v>536</v>
      </c>
      <c r="Y51" s="237" t="s">
        <v>237</v>
      </c>
      <c r="Z51" s="237" t="s">
        <v>228</v>
      </c>
      <c r="AA51" s="237" t="s">
        <v>537</v>
      </c>
      <c r="AB51" s="337" t="s">
        <v>228</v>
      </c>
      <c r="AC51" s="237" t="s">
        <v>228</v>
      </c>
      <c r="AD51" s="562"/>
      <c r="AE51" s="550"/>
      <c r="AF51" s="237"/>
    </row>
    <row r="52" spans="1:130" ht="13.5" customHeight="1">
      <c r="A52" s="235">
        <v>50</v>
      </c>
      <c r="B52" s="237"/>
      <c r="C52" s="243" t="s">
        <v>538</v>
      </c>
      <c r="D52" s="237" t="s">
        <v>539</v>
      </c>
      <c r="E52" s="237">
        <v>48</v>
      </c>
      <c r="F52" s="237" t="s">
        <v>75</v>
      </c>
      <c r="G52" s="237" t="s">
        <v>540</v>
      </c>
      <c r="H52" s="243" t="s">
        <v>188</v>
      </c>
      <c r="I52" s="243"/>
      <c r="K52" s="240"/>
      <c r="L52" s="243" t="s">
        <v>231</v>
      </c>
      <c r="M52" s="246" t="s">
        <v>228</v>
      </c>
      <c r="N52" s="237"/>
      <c r="O52" s="237"/>
      <c r="P52" s="237"/>
      <c r="Q52" s="245">
        <v>45666</v>
      </c>
      <c r="R52" s="237" t="s">
        <v>309</v>
      </c>
      <c r="S52" s="331" t="s">
        <v>233</v>
      </c>
      <c r="T52" s="237" t="s">
        <v>228</v>
      </c>
      <c r="U52" s="237" t="s">
        <v>234</v>
      </c>
      <c r="V52" s="237" t="s">
        <v>473</v>
      </c>
      <c r="W52" s="245">
        <v>45889</v>
      </c>
      <c r="X52" s="237" t="s">
        <v>541</v>
      </c>
      <c r="Y52" s="237" t="s">
        <v>237</v>
      </c>
      <c r="Z52" s="237" t="s">
        <v>237</v>
      </c>
      <c r="AA52" s="237" t="s">
        <v>542</v>
      </c>
      <c r="AB52" s="337" t="s">
        <v>228</v>
      </c>
      <c r="AC52" s="237" t="s">
        <v>228</v>
      </c>
      <c r="AD52" s="562"/>
      <c r="AE52" s="550"/>
      <c r="AF52" s="237"/>
    </row>
    <row r="53" spans="1:130" ht="13.5" customHeight="1">
      <c r="A53" s="235">
        <v>51</v>
      </c>
      <c r="B53" s="237"/>
      <c r="C53" s="243" t="s">
        <v>543</v>
      </c>
      <c r="D53" s="237" t="s">
        <v>544</v>
      </c>
      <c r="E53" s="237">
        <v>30</v>
      </c>
      <c r="F53" s="237" t="s">
        <v>75</v>
      </c>
      <c r="G53" s="237" t="s">
        <v>545</v>
      </c>
      <c r="H53" s="243" t="s">
        <v>188</v>
      </c>
      <c r="I53" s="243"/>
      <c r="K53" s="240"/>
      <c r="L53" s="243" t="s">
        <v>231</v>
      </c>
      <c r="M53" s="246" t="s">
        <v>228</v>
      </c>
      <c r="N53" s="237"/>
      <c r="O53" s="237"/>
      <c r="P53" s="237"/>
      <c r="Q53" s="245">
        <v>45672</v>
      </c>
      <c r="R53" s="237" t="s">
        <v>309</v>
      </c>
      <c r="S53" s="331" t="s">
        <v>233</v>
      </c>
      <c r="T53" s="237" t="s">
        <v>228</v>
      </c>
      <c r="U53" s="237" t="s">
        <v>234</v>
      </c>
      <c r="V53" s="237" t="s">
        <v>473</v>
      </c>
      <c r="W53" s="245">
        <v>45889</v>
      </c>
      <c r="X53" s="237" t="s">
        <v>546</v>
      </c>
      <c r="Y53" s="237" t="s">
        <v>237</v>
      </c>
      <c r="Z53" s="237" t="s">
        <v>237</v>
      </c>
      <c r="AA53" s="237" t="s">
        <v>547</v>
      </c>
      <c r="AB53" s="337" t="s">
        <v>237</v>
      </c>
      <c r="AC53" s="102" t="s">
        <v>353</v>
      </c>
      <c r="AD53" s="574">
        <v>45796</v>
      </c>
      <c r="AE53" s="550" t="s">
        <v>548</v>
      </c>
      <c r="AF53" s="237"/>
    </row>
    <row r="54" spans="1:130" ht="13.5" customHeight="1">
      <c r="A54" s="235">
        <v>52</v>
      </c>
      <c r="B54" s="237"/>
      <c r="C54" s="243" t="s">
        <v>549</v>
      </c>
      <c r="D54" s="237" t="s">
        <v>550</v>
      </c>
      <c r="E54" s="237">
        <v>56</v>
      </c>
      <c r="F54" s="237" t="s">
        <v>60</v>
      </c>
      <c r="G54" s="237" t="s">
        <v>551</v>
      </c>
      <c r="H54" s="243" t="s">
        <v>188</v>
      </c>
      <c r="I54" s="243"/>
      <c r="K54" s="240"/>
      <c r="L54" s="243" t="s">
        <v>231</v>
      </c>
      <c r="M54" s="243" t="s">
        <v>426</v>
      </c>
      <c r="N54" s="237"/>
      <c r="O54" s="237"/>
      <c r="P54" s="237"/>
      <c r="Q54" s="245">
        <v>45672</v>
      </c>
      <c r="R54" s="237" t="s">
        <v>309</v>
      </c>
      <c r="S54" s="331" t="s">
        <v>233</v>
      </c>
      <c r="T54" s="237" t="s">
        <v>228</v>
      </c>
      <c r="U54" s="237" t="s">
        <v>234</v>
      </c>
      <c r="V54" s="237" t="s">
        <v>473</v>
      </c>
      <c r="W54" s="245">
        <v>45889</v>
      </c>
      <c r="X54" s="237" t="s">
        <v>552</v>
      </c>
      <c r="Y54" s="237" t="s">
        <v>237</v>
      </c>
      <c r="Z54" s="237" t="s">
        <v>237</v>
      </c>
      <c r="AA54" s="237" t="s">
        <v>553</v>
      </c>
      <c r="AB54" s="337" t="s">
        <v>228</v>
      </c>
      <c r="AC54" s="237" t="s">
        <v>228</v>
      </c>
      <c r="AD54" s="562"/>
      <c r="AE54" s="550"/>
      <c r="AF54" s="237"/>
    </row>
    <row r="55" spans="1:130" ht="13.5" customHeight="1">
      <c r="A55" s="235">
        <v>53</v>
      </c>
      <c r="B55" s="237" t="s">
        <v>554</v>
      </c>
      <c r="C55" s="243" t="s">
        <v>555</v>
      </c>
      <c r="D55" s="237" t="s">
        <v>556</v>
      </c>
      <c r="E55" s="237">
        <v>40</v>
      </c>
      <c r="F55" s="237" t="s">
        <v>60</v>
      </c>
      <c r="G55" s="237" t="s">
        <v>557</v>
      </c>
      <c r="H55" s="243" t="s">
        <v>188</v>
      </c>
      <c r="I55" s="243"/>
      <c r="K55" s="240"/>
      <c r="L55" s="243" t="s">
        <v>231</v>
      </c>
      <c r="M55" s="243" t="s">
        <v>426</v>
      </c>
      <c r="N55" s="237"/>
      <c r="O55" s="237"/>
      <c r="P55" s="237"/>
      <c r="Q55" s="245">
        <v>45846</v>
      </c>
      <c r="R55" s="237" t="s">
        <v>309</v>
      </c>
      <c r="S55" s="331" t="s">
        <v>233</v>
      </c>
      <c r="T55" s="237" t="s">
        <v>228</v>
      </c>
      <c r="U55" s="237" t="s">
        <v>234</v>
      </c>
      <c r="V55" s="237" t="s">
        <v>473</v>
      </c>
      <c r="W55" s="245">
        <v>45889</v>
      </c>
      <c r="X55" s="237" t="s">
        <v>558</v>
      </c>
      <c r="Y55" s="237" t="s">
        <v>237</v>
      </c>
      <c r="Z55" s="237" t="s">
        <v>237</v>
      </c>
      <c r="AA55" s="237" t="s">
        <v>559</v>
      </c>
      <c r="AB55" s="337" t="s">
        <v>228</v>
      </c>
      <c r="AC55" s="237" t="s">
        <v>228</v>
      </c>
      <c r="AD55" s="562"/>
      <c r="AE55" s="550"/>
      <c r="AF55" s="237"/>
    </row>
    <row r="56" spans="1:130" ht="13.5" customHeight="1">
      <c r="A56" s="235">
        <v>54</v>
      </c>
      <c r="B56" s="237"/>
      <c r="C56" s="243" t="s">
        <v>560</v>
      </c>
      <c r="D56" s="237" t="s">
        <v>561</v>
      </c>
      <c r="E56" s="237">
        <v>33</v>
      </c>
      <c r="F56" s="237" t="s">
        <v>60</v>
      </c>
      <c r="G56" s="237" t="s">
        <v>562</v>
      </c>
      <c r="H56" s="243" t="s">
        <v>15</v>
      </c>
      <c r="I56" s="243"/>
      <c r="K56" s="243" t="s">
        <v>563</v>
      </c>
      <c r="L56" s="243" t="s">
        <v>564</v>
      </c>
      <c r="M56" s="243" t="s">
        <v>563</v>
      </c>
      <c r="N56" s="237"/>
      <c r="O56" s="237"/>
      <c r="P56" s="237"/>
      <c r="Q56" s="245">
        <v>45868</v>
      </c>
      <c r="R56" s="237" t="s">
        <v>309</v>
      </c>
      <c r="S56" s="331" t="s">
        <v>233</v>
      </c>
      <c r="T56" s="237" t="s">
        <v>228</v>
      </c>
      <c r="U56" s="237" t="s">
        <v>515</v>
      </c>
      <c r="V56" s="237" t="s">
        <v>473</v>
      </c>
      <c r="W56" s="245">
        <v>45889</v>
      </c>
      <c r="X56" s="237" t="s">
        <v>565</v>
      </c>
      <c r="Y56" s="237" t="s">
        <v>237</v>
      </c>
      <c r="Z56" s="237" t="s">
        <v>237</v>
      </c>
      <c r="AA56" s="237" t="s">
        <v>566</v>
      </c>
      <c r="AB56" s="337" t="s">
        <v>228</v>
      </c>
      <c r="AC56" s="237" t="s">
        <v>228</v>
      </c>
      <c r="AD56" s="562"/>
      <c r="AE56" s="550"/>
      <c r="AF56" s="237"/>
    </row>
    <row r="57" spans="1:130" ht="13.5" customHeight="1">
      <c r="A57" s="235">
        <v>55</v>
      </c>
      <c r="B57" s="237"/>
      <c r="C57" s="243" t="s">
        <v>567</v>
      </c>
      <c r="D57" s="237" t="s">
        <v>568</v>
      </c>
      <c r="E57" s="237">
        <v>49</v>
      </c>
      <c r="F57" s="237" t="s">
        <v>60</v>
      </c>
      <c r="G57" s="237" t="s">
        <v>569</v>
      </c>
      <c r="H57" s="243" t="s">
        <v>188</v>
      </c>
      <c r="I57" s="243"/>
      <c r="K57" s="240"/>
      <c r="L57" s="243" t="s">
        <v>231</v>
      </c>
      <c r="M57" s="243" t="s">
        <v>426</v>
      </c>
      <c r="N57" s="237"/>
      <c r="O57" s="237"/>
      <c r="P57" s="237"/>
      <c r="Q57" s="245">
        <v>45871</v>
      </c>
      <c r="R57" s="237" t="s">
        <v>309</v>
      </c>
      <c r="S57" s="331" t="s">
        <v>233</v>
      </c>
      <c r="T57" s="237" t="s">
        <v>228</v>
      </c>
      <c r="U57" s="237" t="s">
        <v>234</v>
      </c>
      <c r="V57" s="237" t="s">
        <v>473</v>
      </c>
      <c r="W57" s="245">
        <v>45889</v>
      </c>
      <c r="X57" s="237" t="s">
        <v>570</v>
      </c>
      <c r="Y57" s="237" t="s">
        <v>237</v>
      </c>
      <c r="Z57" s="237" t="s">
        <v>237</v>
      </c>
      <c r="AA57" s="237" t="s">
        <v>571</v>
      </c>
      <c r="AB57" s="337" t="s">
        <v>228</v>
      </c>
      <c r="AC57" s="237" t="s">
        <v>228</v>
      </c>
      <c r="AD57" s="562"/>
      <c r="AE57" s="550"/>
      <c r="AF57" s="237"/>
    </row>
    <row r="58" spans="1:130" ht="13.5" customHeight="1">
      <c r="A58" s="235">
        <v>56</v>
      </c>
      <c r="B58" s="237"/>
      <c r="C58" s="243" t="s">
        <v>572</v>
      </c>
      <c r="D58" s="237" t="s">
        <v>573</v>
      </c>
      <c r="E58" s="237">
        <v>42</v>
      </c>
      <c r="F58" s="237" t="s">
        <v>75</v>
      </c>
      <c r="G58" s="237" t="s">
        <v>574</v>
      </c>
      <c r="H58" s="243" t="s">
        <v>188</v>
      </c>
      <c r="I58" s="243"/>
      <c r="K58" s="240"/>
      <c r="L58" s="243" t="s">
        <v>231</v>
      </c>
      <c r="M58" s="246" t="s">
        <v>228</v>
      </c>
      <c r="N58" s="237"/>
      <c r="O58" s="237"/>
      <c r="P58" s="237"/>
      <c r="Q58" s="245">
        <v>45873</v>
      </c>
      <c r="R58" s="237" t="s">
        <v>309</v>
      </c>
      <c r="S58" s="331" t="s">
        <v>233</v>
      </c>
      <c r="T58" s="237" t="s">
        <v>228</v>
      </c>
      <c r="U58" s="237" t="s">
        <v>515</v>
      </c>
      <c r="V58" s="237" t="s">
        <v>473</v>
      </c>
      <c r="W58" s="245">
        <v>45889</v>
      </c>
      <c r="X58" s="237" t="s">
        <v>575</v>
      </c>
      <c r="Y58" s="237" t="s">
        <v>237</v>
      </c>
      <c r="Z58" s="237" t="s">
        <v>237</v>
      </c>
      <c r="AA58" s="237" t="s">
        <v>576</v>
      </c>
      <c r="AB58" s="337" t="s">
        <v>228</v>
      </c>
      <c r="AC58" s="237" t="s">
        <v>228</v>
      </c>
      <c r="AD58" s="562"/>
      <c r="AE58" s="550"/>
      <c r="AF58" s="237"/>
    </row>
    <row r="59" spans="1:130" ht="13.5" customHeight="1">
      <c r="A59" s="235">
        <v>57</v>
      </c>
      <c r="B59" s="237"/>
      <c r="C59" s="243" t="s">
        <v>577</v>
      </c>
      <c r="D59" s="237" t="s">
        <v>578</v>
      </c>
      <c r="E59" s="237">
        <v>45</v>
      </c>
      <c r="F59" s="237" t="s">
        <v>60</v>
      </c>
      <c r="G59" s="237" t="s">
        <v>579</v>
      </c>
      <c r="H59" s="243" t="s">
        <v>188</v>
      </c>
      <c r="I59" s="243"/>
      <c r="K59" s="240"/>
      <c r="L59" s="243" t="s">
        <v>231</v>
      </c>
      <c r="M59" s="246" t="s">
        <v>228</v>
      </c>
      <c r="N59" s="237"/>
      <c r="O59" s="237"/>
      <c r="P59" s="237"/>
      <c r="Q59" s="245">
        <v>45873</v>
      </c>
      <c r="R59" s="237" t="s">
        <v>309</v>
      </c>
      <c r="S59" s="331" t="s">
        <v>233</v>
      </c>
      <c r="T59" s="237" t="s">
        <v>228</v>
      </c>
      <c r="U59" s="237" t="s">
        <v>515</v>
      </c>
      <c r="V59" s="237" t="s">
        <v>473</v>
      </c>
      <c r="W59" s="245">
        <v>45889</v>
      </c>
      <c r="X59" s="237" t="s">
        <v>580</v>
      </c>
      <c r="Y59" s="237" t="s">
        <v>237</v>
      </c>
      <c r="Z59" s="237" t="s">
        <v>237</v>
      </c>
      <c r="AA59" s="237" t="s">
        <v>581</v>
      </c>
      <c r="AB59" s="337" t="s">
        <v>228</v>
      </c>
      <c r="AC59" s="237" t="s">
        <v>228</v>
      </c>
      <c r="AD59" s="562"/>
      <c r="AE59" s="550"/>
      <c r="AF59" s="237"/>
    </row>
    <row r="60" spans="1:130" s="306" customFormat="1" ht="15" customHeight="1">
      <c r="A60" s="235">
        <v>58</v>
      </c>
      <c r="B60" s="264"/>
      <c r="C60" s="289" t="s">
        <v>582</v>
      </c>
      <c r="D60" s="264" t="s">
        <v>583</v>
      </c>
      <c r="E60" s="264">
        <v>60</v>
      </c>
      <c r="F60" s="264" t="s">
        <v>75</v>
      </c>
      <c r="G60" s="264" t="s">
        <v>584</v>
      </c>
      <c r="H60" s="289" t="s">
        <v>188</v>
      </c>
      <c r="I60" s="290" t="s">
        <v>585</v>
      </c>
      <c r="K60" s="290"/>
      <c r="L60" s="315"/>
      <c r="M60" s="315" t="s">
        <v>586</v>
      </c>
      <c r="N60" s="264"/>
      <c r="O60" s="264"/>
      <c r="P60" s="264"/>
      <c r="Q60" s="314">
        <v>45862</v>
      </c>
      <c r="R60" s="264" t="s">
        <v>309</v>
      </c>
      <c r="S60" s="332" t="s">
        <v>233</v>
      </c>
      <c r="T60" s="264" t="s">
        <v>228</v>
      </c>
      <c r="U60" s="264" t="s">
        <v>234</v>
      </c>
      <c r="V60" s="264" t="s">
        <v>473</v>
      </c>
      <c r="W60" s="314">
        <v>45918</v>
      </c>
      <c r="X60" s="264" t="s">
        <v>587</v>
      </c>
      <c r="Y60" s="264" t="s">
        <v>588</v>
      </c>
      <c r="Z60" s="237" t="s">
        <v>228</v>
      </c>
      <c r="AA60" s="264" t="s">
        <v>589</v>
      </c>
      <c r="AB60" s="364" t="s">
        <v>228</v>
      </c>
      <c r="AC60" s="264" t="s">
        <v>228</v>
      </c>
      <c r="AD60" s="565"/>
      <c r="AE60" s="552"/>
      <c r="AF60" s="264"/>
      <c r="AG60" s="309"/>
      <c r="AH60" s="309"/>
      <c r="AI60" s="309"/>
      <c r="AJ60" s="309"/>
      <c r="AK60" s="309"/>
      <c r="AL60" s="309"/>
      <c r="AM60" s="309"/>
      <c r="AN60" s="309"/>
      <c r="AO60" s="309"/>
      <c r="AP60" s="309"/>
      <c r="AQ60" s="309"/>
      <c r="AR60" s="309"/>
      <c r="AS60" s="309"/>
      <c r="AT60" s="309"/>
      <c r="AU60" s="309"/>
      <c r="AV60" s="309"/>
      <c r="AW60" s="309"/>
      <c r="AX60" s="309"/>
      <c r="AY60" s="309"/>
      <c r="AZ60" s="309"/>
      <c r="BA60" s="309"/>
      <c r="BB60" s="309"/>
      <c r="BC60" s="309"/>
      <c r="BD60" s="309"/>
      <c r="BE60" s="309"/>
      <c r="BF60" s="309"/>
      <c r="BG60" s="309"/>
      <c r="BH60" s="309"/>
      <c r="BI60" s="309"/>
      <c r="BJ60" s="309"/>
      <c r="BK60" s="309"/>
      <c r="BL60" s="309"/>
      <c r="BM60" s="309"/>
      <c r="BN60" s="309"/>
      <c r="BO60" s="309"/>
      <c r="BP60" s="309"/>
      <c r="BQ60" s="309"/>
      <c r="BR60" s="309"/>
      <c r="BS60" s="309"/>
      <c r="BT60" s="309"/>
      <c r="BU60" s="309"/>
      <c r="BV60" s="309"/>
      <c r="BW60" s="309"/>
      <c r="BX60" s="309"/>
      <c r="BY60" s="309"/>
      <c r="BZ60" s="309"/>
      <c r="CA60" s="309"/>
      <c r="CB60" s="309"/>
      <c r="CC60" s="309"/>
      <c r="CD60" s="309"/>
      <c r="CE60" s="309"/>
      <c r="CF60" s="309"/>
      <c r="CG60" s="309"/>
      <c r="CH60" s="309"/>
      <c r="CI60" s="309"/>
      <c r="CJ60" s="309"/>
      <c r="CK60" s="309"/>
      <c r="CL60" s="309"/>
      <c r="CM60" s="309"/>
      <c r="CN60" s="309"/>
      <c r="CO60" s="309"/>
      <c r="CP60" s="309"/>
      <c r="CQ60" s="309"/>
      <c r="CR60" s="309"/>
      <c r="CS60" s="309"/>
      <c r="CT60" s="309"/>
      <c r="CU60" s="309"/>
      <c r="CV60" s="309"/>
      <c r="CW60" s="309"/>
      <c r="CX60" s="309"/>
      <c r="CY60" s="309"/>
      <c r="CZ60" s="309"/>
      <c r="DA60" s="309"/>
      <c r="DB60" s="309"/>
      <c r="DC60" s="309"/>
      <c r="DD60" s="309"/>
      <c r="DE60" s="309"/>
      <c r="DF60" s="309"/>
      <c r="DG60" s="309"/>
      <c r="DH60" s="309"/>
      <c r="DI60" s="309"/>
      <c r="DJ60" s="309"/>
      <c r="DK60" s="309"/>
      <c r="DL60" s="309"/>
      <c r="DM60" s="309"/>
      <c r="DN60" s="309"/>
      <c r="DO60" s="309"/>
      <c r="DP60" s="309"/>
      <c r="DQ60" s="309"/>
      <c r="DR60" s="309"/>
      <c r="DS60" s="309"/>
      <c r="DT60" s="309"/>
      <c r="DU60" s="309"/>
      <c r="DV60" s="309"/>
      <c r="DW60" s="309"/>
      <c r="DX60" s="309"/>
      <c r="DY60" s="309"/>
      <c r="DZ60" s="310"/>
    </row>
    <row r="61" spans="1:130" ht="13.5" customHeight="1">
      <c r="A61" s="235">
        <v>59</v>
      </c>
      <c r="B61" s="237"/>
      <c r="C61" s="255" t="s">
        <v>590</v>
      </c>
      <c r="D61" s="237" t="s">
        <v>591</v>
      </c>
      <c r="E61" s="237">
        <v>44</v>
      </c>
      <c r="F61" s="237" t="s">
        <v>75</v>
      </c>
      <c r="G61" s="237" t="s">
        <v>592</v>
      </c>
      <c r="H61" s="243" t="s">
        <v>188</v>
      </c>
      <c r="I61" s="243"/>
      <c r="K61" s="240"/>
      <c r="L61" s="243" t="s">
        <v>231</v>
      </c>
      <c r="M61" s="243" t="s">
        <v>231</v>
      </c>
      <c r="N61" s="237"/>
      <c r="O61" s="237"/>
      <c r="P61" s="237"/>
      <c r="Q61" s="245">
        <v>45891</v>
      </c>
      <c r="R61" s="237" t="s">
        <v>309</v>
      </c>
      <c r="S61" s="331" t="s">
        <v>233</v>
      </c>
      <c r="T61" s="237" t="s">
        <v>228</v>
      </c>
      <c r="U61" s="237" t="s">
        <v>234</v>
      </c>
      <c r="V61" s="237" t="s">
        <v>473</v>
      </c>
      <c r="W61" s="245">
        <v>45933</v>
      </c>
      <c r="X61" s="237" t="s">
        <v>593</v>
      </c>
      <c r="Y61" s="237" t="s">
        <v>237</v>
      </c>
      <c r="Z61" s="237" t="s">
        <v>237</v>
      </c>
      <c r="AA61" s="237" t="s">
        <v>594</v>
      </c>
      <c r="AB61" s="337" t="s">
        <v>237</v>
      </c>
      <c r="AC61" s="102" t="s">
        <v>353</v>
      </c>
      <c r="AD61" s="562"/>
      <c r="AE61" s="550" t="s">
        <v>595</v>
      </c>
      <c r="AF61" s="237"/>
    </row>
    <row r="62" spans="1:130" ht="13.5" customHeight="1">
      <c r="A62" s="235">
        <v>60</v>
      </c>
      <c r="B62" s="237"/>
      <c r="C62" s="255" t="s">
        <v>596</v>
      </c>
      <c r="D62" s="237" t="s">
        <v>597</v>
      </c>
      <c r="E62" s="237">
        <v>22</v>
      </c>
      <c r="F62" s="237" t="s">
        <v>75</v>
      </c>
      <c r="G62" s="237" t="s">
        <v>598</v>
      </c>
      <c r="H62" s="243" t="s">
        <v>188</v>
      </c>
      <c r="I62" s="243"/>
      <c r="K62" s="240"/>
      <c r="L62" s="243" t="s">
        <v>231</v>
      </c>
      <c r="M62" s="243" t="s">
        <v>231</v>
      </c>
      <c r="N62" s="237"/>
      <c r="O62" s="237"/>
      <c r="P62" s="237"/>
      <c r="Q62" s="245">
        <v>45891</v>
      </c>
      <c r="R62" s="237" t="s">
        <v>309</v>
      </c>
      <c r="S62" s="331" t="s">
        <v>233</v>
      </c>
      <c r="T62" s="237" t="s">
        <v>228</v>
      </c>
      <c r="U62" s="237" t="s">
        <v>234</v>
      </c>
      <c r="V62" s="237" t="s">
        <v>473</v>
      </c>
      <c r="W62" s="245">
        <v>45933</v>
      </c>
      <c r="X62" s="237" t="s">
        <v>599</v>
      </c>
      <c r="Y62" s="237" t="s">
        <v>237</v>
      </c>
      <c r="Z62" s="237" t="s">
        <v>237</v>
      </c>
      <c r="AA62" s="237" t="s">
        <v>600</v>
      </c>
      <c r="AB62" s="337" t="s">
        <v>237</v>
      </c>
      <c r="AC62" s="102" t="s">
        <v>353</v>
      </c>
      <c r="AD62" s="562"/>
      <c r="AE62" s="337" t="s">
        <v>601</v>
      </c>
      <c r="AF62" s="237"/>
    </row>
    <row r="63" spans="1:130" ht="13.5" customHeight="1">
      <c r="A63" s="235">
        <v>61</v>
      </c>
      <c r="B63" s="237"/>
      <c r="C63" s="255" t="s">
        <v>602</v>
      </c>
      <c r="D63" s="237" t="s">
        <v>603</v>
      </c>
      <c r="E63" s="237">
        <v>51</v>
      </c>
      <c r="F63" s="237" t="s">
        <v>60</v>
      </c>
      <c r="G63" s="237" t="s">
        <v>604</v>
      </c>
      <c r="H63" s="243" t="s">
        <v>188</v>
      </c>
      <c r="I63" s="243"/>
      <c r="K63" s="240"/>
      <c r="L63" s="243" t="s">
        <v>231</v>
      </c>
      <c r="M63" s="243" t="s">
        <v>231</v>
      </c>
      <c r="N63" s="237"/>
      <c r="O63" s="237"/>
      <c r="P63" s="237"/>
      <c r="Q63" s="245">
        <v>45891</v>
      </c>
      <c r="R63" s="237" t="s">
        <v>309</v>
      </c>
      <c r="S63" s="331" t="s">
        <v>233</v>
      </c>
      <c r="T63" s="237" t="s">
        <v>228</v>
      </c>
      <c r="U63" s="237" t="s">
        <v>234</v>
      </c>
      <c r="V63" s="237" t="s">
        <v>473</v>
      </c>
      <c r="W63" s="245">
        <v>45933</v>
      </c>
      <c r="X63" s="237" t="s">
        <v>605</v>
      </c>
      <c r="Y63" s="237" t="s">
        <v>237</v>
      </c>
      <c r="Z63" s="237" t="s">
        <v>237</v>
      </c>
      <c r="AA63" s="237" t="s">
        <v>606</v>
      </c>
      <c r="AB63" s="337" t="s">
        <v>228</v>
      </c>
      <c r="AC63" s="237" t="s">
        <v>228</v>
      </c>
      <c r="AD63" s="562"/>
      <c r="AE63" s="555"/>
      <c r="AF63" s="237"/>
    </row>
    <row r="64" spans="1:130" ht="13.5" customHeight="1">
      <c r="A64" s="235">
        <v>62</v>
      </c>
      <c r="B64" s="237"/>
      <c r="C64" s="255" t="s">
        <v>607</v>
      </c>
      <c r="D64" s="237" t="s">
        <v>608</v>
      </c>
      <c r="E64" s="237">
        <v>28</v>
      </c>
      <c r="F64" s="237" t="s">
        <v>75</v>
      </c>
      <c r="G64" s="237" t="s">
        <v>609</v>
      </c>
      <c r="H64" s="243" t="s">
        <v>27</v>
      </c>
      <c r="I64" s="243"/>
      <c r="J64" s="235" t="s">
        <v>433</v>
      </c>
      <c r="K64" s="240"/>
      <c r="L64" s="243" t="s">
        <v>231</v>
      </c>
      <c r="M64" s="246" t="s">
        <v>228</v>
      </c>
      <c r="N64" s="237"/>
      <c r="O64" s="237"/>
      <c r="P64" s="237"/>
      <c r="Q64" s="245">
        <v>45723</v>
      </c>
      <c r="R64" s="237" t="s">
        <v>309</v>
      </c>
      <c r="S64" s="331" t="s">
        <v>233</v>
      </c>
      <c r="T64" s="237" t="s">
        <v>228</v>
      </c>
      <c r="U64" s="237" t="s">
        <v>234</v>
      </c>
      <c r="V64" s="237" t="s">
        <v>473</v>
      </c>
      <c r="W64" s="245">
        <v>45933</v>
      </c>
      <c r="X64" s="237" t="s">
        <v>610</v>
      </c>
      <c r="Y64" s="237" t="s">
        <v>237</v>
      </c>
      <c r="Z64" s="237" t="s">
        <v>237</v>
      </c>
      <c r="AA64" s="237" t="s">
        <v>611</v>
      </c>
      <c r="AB64" s="337" t="s">
        <v>228</v>
      </c>
      <c r="AC64" s="237" t="s">
        <v>228</v>
      </c>
      <c r="AD64" s="562"/>
      <c r="AE64" s="555"/>
      <c r="AF64" s="237"/>
    </row>
    <row r="65" spans="1:32" ht="13.5" customHeight="1">
      <c r="A65" s="235">
        <v>63</v>
      </c>
      <c r="B65" s="237"/>
      <c r="C65" s="255" t="s">
        <v>612</v>
      </c>
      <c r="D65" s="237" t="s">
        <v>613</v>
      </c>
      <c r="E65" s="237">
        <v>43</v>
      </c>
      <c r="F65" s="237" t="s">
        <v>75</v>
      </c>
      <c r="G65" s="237" t="s">
        <v>614</v>
      </c>
      <c r="H65" s="243" t="s">
        <v>27</v>
      </c>
      <c r="I65" s="243"/>
      <c r="J65" s="235" t="s">
        <v>433</v>
      </c>
      <c r="K65" s="240"/>
      <c r="L65" s="243" t="s">
        <v>231</v>
      </c>
      <c r="M65" s="243" t="s">
        <v>231</v>
      </c>
      <c r="N65" s="237"/>
      <c r="O65" s="237"/>
      <c r="P65" s="237"/>
      <c r="Q65" s="245">
        <v>45744</v>
      </c>
      <c r="R65" s="237" t="s">
        <v>309</v>
      </c>
      <c r="S65" s="331" t="s">
        <v>233</v>
      </c>
      <c r="T65" s="237" t="s">
        <v>228</v>
      </c>
      <c r="U65" s="237" t="s">
        <v>234</v>
      </c>
      <c r="V65" s="237" t="s">
        <v>473</v>
      </c>
      <c r="W65" s="245">
        <v>45933</v>
      </c>
      <c r="X65" s="237" t="s">
        <v>615</v>
      </c>
      <c r="Y65" s="237" t="s">
        <v>237</v>
      </c>
      <c r="Z65" s="237" t="s">
        <v>237</v>
      </c>
      <c r="AA65" s="237" t="s">
        <v>616</v>
      </c>
      <c r="AB65" s="337" t="s">
        <v>228</v>
      </c>
      <c r="AC65" s="237" t="s">
        <v>228</v>
      </c>
      <c r="AD65" s="562"/>
      <c r="AE65" s="555"/>
      <c r="AF65" s="237"/>
    </row>
    <row r="66" spans="1:32" ht="13.5" customHeight="1">
      <c r="A66" s="235">
        <v>64</v>
      </c>
      <c r="B66" s="237">
        <v>43</v>
      </c>
      <c r="C66" s="255" t="s">
        <v>617</v>
      </c>
      <c r="D66" s="237" t="s">
        <v>618</v>
      </c>
      <c r="E66" s="237">
        <v>37</v>
      </c>
      <c r="F66" s="237" t="s">
        <v>75</v>
      </c>
      <c r="G66" s="237" t="s">
        <v>619</v>
      </c>
      <c r="H66" s="243" t="s">
        <v>188</v>
      </c>
      <c r="I66" s="243"/>
      <c r="J66" s="235" t="s">
        <v>620</v>
      </c>
      <c r="K66" s="240"/>
      <c r="L66" s="243" t="s">
        <v>231</v>
      </c>
      <c r="M66" s="243" t="s">
        <v>231</v>
      </c>
      <c r="N66" s="237"/>
      <c r="O66" s="237"/>
      <c r="P66" s="237"/>
      <c r="Q66" s="245">
        <v>45625</v>
      </c>
      <c r="R66" s="237" t="s">
        <v>309</v>
      </c>
      <c r="S66" s="331" t="s">
        <v>233</v>
      </c>
      <c r="T66" s="237" t="s">
        <v>228</v>
      </c>
      <c r="U66" s="237" t="s">
        <v>234</v>
      </c>
      <c r="V66" s="237" t="s">
        <v>473</v>
      </c>
      <c r="W66" s="245">
        <v>45933</v>
      </c>
      <c r="X66" s="237" t="s">
        <v>621</v>
      </c>
      <c r="Y66" s="237" t="s">
        <v>237</v>
      </c>
      <c r="Z66" s="237" t="s">
        <v>237</v>
      </c>
      <c r="AA66" s="237" t="s">
        <v>622</v>
      </c>
      <c r="AB66" s="337" t="s">
        <v>228</v>
      </c>
      <c r="AC66" s="237" t="s">
        <v>228</v>
      </c>
      <c r="AD66" s="562"/>
      <c r="AE66" s="555"/>
      <c r="AF66" s="237"/>
    </row>
    <row r="67" spans="1:32" ht="13.5" customHeight="1">
      <c r="A67" s="235">
        <v>65</v>
      </c>
      <c r="B67" s="237">
        <v>48</v>
      </c>
      <c r="C67" s="255" t="s">
        <v>623</v>
      </c>
      <c r="D67" s="237" t="s">
        <v>624</v>
      </c>
      <c r="E67" s="237">
        <v>57</v>
      </c>
      <c r="F67" s="237" t="s">
        <v>75</v>
      </c>
      <c r="G67" s="237" t="s">
        <v>625</v>
      </c>
      <c r="H67" s="243" t="s">
        <v>188</v>
      </c>
      <c r="I67" s="243"/>
      <c r="J67" s="235" t="s">
        <v>620</v>
      </c>
      <c r="K67" s="240"/>
      <c r="L67" s="243" t="s">
        <v>231</v>
      </c>
      <c r="M67" s="243" t="s">
        <v>231</v>
      </c>
      <c r="N67" s="237"/>
      <c r="O67" s="237"/>
      <c r="P67" s="237"/>
      <c r="Q67" s="245">
        <v>45653</v>
      </c>
      <c r="R67" s="237" t="s">
        <v>309</v>
      </c>
      <c r="S67" s="331" t="s">
        <v>233</v>
      </c>
      <c r="T67" s="237" t="s">
        <v>228</v>
      </c>
      <c r="U67" s="237" t="s">
        <v>234</v>
      </c>
      <c r="V67" s="237" t="s">
        <v>473</v>
      </c>
      <c r="W67" s="245">
        <v>45933</v>
      </c>
      <c r="X67" s="237" t="s">
        <v>626</v>
      </c>
      <c r="Y67" s="237" t="s">
        <v>237</v>
      </c>
      <c r="Z67" s="237" t="s">
        <v>237</v>
      </c>
      <c r="AA67" s="237" t="s">
        <v>627</v>
      </c>
      <c r="AB67" s="337" t="s">
        <v>228</v>
      </c>
      <c r="AC67" s="237" t="s">
        <v>228</v>
      </c>
      <c r="AD67" s="562"/>
      <c r="AE67" s="555"/>
      <c r="AF67" s="237"/>
    </row>
    <row r="68" spans="1:32" ht="13.5" customHeight="1">
      <c r="A68" s="235">
        <v>66</v>
      </c>
      <c r="B68" s="237"/>
      <c r="C68" s="255" t="s">
        <v>628</v>
      </c>
      <c r="D68" s="237" t="s">
        <v>629</v>
      </c>
      <c r="E68" s="237">
        <v>45</v>
      </c>
      <c r="F68" s="237" t="s">
        <v>60</v>
      </c>
      <c r="G68" s="237" t="s">
        <v>630</v>
      </c>
      <c r="H68" s="243" t="s">
        <v>188</v>
      </c>
      <c r="I68" s="243"/>
      <c r="K68" s="240"/>
      <c r="L68" s="243" t="s">
        <v>231</v>
      </c>
      <c r="M68" s="243" t="s">
        <v>231</v>
      </c>
      <c r="N68" s="237"/>
      <c r="O68" s="237"/>
      <c r="P68" s="237"/>
      <c r="Q68" s="245">
        <v>45799</v>
      </c>
      <c r="R68" s="237" t="s">
        <v>309</v>
      </c>
      <c r="S68" s="331" t="s">
        <v>233</v>
      </c>
      <c r="T68" s="237" t="s">
        <v>228</v>
      </c>
      <c r="U68" s="237" t="s">
        <v>234</v>
      </c>
      <c r="V68" s="237" t="s">
        <v>473</v>
      </c>
      <c r="W68" s="245">
        <v>45933</v>
      </c>
      <c r="X68" s="237" t="s">
        <v>631</v>
      </c>
      <c r="Y68" s="237" t="s">
        <v>237</v>
      </c>
      <c r="Z68" s="237" t="s">
        <v>237</v>
      </c>
      <c r="AA68" s="237" t="s">
        <v>632</v>
      </c>
      <c r="AB68" s="337" t="s">
        <v>228</v>
      </c>
      <c r="AC68" s="237" t="s">
        <v>228</v>
      </c>
      <c r="AD68" s="562"/>
      <c r="AE68" s="555"/>
      <c r="AF68" s="237"/>
    </row>
    <row r="69" spans="1:32" ht="13.5" customHeight="1">
      <c r="A69" s="235">
        <v>67</v>
      </c>
      <c r="B69" s="237"/>
      <c r="C69" s="255" t="s">
        <v>633</v>
      </c>
      <c r="D69" s="237" t="s">
        <v>634</v>
      </c>
      <c r="E69" s="237">
        <v>20</v>
      </c>
      <c r="F69" s="237" t="s">
        <v>60</v>
      </c>
      <c r="G69" s="237" t="s">
        <v>635</v>
      </c>
      <c r="H69" s="243" t="s">
        <v>27</v>
      </c>
      <c r="I69" s="243"/>
      <c r="J69" s="235" t="s">
        <v>433</v>
      </c>
      <c r="K69" s="240"/>
      <c r="L69" s="243" t="s">
        <v>231</v>
      </c>
      <c r="M69" s="243" t="s">
        <v>231</v>
      </c>
      <c r="N69" s="237"/>
      <c r="O69" s="237"/>
      <c r="P69" s="237"/>
      <c r="Q69" s="245">
        <v>45838</v>
      </c>
      <c r="R69" s="237" t="s">
        <v>309</v>
      </c>
      <c r="S69" s="331" t="s">
        <v>233</v>
      </c>
      <c r="T69" s="237" t="s">
        <v>228</v>
      </c>
      <c r="U69" s="237" t="s">
        <v>234</v>
      </c>
      <c r="V69" s="237" t="s">
        <v>473</v>
      </c>
      <c r="W69" s="245">
        <v>45918</v>
      </c>
      <c r="X69" s="237" t="s">
        <v>636</v>
      </c>
      <c r="Y69" s="237" t="s">
        <v>588</v>
      </c>
      <c r="Z69" s="237" t="s">
        <v>228</v>
      </c>
      <c r="AA69" s="237" t="s">
        <v>637</v>
      </c>
      <c r="AB69" s="337" t="s">
        <v>228</v>
      </c>
      <c r="AC69" s="237" t="s">
        <v>228</v>
      </c>
      <c r="AD69" s="562"/>
      <c r="AE69" s="555"/>
      <c r="AF69" s="237"/>
    </row>
    <row r="70" spans="1:32" ht="13.5" customHeight="1">
      <c r="A70" s="235">
        <v>68</v>
      </c>
      <c r="B70" s="237"/>
      <c r="C70" s="255" t="s">
        <v>638</v>
      </c>
      <c r="D70" s="237" t="s">
        <v>639</v>
      </c>
      <c r="E70" s="237">
        <v>46</v>
      </c>
      <c r="F70" s="237" t="s">
        <v>75</v>
      </c>
      <c r="G70" s="237" t="s">
        <v>640</v>
      </c>
      <c r="H70" s="243" t="s">
        <v>27</v>
      </c>
      <c r="I70" s="243"/>
      <c r="J70" s="235" t="s">
        <v>433</v>
      </c>
      <c r="K70" s="240"/>
      <c r="L70" s="243" t="s">
        <v>231</v>
      </c>
      <c r="M70" s="243" t="s">
        <v>231</v>
      </c>
      <c r="N70" s="237"/>
      <c r="O70" s="237"/>
      <c r="P70" s="237"/>
      <c r="Q70" s="245">
        <v>45846</v>
      </c>
      <c r="R70" s="237" t="s">
        <v>309</v>
      </c>
      <c r="S70" s="331" t="s">
        <v>233</v>
      </c>
      <c r="T70" s="237" t="s">
        <v>228</v>
      </c>
      <c r="U70" s="237" t="s">
        <v>234</v>
      </c>
      <c r="V70" s="237" t="s">
        <v>473</v>
      </c>
      <c r="W70" s="245">
        <v>45918</v>
      </c>
      <c r="X70" s="237" t="s">
        <v>641</v>
      </c>
      <c r="Y70" s="237" t="s">
        <v>588</v>
      </c>
      <c r="Z70" s="237" t="s">
        <v>228</v>
      </c>
      <c r="AA70" s="237" t="s">
        <v>642</v>
      </c>
      <c r="AB70" s="337" t="s">
        <v>228</v>
      </c>
      <c r="AC70" s="237" t="s">
        <v>228</v>
      </c>
      <c r="AD70" s="562"/>
      <c r="AE70" s="555"/>
      <c r="AF70" s="237"/>
    </row>
    <row r="71" spans="1:32" ht="13.5" customHeight="1">
      <c r="A71" s="235">
        <v>69</v>
      </c>
      <c r="B71" s="237"/>
      <c r="C71" s="255" t="s">
        <v>643</v>
      </c>
      <c r="D71" s="237" t="s">
        <v>644</v>
      </c>
      <c r="E71" s="237">
        <v>46</v>
      </c>
      <c r="F71" s="237" t="s">
        <v>75</v>
      </c>
      <c r="G71" s="237" t="s">
        <v>645</v>
      </c>
      <c r="H71" s="243" t="s">
        <v>27</v>
      </c>
      <c r="I71" s="243"/>
      <c r="J71" s="235" t="s">
        <v>433</v>
      </c>
      <c r="K71" s="240" t="s">
        <v>646</v>
      </c>
      <c r="L71" s="243" t="s">
        <v>231</v>
      </c>
      <c r="M71" s="243" t="s">
        <v>231</v>
      </c>
      <c r="N71" s="237"/>
      <c r="O71" s="237"/>
      <c r="P71" s="237"/>
      <c r="Q71" s="245">
        <v>45854</v>
      </c>
      <c r="R71" s="237" t="s">
        <v>309</v>
      </c>
      <c r="S71" s="331" t="s">
        <v>233</v>
      </c>
      <c r="T71" s="237" t="s">
        <v>228</v>
      </c>
      <c r="U71" s="237" t="s">
        <v>234</v>
      </c>
      <c r="V71" s="237" t="s">
        <v>473</v>
      </c>
      <c r="W71" s="245">
        <v>45918</v>
      </c>
      <c r="X71" s="237" t="s">
        <v>647</v>
      </c>
      <c r="Y71" s="237" t="s">
        <v>588</v>
      </c>
      <c r="Z71" s="237" t="s">
        <v>228</v>
      </c>
      <c r="AA71" s="237" t="s">
        <v>648</v>
      </c>
      <c r="AB71" s="337" t="s">
        <v>228</v>
      </c>
      <c r="AC71" s="237" t="s">
        <v>228</v>
      </c>
      <c r="AD71" s="562"/>
      <c r="AE71" s="555"/>
      <c r="AF71" s="237"/>
    </row>
    <row r="72" spans="1:32" ht="13.5" customHeight="1">
      <c r="A72" s="235">
        <v>70</v>
      </c>
      <c r="B72" s="237"/>
      <c r="C72" s="256" t="s">
        <v>649</v>
      </c>
      <c r="D72" s="237" t="s">
        <v>650</v>
      </c>
      <c r="E72" s="237">
        <v>49</v>
      </c>
      <c r="F72" s="237" t="s">
        <v>75</v>
      </c>
      <c r="G72" s="237" t="s">
        <v>651</v>
      </c>
      <c r="H72" s="243" t="s">
        <v>188</v>
      </c>
      <c r="I72" s="243"/>
      <c r="K72" s="240"/>
      <c r="L72" s="243" t="s">
        <v>231</v>
      </c>
      <c r="M72" s="243" t="s">
        <v>231</v>
      </c>
      <c r="N72" s="237"/>
      <c r="O72" s="237"/>
      <c r="P72" s="237"/>
      <c r="Q72" s="245">
        <v>45769</v>
      </c>
      <c r="R72" s="237" t="s">
        <v>309</v>
      </c>
      <c r="S72" s="331" t="s">
        <v>233</v>
      </c>
      <c r="T72" s="237" t="s">
        <v>228</v>
      </c>
      <c r="U72" s="237" t="s">
        <v>234</v>
      </c>
      <c r="V72" s="237" t="s">
        <v>652</v>
      </c>
      <c r="W72" s="245">
        <v>45947</v>
      </c>
      <c r="X72" s="237" t="s">
        <v>653</v>
      </c>
      <c r="Y72" s="237" t="s">
        <v>588</v>
      </c>
      <c r="Z72" s="237" t="s">
        <v>228</v>
      </c>
      <c r="AA72" s="237" t="s">
        <v>654</v>
      </c>
      <c r="AB72" s="337" t="s">
        <v>228</v>
      </c>
      <c r="AC72" s="237" t="s">
        <v>228</v>
      </c>
      <c r="AD72" s="566"/>
      <c r="AE72" s="551"/>
      <c r="AF72" s="237"/>
    </row>
    <row r="73" spans="1:32" ht="13.5" customHeight="1">
      <c r="A73" s="235">
        <v>71</v>
      </c>
      <c r="B73" s="237"/>
      <c r="C73" s="256" t="s">
        <v>655</v>
      </c>
      <c r="D73" s="237" t="s">
        <v>656</v>
      </c>
      <c r="E73" s="237">
        <v>29</v>
      </c>
      <c r="F73" s="237" t="s">
        <v>75</v>
      </c>
      <c r="G73" s="237" t="s">
        <v>657</v>
      </c>
      <c r="H73" s="243" t="s">
        <v>27</v>
      </c>
      <c r="I73" s="240" t="s">
        <v>39</v>
      </c>
      <c r="J73" s="235" t="s">
        <v>433</v>
      </c>
      <c r="K73" s="243" t="s">
        <v>658</v>
      </c>
      <c r="L73" s="243"/>
      <c r="M73" s="246" t="s">
        <v>228</v>
      </c>
      <c r="N73" s="237"/>
      <c r="O73" s="237"/>
      <c r="P73" s="237"/>
      <c r="Q73" s="245">
        <v>45727</v>
      </c>
      <c r="R73" s="237" t="s">
        <v>309</v>
      </c>
      <c r="S73" s="331" t="s">
        <v>233</v>
      </c>
      <c r="T73" s="237" t="s">
        <v>228</v>
      </c>
      <c r="U73" s="237" t="s">
        <v>234</v>
      </c>
      <c r="V73" s="237" t="s">
        <v>652</v>
      </c>
      <c r="W73" s="245">
        <v>45947</v>
      </c>
      <c r="X73" s="237" t="s">
        <v>659</v>
      </c>
      <c r="Y73" s="237" t="s">
        <v>237</v>
      </c>
      <c r="Z73" s="237" t="s">
        <v>228</v>
      </c>
      <c r="AA73" s="237" t="s">
        <v>660</v>
      </c>
      <c r="AB73" s="337" t="s">
        <v>228</v>
      </c>
      <c r="AC73" s="237" t="s">
        <v>228</v>
      </c>
      <c r="AD73" s="566"/>
      <c r="AE73" s="551"/>
      <c r="AF73" s="237"/>
    </row>
    <row r="74" spans="1:32" ht="13.5" customHeight="1">
      <c r="A74" s="235">
        <v>72</v>
      </c>
      <c r="B74" s="237"/>
      <c r="C74" s="256" t="s">
        <v>661</v>
      </c>
      <c r="D74" s="237" t="s">
        <v>662</v>
      </c>
      <c r="E74" s="237">
        <v>38</v>
      </c>
      <c r="F74" s="237" t="s">
        <v>75</v>
      </c>
      <c r="G74" s="237" t="s">
        <v>663</v>
      </c>
      <c r="H74" s="243" t="s">
        <v>188</v>
      </c>
      <c r="I74" s="243"/>
      <c r="K74" s="240"/>
      <c r="L74" s="243" t="s">
        <v>231</v>
      </c>
      <c r="M74" s="243" t="s">
        <v>231</v>
      </c>
      <c r="N74" s="237"/>
      <c r="O74" s="237"/>
      <c r="P74" s="237"/>
      <c r="Q74" s="245">
        <v>45721</v>
      </c>
      <c r="R74" s="237" t="s">
        <v>309</v>
      </c>
      <c r="S74" s="331" t="s">
        <v>233</v>
      </c>
      <c r="T74" s="237" t="s">
        <v>228</v>
      </c>
      <c r="U74" s="237" t="s">
        <v>234</v>
      </c>
      <c r="V74" s="237" t="s">
        <v>652</v>
      </c>
      <c r="W74" s="245">
        <v>45947</v>
      </c>
      <c r="X74" s="237" t="s">
        <v>664</v>
      </c>
      <c r="Y74" s="237" t="s">
        <v>237</v>
      </c>
      <c r="Z74" s="237" t="s">
        <v>228</v>
      </c>
      <c r="AA74" s="237" t="s">
        <v>665</v>
      </c>
      <c r="AB74" s="337" t="s">
        <v>228</v>
      </c>
      <c r="AC74" s="237" t="s">
        <v>228</v>
      </c>
      <c r="AD74" s="566"/>
      <c r="AE74" s="551"/>
      <c r="AF74" s="237"/>
    </row>
    <row r="75" spans="1:32" ht="13.5" customHeight="1">
      <c r="A75" s="235">
        <v>73</v>
      </c>
      <c r="B75" s="237"/>
      <c r="C75" s="256" t="s">
        <v>666</v>
      </c>
      <c r="D75" s="237" t="s">
        <v>667</v>
      </c>
      <c r="E75" s="237">
        <v>70</v>
      </c>
      <c r="F75" s="237" t="s">
        <v>60</v>
      </c>
      <c r="G75" s="237" t="s">
        <v>668</v>
      </c>
      <c r="H75" s="243" t="s">
        <v>188</v>
      </c>
      <c r="I75" s="243"/>
      <c r="K75" s="240"/>
      <c r="L75" s="243" t="s">
        <v>231</v>
      </c>
      <c r="M75" s="246" t="s">
        <v>228</v>
      </c>
      <c r="N75" s="237"/>
      <c r="O75" s="237"/>
      <c r="P75" s="237"/>
      <c r="Q75" s="245">
        <v>45777</v>
      </c>
      <c r="R75" s="237" t="s">
        <v>309</v>
      </c>
      <c r="S75" s="331" t="s">
        <v>233</v>
      </c>
      <c r="T75" s="237" t="s">
        <v>228</v>
      </c>
      <c r="U75" s="237" t="s">
        <v>234</v>
      </c>
      <c r="V75" s="237" t="s">
        <v>652</v>
      </c>
      <c r="W75" s="245">
        <v>45947</v>
      </c>
      <c r="X75" s="237" t="s">
        <v>669</v>
      </c>
      <c r="Y75" s="237" t="s">
        <v>588</v>
      </c>
      <c r="Z75" s="237" t="s">
        <v>228</v>
      </c>
      <c r="AA75" s="237" t="s">
        <v>670</v>
      </c>
      <c r="AB75" s="337" t="s">
        <v>228</v>
      </c>
      <c r="AC75" s="237" t="s">
        <v>228</v>
      </c>
      <c r="AD75" s="566"/>
      <c r="AE75" s="551"/>
      <c r="AF75" s="237"/>
    </row>
    <row r="76" spans="1:32" ht="13.5" customHeight="1">
      <c r="A76" s="235">
        <v>74</v>
      </c>
      <c r="B76" s="237"/>
      <c r="C76" s="256" t="s">
        <v>671</v>
      </c>
      <c r="D76" s="237" t="s">
        <v>672</v>
      </c>
      <c r="E76" s="237">
        <v>48</v>
      </c>
      <c r="F76" s="237" t="s">
        <v>75</v>
      </c>
      <c r="G76" s="237" t="s">
        <v>673</v>
      </c>
      <c r="H76" s="243" t="s">
        <v>188</v>
      </c>
      <c r="I76" s="243"/>
      <c r="K76" s="240"/>
      <c r="L76" s="243" t="s">
        <v>231</v>
      </c>
      <c r="M76" s="243" t="s">
        <v>231</v>
      </c>
      <c r="N76" s="237"/>
      <c r="O76" s="237"/>
      <c r="P76" s="237"/>
      <c r="Q76" s="245">
        <v>45758</v>
      </c>
      <c r="R76" s="237" t="s">
        <v>309</v>
      </c>
      <c r="S76" s="331" t="s">
        <v>233</v>
      </c>
      <c r="T76" s="237" t="s">
        <v>228</v>
      </c>
      <c r="U76" s="237" t="s">
        <v>234</v>
      </c>
      <c r="V76" s="237" t="s">
        <v>652</v>
      </c>
      <c r="W76" s="245">
        <v>45947</v>
      </c>
      <c r="X76" s="237" t="s">
        <v>674</v>
      </c>
      <c r="Y76" s="237" t="s">
        <v>237</v>
      </c>
      <c r="Z76" s="237" t="s">
        <v>228</v>
      </c>
      <c r="AA76" s="237" t="s">
        <v>675</v>
      </c>
      <c r="AB76" s="337" t="s">
        <v>228</v>
      </c>
      <c r="AC76" s="237" t="s">
        <v>228</v>
      </c>
      <c r="AD76" s="566"/>
      <c r="AE76" s="551"/>
      <c r="AF76" s="237"/>
    </row>
    <row r="77" spans="1:32" ht="13.5" customHeight="1">
      <c r="A77" s="235">
        <v>75</v>
      </c>
      <c r="B77" s="237"/>
      <c r="C77" s="256" t="s">
        <v>676</v>
      </c>
      <c r="D77" s="237" t="s">
        <v>677</v>
      </c>
      <c r="E77" s="237">
        <v>22</v>
      </c>
      <c r="F77" s="237" t="s">
        <v>75</v>
      </c>
      <c r="G77" s="237" t="s">
        <v>678</v>
      </c>
      <c r="H77" s="243" t="s">
        <v>188</v>
      </c>
      <c r="I77" s="243"/>
      <c r="K77" s="240"/>
      <c r="L77" s="243" t="s">
        <v>231</v>
      </c>
      <c r="M77" s="243" t="s">
        <v>231</v>
      </c>
      <c r="N77" s="237" t="s">
        <v>679</v>
      </c>
      <c r="O77" s="237"/>
      <c r="P77" s="237"/>
      <c r="Q77" s="245">
        <v>45775</v>
      </c>
      <c r="R77" s="237" t="s">
        <v>309</v>
      </c>
      <c r="S77" s="331" t="s">
        <v>233</v>
      </c>
      <c r="T77" s="237" t="s">
        <v>228</v>
      </c>
      <c r="U77" s="237" t="s">
        <v>234</v>
      </c>
      <c r="V77" s="237" t="s">
        <v>652</v>
      </c>
      <c r="W77" s="245">
        <v>45947</v>
      </c>
      <c r="X77" s="237" t="s">
        <v>680</v>
      </c>
      <c r="Y77" s="237" t="s">
        <v>237</v>
      </c>
      <c r="Z77" s="237" t="s">
        <v>228</v>
      </c>
      <c r="AA77" s="237" t="s">
        <v>681</v>
      </c>
      <c r="AB77" s="337" t="s">
        <v>228</v>
      </c>
      <c r="AC77" s="237" t="s">
        <v>228</v>
      </c>
      <c r="AD77" s="566"/>
      <c r="AE77" s="551"/>
      <c r="AF77" s="237"/>
    </row>
    <row r="78" spans="1:32" ht="13.5" customHeight="1">
      <c r="A78" s="235">
        <v>76</v>
      </c>
      <c r="B78" s="237"/>
      <c r="C78" s="256" t="s">
        <v>682</v>
      </c>
      <c r="D78" s="237" t="s">
        <v>683</v>
      </c>
      <c r="E78" s="237">
        <v>34</v>
      </c>
      <c r="F78" s="237" t="s">
        <v>60</v>
      </c>
      <c r="G78" s="237" t="s">
        <v>684</v>
      </c>
      <c r="H78" s="243" t="s">
        <v>188</v>
      </c>
      <c r="I78" s="243"/>
      <c r="K78" s="240"/>
      <c r="L78" s="243" t="s">
        <v>231</v>
      </c>
      <c r="M78" s="243" t="s">
        <v>231</v>
      </c>
      <c r="N78" s="237"/>
      <c r="O78" s="237"/>
      <c r="P78" s="237"/>
      <c r="Q78" s="245">
        <v>45731</v>
      </c>
      <c r="R78" s="237" t="s">
        <v>309</v>
      </c>
      <c r="S78" s="331" t="s">
        <v>233</v>
      </c>
      <c r="T78" s="237" t="s">
        <v>228</v>
      </c>
      <c r="U78" s="237" t="s">
        <v>234</v>
      </c>
      <c r="V78" s="237" t="s">
        <v>652</v>
      </c>
      <c r="W78" s="245">
        <v>45947</v>
      </c>
      <c r="X78" s="237" t="s">
        <v>685</v>
      </c>
      <c r="Y78" s="237" t="s">
        <v>237</v>
      </c>
      <c r="Z78" s="237" t="s">
        <v>237</v>
      </c>
      <c r="AA78" s="237" t="s">
        <v>686</v>
      </c>
      <c r="AB78" s="337" t="s">
        <v>228</v>
      </c>
      <c r="AC78" s="237" t="s">
        <v>228</v>
      </c>
      <c r="AD78" s="566"/>
      <c r="AE78" s="551"/>
      <c r="AF78" s="237"/>
    </row>
    <row r="79" spans="1:32" ht="13.5" customHeight="1">
      <c r="A79" s="235">
        <v>77</v>
      </c>
      <c r="B79" s="237"/>
      <c r="C79" s="256" t="s">
        <v>687</v>
      </c>
      <c r="D79" s="237" t="s">
        <v>688</v>
      </c>
      <c r="E79" s="237">
        <v>44</v>
      </c>
      <c r="F79" s="237" t="s">
        <v>60</v>
      </c>
      <c r="G79" s="237" t="s">
        <v>689</v>
      </c>
      <c r="H79" s="243" t="s">
        <v>188</v>
      </c>
      <c r="I79" s="243"/>
      <c r="K79" s="240"/>
      <c r="L79" s="243" t="s">
        <v>231</v>
      </c>
      <c r="M79" s="243" t="s">
        <v>231</v>
      </c>
      <c r="N79" s="237"/>
      <c r="O79" s="237"/>
      <c r="P79" s="237"/>
      <c r="Q79" s="245">
        <v>45721</v>
      </c>
      <c r="R79" s="237" t="s">
        <v>309</v>
      </c>
      <c r="S79" s="331" t="s">
        <v>233</v>
      </c>
      <c r="T79" s="237" t="s">
        <v>228</v>
      </c>
      <c r="U79" s="237" t="s">
        <v>234</v>
      </c>
      <c r="V79" s="237" t="s">
        <v>652</v>
      </c>
      <c r="W79" s="245">
        <v>45947</v>
      </c>
      <c r="X79" s="237" t="s">
        <v>690</v>
      </c>
      <c r="Y79" s="237" t="s">
        <v>237</v>
      </c>
      <c r="Z79" s="237" t="s">
        <v>228</v>
      </c>
      <c r="AA79" s="237" t="s">
        <v>691</v>
      </c>
      <c r="AB79" s="337" t="s">
        <v>228</v>
      </c>
      <c r="AC79" s="237" t="s">
        <v>228</v>
      </c>
      <c r="AD79" s="566"/>
      <c r="AE79" s="551"/>
      <c r="AF79" s="237"/>
    </row>
    <row r="80" spans="1:32" ht="13.5" customHeight="1">
      <c r="A80" s="235">
        <v>78</v>
      </c>
      <c r="B80" s="237"/>
      <c r="C80" s="256" t="s">
        <v>692</v>
      </c>
      <c r="D80" s="237" t="s">
        <v>693</v>
      </c>
      <c r="E80" s="237">
        <v>32</v>
      </c>
      <c r="F80" s="237" t="s">
        <v>60</v>
      </c>
      <c r="G80" s="237" t="s">
        <v>694</v>
      </c>
      <c r="H80" s="243" t="s">
        <v>188</v>
      </c>
      <c r="I80" s="243"/>
      <c r="K80" s="240"/>
      <c r="L80" s="243" t="s">
        <v>231</v>
      </c>
      <c r="M80" s="243" t="s">
        <v>231</v>
      </c>
      <c r="N80" s="237"/>
      <c r="O80" s="237"/>
      <c r="P80" s="237"/>
      <c r="Q80" s="245">
        <v>45775</v>
      </c>
      <c r="R80" s="237" t="s">
        <v>309</v>
      </c>
      <c r="S80" s="331" t="s">
        <v>233</v>
      </c>
      <c r="T80" s="237" t="s">
        <v>228</v>
      </c>
      <c r="U80" s="237" t="s">
        <v>234</v>
      </c>
      <c r="V80" s="237" t="s">
        <v>652</v>
      </c>
      <c r="W80" s="245">
        <v>45947</v>
      </c>
      <c r="X80" s="237" t="s">
        <v>695</v>
      </c>
      <c r="Y80" s="237" t="s">
        <v>237</v>
      </c>
      <c r="Z80" s="237" t="s">
        <v>237</v>
      </c>
      <c r="AA80" s="237" t="s">
        <v>696</v>
      </c>
      <c r="AB80" s="337" t="s">
        <v>228</v>
      </c>
      <c r="AC80" s="237" t="s">
        <v>228</v>
      </c>
      <c r="AD80" s="566"/>
      <c r="AE80" s="551"/>
      <c r="AF80" s="237"/>
    </row>
    <row r="81" spans="1:32" ht="13.5" customHeight="1">
      <c r="A81" s="235">
        <v>79</v>
      </c>
      <c r="B81" s="237"/>
      <c r="C81" s="256" t="s">
        <v>697</v>
      </c>
      <c r="D81" s="237" t="s">
        <v>698</v>
      </c>
      <c r="E81" s="237">
        <v>23</v>
      </c>
      <c r="F81" s="237" t="s">
        <v>75</v>
      </c>
      <c r="G81" s="237" t="s">
        <v>699</v>
      </c>
      <c r="H81" s="243" t="s">
        <v>188</v>
      </c>
      <c r="I81" s="243"/>
      <c r="K81" s="240"/>
      <c r="L81" s="243" t="s">
        <v>231</v>
      </c>
      <c r="M81" s="243" t="s">
        <v>231</v>
      </c>
      <c r="N81" s="237"/>
      <c r="O81" s="237"/>
      <c r="P81" s="237"/>
      <c r="Q81" s="245">
        <v>45727</v>
      </c>
      <c r="R81" s="237" t="s">
        <v>309</v>
      </c>
      <c r="S81" s="331" t="s">
        <v>233</v>
      </c>
      <c r="T81" s="237" t="s">
        <v>228</v>
      </c>
      <c r="U81" s="237" t="s">
        <v>234</v>
      </c>
      <c r="V81" s="237" t="s">
        <v>652</v>
      </c>
      <c r="W81" s="245">
        <v>45947</v>
      </c>
      <c r="X81" s="237" t="s">
        <v>700</v>
      </c>
      <c r="Y81" s="237" t="s">
        <v>237</v>
      </c>
      <c r="Z81" s="237" t="s">
        <v>228</v>
      </c>
      <c r="AA81" s="237" t="s">
        <v>701</v>
      </c>
      <c r="AB81" s="337" t="s">
        <v>228</v>
      </c>
      <c r="AC81" s="237" t="s">
        <v>228</v>
      </c>
      <c r="AD81" s="566"/>
      <c r="AE81" s="551"/>
      <c r="AF81" s="237"/>
    </row>
    <row r="82" spans="1:32" ht="13.5" customHeight="1">
      <c r="A82" s="235">
        <v>80</v>
      </c>
      <c r="B82" s="237"/>
      <c r="C82" s="256" t="s">
        <v>702</v>
      </c>
      <c r="D82" s="237" t="s">
        <v>703</v>
      </c>
      <c r="E82" s="237">
        <v>23</v>
      </c>
      <c r="F82" s="237" t="s">
        <v>75</v>
      </c>
      <c r="G82" s="237" t="s">
        <v>704</v>
      </c>
      <c r="H82" s="243" t="s">
        <v>188</v>
      </c>
      <c r="I82" s="243"/>
      <c r="K82" s="240"/>
      <c r="L82" s="243" t="s">
        <v>231</v>
      </c>
      <c r="M82" s="243" t="s">
        <v>231</v>
      </c>
      <c r="N82" s="237"/>
      <c r="O82" s="237"/>
      <c r="P82" s="237"/>
      <c r="Q82" s="245">
        <v>45727</v>
      </c>
      <c r="R82" s="237" t="s">
        <v>309</v>
      </c>
      <c r="S82" s="331" t="s">
        <v>233</v>
      </c>
      <c r="T82" s="237" t="s">
        <v>228</v>
      </c>
      <c r="U82" s="237" t="s">
        <v>234</v>
      </c>
      <c r="V82" s="237" t="s">
        <v>652</v>
      </c>
      <c r="W82" s="245">
        <v>45947</v>
      </c>
      <c r="X82" s="237" t="s">
        <v>705</v>
      </c>
      <c r="Y82" s="237" t="s">
        <v>237</v>
      </c>
      <c r="Z82" s="237" t="s">
        <v>228</v>
      </c>
      <c r="AA82" s="237" t="s">
        <v>706</v>
      </c>
      <c r="AB82" s="337" t="s">
        <v>228</v>
      </c>
      <c r="AC82" s="237" t="s">
        <v>228</v>
      </c>
      <c r="AD82" s="566"/>
      <c r="AE82" s="551"/>
      <c r="AF82" s="237"/>
    </row>
    <row r="83" spans="1:32" ht="13.5" customHeight="1">
      <c r="A83" s="235">
        <v>81</v>
      </c>
      <c r="B83" s="237"/>
      <c r="C83" s="256" t="s">
        <v>707</v>
      </c>
      <c r="D83" s="237" t="s">
        <v>708</v>
      </c>
      <c r="E83" s="237">
        <v>53</v>
      </c>
      <c r="F83" s="237" t="s">
        <v>75</v>
      </c>
      <c r="G83" s="237" t="s">
        <v>709</v>
      </c>
      <c r="H83" s="243" t="s">
        <v>188</v>
      </c>
      <c r="I83" s="243"/>
      <c r="K83" s="240"/>
      <c r="L83" s="243" t="s">
        <v>231</v>
      </c>
      <c r="M83" s="243" t="s">
        <v>231</v>
      </c>
      <c r="N83" s="237"/>
      <c r="O83" s="237"/>
      <c r="P83" s="237"/>
      <c r="Q83" s="245">
        <v>45726</v>
      </c>
      <c r="R83" s="237" t="s">
        <v>309</v>
      </c>
      <c r="S83" s="331" t="s">
        <v>233</v>
      </c>
      <c r="T83" s="237" t="s">
        <v>228</v>
      </c>
      <c r="U83" s="237" t="s">
        <v>234</v>
      </c>
      <c r="V83" s="237" t="s">
        <v>652</v>
      </c>
      <c r="W83" s="245">
        <v>45947</v>
      </c>
      <c r="X83" s="237" t="s">
        <v>710</v>
      </c>
      <c r="Y83" s="237" t="s">
        <v>237</v>
      </c>
      <c r="Z83" s="237" t="s">
        <v>228</v>
      </c>
      <c r="AA83" s="237" t="s">
        <v>711</v>
      </c>
      <c r="AB83" s="337" t="s">
        <v>228</v>
      </c>
      <c r="AC83" s="237" t="s">
        <v>228</v>
      </c>
      <c r="AD83" s="566"/>
      <c r="AE83" s="551"/>
      <c r="AF83" s="237"/>
    </row>
    <row r="84" spans="1:32" ht="13.5" customHeight="1">
      <c r="A84" s="235">
        <v>82</v>
      </c>
      <c r="B84" s="237"/>
      <c r="C84" s="256" t="s">
        <v>712</v>
      </c>
      <c r="D84" s="237" t="s">
        <v>713</v>
      </c>
      <c r="E84" s="237">
        <v>58</v>
      </c>
      <c r="F84" s="237" t="s">
        <v>60</v>
      </c>
      <c r="G84" s="237" t="s">
        <v>714</v>
      </c>
      <c r="H84" s="243" t="s">
        <v>188</v>
      </c>
      <c r="I84" s="243"/>
      <c r="K84" s="240"/>
      <c r="L84" s="243" t="s">
        <v>231</v>
      </c>
      <c r="M84" s="243" t="s">
        <v>231</v>
      </c>
      <c r="N84" s="237"/>
      <c r="O84" s="237"/>
      <c r="P84" s="237"/>
      <c r="Q84" s="245">
        <v>45758</v>
      </c>
      <c r="R84" s="237" t="s">
        <v>309</v>
      </c>
      <c r="S84" s="331" t="s">
        <v>233</v>
      </c>
      <c r="T84" s="237" t="s">
        <v>228</v>
      </c>
      <c r="U84" s="237" t="s">
        <v>234</v>
      </c>
      <c r="V84" s="237" t="s">
        <v>652</v>
      </c>
      <c r="W84" s="245">
        <v>45947</v>
      </c>
      <c r="X84" s="237" t="s">
        <v>715</v>
      </c>
      <c r="Y84" s="237" t="s">
        <v>237</v>
      </c>
      <c r="Z84" s="237" t="s">
        <v>228</v>
      </c>
      <c r="AA84" s="237" t="s">
        <v>716</v>
      </c>
      <c r="AB84" s="337" t="s">
        <v>228</v>
      </c>
      <c r="AC84" s="237" t="s">
        <v>228</v>
      </c>
      <c r="AD84" s="566"/>
      <c r="AE84" s="551"/>
      <c r="AF84" s="237"/>
    </row>
    <row r="85" spans="1:32" ht="13.5" customHeight="1">
      <c r="A85" s="235">
        <v>83</v>
      </c>
      <c r="B85" s="237"/>
      <c r="C85" s="256" t="s">
        <v>717</v>
      </c>
      <c r="D85" s="237" t="s">
        <v>718</v>
      </c>
      <c r="E85" s="237">
        <v>38</v>
      </c>
      <c r="F85" s="237" t="s">
        <v>75</v>
      </c>
      <c r="G85" s="237" t="s">
        <v>719</v>
      </c>
      <c r="H85" s="243" t="s">
        <v>188</v>
      </c>
      <c r="I85" s="243"/>
      <c r="K85" s="240"/>
      <c r="L85" s="243" t="s">
        <v>231</v>
      </c>
      <c r="M85" s="243" t="s">
        <v>231</v>
      </c>
      <c r="N85" s="237"/>
      <c r="O85" s="237"/>
      <c r="P85" s="237"/>
      <c r="Q85" s="245">
        <v>45897</v>
      </c>
      <c r="R85" s="237" t="s">
        <v>309</v>
      </c>
      <c r="S85" s="331" t="s">
        <v>233</v>
      </c>
      <c r="T85" s="237" t="s">
        <v>228</v>
      </c>
      <c r="U85" s="237" t="s">
        <v>298</v>
      </c>
      <c r="V85" s="237" t="s">
        <v>652</v>
      </c>
      <c r="W85" s="245">
        <v>45947</v>
      </c>
      <c r="X85" s="237" t="s">
        <v>720</v>
      </c>
      <c r="Y85" s="237" t="s">
        <v>588</v>
      </c>
      <c r="Z85" s="237" t="s">
        <v>228</v>
      </c>
      <c r="AA85" s="237" t="s">
        <v>721</v>
      </c>
      <c r="AB85" s="337" t="s">
        <v>228</v>
      </c>
      <c r="AC85" s="237" t="s">
        <v>228</v>
      </c>
      <c r="AD85" s="566"/>
      <c r="AE85" s="551"/>
      <c r="AF85" s="237"/>
    </row>
    <row r="86" spans="1:32" ht="13.5" customHeight="1">
      <c r="A86" s="235">
        <v>84</v>
      </c>
      <c r="B86" s="237"/>
      <c r="C86" s="256" t="s">
        <v>722</v>
      </c>
      <c r="D86" s="237" t="s">
        <v>723</v>
      </c>
      <c r="E86" s="237">
        <v>23</v>
      </c>
      <c r="F86" s="237" t="s">
        <v>75</v>
      </c>
      <c r="G86" s="237" t="s">
        <v>724</v>
      </c>
      <c r="H86" s="243" t="s">
        <v>188</v>
      </c>
      <c r="I86" s="243"/>
      <c r="K86" s="240"/>
      <c r="L86" s="243" t="s">
        <v>231</v>
      </c>
      <c r="M86" s="243" t="s">
        <v>231</v>
      </c>
      <c r="N86" s="237"/>
      <c r="O86" s="237"/>
      <c r="P86" s="237"/>
      <c r="Q86" s="245">
        <v>45743</v>
      </c>
      <c r="R86" s="237" t="s">
        <v>309</v>
      </c>
      <c r="S86" s="331" t="s">
        <v>233</v>
      </c>
      <c r="T86" s="237" t="s">
        <v>228</v>
      </c>
      <c r="U86" s="237" t="s">
        <v>234</v>
      </c>
      <c r="V86" s="237" t="s">
        <v>652</v>
      </c>
      <c r="W86" s="245">
        <v>45947</v>
      </c>
      <c r="X86" s="237" t="s">
        <v>725</v>
      </c>
      <c r="Y86" s="237" t="s">
        <v>237</v>
      </c>
      <c r="Z86" s="237" t="s">
        <v>228</v>
      </c>
      <c r="AA86" s="237" t="s">
        <v>726</v>
      </c>
      <c r="AB86" s="337" t="s">
        <v>228</v>
      </c>
      <c r="AC86" s="237" t="s">
        <v>228</v>
      </c>
      <c r="AD86" s="566"/>
      <c r="AE86" s="551"/>
      <c r="AF86" s="237"/>
    </row>
    <row r="87" spans="1:32" ht="13.5" customHeight="1">
      <c r="A87" s="235">
        <v>85</v>
      </c>
      <c r="B87" s="237"/>
      <c r="C87" s="256" t="s">
        <v>727</v>
      </c>
      <c r="D87" s="237" t="s">
        <v>728</v>
      </c>
      <c r="E87" s="237">
        <v>25</v>
      </c>
      <c r="F87" s="237" t="s">
        <v>75</v>
      </c>
      <c r="G87" s="237" t="s">
        <v>729</v>
      </c>
      <c r="H87" s="243" t="s">
        <v>188</v>
      </c>
      <c r="I87" s="243"/>
      <c r="K87" s="240"/>
      <c r="L87" s="243" t="s">
        <v>231</v>
      </c>
      <c r="M87" s="243" t="s">
        <v>231</v>
      </c>
      <c r="N87" s="237"/>
      <c r="O87" s="237"/>
      <c r="P87" s="237"/>
      <c r="Q87" s="245">
        <v>45727</v>
      </c>
      <c r="R87" s="237" t="s">
        <v>309</v>
      </c>
      <c r="S87" s="331" t="s">
        <v>233</v>
      </c>
      <c r="T87" s="237" t="s">
        <v>228</v>
      </c>
      <c r="U87" s="237" t="s">
        <v>234</v>
      </c>
      <c r="V87" s="237" t="s">
        <v>652</v>
      </c>
      <c r="W87" s="245">
        <v>45947</v>
      </c>
      <c r="X87" s="237" t="s">
        <v>730</v>
      </c>
      <c r="Y87" s="237" t="s">
        <v>237</v>
      </c>
      <c r="Z87" s="237" t="s">
        <v>228</v>
      </c>
      <c r="AA87" s="237" t="s">
        <v>731</v>
      </c>
      <c r="AB87" s="337" t="s">
        <v>228</v>
      </c>
      <c r="AC87" s="237" t="s">
        <v>228</v>
      </c>
      <c r="AD87" s="566"/>
      <c r="AE87" s="551"/>
      <c r="AF87" s="237"/>
    </row>
    <row r="88" spans="1:32" ht="13.5" customHeight="1">
      <c r="A88" s="235">
        <v>86</v>
      </c>
      <c r="B88" s="237"/>
      <c r="C88" s="256" t="s">
        <v>732</v>
      </c>
      <c r="D88" s="237" t="s">
        <v>733</v>
      </c>
      <c r="E88" s="237">
        <v>29</v>
      </c>
      <c r="F88" s="237" t="s">
        <v>75</v>
      </c>
      <c r="G88" s="237" t="s">
        <v>734</v>
      </c>
      <c r="H88" s="243" t="s">
        <v>188</v>
      </c>
      <c r="I88" s="243"/>
      <c r="K88" s="240"/>
      <c r="L88" s="243" t="s">
        <v>231</v>
      </c>
      <c r="M88" s="243" t="s">
        <v>231</v>
      </c>
      <c r="N88" s="237" t="s">
        <v>735</v>
      </c>
      <c r="O88" s="237"/>
      <c r="P88" s="237"/>
      <c r="Q88" s="245">
        <v>45768</v>
      </c>
      <c r="R88" s="237" t="s">
        <v>309</v>
      </c>
      <c r="S88" s="331" t="s">
        <v>233</v>
      </c>
      <c r="T88" s="237" t="s">
        <v>228</v>
      </c>
      <c r="U88" s="237" t="s">
        <v>234</v>
      </c>
      <c r="V88" s="237" t="s">
        <v>652</v>
      </c>
      <c r="W88" s="245">
        <v>45947</v>
      </c>
      <c r="X88" s="237" t="s">
        <v>736</v>
      </c>
      <c r="Y88" s="237" t="s">
        <v>588</v>
      </c>
      <c r="Z88" s="237" t="s">
        <v>228</v>
      </c>
      <c r="AA88" s="237" t="s">
        <v>737</v>
      </c>
      <c r="AB88" s="337" t="s">
        <v>228</v>
      </c>
      <c r="AC88" s="237" t="s">
        <v>228</v>
      </c>
      <c r="AD88" s="566"/>
      <c r="AE88" s="551"/>
      <c r="AF88" s="237"/>
    </row>
    <row r="89" spans="1:32" ht="13.5" customHeight="1">
      <c r="A89" s="235">
        <v>87</v>
      </c>
      <c r="B89" s="237"/>
      <c r="C89" s="256" t="s">
        <v>738</v>
      </c>
      <c r="D89" s="237" t="s">
        <v>739</v>
      </c>
      <c r="E89" s="237">
        <v>49</v>
      </c>
      <c r="F89" s="237" t="s">
        <v>75</v>
      </c>
      <c r="G89" s="237" t="s">
        <v>740</v>
      </c>
      <c r="H89" s="243" t="s">
        <v>188</v>
      </c>
      <c r="I89" s="243"/>
      <c r="K89" s="240"/>
      <c r="L89" s="243" t="s">
        <v>231</v>
      </c>
      <c r="M89" s="243" t="s">
        <v>231</v>
      </c>
      <c r="N89" s="237"/>
      <c r="O89" s="237"/>
      <c r="P89" s="237"/>
      <c r="Q89" s="245">
        <v>45733</v>
      </c>
      <c r="R89" s="237" t="s">
        <v>309</v>
      </c>
      <c r="S89" s="331" t="s">
        <v>233</v>
      </c>
      <c r="T89" s="237" t="s">
        <v>228</v>
      </c>
      <c r="U89" s="237" t="s">
        <v>234</v>
      </c>
      <c r="V89" s="237" t="s">
        <v>652</v>
      </c>
      <c r="W89" s="245">
        <v>45947</v>
      </c>
      <c r="X89" s="237" t="s">
        <v>741</v>
      </c>
      <c r="Y89" s="237" t="s">
        <v>237</v>
      </c>
      <c r="Z89" s="237" t="s">
        <v>228</v>
      </c>
      <c r="AA89" s="237" t="s">
        <v>742</v>
      </c>
      <c r="AB89" s="337" t="s">
        <v>228</v>
      </c>
      <c r="AC89" s="237" t="s">
        <v>228</v>
      </c>
      <c r="AD89" s="566"/>
      <c r="AE89" s="551"/>
      <c r="AF89" s="237"/>
    </row>
    <row r="90" spans="1:32" ht="13.5" customHeight="1">
      <c r="A90" s="235">
        <v>88</v>
      </c>
      <c r="B90" s="237"/>
      <c r="C90" s="256" t="s">
        <v>743</v>
      </c>
      <c r="D90" s="237" t="s">
        <v>744</v>
      </c>
      <c r="E90" s="237">
        <v>47</v>
      </c>
      <c r="F90" s="237" t="s">
        <v>75</v>
      </c>
      <c r="G90" s="237" t="s">
        <v>745</v>
      </c>
      <c r="H90" s="243" t="s">
        <v>188</v>
      </c>
      <c r="I90" s="243"/>
      <c r="K90" s="240"/>
      <c r="L90" s="243" t="s">
        <v>231</v>
      </c>
      <c r="M90" s="243" t="s">
        <v>231</v>
      </c>
      <c r="N90" s="237"/>
      <c r="O90" s="237"/>
      <c r="P90" s="237"/>
      <c r="Q90" s="245">
        <v>45897</v>
      </c>
      <c r="R90" s="237" t="s">
        <v>309</v>
      </c>
      <c r="S90" s="331" t="s">
        <v>233</v>
      </c>
      <c r="T90" s="237" t="s">
        <v>228</v>
      </c>
      <c r="U90" s="237" t="s">
        <v>234</v>
      </c>
      <c r="V90" s="237" t="s">
        <v>652</v>
      </c>
      <c r="W90" s="245">
        <v>45947</v>
      </c>
      <c r="X90" s="237" t="s">
        <v>746</v>
      </c>
      <c r="Y90" s="237" t="s">
        <v>237</v>
      </c>
      <c r="Z90" s="237" t="s">
        <v>228</v>
      </c>
      <c r="AA90" s="237" t="s">
        <v>747</v>
      </c>
      <c r="AB90" s="337" t="s">
        <v>228</v>
      </c>
      <c r="AC90" s="237" t="s">
        <v>228</v>
      </c>
      <c r="AD90" s="566"/>
      <c r="AE90" s="551"/>
      <c r="AF90" s="237"/>
    </row>
    <row r="91" spans="1:32" ht="13.5" customHeight="1">
      <c r="A91" s="235">
        <v>89</v>
      </c>
      <c r="B91" s="237"/>
      <c r="C91" s="256" t="s">
        <v>748</v>
      </c>
      <c r="D91" s="237" t="s">
        <v>749</v>
      </c>
      <c r="E91" s="237">
        <v>57</v>
      </c>
      <c r="F91" s="237" t="s">
        <v>60</v>
      </c>
      <c r="G91" s="237" t="s">
        <v>750</v>
      </c>
      <c r="H91" s="243" t="s">
        <v>188</v>
      </c>
      <c r="I91" s="243"/>
      <c r="K91" s="240"/>
      <c r="L91" s="243" t="s">
        <v>231</v>
      </c>
      <c r="M91" s="243" t="s">
        <v>751</v>
      </c>
      <c r="N91" s="237"/>
      <c r="O91" s="237"/>
      <c r="P91" s="237"/>
      <c r="Q91" s="245">
        <v>45769</v>
      </c>
      <c r="R91" s="237" t="s">
        <v>309</v>
      </c>
      <c r="S91" s="331" t="s">
        <v>233</v>
      </c>
      <c r="T91" s="237" t="s">
        <v>228</v>
      </c>
      <c r="U91" s="237" t="s">
        <v>234</v>
      </c>
      <c r="V91" s="237" t="s">
        <v>652</v>
      </c>
      <c r="W91" s="245">
        <v>45947</v>
      </c>
      <c r="X91" s="237" t="s">
        <v>752</v>
      </c>
      <c r="Y91" s="237" t="s">
        <v>237</v>
      </c>
      <c r="Z91" s="237" t="s">
        <v>228</v>
      </c>
      <c r="AA91" s="237" t="s">
        <v>753</v>
      </c>
      <c r="AB91" s="337" t="s">
        <v>228</v>
      </c>
      <c r="AC91" s="237" t="s">
        <v>228</v>
      </c>
      <c r="AD91" s="566"/>
      <c r="AE91" s="551"/>
      <c r="AF91" s="237"/>
    </row>
    <row r="92" spans="1:32" ht="12.75" customHeight="1">
      <c r="A92" s="235">
        <v>90</v>
      </c>
      <c r="B92" s="237"/>
      <c r="C92" s="256" t="s">
        <v>754</v>
      </c>
      <c r="D92" s="237" t="s">
        <v>755</v>
      </c>
      <c r="E92" s="237">
        <v>48</v>
      </c>
      <c r="F92" s="237" t="s">
        <v>60</v>
      </c>
      <c r="G92" s="237" t="s">
        <v>756</v>
      </c>
      <c r="H92" s="243" t="s">
        <v>188</v>
      </c>
      <c r="I92" s="243"/>
      <c r="K92" s="240"/>
      <c r="L92" s="243" t="s">
        <v>231</v>
      </c>
      <c r="M92" s="243" t="s">
        <v>231</v>
      </c>
      <c r="N92" s="237"/>
      <c r="O92" s="237"/>
      <c r="P92" s="237"/>
      <c r="Q92" s="245">
        <v>45733</v>
      </c>
      <c r="R92" s="237" t="s">
        <v>309</v>
      </c>
      <c r="S92" s="331" t="s">
        <v>233</v>
      </c>
      <c r="T92" s="237" t="s">
        <v>228</v>
      </c>
      <c r="U92" s="237" t="s">
        <v>234</v>
      </c>
      <c r="V92" s="237" t="s">
        <v>652</v>
      </c>
      <c r="W92" s="245">
        <v>45947</v>
      </c>
      <c r="X92" s="237" t="s">
        <v>757</v>
      </c>
      <c r="Y92" s="237" t="s">
        <v>237</v>
      </c>
      <c r="Z92" s="237" t="s">
        <v>228</v>
      </c>
      <c r="AA92" s="237" t="s">
        <v>758</v>
      </c>
      <c r="AB92" s="337" t="s">
        <v>228</v>
      </c>
      <c r="AC92" s="237" t="s">
        <v>228</v>
      </c>
      <c r="AD92" s="566"/>
      <c r="AE92" s="551"/>
      <c r="AF92" s="237"/>
    </row>
    <row r="93" spans="1:32" ht="13.5" customHeight="1">
      <c r="A93" s="235">
        <v>91</v>
      </c>
      <c r="B93" s="237"/>
      <c r="C93" s="256" t="s">
        <v>759</v>
      </c>
      <c r="D93" s="237" t="s">
        <v>760</v>
      </c>
      <c r="E93" s="237">
        <v>55</v>
      </c>
      <c r="F93" s="237" t="s">
        <v>60</v>
      </c>
      <c r="G93" s="237" t="s">
        <v>761</v>
      </c>
      <c r="H93" s="243" t="s">
        <v>188</v>
      </c>
      <c r="I93" s="243"/>
      <c r="K93" s="240"/>
      <c r="L93" s="243" t="s">
        <v>231</v>
      </c>
      <c r="M93" s="243" t="s">
        <v>231</v>
      </c>
      <c r="N93" s="237"/>
      <c r="O93" s="237"/>
      <c r="P93" s="237"/>
      <c r="Q93" s="245">
        <v>45726</v>
      </c>
      <c r="R93" s="237" t="s">
        <v>309</v>
      </c>
      <c r="S93" s="331" t="s">
        <v>233</v>
      </c>
      <c r="T93" s="237" t="s">
        <v>228</v>
      </c>
      <c r="U93" s="237" t="s">
        <v>234</v>
      </c>
      <c r="V93" s="237" t="s">
        <v>652</v>
      </c>
      <c r="W93" s="245">
        <v>45947</v>
      </c>
      <c r="X93" s="237" t="s">
        <v>762</v>
      </c>
      <c r="Y93" s="237" t="s">
        <v>237</v>
      </c>
      <c r="Z93" s="237" t="s">
        <v>228</v>
      </c>
      <c r="AA93" s="237" t="s">
        <v>763</v>
      </c>
      <c r="AB93" s="337" t="s">
        <v>228</v>
      </c>
      <c r="AC93" s="237" t="s">
        <v>228</v>
      </c>
      <c r="AD93" s="566"/>
      <c r="AE93" s="551"/>
      <c r="AF93" s="237"/>
    </row>
    <row r="94" spans="1:32" ht="13.5" customHeight="1">
      <c r="A94" s="235">
        <v>92</v>
      </c>
      <c r="B94" s="237"/>
      <c r="C94" s="256" t="s">
        <v>764</v>
      </c>
      <c r="D94" s="237" t="s">
        <v>765</v>
      </c>
      <c r="E94" s="237">
        <v>24</v>
      </c>
      <c r="F94" s="237" t="s">
        <v>60</v>
      </c>
      <c r="G94" s="237" t="s">
        <v>766</v>
      </c>
      <c r="H94" s="243" t="s">
        <v>188</v>
      </c>
      <c r="I94" s="243"/>
      <c r="K94" s="240"/>
      <c r="L94" s="243" t="s">
        <v>231</v>
      </c>
      <c r="M94" s="243" t="s">
        <v>231</v>
      </c>
      <c r="N94" s="237"/>
      <c r="O94" s="237"/>
      <c r="P94" s="237"/>
      <c r="Q94" s="245">
        <v>45758</v>
      </c>
      <c r="R94" s="237" t="s">
        <v>309</v>
      </c>
      <c r="S94" s="331" t="s">
        <v>233</v>
      </c>
      <c r="T94" s="237" t="s">
        <v>228</v>
      </c>
      <c r="U94" s="237" t="s">
        <v>234</v>
      </c>
      <c r="V94" s="237" t="s">
        <v>652</v>
      </c>
      <c r="W94" s="245">
        <v>45947</v>
      </c>
      <c r="X94" s="237" t="s">
        <v>767</v>
      </c>
      <c r="Y94" s="237" t="s">
        <v>237</v>
      </c>
      <c r="Z94" s="237" t="s">
        <v>228</v>
      </c>
      <c r="AA94" s="237" t="s">
        <v>768</v>
      </c>
      <c r="AB94" s="337" t="s">
        <v>228</v>
      </c>
      <c r="AC94" s="237" t="s">
        <v>228</v>
      </c>
      <c r="AD94" s="566"/>
      <c r="AE94" s="551"/>
      <c r="AF94" s="237"/>
    </row>
    <row r="95" spans="1:32" ht="13.5" customHeight="1">
      <c r="A95" s="235">
        <v>93</v>
      </c>
      <c r="B95" s="237"/>
      <c r="C95" s="256" t="s">
        <v>769</v>
      </c>
      <c r="D95" s="237" t="s">
        <v>770</v>
      </c>
      <c r="E95" s="237">
        <v>33</v>
      </c>
      <c r="F95" s="237" t="s">
        <v>60</v>
      </c>
      <c r="G95" s="237" t="s">
        <v>771</v>
      </c>
      <c r="H95" s="243" t="s">
        <v>188</v>
      </c>
      <c r="I95" s="243"/>
      <c r="K95" s="240"/>
      <c r="L95" s="243" t="s">
        <v>231</v>
      </c>
      <c r="M95" s="243" t="s">
        <v>231</v>
      </c>
      <c r="N95" s="237"/>
      <c r="O95" s="237"/>
      <c r="P95" s="237"/>
      <c r="Q95" s="245">
        <v>45694</v>
      </c>
      <c r="R95" s="237" t="s">
        <v>309</v>
      </c>
      <c r="S95" s="331" t="s">
        <v>233</v>
      </c>
      <c r="T95" s="237" t="s">
        <v>228</v>
      </c>
      <c r="U95" s="237" t="s">
        <v>234</v>
      </c>
      <c r="V95" s="237" t="s">
        <v>652</v>
      </c>
      <c r="W95" s="245">
        <v>45947</v>
      </c>
      <c r="X95" s="237" t="s">
        <v>772</v>
      </c>
      <c r="Y95" s="237" t="s">
        <v>237</v>
      </c>
      <c r="Z95" s="237" t="s">
        <v>237</v>
      </c>
      <c r="AA95" s="237" t="s">
        <v>773</v>
      </c>
      <c r="AB95" s="337" t="s">
        <v>228</v>
      </c>
      <c r="AC95" s="237" t="s">
        <v>228</v>
      </c>
      <c r="AD95" s="566"/>
      <c r="AE95" s="551"/>
      <c r="AF95" s="237"/>
    </row>
    <row r="96" spans="1:32" ht="13.5" customHeight="1">
      <c r="A96" s="235">
        <v>94</v>
      </c>
      <c r="B96" s="237"/>
      <c r="C96" s="256" t="s">
        <v>774</v>
      </c>
      <c r="D96" s="237" t="s">
        <v>775</v>
      </c>
      <c r="E96" s="237">
        <v>23</v>
      </c>
      <c r="F96" s="237" t="s">
        <v>75</v>
      </c>
      <c r="G96" s="237" t="s">
        <v>776</v>
      </c>
      <c r="H96" s="243" t="s">
        <v>188</v>
      </c>
      <c r="I96" s="243"/>
      <c r="K96" s="240"/>
      <c r="L96" s="243" t="s">
        <v>231</v>
      </c>
      <c r="M96" s="243" t="s">
        <v>231</v>
      </c>
      <c r="N96" s="237"/>
      <c r="O96" s="237"/>
      <c r="P96" s="237"/>
      <c r="Q96" s="245">
        <v>45777</v>
      </c>
      <c r="R96" s="237" t="s">
        <v>309</v>
      </c>
      <c r="S96" s="331" t="s">
        <v>233</v>
      </c>
      <c r="T96" s="237" t="s">
        <v>228</v>
      </c>
      <c r="U96" s="237" t="s">
        <v>234</v>
      </c>
      <c r="V96" s="237" t="s">
        <v>652</v>
      </c>
      <c r="W96" s="245">
        <v>45947</v>
      </c>
      <c r="X96" s="237" t="s">
        <v>777</v>
      </c>
      <c r="Y96" s="237" t="s">
        <v>588</v>
      </c>
      <c r="Z96" s="237" t="s">
        <v>228</v>
      </c>
      <c r="AA96" s="237" t="s">
        <v>778</v>
      </c>
      <c r="AB96" s="337" t="s">
        <v>228</v>
      </c>
      <c r="AC96" s="237" t="s">
        <v>228</v>
      </c>
      <c r="AD96" s="566"/>
      <c r="AE96" s="551"/>
      <c r="AF96" s="237"/>
    </row>
    <row r="97" spans="1:32" ht="13.5" customHeight="1">
      <c r="A97" s="235">
        <v>95</v>
      </c>
      <c r="B97" s="237"/>
      <c r="C97" s="256" t="s">
        <v>779</v>
      </c>
      <c r="D97" s="237" t="s">
        <v>780</v>
      </c>
      <c r="E97" s="237">
        <v>36</v>
      </c>
      <c r="F97" s="237" t="s">
        <v>75</v>
      </c>
      <c r="G97" s="237" t="s">
        <v>781</v>
      </c>
      <c r="H97" s="243" t="s">
        <v>188</v>
      </c>
      <c r="I97" s="243"/>
      <c r="K97" s="240"/>
      <c r="L97" s="237"/>
      <c r="M97" s="243" t="s">
        <v>32</v>
      </c>
      <c r="N97" s="237"/>
      <c r="O97" s="237"/>
      <c r="P97" s="237"/>
      <c r="Q97" s="245">
        <v>45775</v>
      </c>
      <c r="R97" s="237" t="s">
        <v>309</v>
      </c>
      <c r="S97" s="331" t="s">
        <v>233</v>
      </c>
      <c r="T97" s="237" t="s">
        <v>228</v>
      </c>
      <c r="U97" s="237" t="s">
        <v>234</v>
      </c>
      <c r="V97" s="237" t="s">
        <v>652</v>
      </c>
      <c r="W97" s="245">
        <v>45947</v>
      </c>
      <c r="X97" s="237" t="s">
        <v>782</v>
      </c>
      <c r="Y97" s="237" t="s">
        <v>588</v>
      </c>
      <c r="Z97" s="237" t="s">
        <v>228</v>
      </c>
      <c r="AA97" s="237" t="s">
        <v>783</v>
      </c>
      <c r="AB97" s="337" t="s">
        <v>228</v>
      </c>
      <c r="AC97" s="237" t="s">
        <v>228</v>
      </c>
      <c r="AD97" s="566"/>
      <c r="AE97" s="551"/>
      <c r="AF97" s="237"/>
    </row>
    <row r="98" spans="1:32" ht="13.5" customHeight="1">
      <c r="A98" s="235">
        <v>96</v>
      </c>
      <c r="B98" s="237"/>
      <c r="C98" s="256" t="s">
        <v>784</v>
      </c>
      <c r="D98" s="237" t="s">
        <v>785</v>
      </c>
      <c r="E98" s="237">
        <v>25</v>
      </c>
      <c r="F98" s="237" t="s">
        <v>60</v>
      </c>
      <c r="G98" s="237" t="s">
        <v>786</v>
      </c>
      <c r="H98" s="243" t="s">
        <v>188</v>
      </c>
      <c r="I98" s="243"/>
      <c r="K98" s="240"/>
      <c r="L98" s="243" t="s">
        <v>231</v>
      </c>
      <c r="M98" s="243" t="s">
        <v>231</v>
      </c>
      <c r="N98" s="237"/>
      <c r="O98" s="237"/>
      <c r="P98" s="237"/>
      <c r="Q98" s="245">
        <v>45743</v>
      </c>
      <c r="R98" s="237" t="s">
        <v>309</v>
      </c>
      <c r="S98" s="331" t="s">
        <v>233</v>
      </c>
      <c r="T98" s="237" t="s">
        <v>228</v>
      </c>
      <c r="U98" s="237" t="s">
        <v>234</v>
      </c>
      <c r="V98" s="237" t="s">
        <v>652</v>
      </c>
      <c r="W98" s="245">
        <v>45947</v>
      </c>
      <c r="X98" s="237" t="s">
        <v>787</v>
      </c>
      <c r="Y98" s="237" t="s">
        <v>237</v>
      </c>
      <c r="Z98" s="237" t="s">
        <v>228</v>
      </c>
      <c r="AA98" s="237" t="s">
        <v>788</v>
      </c>
      <c r="AB98" s="337" t="s">
        <v>228</v>
      </c>
      <c r="AC98" s="237" t="s">
        <v>228</v>
      </c>
      <c r="AD98" s="566"/>
      <c r="AE98" s="551"/>
      <c r="AF98" s="237"/>
    </row>
    <row r="99" spans="1:32" ht="15" customHeight="1">
      <c r="A99" s="235">
        <v>97</v>
      </c>
      <c r="B99" s="237"/>
      <c r="C99" s="256" t="s">
        <v>789</v>
      </c>
      <c r="D99" s="237" t="s">
        <v>790</v>
      </c>
      <c r="E99" s="237">
        <v>57</v>
      </c>
      <c r="F99" s="237" t="s">
        <v>75</v>
      </c>
      <c r="G99" s="237" t="s">
        <v>791</v>
      </c>
      <c r="H99" s="243" t="s">
        <v>188</v>
      </c>
      <c r="I99" s="243"/>
      <c r="K99" s="240"/>
      <c r="L99" s="243" t="s">
        <v>231</v>
      </c>
      <c r="M99" s="243" t="s">
        <v>231</v>
      </c>
      <c r="N99" s="237"/>
      <c r="O99" s="237"/>
      <c r="P99" s="237"/>
      <c r="Q99" s="245">
        <v>45756</v>
      </c>
      <c r="R99" s="237" t="s">
        <v>309</v>
      </c>
      <c r="S99" s="331" t="s">
        <v>233</v>
      </c>
      <c r="T99" s="237" t="s">
        <v>228</v>
      </c>
      <c r="U99" s="237" t="s">
        <v>234</v>
      </c>
      <c r="V99" s="237" t="s">
        <v>652</v>
      </c>
      <c r="W99" s="245">
        <v>45947</v>
      </c>
      <c r="X99" s="237" t="s">
        <v>792</v>
      </c>
      <c r="Y99" s="237" t="s">
        <v>237</v>
      </c>
      <c r="Z99" s="237" t="s">
        <v>228</v>
      </c>
      <c r="AA99" s="237" t="s">
        <v>793</v>
      </c>
      <c r="AB99" s="337" t="s">
        <v>228</v>
      </c>
      <c r="AC99" s="237" t="s">
        <v>228</v>
      </c>
      <c r="AD99" s="566"/>
      <c r="AE99" s="551"/>
      <c r="AF99" s="237"/>
    </row>
    <row r="100" spans="1:32" ht="13.5" customHeight="1">
      <c r="A100" s="235">
        <v>98</v>
      </c>
      <c r="B100" s="237"/>
      <c r="C100" s="256" t="s">
        <v>794</v>
      </c>
      <c r="D100" s="237" t="s">
        <v>795</v>
      </c>
      <c r="E100" s="237">
        <v>78</v>
      </c>
      <c r="F100" s="237" t="s">
        <v>424</v>
      </c>
      <c r="G100" s="237" t="s">
        <v>796</v>
      </c>
      <c r="H100" s="243" t="s">
        <v>27</v>
      </c>
      <c r="I100" s="240" t="s">
        <v>39</v>
      </c>
      <c r="J100" s="235" t="s">
        <v>433</v>
      </c>
      <c r="K100" s="243" t="s">
        <v>32</v>
      </c>
      <c r="L100" s="243"/>
      <c r="M100" s="246" t="s">
        <v>228</v>
      </c>
      <c r="N100" s="237"/>
      <c r="O100" s="237"/>
      <c r="P100" s="237"/>
      <c r="Q100" s="245">
        <v>45666</v>
      </c>
      <c r="R100" s="237" t="s">
        <v>309</v>
      </c>
      <c r="S100" s="331" t="s">
        <v>233</v>
      </c>
      <c r="T100" s="237">
        <v>8</v>
      </c>
      <c r="U100" s="237" t="s">
        <v>234</v>
      </c>
      <c r="V100" s="237" t="s">
        <v>797</v>
      </c>
      <c r="W100" s="245">
        <v>45685</v>
      </c>
      <c r="X100" s="237" t="s">
        <v>798</v>
      </c>
      <c r="Y100" s="237" t="s">
        <v>588</v>
      </c>
      <c r="Z100" s="237" t="s">
        <v>228</v>
      </c>
      <c r="AA100" s="237" t="s">
        <v>799</v>
      </c>
      <c r="AB100" s="337" t="s">
        <v>228</v>
      </c>
      <c r="AC100" s="237" t="s">
        <v>228</v>
      </c>
      <c r="AD100" s="566"/>
      <c r="AE100" s="551"/>
      <c r="AF100" s="237"/>
    </row>
    <row r="101" spans="1:32" ht="13.5" customHeight="1">
      <c r="A101" s="235">
        <v>99</v>
      </c>
      <c r="B101" s="237"/>
      <c r="C101" s="256" t="s">
        <v>800</v>
      </c>
      <c r="D101" s="237" t="s">
        <v>801</v>
      </c>
      <c r="E101" s="237">
        <v>32</v>
      </c>
      <c r="F101" s="237" t="s">
        <v>60</v>
      </c>
      <c r="G101" s="237" t="s">
        <v>802</v>
      </c>
      <c r="H101" s="243" t="s">
        <v>188</v>
      </c>
      <c r="I101" s="243"/>
      <c r="K101" s="240"/>
      <c r="L101" s="243" t="s">
        <v>231</v>
      </c>
      <c r="M101" s="243" t="s">
        <v>231</v>
      </c>
      <c r="N101" s="237"/>
      <c r="O101" s="237"/>
      <c r="P101" s="237"/>
      <c r="Q101" s="245">
        <v>45758</v>
      </c>
      <c r="R101" s="237" t="s">
        <v>309</v>
      </c>
      <c r="S101" s="331" t="s">
        <v>233</v>
      </c>
      <c r="T101" s="237" t="s">
        <v>228</v>
      </c>
      <c r="U101" s="237" t="s">
        <v>234</v>
      </c>
      <c r="V101" s="237" t="s">
        <v>652</v>
      </c>
      <c r="W101" s="245">
        <v>45947</v>
      </c>
      <c r="X101" s="237" t="s">
        <v>803</v>
      </c>
      <c r="Y101" s="237" t="s">
        <v>237</v>
      </c>
      <c r="Z101" s="237" t="s">
        <v>237</v>
      </c>
      <c r="AA101" s="237" t="s">
        <v>804</v>
      </c>
      <c r="AB101" s="337" t="s">
        <v>228</v>
      </c>
      <c r="AC101" s="237" t="s">
        <v>228</v>
      </c>
      <c r="AD101" s="566"/>
      <c r="AE101" s="551"/>
      <c r="AF101" s="237"/>
    </row>
    <row r="102" spans="1:32" ht="13.5" customHeight="1">
      <c r="A102" s="235">
        <v>100</v>
      </c>
      <c r="B102" s="237"/>
      <c r="C102" s="256" t="s">
        <v>805</v>
      </c>
      <c r="D102" s="237" t="s">
        <v>806</v>
      </c>
      <c r="E102" s="237">
        <v>45</v>
      </c>
      <c r="F102" s="237" t="s">
        <v>75</v>
      </c>
      <c r="G102" s="237" t="s">
        <v>807</v>
      </c>
      <c r="H102" s="243" t="s">
        <v>188</v>
      </c>
      <c r="I102" s="243"/>
      <c r="K102" s="240"/>
      <c r="L102" s="243" t="s">
        <v>231</v>
      </c>
      <c r="M102" s="243" t="s">
        <v>231</v>
      </c>
      <c r="N102" s="237"/>
      <c r="O102" s="237"/>
      <c r="P102" s="237"/>
      <c r="Q102" s="245">
        <v>45755</v>
      </c>
      <c r="R102" s="237" t="s">
        <v>309</v>
      </c>
      <c r="S102" s="331" t="s">
        <v>233</v>
      </c>
      <c r="T102" s="237" t="s">
        <v>228</v>
      </c>
      <c r="U102" s="237" t="s">
        <v>234</v>
      </c>
      <c r="V102" s="237" t="s">
        <v>652</v>
      </c>
      <c r="W102" s="245">
        <v>45947</v>
      </c>
      <c r="X102" s="237" t="s">
        <v>808</v>
      </c>
      <c r="Y102" s="237" t="s">
        <v>237</v>
      </c>
      <c r="Z102" s="237" t="s">
        <v>228</v>
      </c>
      <c r="AA102" s="237" t="s">
        <v>809</v>
      </c>
      <c r="AB102" s="337" t="s">
        <v>228</v>
      </c>
      <c r="AC102" s="237" t="s">
        <v>228</v>
      </c>
      <c r="AD102" s="566"/>
      <c r="AE102" s="551"/>
      <c r="AF102" s="237"/>
    </row>
    <row r="103" spans="1:32" ht="13.5" customHeight="1">
      <c r="A103" s="235">
        <v>101</v>
      </c>
      <c r="B103" s="237">
        <v>1</v>
      </c>
      <c r="C103" s="255" t="s">
        <v>810</v>
      </c>
      <c r="D103" s="237" t="s">
        <v>811</v>
      </c>
      <c r="E103" s="237">
        <v>53</v>
      </c>
      <c r="F103" s="237" t="s">
        <v>60</v>
      </c>
      <c r="G103" s="237" t="s">
        <v>812</v>
      </c>
      <c r="H103" s="243" t="s">
        <v>188</v>
      </c>
      <c r="I103" s="243"/>
      <c r="K103" s="240"/>
      <c r="L103" s="243" t="s">
        <v>231</v>
      </c>
      <c r="M103" s="246" t="s">
        <v>228</v>
      </c>
      <c r="N103" s="237" t="s">
        <v>228</v>
      </c>
      <c r="O103" s="237" t="s">
        <v>228</v>
      </c>
      <c r="P103" s="237" t="s">
        <v>231</v>
      </c>
      <c r="Q103" s="245">
        <v>44699</v>
      </c>
      <c r="R103" s="237" t="s">
        <v>232</v>
      </c>
      <c r="S103" s="331" t="s">
        <v>233</v>
      </c>
      <c r="T103" s="237" t="s">
        <v>228</v>
      </c>
      <c r="U103" s="237" t="s">
        <v>234</v>
      </c>
      <c r="V103" s="237" t="s">
        <v>235</v>
      </c>
      <c r="W103" s="245" t="s">
        <v>228</v>
      </c>
      <c r="X103" s="237" t="s">
        <v>813</v>
      </c>
      <c r="Y103" s="237" t="s">
        <v>237</v>
      </c>
      <c r="Z103" s="237" t="s">
        <v>237</v>
      </c>
      <c r="AA103" s="237" t="s">
        <v>814</v>
      </c>
      <c r="AB103" s="337" t="s">
        <v>228</v>
      </c>
      <c r="AC103" s="237" t="s">
        <v>228</v>
      </c>
      <c r="AD103" s="562"/>
      <c r="AE103" s="555"/>
      <c r="AF103" s="237"/>
    </row>
    <row r="104" spans="1:32" ht="13.5" customHeight="1">
      <c r="A104" s="235">
        <v>102</v>
      </c>
      <c r="B104" s="237">
        <v>162</v>
      </c>
      <c r="C104" s="256" t="s">
        <v>815</v>
      </c>
      <c r="D104" s="237" t="s">
        <v>816</v>
      </c>
      <c r="E104" s="237">
        <v>50</v>
      </c>
      <c r="F104" s="237" t="s">
        <v>75</v>
      </c>
      <c r="G104" s="237" t="s">
        <v>817</v>
      </c>
      <c r="H104" s="243" t="s">
        <v>188</v>
      </c>
      <c r="I104" s="243"/>
      <c r="K104" s="240"/>
      <c r="L104" s="243" t="s">
        <v>231</v>
      </c>
      <c r="M104" s="246" t="s">
        <v>228</v>
      </c>
      <c r="N104" s="237" t="s">
        <v>228</v>
      </c>
      <c r="O104" s="237" t="s">
        <v>228</v>
      </c>
      <c r="P104" s="237" t="s">
        <v>231</v>
      </c>
      <c r="Q104" s="245">
        <v>45161</v>
      </c>
      <c r="R104" s="237" t="s">
        <v>309</v>
      </c>
      <c r="S104" s="331" t="s">
        <v>233</v>
      </c>
      <c r="T104" s="237">
        <v>8.6999999999999993</v>
      </c>
      <c r="U104" s="237" t="s">
        <v>234</v>
      </c>
      <c r="V104" s="237" t="s">
        <v>235</v>
      </c>
      <c r="W104" s="245">
        <v>45183</v>
      </c>
      <c r="X104" s="237" t="s">
        <v>818</v>
      </c>
      <c r="Y104" s="237" t="s">
        <v>237</v>
      </c>
      <c r="Z104" s="237" t="s">
        <v>237</v>
      </c>
      <c r="AA104" s="237" t="s">
        <v>819</v>
      </c>
      <c r="AB104" s="337" t="s">
        <v>237</v>
      </c>
      <c r="AC104" s="237" t="s">
        <v>228</v>
      </c>
      <c r="AD104" s="566"/>
      <c r="AE104" s="551"/>
      <c r="AF104" s="237"/>
    </row>
    <row r="105" spans="1:32" ht="13.5" customHeight="1">
      <c r="A105" s="235">
        <v>103</v>
      </c>
      <c r="B105" s="237">
        <v>198</v>
      </c>
      <c r="C105" s="256" t="s">
        <v>820</v>
      </c>
      <c r="D105" s="237" t="s">
        <v>821</v>
      </c>
      <c r="E105" s="237">
        <v>40</v>
      </c>
      <c r="F105" s="237" t="s">
        <v>60</v>
      </c>
      <c r="G105" s="237" t="s">
        <v>822</v>
      </c>
      <c r="H105" s="243" t="s">
        <v>15</v>
      </c>
      <c r="I105" s="240" t="s">
        <v>823</v>
      </c>
      <c r="K105" s="240" t="s">
        <v>824</v>
      </c>
      <c r="L105" s="243" t="s">
        <v>358</v>
      </c>
      <c r="M105" s="243" t="s">
        <v>825</v>
      </c>
      <c r="N105" s="237" t="s">
        <v>826</v>
      </c>
      <c r="O105" s="237" t="s">
        <v>228</v>
      </c>
      <c r="P105" s="237"/>
      <c r="Q105" s="245">
        <v>45415</v>
      </c>
      <c r="R105" s="237" t="s">
        <v>309</v>
      </c>
      <c r="S105" s="331" t="s">
        <v>233</v>
      </c>
      <c r="T105" s="237" t="s">
        <v>827</v>
      </c>
      <c r="U105" s="237" t="s">
        <v>298</v>
      </c>
      <c r="V105" s="237" t="s">
        <v>235</v>
      </c>
      <c r="W105" s="245">
        <v>45456</v>
      </c>
      <c r="X105" s="237" t="s">
        <v>828</v>
      </c>
      <c r="Y105" s="237" t="s">
        <v>237</v>
      </c>
      <c r="Z105" s="237" t="s">
        <v>237</v>
      </c>
      <c r="AA105" s="237" t="s">
        <v>829</v>
      </c>
      <c r="AB105" s="337" t="s">
        <v>228</v>
      </c>
      <c r="AC105" s="237" t="s">
        <v>228</v>
      </c>
      <c r="AD105" s="566"/>
      <c r="AE105" s="551"/>
      <c r="AF105" s="237"/>
    </row>
    <row r="106" spans="1:32" ht="13.5" customHeight="1">
      <c r="A106" s="235">
        <v>104</v>
      </c>
      <c r="B106" s="237">
        <v>237</v>
      </c>
      <c r="C106" s="256" t="s">
        <v>830</v>
      </c>
      <c r="D106" s="237" t="s">
        <v>831</v>
      </c>
      <c r="E106" s="237">
        <v>42</v>
      </c>
      <c r="F106" s="237" t="s">
        <v>75</v>
      </c>
      <c r="G106" s="237" t="s">
        <v>832</v>
      </c>
      <c r="H106" s="243" t="s">
        <v>188</v>
      </c>
      <c r="I106" s="243"/>
      <c r="K106" s="240"/>
      <c r="L106" s="243" t="s">
        <v>231</v>
      </c>
      <c r="M106" s="246" t="s">
        <v>228</v>
      </c>
      <c r="N106" s="237"/>
      <c r="O106" s="237"/>
      <c r="P106" s="237"/>
      <c r="Q106" s="245">
        <v>45582</v>
      </c>
      <c r="R106" s="237" t="s">
        <v>309</v>
      </c>
      <c r="S106" s="331" t="s">
        <v>233</v>
      </c>
      <c r="T106" s="237">
        <v>9</v>
      </c>
      <c r="U106" s="237" t="s">
        <v>298</v>
      </c>
      <c r="V106" s="237" t="s">
        <v>235</v>
      </c>
      <c r="W106" s="245">
        <v>45624</v>
      </c>
      <c r="X106" s="237" t="s">
        <v>833</v>
      </c>
      <c r="Y106" s="237" t="s">
        <v>237</v>
      </c>
      <c r="Z106" s="237" t="s">
        <v>237</v>
      </c>
      <c r="AA106" s="237" t="s">
        <v>834</v>
      </c>
      <c r="AB106" s="337" t="s">
        <v>237</v>
      </c>
      <c r="AC106" s="55" t="s">
        <v>353</v>
      </c>
      <c r="AD106" s="563">
        <v>45457</v>
      </c>
      <c r="AE106" s="551"/>
      <c r="AF106" s="237"/>
    </row>
    <row r="107" spans="1:32" ht="13.5" customHeight="1">
      <c r="A107" s="235">
        <v>105</v>
      </c>
      <c r="B107" s="237">
        <v>294</v>
      </c>
      <c r="C107" s="256" t="s">
        <v>835</v>
      </c>
      <c r="D107" s="237" t="s">
        <v>836</v>
      </c>
      <c r="E107" s="237">
        <v>33</v>
      </c>
      <c r="F107" s="237" t="s">
        <v>75</v>
      </c>
      <c r="G107" s="237" t="s">
        <v>837</v>
      </c>
      <c r="H107" s="243" t="s">
        <v>188</v>
      </c>
      <c r="I107" s="243"/>
      <c r="K107" s="240"/>
      <c r="L107" s="243" t="s">
        <v>231</v>
      </c>
      <c r="M107" s="246" t="s">
        <v>228</v>
      </c>
      <c r="N107" s="237"/>
      <c r="O107" s="237"/>
      <c r="P107" s="237"/>
      <c r="Q107" s="245">
        <v>45617</v>
      </c>
      <c r="R107" s="237" t="s">
        <v>309</v>
      </c>
      <c r="S107" s="331" t="s">
        <v>233</v>
      </c>
      <c r="T107" s="237">
        <v>8.6</v>
      </c>
      <c r="U107" s="237" t="s">
        <v>234</v>
      </c>
      <c r="V107" s="237" t="s">
        <v>235</v>
      </c>
      <c r="W107" s="245">
        <v>45677</v>
      </c>
      <c r="X107" s="237" t="s">
        <v>838</v>
      </c>
      <c r="Y107" s="237" t="s">
        <v>237</v>
      </c>
      <c r="Z107" s="237" t="s">
        <v>237</v>
      </c>
      <c r="AA107" s="237" t="s">
        <v>839</v>
      </c>
      <c r="AB107" s="337" t="s">
        <v>237</v>
      </c>
      <c r="AC107" s="237" t="s">
        <v>228</v>
      </c>
      <c r="AD107" s="566"/>
      <c r="AE107" s="551"/>
      <c r="AF107" s="237"/>
    </row>
    <row r="108" spans="1:32" ht="13.5" customHeight="1">
      <c r="A108" s="235">
        <v>106</v>
      </c>
      <c r="B108" s="237">
        <v>398</v>
      </c>
      <c r="C108" s="256" t="s">
        <v>840</v>
      </c>
      <c r="D108" s="237" t="s">
        <v>841</v>
      </c>
      <c r="E108" s="237">
        <v>24</v>
      </c>
      <c r="F108" s="237" t="s">
        <v>75</v>
      </c>
      <c r="G108" s="237" t="s">
        <v>842</v>
      </c>
      <c r="H108" s="243" t="s">
        <v>188</v>
      </c>
      <c r="I108" s="240" t="s">
        <v>39</v>
      </c>
      <c r="K108" s="240"/>
      <c r="L108" s="243" t="s">
        <v>231</v>
      </c>
      <c r="M108" s="243" t="s">
        <v>843</v>
      </c>
      <c r="N108" s="237"/>
      <c r="O108" s="237"/>
      <c r="P108" s="237"/>
      <c r="Q108" s="245">
        <v>45643</v>
      </c>
      <c r="R108" s="237" t="s">
        <v>309</v>
      </c>
      <c r="S108" s="331" t="s">
        <v>233</v>
      </c>
      <c r="T108" s="237">
        <v>8.4</v>
      </c>
      <c r="U108" s="237" t="s">
        <v>298</v>
      </c>
      <c r="V108" s="237" t="s">
        <v>797</v>
      </c>
      <c r="W108" s="245">
        <v>45685</v>
      </c>
      <c r="X108" s="237" t="s">
        <v>844</v>
      </c>
      <c r="Y108" s="237" t="s">
        <v>237</v>
      </c>
      <c r="Z108" s="237" t="s">
        <v>237</v>
      </c>
      <c r="AA108" s="237" t="s">
        <v>845</v>
      </c>
      <c r="AB108" s="337" t="s">
        <v>237</v>
      </c>
      <c r="AC108" s="55" t="s">
        <v>353</v>
      </c>
      <c r="AD108" s="563">
        <v>45841</v>
      </c>
      <c r="AE108" s="551"/>
      <c r="AF108" s="237"/>
    </row>
    <row r="109" spans="1:32" ht="13.5" customHeight="1">
      <c r="A109" s="235">
        <v>107</v>
      </c>
      <c r="B109" s="237"/>
      <c r="C109" s="256" t="s">
        <v>846</v>
      </c>
      <c r="D109" s="237" t="s">
        <v>847</v>
      </c>
      <c r="E109" s="237">
        <v>41</v>
      </c>
      <c r="F109" s="237" t="s">
        <v>60</v>
      </c>
      <c r="G109" s="237" t="s">
        <v>848</v>
      </c>
      <c r="H109" s="243" t="s">
        <v>188</v>
      </c>
      <c r="I109" s="243"/>
      <c r="K109" s="240"/>
      <c r="L109" s="243" t="s">
        <v>231</v>
      </c>
      <c r="M109" s="246" t="s">
        <v>228</v>
      </c>
      <c r="N109" s="237"/>
      <c r="O109" s="237"/>
      <c r="P109" s="237"/>
      <c r="Q109" s="245">
        <v>45672</v>
      </c>
      <c r="R109" s="237" t="s">
        <v>309</v>
      </c>
      <c r="S109" s="331" t="s">
        <v>233</v>
      </c>
      <c r="T109" s="237" t="s">
        <v>228</v>
      </c>
      <c r="U109" s="237" t="s">
        <v>234</v>
      </c>
      <c r="V109" s="237" t="s">
        <v>652</v>
      </c>
      <c r="W109" s="245">
        <v>45734</v>
      </c>
      <c r="X109" s="237" t="s">
        <v>849</v>
      </c>
      <c r="Y109" s="237" t="s">
        <v>237</v>
      </c>
      <c r="Z109" s="237" t="s">
        <v>228</v>
      </c>
      <c r="AA109" s="237" t="s">
        <v>850</v>
      </c>
      <c r="AB109" s="337" t="s">
        <v>228</v>
      </c>
      <c r="AC109" s="237" t="s">
        <v>228</v>
      </c>
      <c r="AD109" s="566"/>
      <c r="AE109" s="551"/>
      <c r="AF109" s="237"/>
    </row>
    <row r="110" spans="1:32" ht="13.5" customHeight="1">
      <c r="A110" s="235">
        <v>108</v>
      </c>
      <c r="B110" s="237"/>
      <c r="C110" s="256" t="s">
        <v>851</v>
      </c>
      <c r="D110" s="237" t="s">
        <v>852</v>
      </c>
      <c r="E110" s="237">
        <v>25</v>
      </c>
      <c r="F110" s="237" t="s">
        <v>60</v>
      </c>
      <c r="G110" s="237" t="s">
        <v>853</v>
      </c>
      <c r="H110" s="243" t="s">
        <v>188</v>
      </c>
      <c r="I110" s="243"/>
      <c r="K110" s="240"/>
      <c r="L110" s="243" t="s">
        <v>231</v>
      </c>
      <c r="M110" s="243" t="s">
        <v>231</v>
      </c>
      <c r="N110" s="237"/>
      <c r="O110" s="237"/>
      <c r="P110" s="237"/>
      <c r="Q110" s="245">
        <v>45799</v>
      </c>
      <c r="R110" s="237" t="s">
        <v>309</v>
      </c>
      <c r="S110" s="331" t="s">
        <v>233</v>
      </c>
      <c r="T110" s="237" t="s">
        <v>228</v>
      </c>
      <c r="U110" s="237" t="s">
        <v>234</v>
      </c>
      <c r="V110" s="237" t="s">
        <v>473</v>
      </c>
      <c r="W110" s="245">
        <v>45918</v>
      </c>
      <c r="X110" s="237" t="s">
        <v>854</v>
      </c>
      <c r="Y110" s="237" t="s">
        <v>588</v>
      </c>
      <c r="Z110" s="237" t="s">
        <v>228</v>
      </c>
      <c r="AA110" s="237" t="s">
        <v>855</v>
      </c>
      <c r="AB110" s="337" t="s">
        <v>228</v>
      </c>
      <c r="AC110" s="237" t="s">
        <v>228</v>
      </c>
      <c r="AD110" s="566"/>
      <c r="AE110" s="551"/>
      <c r="AF110" s="237"/>
    </row>
    <row r="111" spans="1:32" ht="13.5" customHeight="1">
      <c r="A111" s="235">
        <v>109</v>
      </c>
      <c r="B111" s="237"/>
      <c r="C111" s="256" t="s">
        <v>856</v>
      </c>
      <c r="D111" s="237" t="s">
        <v>857</v>
      </c>
      <c r="E111" s="237">
        <v>63</v>
      </c>
      <c r="F111" s="237" t="s">
        <v>60</v>
      </c>
      <c r="G111" s="237" t="s">
        <v>858</v>
      </c>
      <c r="H111" s="243" t="s">
        <v>27</v>
      </c>
      <c r="I111" s="243"/>
      <c r="J111" s="235" t="s">
        <v>433</v>
      </c>
      <c r="K111" s="240"/>
      <c r="L111" s="243" t="s">
        <v>231</v>
      </c>
      <c r="M111" s="246" t="s">
        <v>228</v>
      </c>
      <c r="N111" s="237"/>
      <c r="O111" s="237"/>
      <c r="P111" s="237"/>
      <c r="Q111" s="245">
        <v>45819</v>
      </c>
      <c r="R111" s="237" t="s">
        <v>309</v>
      </c>
      <c r="S111" s="331" t="s">
        <v>233</v>
      </c>
      <c r="T111" s="237" t="s">
        <v>228</v>
      </c>
      <c r="U111" s="237" t="s">
        <v>234</v>
      </c>
      <c r="V111" s="237" t="s">
        <v>473</v>
      </c>
      <c r="W111" s="245">
        <v>45918</v>
      </c>
      <c r="X111" s="237" t="s">
        <v>859</v>
      </c>
      <c r="Y111" s="237" t="s">
        <v>588</v>
      </c>
      <c r="Z111" s="237" t="s">
        <v>228</v>
      </c>
      <c r="AA111" s="237" t="s">
        <v>860</v>
      </c>
      <c r="AB111" s="337" t="s">
        <v>228</v>
      </c>
      <c r="AC111" s="237" t="s">
        <v>228</v>
      </c>
      <c r="AD111" s="566"/>
      <c r="AE111" s="551"/>
      <c r="AF111" s="237"/>
    </row>
    <row r="112" spans="1:32" ht="13.5" customHeight="1">
      <c r="A112" s="235">
        <v>110</v>
      </c>
      <c r="B112" s="237"/>
      <c r="C112" s="256" t="s">
        <v>861</v>
      </c>
      <c r="D112" s="237" t="s">
        <v>862</v>
      </c>
      <c r="E112" s="237">
        <v>76</v>
      </c>
      <c r="F112" s="237" t="s">
        <v>60</v>
      </c>
      <c r="G112" s="237" t="s">
        <v>863</v>
      </c>
      <c r="H112" s="243" t="s">
        <v>188</v>
      </c>
      <c r="I112" s="243"/>
      <c r="K112" s="240"/>
      <c r="L112" s="243" t="s">
        <v>231</v>
      </c>
      <c r="M112" s="243" t="s">
        <v>231</v>
      </c>
      <c r="N112" s="237"/>
      <c r="O112" s="237"/>
      <c r="P112" s="237"/>
      <c r="Q112" s="245">
        <v>45835</v>
      </c>
      <c r="R112" s="237" t="s">
        <v>309</v>
      </c>
      <c r="S112" s="331" t="s">
        <v>233</v>
      </c>
      <c r="T112" s="237" t="s">
        <v>228</v>
      </c>
      <c r="U112" s="237" t="s">
        <v>234</v>
      </c>
      <c r="V112" s="237" t="s">
        <v>473</v>
      </c>
      <c r="W112" s="245">
        <v>45918</v>
      </c>
      <c r="X112" s="237" t="s">
        <v>864</v>
      </c>
      <c r="Y112" s="237" t="s">
        <v>588</v>
      </c>
      <c r="Z112" s="237" t="s">
        <v>228</v>
      </c>
      <c r="AA112" s="237" t="s">
        <v>865</v>
      </c>
      <c r="AB112" s="337" t="s">
        <v>228</v>
      </c>
      <c r="AC112" s="237" t="s">
        <v>228</v>
      </c>
      <c r="AD112" s="566"/>
      <c r="AE112" s="551"/>
      <c r="AF112" s="237"/>
    </row>
    <row r="113" spans="1:130" ht="13.5" customHeight="1">
      <c r="A113" s="235">
        <v>111</v>
      </c>
      <c r="B113" s="237">
        <v>28</v>
      </c>
      <c r="C113" s="255" t="s">
        <v>866</v>
      </c>
      <c r="D113" s="237" t="s">
        <v>867</v>
      </c>
      <c r="E113" s="237">
        <v>29</v>
      </c>
      <c r="F113" s="237" t="s">
        <v>60</v>
      </c>
      <c r="G113" s="237" t="s">
        <v>868</v>
      </c>
      <c r="H113" s="243" t="s">
        <v>4</v>
      </c>
      <c r="I113" s="243"/>
      <c r="K113" s="240" t="s">
        <v>869</v>
      </c>
      <c r="L113" s="243" t="s">
        <v>62</v>
      </c>
      <c r="M113" s="246" t="s">
        <v>228</v>
      </c>
      <c r="N113" s="237" t="s">
        <v>228</v>
      </c>
      <c r="O113" s="237" t="s">
        <v>228</v>
      </c>
      <c r="P113" s="237" t="s">
        <v>231</v>
      </c>
      <c r="Q113" s="245">
        <v>44778</v>
      </c>
      <c r="R113" s="237" t="s">
        <v>232</v>
      </c>
      <c r="S113" s="331" t="s">
        <v>233</v>
      </c>
      <c r="T113" s="237">
        <v>9.4</v>
      </c>
      <c r="U113" s="237" t="s">
        <v>234</v>
      </c>
      <c r="V113" s="237" t="s">
        <v>235</v>
      </c>
      <c r="W113" s="245" t="s">
        <v>228</v>
      </c>
      <c r="X113" s="237" t="s">
        <v>870</v>
      </c>
      <c r="Y113" s="237" t="s">
        <v>237</v>
      </c>
      <c r="Z113" s="237" t="s">
        <v>237</v>
      </c>
      <c r="AA113" s="237" t="s">
        <v>871</v>
      </c>
      <c r="AB113" s="337" t="s">
        <v>237</v>
      </c>
      <c r="AC113" s="237" t="s">
        <v>228</v>
      </c>
      <c r="AD113" s="562"/>
      <c r="AE113" s="555"/>
      <c r="AF113" s="237"/>
    </row>
    <row r="114" spans="1:130" ht="13.5" customHeight="1">
      <c r="A114" s="235">
        <v>112</v>
      </c>
      <c r="B114" s="8"/>
      <c r="C114" s="109" t="s">
        <v>872</v>
      </c>
      <c r="D114" s="110" t="s">
        <v>867</v>
      </c>
      <c r="E114" s="110">
        <v>32</v>
      </c>
      <c r="F114" s="110" t="s">
        <v>424</v>
      </c>
      <c r="G114" s="110" t="s">
        <v>868</v>
      </c>
      <c r="H114" s="109" t="s">
        <v>5</v>
      </c>
      <c r="I114" s="109"/>
      <c r="J114" s="9"/>
      <c r="K114" s="109" t="s">
        <v>62</v>
      </c>
      <c r="L114" s="109" t="s">
        <v>62</v>
      </c>
      <c r="M114" s="110"/>
      <c r="N114" s="110"/>
      <c r="O114" s="110"/>
      <c r="P114" s="237"/>
      <c r="Q114" s="245">
        <v>45708</v>
      </c>
      <c r="R114" s="237" t="s">
        <v>309</v>
      </c>
      <c r="S114" s="237" t="s">
        <v>233</v>
      </c>
      <c r="T114" s="246" t="s">
        <v>228</v>
      </c>
      <c r="U114" s="237" t="s">
        <v>234</v>
      </c>
      <c r="V114" s="237" t="s">
        <v>473</v>
      </c>
      <c r="W114" s="245">
        <v>45747</v>
      </c>
      <c r="X114" s="237" t="s">
        <v>873</v>
      </c>
      <c r="Y114" s="237" t="s">
        <v>237</v>
      </c>
      <c r="Z114" s="237" t="s">
        <v>237</v>
      </c>
      <c r="AA114" s="9"/>
      <c r="AB114" s="337" t="s">
        <v>237</v>
      </c>
      <c r="AC114" s="237" t="s">
        <v>874</v>
      </c>
      <c r="AD114" s="562"/>
      <c r="AE114" s="550"/>
      <c r="AF114" s="237"/>
    </row>
    <row r="115" spans="1:130" ht="13.5" customHeight="1">
      <c r="A115" s="235">
        <v>113</v>
      </c>
      <c r="B115" s="237">
        <v>3</v>
      </c>
      <c r="C115" s="255" t="s">
        <v>875</v>
      </c>
      <c r="D115" s="237" t="s">
        <v>876</v>
      </c>
      <c r="E115" s="237">
        <v>43</v>
      </c>
      <c r="F115" s="237" t="s">
        <v>60</v>
      </c>
      <c r="G115" s="237" t="s">
        <v>877</v>
      </c>
      <c r="H115" s="243" t="s">
        <v>4</v>
      </c>
      <c r="I115" s="243"/>
      <c r="K115" s="240" t="s">
        <v>878</v>
      </c>
      <c r="L115" s="243" t="s">
        <v>22</v>
      </c>
      <c r="M115" s="246" t="s">
        <v>228</v>
      </c>
      <c r="N115" s="237" t="s">
        <v>879</v>
      </c>
      <c r="O115" s="237" t="s">
        <v>880</v>
      </c>
      <c r="P115" s="237" t="s">
        <v>231</v>
      </c>
      <c r="Q115" s="245">
        <v>44791</v>
      </c>
      <c r="R115" s="237" t="s">
        <v>232</v>
      </c>
      <c r="S115" s="331" t="s">
        <v>233</v>
      </c>
      <c r="T115" s="237">
        <v>9</v>
      </c>
      <c r="U115" s="237" t="s">
        <v>234</v>
      </c>
      <c r="V115" s="237" t="s">
        <v>235</v>
      </c>
      <c r="W115" s="245" t="s">
        <v>228</v>
      </c>
      <c r="X115" s="237" t="s">
        <v>881</v>
      </c>
      <c r="Y115" s="237" t="s">
        <v>237</v>
      </c>
      <c r="Z115" s="237" t="s">
        <v>237</v>
      </c>
      <c r="AA115" s="237" t="s">
        <v>882</v>
      </c>
      <c r="AB115" s="337" t="s">
        <v>228</v>
      </c>
      <c r="AC115" s="237" t="s">
        <v>228</v>
      </c>
      <c r="AD115" s="562"/>
      <c r="AE115" s="555"/>
      <c r="AF115" s="237"/>
    </row>
    <row r="116" spans="1:130" ht="13.5" customHeight="1">
      <c r="A116" s="235">
        <v>114</v>
      </c>
      <c r="B116" s="237">
        <v>61</v>
      </c>
      <c r="C116" s="255" t="s">
        <v>883</v>
      </c>
      <c r="D116" s="237" t="s">
        <v>884</v>
      </c>
      <c r="E116" s="237">
        <v>55</v>
      </c>
      <c r="F116" s="237" t="s">
        <v>75</v>
      </c>
      <c r="G116" s="237" t="s">
        <v>885</v>
      </c>
      <c r="H116" s="243" t="s">
        <v>3</v>
      </c>
      <c r="I116" s="243"/>
      <c r="J116" s="240" t="s">
        <v>886</v>
      </c>
      <c r="K116" s="240" t="s">
        <v>887</v>
      </c>
      <c r="L116" s="243" t="s">
        <v>45</v>
      </c>
      <c r="M116" s="246" t="s">
        <v>228</v>
      </c>
      <c r="N116" s="237" t="s">
        <v>888</v>
      </c>
      <c r="O116" s="237" t="s">
        <v>889</v>
      </c>
      <c r="P116" s="237" t="s">
        <v>231</v>
      </c>
      <c r="Q116" s="245">
        <v>44911</v>
      </c>
      <c r="R116" s="237" t="s">
        <v>309</v>
      </c>
      <c r="S116" s="331" t="s">
        <v>233</v>
      </c>
      <c r="T116" s="237">
        <v>8.4</v>
      </c>
      <c r="U116" s="237" t="s">
        <v>234</v>
      </c>
      <c r="V116" s="237" t="s">
        <v>235</v>
      </c>
      <c r="W116" s="245" t="s">
        <v>228</v>
      </c>
      <c r="X116" s="237" t="s">
        <v>890</v>
      </c>
      <c r="Y116" s="237" t="s">
        <v>237</v>
      </c>
      <c r="Z116" s="237" t="s">
        <v>237</v>
      </c>
      <c r="AA116" s="237" t="s">
        <v>891</v>
      </c>
      <c r="AB116" s="337" t="s">
        <v>228</v>
      </c>
      <c r="AC116" s="237" t="s">
        <v>228</v>
      </c>
      <c r="AD116" s="562"/>
      <c r="AE116" s="555"/>
      <c r="AF116" s="237"/>
    </row>
    <row r="117" spans="1:130" ht="13.5" customHeight="1">
      <c r="A117" s="235">
        <v>115</v>
      </c>
      <c r="B117" s="237">
        <v>67</v>
      </c>
      <c r="C117" s="255" t="s">
        <v>892</v>
      </c>
      <c r="D117" s="237" t="s">
        <v>893</v>
      </c>
      <c r="E117" s="237">
        <v>41</v>
      </c>
      <c r="F117" s="237" t="s">
        <v>75</v>
      </c>
      <c r="G117" s="237" t="s">
        <v>894</v>
      </c>
      <c r="H117" s="243" t="s">
        <v>3</v>
      </c>
      <c r="I117" s="243"/>
      <c r="J117" s="240" t="s">
        <v>886</v>
      </c>
      <c r="K117" s="240" t="s">
        <v>895</v>
      </c>
      <c r="L117" s="243" t="s">
        <v>45</v>
      </c>
      <c r="M117" s="246" t="s">
        <v>228</v>
      </c>
      <c r="N117" s="237" t="s">
        <v>896</v>
      </c>
      <c r="O117" s="237" t="s">
        <v>897</v>
      </c>
      <c r="P117" s="237" t="s">
        <v>231</v>
      </c>
      <c r="Q117" s="245">
        <v>44921</v>
      </c>
      <c r="R117" s="237" t="s">
        <v>232</v>
      </c>
      <c r="S117" s="331" t="s">
        <v>233</v>
      </c>
      <c r="T117" s="237">
        <v>8</v>
      </c>
      <c r="U117" s="237" t="s">
        <v>234</v>
      </c>
      <c r="V117" s="237" t="s">
        <v>235</v>
      </c>
      <c r="W117" s="245" t="s">
        <v>228</v>
      </c>
      <c r="X117" s="237" t="s">
        <v>898</v>
      </c>
      <c r="Y117" s="237" t="s">
        <v>237</v>
      </c>
      <c r="Z117" s="237" t="s">
        <v>237</v>
      </c>
      <c r="AA117" s="237" t="s">
        <v>899</v>
      </c>
      <c r="AB117" s="337" t="s">
        <v>228</v>
      </c>
      <c r="AC117" s="237" t="s">
        <v>228</v>
      </c>
      <c r="AD117" s="562"/>
      <c r="AE117" s="555"/>
      <c r="AF117" s="237"/>
    </row>
    <row r="118" spans="1:130" ht="13.5" customHeight="1">
      <c r="A118" s="235">
        <v>116</v>
      </c>
      <c r="B118" s="237">
        <v>76</v>
      </c>
      <c r="C118" s="255" t="s">
        <v>900</v>
      </c>
      <c r="D118" s="237" t="s">
        <v>901</v>
      </c>
      <c r="E118" s="237">
        <v>74</v>
      </c>
      <c r="F118" s="237" t="s">
        <v>60</v>
      </c>
      <c r="G118" s="237" t="s">
        <v>902</v>
      </c>
      <c r="H118" s="243" t="s">
        <v>3</v>
      </c>
      <c r="I118" s="243"/>
      <c r="J118" s="240" t="s">
        <v>886</v>
      </c>
      <c r="K118" s="240" t="s">
        <v>903</v>
      </c>
      <c r="L118" s="243" t="s">
        <v>45</v>
      </c>
      <c r="M118" s="246" t="s">
        <v>228</v>
      </c>
      <c r="N118" s="237" t="s">
        <v>904</v>
      </c>
      <c r="O118" s="237" t="s">
        <v>905</v>
      </c>
      <c r="P118" s="237" t="s">
        <v>231</v>
      </c>
      <c r="Q118" s="245">
        <v>44928</v>
      </c>
      <c r="R118" s="237" t="s">
        <v>309</v>
      </c>
      <c r="S118" s="331" t="s">
        <v>233</v>
      </c>
      <c r="T118" s="237">
        <v>8.1999999999999993</v>
      </c>
      <c r="U118" s="237" t="s">
        <v>234</v>
      </c>
      <c r="V118" s="237" t="s">
        <v>235</v>
      </c>
      <c r="W118" s="245" t="s">
        <v>228</v>
      </c>
      <c r="X118" s="237" t="s">
        <v>906</v>
      </c>
      <c r="Y118" s="237" t="s">
        <v>237</v>
      </c>
      <c r="Z118" s="237" t="s">
        <v>237</v>
      </c>
      <c r="AA118" s="237" t="s">
        <v>907</v>
      </c>
      <c r="AB118" s="337" t="s">
        <v>228</v>
      </c>
      <c r="AC118" s="237" t="s">
        <v>228</v>
      </c>
      <c r="AD118" s="562"/>
      <c r="AE118" s="555"/>
      <c r="AF118" s="237"/>
    </row>
    <row r="119" spans="1:130" ht="13.5" customHeight="1">
      <c r="A119" s="235">
        <v>117</v>
      </c>
      <c r="B119" s="237">
        <v>83</v>
      </c>
      <c r="C119" s="255" t="s">
        <v>908</v>
      </c>
      <c r="D119" s="237" t="s">
        <v>909</v>
      </c>
      <c r="E119" s="237">
        <v>48</v>
      </c>
      <c r="F119" s="237" t="s">
        <v>60</v>
      </c>
      <c r="G119" s="237" t="s">
        <v>910</v>
      </c>
      <c r="H119" s="243" t="s">
        <v>3</v>
      </c>
      <c r="I119" s="243"/>
      <c r="J119" s="240" t="s">
        <v>886</v>
      </c>
      <c r="K119" s="240" t="s">
        <v>911</v>
      </c>
      <c r="L119" s="243" t="s">
        <v>22</v>
      </c>
      <c r="M119" s="246" t="s">
        <v>228</v>
      </c>
      <c r="N119" s="237" t="s">
        <v>912</v>
      </c>
      <c r="O119" s="237" t="s">
        <v>228</v>
      </c>
      <c r="P119" s="237" t="s">
        <v>231</v>
      </c>
      <c r="Q119" s="245">
        <v>44946</v>
      </c>
      <c r="R119" s="237" t="s">
        <v>309</v>
      </c>
      <c r="S119" s="331" t="s">
        <v>233</v>
      </c>
      <c r="T119" s="237">
        <v>8.5</v>
      </c>
      <c r="U119" s="237" t="s">
        <v>234</v>
      </c>
      <c r="V119" s="237" t="s">
        <v>235</v>
      </c>
      <c r="W119" s="245" t="s">
        <v>228</v>
      </c>
      <c r="X119" s="237" t="s">
        <v>913</v>
      </c>
      <c r="Y119" s="237" t="s">
        <v>237</v>
      </c>
      <c r="Z119" s="237" t="s">
        <v>237</v>
      </c>
      <c r="AA119" s="237" t="s">
        <v>228</v>
      </c>
      <c r="AB119" s="337" t="s">
        <v>228</v>
      </c>
      <c r="AC119" s="237" t="s">
        <v>228</v>
      </c>
      <c r="AD119" s="562"/>
      <c r="AE119" s="555"/>
      <c r="AF119" s="237"/>
    </row>
    <row r="120" spans="1:130" s="306" customFormat="1" ht="13.5" customHeight="1">
      <c r="A120" s="235">
        <v>118</v>
      </c>
      <c r="B120" s="264">
        <v>99</v>
      </c>
      <c r="C120" s="307" t="s">
        <v>914</v>
      </c>
      <c r="D120" s="264" t="s">
        <v>915</v>
      </c>
      <c r="E120" s="264">
        <v>31</v>
      </c>
      <c r="F120" s="264" t="s">
        <v>60</v>
      </c>
      <c r="G120" s="264" t="s">
        <v>916</v>
      </c>
      <c r="H120" s="289" t="s">
        <v>3</v>
      </c>
      <c r="I120" s="289"/>
      <c r="J120" s="290" t="s">
        <v>886</v>
      </c>
      <c r="K120" s="290" t="s">
        <v>917</v>
      </c>
      <c r="L120" s="289" t="s">
        <v>22</v>
      </c>
      <c r="M120" s="313" t="s">
        <v>228</v>
      </c>
      <c r="N120" s="264" t="s">
        <v>918</v>
      </c>
      <c r="O120" s="264" t="s">
        <v>358</v>
      </c>
      <c r="P120" s="264" t="s">
        <v>231</v>
      </c>
      <c r="Q120" s="314">
        <v>44949</v>
      </c>
      <c r="R120" s="264" t="s">
        <v>309</v>
      </c>
      <c r="S120" s="332" t="s">
        <v>233</v>
      </c>
      <c r="T120" s="264">
        <v>8.5</v>
      </c>
      <c r="U120" s="264" t="s">
        <v>234</v>
      </c>
      <c r="V120" s="264" t="s">
        <v>235</v>
      </c>
      <c r="W120" s="314" t="s">
        <v>228</v>
      </c>
      <c r="X120" s="264" t="s">
        <v>919</v>
      </c>
      <c r="Y120" s="264" t="s">
        <v>237</v>
      </c>
      <c r="Z120" s="237" t="s">
        <v>237</v>
      </c>
      <c r="AA120" s="264" t="s">
        <v>920</v>
      </c>
      <c r="AB120" s="364" t="s">
        <v>228</v>
      </c>
      <c r="AC120" s="264" t="s">
        <v>228</v>
      </c>
      <c r="AD120" s="565"/>
      <c r="AE120" s="557"/>
      <c r="AF120" s="264"/>
      <c r="AG120" s="309"/>
      <c r="AH120" s="309"/>
      <c r="AI120" s="309"/>
      <c r="AJ120" s="309"/>
      <c r="AK120" s="309"/>
      <c r="AL120" s="309"/>
      <c r="AM120" s="309"/>
      <c r="AN120" s="309"/>
      <c r="AO120" s="309"/>
      <c r="AP120" s="309"/>
      <c r="AQ120" s="309"/>
      <c r="AR120" s="309"/>
      <c r="AS120" s="309"/>
      <c r="AT120" s="309"/>
      <c r="AU120" s="309"/>
      <c r="AV120" s="309"/>
      <c r="AW120" s="309"/>
      <c r="AX120" s="309"/>
      <c r="AY120" s="309"/>
      <c r="AZ120" s="309"/>
      <c r="BA120" s="309"/>
      <c r="BB120" s="309"/>
      <c r="BC120" s="309"/>
      <c r="BD120" s="309"/>
      <c r="BE120" s="309"/>
      <c r="BF120" s="309"/>
      <c r="BG120" s="309"/>
      <c r="BH120" s="309"/>
      <c r="BI120" s="309"/>
      <c r="BJ120" s="309"/>
      <c r="BK120" s="309"/>
      <c r="BL120" s="309"/>
      <c r="BM120" s="309"/>
      <c r="BN120" s="309"/>
      <c r="BO120" s="309"/>
      <c r="BP120" s="309"/>
      <c r="BQ120" s="309"/>
      <c r="BR120" s="309"/>
      <c r="BS120" s="309"/>
      <c r="BT120" s="309"/>
      <c r="BU120" s="309"/>
      <c r="BV120" s="309"/>
      <c r="BW120" s="309"/>
      <c r="BX120" s="309"/>
      <c r="BY120" s="309"/>
      <c r="BZ120" s="309"/>
      <c r="CA120" s="309"/>
      <c r="CB120" s="309"/>
      <c r="CC120" s="309"/>
      <c r="CD120" s="309"/>
      <c r="CE120" s="309"/>
      <c r="CF120" s="309"/>
      <c r="CG120" s="309"/>
      <c r="CH120" s="309"/>
      <c r="CI120" s="309"/>
      <c r="CJ120" s="309"/>
      <c r="CK120" s="309"/>
      <c r="CL120" s="309"/>
      <c r="CM120" s="309"/>
      <c r="CN120" s="309"/>
      <c r="CO120" s="309"/>
      <c r="CP120" s="309"/>
      <c r="CQ120" s="309"/>
      <c r="CR120" s="309"/>
      <c r="CS120" s="309"/>
      <c r="CT120" s="309"/>
      <c r="CU120" s="309"/>
      <c r="CV120" s="309"/>
      <c r="CW120" s="309"/>
      <c r="CX120" s="309"/>
      <c r="CY120" s="309"/>
      <c r="CZ120" s="309"/>
      <c r="DA120" s="309"/>
      <c r="DB120" s="309"/>
      <c r="DC120" s="309"/>
      <c r="DD120" s="309"/>
      <c r="DE120" s="309"/>
      <c r="DF120" s="309"/>
      <c r="DG120" s="309"/>
      <c r="DH120" s="309"/>
      <c r="DI120" s="309"/>
      <c r="DJ120" s="309"/>
      <c r="DK120" s="309"/>
      <c r="DL120" s="309"/>
      <c r="DM120" s="309"/>
      <c r="DN120" s="309"/>
      <c r="DO120" s="309"/>
      <c r="DP120" s="309"/>
      <c r="DQ120" s="309"/>
      <c r="DR120" s="309"/>
      <c r="DS120" s="309"/>
      <c r="DT120" s="309"/>
      <c r="DU120" s="309"/>
      <c r="DV120" s="309"/>
      <c r="DW120" s="309"/>
      <c r="DX120" s="309"/>
      <c r="DY120" s="309"/>
      <c r="DZ120" s="310"/>
    </row>
    <row r="121" spans="1:130" ht="13.5" customHeight="1">
      <c r="A121" s="235">
        <v>119</v>
      </c>
      <c r="B121" s="237">
        <v>16</v>
      </c>
      <c r="C121" s="255" t="s">
        <v>921</v>
      </c>
      <c r="D121" s="237" t="s">
        <v>922</v>
      </c>
      <c r="E121" s="237">
        <v>69</v>
      </c>
      <c r="F121" s="237" t="s">
        <v>60</v>
      </c>
      <c r="G121" s="237" t="s">
        <v>923</v>
      </c>
      <c r="H121" s="243" t="s">
        <v>3</v>
      </c>
      <c r="I121" s="243"/>
      <c r="J121" s="240" t="s">
        <v>924</v>
      </c>
      <c r="K121" s="240" t="s">
        <v>925</v>
      </c>
      <c r="L121" s="243" t="s">
        <v>926</v>
      </c>
      <c r="M121" s="246" t="s">
        <v>228</v>
      </c>
      <c r="N121" s="237" t="s">
        <v>927</v>
      </c>
      <c r="O121" s="237" t="s">
        <v>228</v>
      </c>
      <c r="P121" s="237" t="s">
        <v>231</v>
      </c>
      <c r="Q121" s="245">
        <v>44953</v>
      </c>
      <c r="R121" s="237" t="s">
        <v>309</v>
      </c>
      <c r="S121" s="331" t="s">
        <v>233</v>
      </c>
      <c r="T121" s="237">
        <v>8.6</v>
      </c>
      <c r="U121" s="237" t="s">
        <v>234</v>
      </c>
      <c r="V121" s="237" t="s">
        <v>235</v>
      </c>
      <c r="W121" s="245" t="s">
        <v>228</v>
      </c>
      <c r="X121" s="237" t="s">
        <v>928</v>
      </c>
      <c r="Y121" s="237" t="s">
        <v>237</v>
      </c>
      <c r="Z121" s="237" t="s">
        <v>237</v>
      </c>
      <c r="AA121" s="237" t="s">
        <v>929</v>
      </c>
      <c r="AB121" s="337" t="s">
        <v>228</v>
      </c>
      <c r="AC121" s="237" t="s">
        <v>228</v>
      </c>
      <c r="AD121" s="562"/>
      <c r="AE121" s="555"/>
      <c r="AF121" s="237"/>
    </row>
    <row r="122" spans="1:130" ht="13.5" customHeight="1">
      <c r="A122" s="235">
        <v>120</v>
      </c>
      <c r="B122" s="237">
        <v>114</v>
      </c>
      <c r="C122" s="255" t="s">
        <v>930</v>
      </c>
      <c r="D122" s="237" t="s">
        <v>931</v>
      </c>
      <c r="E122" s="237">
        <v>39</v>
      </c>
      <c r="F122" s="237" t="s">
        <v>60</v>
      </c>
      <c r="G122" s="237" t="s">
        <v>932</v>
      </c>
      <c r="H122" s="243" t="s">
        <v>4</v>
      </c>
      <c r="I122" s="243"/>
      <c r="J122" s="240" t="s">
        <v>886</v>
      </c>
      <c r="K122" s="240" t="s">
        <v>933</v>
      </c>
      <c r="L122" s="243" t="s">
        <v>22</v>
      </c>
      <c r="M122" s="246" t="s">
        <v>228</v>
      </c>
      <c r="N122" s="237" t="s">
        <v>934</v>
      </c>
      <c r="O122" s="237" t="s">
        <v>228</v>
      </c>
      <c r="P122" s="237" t="s">
        <v>231</v>
      </c>
      <c r="Q122" s="245">
        <v>44959</v>
      </c>
      <c r="R122" s="237" t="s">
        <v>309</v>
      </c>
      <c r="S122" s="331" t="s">
        <v>233</v>
      </c>
      <c r="T122" s="237">
        <v>8.1</v>
      </c>
      <c r="U122" s="237" t="s">
        <v>234</v>
      </c>
      <c r="V122" s="237" t="s">
        <v>235</v>
      </c>
      <c r="W122" s="245" t="s">
        <v>228</v>
      </c>
      <c r="X122" s="237" t="s">
        <v>935</v>
      </c>
      <c r="Y122" s="237" t="s">
        <v>237</v>
      </c>
      <c r="Z122" s="237" t="s">
        <v>237</v>
      </c>
      <c r="AA122" s="237" t="s">
        <v>936</v>
      </c>
      <c r="AB122" s="337" t="s">
        <v>228</v>
      </c>
      <c r="AC122" s="237" t="s">
        <v>228</v>
      </c>
      <c r="AD122" s="562"/>
      <c r="AE122" s="555"/>
      <c r="AF122" s="237"/>
    </row>
    <row r="123" spans="1:130" ht="13.5" customHeight="1">
      <c r="A123" s="235">
        <v>121</v>
      </c>
      <c r="B123" s="237">
        <v>115</v>
      </c>
      <c r="C123" s="255" t="s">
        <v>937</v>
      </c>
      <c r="D123" s="237" t="s">
        <v>938</v>
      </c>
      <c r="E123" s="237">
        <v>45</v>
      </c>
      <c r="F123" s="237" t="s">
        <v>75</v>
      </c>
      <c r="G123" s="237" t="s">
        <v>939</v>
      </c>
      <c r="H123" s="243" t="s">
        <v>3</v>
      </c>
      <c r="I123" s="243"/>
      <c r="J123" s="240" t="s">
        <v>886</v>
      </c>
      <c r="K123" s="240" t="s">
        <v>940</v>
      </c>
      <c r="L123" s="243" t="s">
        <v>45</v>
      </c>
      <c r="M123" s="246" t="s">
        <v>228</v>
      </c>
      <c r="N123" s="237" t="s">
        <v>941</v>
      </c>
      <c r="O123" s="237" t="s">
        <v>942</v>
      </c>
      <c r="P123" s="237" t="s">
        <v>231</v>
      </c>
      <c r="Q123" s="245">
        <v>44964</v>
      </c>
      <c r="R123" s="237" t="s">
        <v>309</v>
      </c>
      <c r="S123" s="331" t="s">
        <v>233</v>
      </c>
      <c r="T123" s="237">
        <v>9.1999999999999993</v>
      </c>
      <c r="U123" s="237" t="s">
        <v>234</v>
      </c>
      <c r="V123" s="237" t="s">
        <v>235</v>
      </c>
      <c r="W123" s="245" t="s">
        <v>228</v>
      </c>
      <c r="X123" s="237" t="s">
        <v>943</v>
      </c>
      <c r="Y123" s="237" t="s">
        <v>237</v>
      </c>
      <c r="Z123" s="237" t="s">
        <v>237</v>
      </c>
      <c r="AA123" s="237" t="s">
        <v>944</v>
      </c>
      <c r="AB123" s="337" t="s">
        <v>228</v>
      </c>
      <c r="AC123" s="237" t="s">
        <v>228</v>
      </c>
      <c r="AD123" s="562"/>
      <c r="AE123" s="555"/>
      <c r="AF123" s="237"/>
    </row>
    <row r="124" spans="1:130" ht="13.5" customHeight="1">
      <c r="A124" s="235">
        <v>122</v>
      </c>
      <c r="B124" s="237">
        <v>116</v>
      </c>
      <c r="C124" s="255" t="s">
        <v>945</v>
      </c>
      <c r="D124" s="237" t="s">
        <v>946</v>
      </c>
      <c r="E124" s="237">
        <v>40</v>
      </c>
      <c r="F124" s="237" t="s">
        <v>60</v>
      </c>
      <c r="G124" s="237" t="s">
        <v>947</v>
      </c>
      <c r="H124" s="243" t="s">
        <v>3</v>
      </c>
      <c r="I124" s="243"/>
      <c r="J124" s="240" t="s">
        <v>886</v>
      </c>
      <c r="K124" s="240" t="s">
        <v>948</v>
      </c>
      <c r="L124" s="243" t="s">
        <v>22</v>
      </c>
      <c r="M124" s="246" t="s">
        <v>228</v>
      </c>
      <c r="N124" s="237" t="s">
        <v>949</v>
      </c>
      <c r="O124" s="237" t="s">
        <v>228</v>
      </c>
      <c r="P124" s="237" t="s">
        <v>231</v>
      </c>
      <c r="Q124" s="245">
        <v>44964</v>
      </c>
      <c r="R124" s="237" t="s">
        <v>309</v>
      </c>
      <c r="S124" s="331" t="s">
        <v>233</v>
      </c>
      <c r="T124" s="237">
        <v>9.1999999999999993</v>
      </c>
      <c r="U124" s="237" t="s">
        <v>234</v>
      </c>
      <c r="V124" s="237" t="s">
        <v>235</v>
      </c>
      <c r="W124" s="245" t="s">
        <v>228</v>
      </c>
      <c r="X124" s="237" t="s">
        <v>950</v>
      </c>
      <c r="Y124" s="237" t="s">
        <v>237</v>
      </c>
      <c r="Z124" s="237" t="s">
        <v>237</v>
      </c>
      <c r="AA124" s="237" t="s">
        <v>951</v>
      </c>
      <c r="AB124" s="337" t="s">
        <v>237</v>
      </c>
      <c r="AC124" s="237" t="s">
        <v>228</v>
      </c>
      <c r="AD124" s="562"/>
      <c r="AE124" s="555"/>
      <c r="AF124" s="237"/>
    </row>
    <row r="125" spans="1:130" s="306" customFormat="1" ht="13.5" customHeight="1">
      <c r="A125" s="235">
        <v>123</v>
      </c>
      <c r="B125" s="264">
        <v>117</v>
      </c>
      <c r="C125" s="307" t="s">
        <v>952</v>
      </c>
      <c r="D125" s="264" t="s">
        <v>953</v>
      </c>
      <c r="E125" s="264">
        <v>42</v>
      </c>
      <c r="F125" s="264" t="s">
        <v>75</v>
      </c>
      <c r="G125" s="264" t="s">
        <v>954</v>
      </c>
      <c r="H125" s="289" t="s">
        <v>3</v>
      </c>
      <c r="I125" s="289"/>
      <c r="J125" s="290" t="s">
        <v>886</v>
      </c>
      <c r="K125" s="290" t="s">
        <v>955</v>
      </c>
      <c r="L125" s="289" t="s">
        <v>22</v>
      </c>
      <c r="M125" s="313" t="s">
        <v>228</v>
      </c>
      <c r="N125" s="264" t="s">
        <v>956</v>
      </c>
      <c r="O125" s="264" t="s">
        <v>957</v>
      </c>
      <c r="P125" s="264" t="s">
        <v>231</v>
      </c>
      <c r="Q125" s="314">
        <v>44965</v>
      </c>
      <c r="R125" s="264" t="s">
        <v>309</v>
      </c>
      <c r="S125" s="332" t="s">
        <v>233</v>
      </c>
      <c r="T125" s="264">
        <v>8.6999999999999993</v>
      </c>
      <c r="U125" s="264" t="s">
        <v>234</v>
      </c>
      <c r="V125" s="264" t="s">
        <v>235</v>
      </c>
      <c r="W125" s="314" t="s">
        <v>228</v>
      </c>
      <c r="X125" s="264" t="s">
        <v>958</v>
      </c>
      <c r="Y125" s="264" t="s">
        <v>237</v>
      </c>
      <c r="Z125" s="237" t="s">
        <v>237</v>
      </c>
      <c r="AA125" s="264" t="s">
        <v>959</v>
      </c>
      <c r="AB125" s="337" t="s">
        <v>237</v>
      </c>
      <c r="AC125" s="264" t="s">
        <v>874</v>
      </c>
      <c r="AD125" s="565"/>
      <c r="AE125" s="557"/>
      <c r="AF125" s="264"/>
      <c r="AG125" s="309"/>
      <c r="AH125" s="309"/>
      <c r="AI125" s="309"/>
      <c r="AJ125" s="309"/>
      <c r="AK125" s="309"/>
      <c r="AL125" s="309"/>
      <c r="AM125" s="309"/>
      <c r="AN125" s="309"/>
      <c r="AO125" s="309"/>
      <c r="AP125" s="309"/>
      <c r="AQ125" s="309"/>
      <c r="AR125" s="309"/>
      <c r="AS125" s="309"/>
      <c r="AT125" s="309"/>
      <c r="AU125" s="309"/>
      <c r="AV125" s="309"/>
      <c r="AW125" s="309"/>
      <c r="AX125" s="309"/>
      <c r="AY125" s="309"/>
      <c r="AZ125" s="309"/>
      <c r="BA125" s="309"/>
      <c r="BB125" s="309"/>
      <c r="BC125" s="309"/>
      <c r="BD125" s="309"/>
      <c r="BE125" s="309"/>
      <c r="BF125" s="309"/>
      <c r="BG125" s="309"/>
      <c r="BH125" s="309"/>
      <c r="BI125" s="309"/>
      <c r="BJ125" s="309"/>
      <c r="BK125" s="309"/>
      <c r="BL125" s="309"/>
      <c r="BM125" s="309"/>
      <c r="BN125" s="309"/>
      <c r="BO125" s="309"/>
      <c r="BP125" s="309"/>
      <c r="BQ125" s="309"/>
      <c r="BR125" s="309"/>
      <c r="BS125" s="309"/>
      <c r="BT125" s="309"/>
      <c r="BU125" s="309"/>
      <c r="BV125" s="309"/>
      <c r="BW125" s="309"/>
      <c r="BX125" s="309"/>
      <c r="BY125" s="309"/>
      <c r="BZ125" s="309"/>
      <c r="CA125" s="309"/>
      <c r="CB125" s="309"/>
      <c r="CC125" s="309"/>
      <c r="CD125" s="309"/>
      <c r="CE125" s="309"/>
      <c r="CF125" s="309"/>
      <c r="CG125" s="309"/>
      <c r="CH125" s="309"/>
      <c r="CI125" s="309"/>
      <c r="CJ125" s="309"/>
      <c r="CK125" s="309"/>
      <c r="CL125" s="309"/>
      <c r="CM125" s="309"/>
      <c r="CN125" s="309"/>
      <c r="CO125" s="309"/>
      <c r="CP125" s="309"/>
      <c r="CQ125" s="309"/>
      <c r="CR125" s="309"/>
      <c r="CS125" s="309"/>
      <c r="CT125" s="309"/>
      <c r="CU125" s="309"/>
      <c r="CV125" s="309"/>
      <c r="CW125" s="309"/>
      <c r="CX125" s="309"/>
      <c r="CY125" s="309"/>
      <c r="CZ125" s="309"/>
      <c r="DA125" s="309"/>
      <c r="DB125" s="309"/>
      <c r="DC125" s="309"/>
      <c r="DD125" s="309"/>
      <c r="DE125" s="309"/>
      <c r="DF125" s="309"/>
      <c r="DG125" s="309"/>
      <c r="DH125" s="309"/>
      <c r="DI125" s="309"/>
      <c r="DJ125" s="309"/>
      <c r="DK125" s="309"/>
      <c r="DL125" s="309"/>
      <c r="DM125" s="309"/>
      <c r="DN125" s="309"/>
      <c r="DO125" s="309"/>
      <c r="DP125" s="309"/>
      <c r="DQ125" s="309"/>
      <c r="DR125" s="309"/>
      <c r="DS125" s="309"/>
      <c r="DT125" s="309"/>
      <c r="DU125" s="309"/>
      <c r="DV125" s="309"/>
      <c r="DW125" s="309"/>
      <c r="DX125" s="309"/>
      <c r="DY125" s="309"/>
      <c r="DZ125" s="310"/>
    </row>
    <row r="126" spans="1:130" ht="13.5" customHeight="1">
      <c r="A126" s="235">
        <v>124</v>
      </c>
      <c r="B126" s="237">
        <v>122</v>
      </c>
      <c r="C126" s="255" t="s">
        <v>960</v>
      </c>
      <c r="D126" s="237" t="s">
        <v>961</v>
      </c>
      <c r="E126" s="237">
        <v>57</v>
      </c>
      <c r="F126" s="237" t="s">
        <v>60</v>
      </c>
      <c r="G126" s="237" t="s">
        <v>962</v>
      </c>
      <c r="H126" s="243" t="s">
        <v>3</v>
      </c>
      <c r="I126" s="243"/>
      <c r="J126" s="240" t="s">
        <v>886</v>
      </c>
      <c r="K126" s="240" t="s">
        <v>963</v>
      </c>
      <c r="L126" s="243" t="s">
        <v>22</v>
      </c>
      <c r="M126" s="246" t="s">
        <v>228</v>
      </c>
      <c r="N126" s="237" t="s">
        <v>964</v>
      </c>
      <c r="O126" s="237" t="s">
        <v>965</v>
      </c>
      <c r="P126" s="237" t="s">
        <v>231</v>
      </c>
      <c r="Q126" s="245">
        <v>44967</v>
      </c>
      <c r="R126" s="237" t="s">
        <v>309</v>
      </c>
      <c r="S126" s="331" t="s">
        <v>233</v>
      </c>
      <c r="T126" s="237">
        <v>9</v>
      </c>
      <c r="U126" s="237" t="s">
        <v>234</v>
      </c>
      <c r="V126" s="237" t="s">
        <v>235</v>
      </c>
      <c r="W126" s="245" t="s">
        <v>228</v>
      </c>
      <c r="X126" s="237" t="s">
        <v>966</v>
      </c>
      <c r="Y126" s="237" t="s">
        <v>237</v>
      </c>
      <c r="Z126" s="237" t="s">
        <v>237</v>
      </c>
      <c r="AA126" s="237" t="s">
        <v>967</v>
      </c>
      <c r="AB126" s="337" t="s">
        <v>228</v>
      </c>
      <c r="AC126" s="237" t="s">
        <v>228</v>
      </c>
      <c r="AD126" s="562"/>
      <c r="AE126" s="555"/>
      <c r="AF126" s="237"/>
    </row>
    <row r="127" spans="1:130" ht="13.5" customHeight="1">
      <c r="A127" s="235">
        <v>125</v>
      </c>
      <c r="B127" s="237">
        <v>123</v>
      </c>
      <c r="C127" s="255" t="s">
        <v>968</v>
      </c>
      <c r="D127" s="237" t="s">
        <v>969</v>
      </c>
      <c r="E127" s="237">
        <v>27</v>
      </c>
      <c r="F127" s="237" t="s">
        <v>60</v>
      </c>
      <c r="G127" s="237" t="s">
        <v>970</v>
      </c>
      <c r="H127" s="243" t="s">
        <v>3</v>
      </c>
      <c r="I127" s="243"/>
      <c r="J127" s="240" t="s">
        <v>886</v>
      </c>
      <c r="K127" s="240" t="s">
        <v>948</v>
      </c>
      <c r="L127" s="243" t="s">
        <v>22</v>
      </c>
      <c r="M127" s="246" t="s">
        <v>228</v>
      </c>
      <c r="N127" s="237" t="s">
        <v>971</v>
      </c>
      <c r="O127" s="237" t="s">
        <v>972</v>
      </c>
      <c r="P127" s="237" t="s">
        <v>231</v>
      </c>
      <c r="Q127" s="245">
        <v>44971</v>
      </c>
      <c r="R127" s="237" t="s">
        <v>309</v>
      </c>
      <c r="S127" s="331" t="s">
        <v>233</v>
      </c>
      <c r="T127" s="237">
        <v>9.1999999999999993</v>
      </c>
      <c r="U127" s="237" t="s">
        <v>234</v>
      </c>
      <c r="V127" s="237" t="s">
        <v>235</v>
      </c>
      <c r="W127" s="245" t="s">
        <v>228</v>
      </c>
      <c r="X127" s="237" t="s">
        <v>973</v>
      </c>
      <c r="Y127" s="237" t="s">
        <v>237</v>
      </c>
      <c r="Z127" s="237" t="s">
        <v>237</v>
      </c>
      <c r="AA127" s="237" t="s">
        <v>974</v>
      </c>
      <c r="AB127" s="337" t="s">
        <v>228</v>
      </c>
      <c r="AC127" s="237" t="s">
        <v>228</v>
      </c>
      <c r="AD127" s="562"/>
      <c r="AE127" s="555"/>
      <c r="AF127" s="237"/>
    </row>
    <row r="128" spans="1:130" s="306" customFormat="1" ht="13.5" customHeight="1">
      <c r="A128" s="235">
        <v>126</v>
      </c>
      <c r="B128" s="264">
        <v>124</v>
      </c>
      <c r="C128" s="307" t="s">
        <v>975</v>
      </c>
      <c r="D128" s="264" t="s">
        <v>976</v>
      </c>
      <c r="E128" s="264">
        <v>41</v>
      </c>
      <c r="F128" s="264" t="s">
        <v>75</v>
      </c>
      <c r="G128" s="264" t="s">
        <v>977</v>
      </c>
      <c r="H128" s="289" t="s">
        <v>3</v>
      </c>
      <c r="I128" s="289"/>
      <c r="J128" s="290" t="s">
        <v>886</v>
      </c>
      <c r="K128" s="290" t="s">
        <v>978</v>
      </c>
      <c r="L128" s="289" t="s">
        <v>22</v>
      </c>
      <c r="M128" s="313" t="s">
        <v>228</v>
      </c>
      <c r="N128" s="264" t="s">
        <v>979</v>
      </c>
      <c r="O128" s="264" t="s">
        <v>980</v>
      </c>
      <c r="P128" s="264" t="s">
        <v>231</v>
      </c>
      <c r="Q128" s="314">
        <v>44973</v>
      </c>
      <c r="R128" s="264" t="s">
        <v>309</v>
      </c>
      <c r="S128" s="332" t="s">
        <v>233</v>
      </c>
      <c r="T128" s="264">
        <v>8.4</v>
      </c>
      <c r="U128" s="264" t="s">
        <v>234</v>
      </c>
      <c r="V128" s="264" t="s">
        <v>235</v>
      </c>
      <c r="W128" s="314" t="s">
        <v>228</v>
      </c>
      <c r="X128" s="264" t="s">
        <v>981</v>
      </c>
      <c r="Y128" s="264" t="s">
        <v>237</v>
      </c>
      <c r="Z128" s="237" t="s">
        <v>237</v>
      </c>
      <c r="AA128" s="264" t="s">
        <v>982</v>
      </c>
      <c r="AB128" s="364" t="s">
        <v>228</v>
      </c>
      <c r="AC128" s="264" t="s">
        <v>228</v>
      </c>
      <c r="AD128" s="565"/>
      <c r="AE128" s="557"/>
      <c r="AF128" s="264"/>
      <c r="AG128" s="309"/>
      <c r="AH128" s="309"/>
      <c r="AI128" s="309"/>
      <c r="AJ128" s="309"/>
      <c r="AK128" s="309"/>
      <c r="AL128" s="309"/>
      <c r="AM128" s="309"/>
      <c r="AN128" s="309"/>
      <c r="AO128" s="309"/>
      <c r="AP128" s="309"/>
      <c r="AQ128" s="309"/>
      <c r="AR128" s="309"/>
      <c r="AS128" s="309"/>
      <c r="AT128" s="309"/>
      <c r="AU128" s="309"/>
      <c r="AV128" s="309"/>
      <c r="AW128" s="309"/>
      <c r="AX128" s="309"/>
      <c r="AY128" s="309"/>
      <c r="AZ128" s="309"/>
      <c r="BA128" s="309"/>
      <c r="BB128" s="309"/>
      <c r="BC128" s="309"/>
      <c r="BD128" s="309"/>
      <c r="BE128" s="309"/>
      <c r="BF128" s="309"/>
      <c r="BG128" s="309"/>
      <c r="BH128" s="309"/>
      <c r="BI128" s="309"/>
      <c r="BJ128" s="309"/>
      <c r="BK128" s="309"/>
      <c r="BL128" s="309"/>
      <c r="BM128" s="309"/>
      <c r="BN128" s="309"/>
      <c r="BO128" s="309"/>
      <c r="BP128" s="309"/>
      <c r="BQ128" s="309"/>
      <c r="BR128" s="309"/>
      <c r="BS128" s="309"/>
      <c r="BT128" s="309"/>
      <c r="BU128" s="309"/>
      <c r="BV128" s="309"/>
      <c r="BW128" s="309"/>
      <c r="BX128" s="309"/>
      <c r="BY128" s="309"/>
      <c r="BZ128" s="309"/>
      <c r="CA128" s="309"/>
      <c r="CB128" s="309"/>
      <c r="CC128" s="309"/>
      <c r="CD128" s="309"/>
      <c r="CE128" s="309"/>
      <c r="CF128" s="309"/>
      <c r="CG128" s="309"/>
      <c r="CH128" s="309"/>
      <c r="CI128" s="309"/>
      <c r="CJ128" s="309"/>
      <c r="CK128" s="309"/>
      <c r="CL128" s="309"/>
      <c r="CM128" s="309"/>
      <c r="CN128" s="309"/>
      <c r="CO128" s="309"/>
      <c r="CP128" s="309"/>
      <c r="CQ128" s="309"/>
      <c r="CR128" s="309"/>
      <c r="CS128" s="309"/>
      <c r="CT128" s="309"/>
      <c r="CU128" s="309"/>
      <c r="CV128" s="309"/>
      <c r="CW128" s="309"/>
      <c r="CX128" s="309"/>
      <c r="CY128" s="309"/>
      <c r="CZ128" s="309"/>
      <c r="DA128" s="309"/>
      <c r="DB128" s="309"/>
      <c r="DC128" s="309"/>
      <c r="DD128" s="309"/>
      <c r="DE128" s="309"/>
      <c r="DF128" s="309"/>
      <c r="DG128" s="309"/>
      <c r="DH128" s="309"/>
      <c r="DI128" s="309"/>
      <c r="DJ128" s="309"/>
      <c r="DK128" s="309"/>
      <c r="DL128" s="309"/>
      <c r="DM128" s="309"/>
      <c r="DN128" s="309"/>
      <c r="DO128" s="309"/>
      <c r="DP128" s="309"/>
      <c r="DQ128" s="309"/>
      <c r="DR128" s="309"/>
      <c r="DS128" s="309"/>
      <c r="DT128" s="309"/>
      <c r="DU128" s="309"/>
      <c r="DV128" s="309"/>
      <c r="DW128" s="309"/>
      <c r="DX128" s="309"/>
      <c r="DY128" s="309"/>
      <c r="DZ128" s="310"/>
    </row>
    <row r="129" spans="1:130" ht="13.5" customHeight="1">
      <c r="A129" s="235">
        <v>127</v>
      </c>
      <c r="B129" s="237">
        <v>127</v>
      </c>
      <c r="C129" s="255" t="s">
        <v>983</v>
      </c>
      <c r="D129" s="237" t="s">
        <v>984</v>
      </c>
      <c r="E129" s="237">
        <v>61</v>
      </c>
      <c r="F129" s="237" t="s">
        <v>60</v>
      </c>
      <c r="G129" s="237" t="s">
        <v>985</v>
      </c>
      <c r="H129" s="243" t="s">
        <v>3</v>
      </c>
      <c r="I129" s="243"/>
      <c r="J129" s="240" t="s">
        <v>886</v>
      </c>
      <c r="K129" s="240" t="s">
        <v>986</v>
      </c>
      <c r="L129" s="243" t="s">
        <v>22</v>
      </c>
      <c r="M129" s="246" t="s">
        <v>228</v>
      </c>
      <c r="N129" s="237" t="s">
        <v>987</v>
      </c>
      <c r="O129" s="237" t="s">
        <v>988</v>
      </c>
      <c r="P129" s="237" t="s">
        <v>231</v>
      </c>
      <c r="Q129" s="245">
        <v>44974</v>
      </c>
      <c r="R129" s="237" t="s">
        <v>309</v>
      </c>
      <c r="S129" s="331" t="s">
        <v>233</v>
      </c>
      <c r="T129" s="237">
        <v>8.6</v>
      </c>
      <c r="U129" s="237" t="s">
        <v>234</v>
      </c>
      <c r="V129" s="237" t="s">
        <v>235</v>
      </c>
      <c r="W129" s="245" t="s">
        <v>228</v>
      </c>
      <c r="X129" s="237" t="s">
        <v>989</v>
      </c>
      <c r="Y129" s="237" t="s">
        <v>237</v>
      </c>
      <c r="Z129" s="237" t="s">
        <v>237</v>
      </c>
      <c r="AA129" s="237" t="s">
        <v>990</v>
      </c>
      <c r="AB129" s="337" t="s">
        <v>228</v>
      </c>
      <c r="AC129" s="237" t="s">
        <v>228</v>
      </c>
      <c r="AD129" s="562"/>
      <c r="AE129" s="555"/>
      <c r="AF129" s="237"/>
    </row>
    <row r="130" spans="1:130" ht="13.5" customHeight="1">
      <c r="A130" s="235">
        <v>128</v>
      </c>
      <c r="B130" s="237">
        <v>132</v>
      </c>
      <c r="C130" s="255" t="s">
        <v>991</v>
      </c>
      <c r="D130" s="237" t="s">
        <v>992</v>
      </c>
      <c r="E130" s="237">
        <v>52</v>
      </c>
      <c r="F130" s="237" t="s">
        <v>75</v>
      </c>
      <c r="G130" s="237" t="s">
        <v>993</v>
      </c>
      <c r="H130" s="243" t="s">
        <v>3</v>
      </c>
      <c r="I130" s="243"/>
      <c r="J130" s="240"/>
      <c r="K130" s="240" t="s">
        <v>994</v>
      </c>
      <c r="L130" s="243" t="s">
        <v>19</v>
      </c>
      <c r="M130" s="246" t="s">
        <v>228</v>
      </c>
      <c r="N130" s="237" t="s">
        <v>995</v>
      </c>
      <c r="O130" s="237" t="s">
        <v>996</v>
      </c>
      <c r="P130" s="237" t="s">
        <v>231</v>
      </c>
      <c r="Q130" s="245">
        <v>44980</v>
      </c>
      <c r="R130" s="237" t="s">
        <v>309</v>
      </c>
      <c r="S130" s="331" t="s">
        <v>233</v>
      </c>
      <c r="T130" s="237">
        <v>8.1</v>
      </c>
      <c r="U130" s="237" t="s">
        <v>234</v>
      </c>
      <c r="V130" s="237" t="s">
        <v>235</v>
      </c>
      <c r="W130" s="245" t="s">
        <v>228</v>
      </c>
      <c r="X130" s="237" t="s">
        <v>997</v>
      </c>
      <c r="Y130" s="237" t="s">
        <v>237</v>
      </c>
      <c r="Z130" s="237" t="s">
        <v>237</v>
      </c>
      <c r="AA130" s="237" t="s">
        <v>998</v>
      </c>
      <c r="AB130" s="337" t="s">
        <v>228</v>
      </c>
      <c r="AC130" s="237" t="s">
        <v>228</v>
      </c>
      <c r="AD130" s="562"/>
      <c r="AE130" s="555"/>
      <c r="AF130" s="237"/>
    </row>
    <row r="131" spans="1:130" ht="13.5" customHeight="1">
      <c r="A131" s="235">
        <v>129</v>
      </c>
      <c r="B131" s="237">
        <v>142</v>
      </c>
      <c r="C131" s="255" t="s">
        <v>999</v>
      </c>
      <c r="D131" s="237" t="s">
        <v>1000</v>
      </c>
      <c r="E131" s="237">
        <v>52</v>
      </c>
      <c r="F131" s="237" t="s">
        <v>60</v>
      </c>
      <c r="G131" s="237" t="s">
        <v>1001</v>
      </c>
      <c r="H131" s="243" t="s">
        <v>3</v>
      </c>
      <c r="I131" s="243"/>
      <c r="J131" s="240"/>
      <c r="K131" s="240" t="s">
        <v>917</v>
      </c>
      <c r="L131" s="243" t="s">
        <v>22</v>
      </c>
      <c r="M131" s="246" t="s">
        <v>228</v>
      </c>
      <c r="N131" s="237" t="s">
        <v>1002</v>
      </c>
      <c r="O131" s="237" t="s">
        <v>228</v>
      </c>
      <c r="P131" s="237" t="s">
        <v>231</v>
      </c>
      <c r="Q131" s="245">
        <v>45048</v>
      </c>
      <c r="R131" s="237" t="s">
        <v>309</v>
      </c>
      <c r="S131" s="331" t="s">
        <v>233</v>
      </c>
      <c r="T131" s="237" t="s">
        <v>228</v>
      </c>
      <c r="U131" s="237" t="s">
        <v>234</v>
      </c>
      <c r="V131" s="237" t="s">
        <v>235</v>
      </c>
      <c r="W131" s="245">
        <v>45076</v>
      </c>
      <c r="X131" s="237" t="s">
        <v>1003</v>
      </c>
      <c r="Y131" s="237" t="s">
        <v>237</v>
      </c>
      <c r="Z131" s="237" t="s">
        <v>237</v>
      </c>
      <c r="AA131" s="237" t="s">
        <v>1004</v>
      </c>
      <c r="AB131" s="337" t="s">
        <v>228</v>
      </c>
      <c r="AC131" s="237" t="s">
        <v>228</v>
      </c>
      <c r="AD131" s="562"/>
      <c r="AE131" s="555"/>
      <c r="AF131" s="237"/>
    </row>
    <row r="132" spans="1:130" ht="13.5" customHeight="1">
      <c r="A132" s="235">
        <v>130</v>
      </c>
      <c r="B132" s="237">
        <v>72</v>
      </c>
      <c r="C132" s="255" t="s">
        <v>1005</v>
      </c>
      <c r="D132" s="237" t="s">
        <v>1006</v>
      </c>
      <c r="E132" s="237">
        <v>38</v>
      </c>
      <c r="F132" s="237" t="s">
        <v>60</v>
      </c>
      <c r="G132" s="237" t="s">
        <v>1007</v>
      </c>
      <c r="H132" s="243" t="s">
        <v>3</v>
      </c>
      <c r="I132" s="243"/>
      <c r="J132" s="240" t="s">
        <v>886</v>
      </c>
      <c r="K132" s="240" t="s">
        <v>887</v>
      </c>
      <c r="L132" s="243" t="s">
        <v>45</v>
      </c>
      <c r="M132" s="246" t="s">
        <v>228</v>
      </c>
      <c r="N132" s="237" t="s">
        <v>1008</v>
      </c>
      <c r="O132" s="237" t="s">
        <v>1009</v>
      </c>
      <c r="P132" s="237" t="s">
        <v>231</v>
      </c>
      <c r="Q132" s="245">
        <v>44923</v>
      </c>
      <c r="R132" s="237" t="s">
        <v>232</v>
      </c>
      <c r="S132" s="331" t="s">
        <v>233</v>
      </c>
      <c r="T132" s="237" t="s">
        <v>228</v>
      </c>
      <c r="U132" s="237" t="s">
        <v>234</v>
      </c>
      <c r="V132" s="237" t="s">
        <v>235</v>
      </c>
      <c r="W132" s="245">
        <v>45076</v>
      </c>
      <c r="X132" s="237" t="s">
        <v>1010</v>
      </c>
      <c r="Y132" s="237" t="s">
        <v>237</v>
      </c>
      <c r="Z132" s="237" t="s">
        <v>228</v>
      </c>
      <c r="AA132" s="237" t="s">
        <v>228</v>
      </c>
      <c r="AB132" s="337" t="s">
        <v>228</v>
      </c>
      <c r="AC132" s="237" t="s">
        <v>228</v>
      </c>
      <c r="AD132" s="562"/>
      <c r="AE132" s="555"/>
      <c r="AF132" s="237"/>
    </row>
    <row r="133" spans="1:130" ht="13.5" customHeight="1">
      <c r="A133" s="235">
        <v>131</v>
      </c>
      <c r="B133" s="237">
        <v>154</v>
      </c>
      <c r="C133" s="255" t="s">
        <v>1011</v>
      </c>
      <c r="D133" s="237" t="s">
        <v>1012</v>
      </c>
      <c r="E133" s="237">
        <v>44</v>
      </c>
      <c r="F133" s="237" t="s">
        <v>75</v>
      </c>
      <c r="G133" s="237" t="s">
        <v>1013</v>
      </c>
      <c r="H133" s="243" t="s">
        <v>3</v>
      </c>
      <c r="I133" s="243"/>
      <c r="K133" s="240" t="s">
        <v>1014</v>
      </c>
      <c r="L133" s="243" t="s">
        <v>41</v>
      </c>
      <c r="M133" s="246" t="s">
        <v>228</v>
      </c>
      <c r="N133" s="237" t="s">
        <v>1015</v>
      </c>
      <c r="O133" s="237" t="s">
        <v>1016</v>
      </c>
      <c r="P133" s="237" t="s">
        <v>231</v>
      </c>
      <c r="Q133" s="245">
        <v>45088</v>
      </c>
      <c r="R133" s="237" t="s">
        <v>309</v>
      </c>
      <c r="S133" s="331" t="s">
        <v>233</v>
      </c>
      <c r="T133" s="237">
        <v>8.6</v>
      </c>
      <c r="U133" s="237" t="s">
        <v>298</v>
      </c>
      <c r="V133" s="237" t="s">
        <v>235</v>
      </c>
      <c r="W133" s="245">
        <v>45398</v>
      </c>
      <c r="X133" s="237" t="s">
        <v>1017</v>
      </c>
      <c r="Y133" s="237" t="s">
        <v>237</v>
      </c>
      <c r="Z133" s="237" t="s">
        <v>237</v>
      </c>
      <c r="AA133" s="237" t="s">
        <v>1018</v>
      </c>
      <c r="AB133" s="337" t="s">
        <v>228</v>
      </c>
      <c r="AC133" s="237" t="s">
        <v>228</v>
      </c>
      <c r="AD133" s="562"/>
      <c r="AE133" s="555"/>
      <c r="AF133" s="237"/>
    </row>
    <row r="134" spans="1:130" ht="13.5" customHeight="1">
      <c r="A134" s="235">
        <v>132</v>
      </c>
      <c r="B134" s="237">
        <v>171</v>
      </c>
      <c r="C134" s="255" t="s">
        <v>1019</v>
      </c>
      <c r="D134" s="237" t="s">
        <v>1020</v>
      </c>
      <c r="E134" s="237">
        <v>44</v>
      </c>
      <c r="F134" s="237" t="s">
        <v>75</v>
      </c>
      <c r="G134" s="237" t="s">
        <v>1021</v>
      </c>
      <c r="H134" s="243" t="s">
        <v>3</v>
      </c>
      <c r="I134" s="243"/>
      <c r="K134" s="240" t="s">
        <v>1022</v>
      </c>
      <c r="L134" s="243" t="s">
        <v>16</v>
      </c>
      <c r="M134" s="246" t="s">
        <v>228</v>
      </c>
      <c r="N134" s="237" t="s">
        <v>228</v>
      </c>
      <c r="O134" s="237" t="s">
        <v>228</v>
      </c>
      <c r="P134" s="237" t="s">
        <v>231</v>
      </c>
      <c r="Q134" s="245">
        <v>45273</v>
      </c>
      <c r="R134" s="237" t="s">
        <v>309</v>
      </c>
      <c r="S134" s="331" t="s">
        <v>233</v>
      </c>
      <c r="T134" s="237">
        <v>6.8</v>
      </c>
      <c r="U134" s="237" t="s">
        <v>298</v>
      </c>
      <c r="V134" s="237" t="s">
        <v>235</v>
      </c>
      <c r="W134" s="245">
        <v>45294</v>
      </c>
      <c r="X134" s="237" t="s">
        <v>1023</v>
      </c>
      <c r="Y134" s="237" t="s">
        <v>237</v>
      </c>
      <c r="Z134" s="237" t="s">
        <v>237</v>
      </c>
      <c r="AA134" s="237" t="s">
        <v>1024</v>
      </c>
      <c r="AB134" s="337" t="s">
        <v>228</v>
      </c>
      <c r="AC134" s="237" t="s">
        <v>228</v>
      </c>
      <c r="AD134" s="562"/>
      <c r="AE134" s="555"/>
      <c r="AF134" s="237"/>
    </row>
    <row r="135" spans="1:130" ht="13.5" customHeight="1">
      <c r="A135" s="235">
        <v>133</v>
      </c>
      <c r="B135" s="237">
        <v>172</v>
      </c>
      <c r="C135" s="255" t="s">
        <v>1025</v>
      </c>
      <c r="D135" s="237" t="s">
        <v>1026</v>
      </c>
      <c r="E135" s="237">
        <v>64</v>
      </c>
      <c r="F135" s="237" t="s">
        <v>60</v>
      </c>
      <c r="G135" s="237" t="s">
        <v>1027</v>
      </c>
      <c r="H135" s="243" t="s">
        <v>3</v>
      </c>
      <c r="I135" s="243"/>
      <c r="K135" s="240" t="s">
        <v>1028</v>
      </c>
      <c r="L135" s="243" t="s">
        <v>13</v>
      </c>
      <c r="M135" s="243" t="s">
        <v>528</v>
      </c>
      <c r="N135" s="237" t="s">
        <v>228</v>
      </c>
      <c r="O135" s="237" t="s">
        <v>228</v>
      </c>
      <c r="P135" s="237" t="s">
        <v>231</v>
      </c>
      <c r="Q135" s="245">
        <v>45273</v>
      </c>
      <c r="R135" s="237" t="s">
        <v>309</v>
      </c>
      <c r="S135" s="331" t="s">
        <v>233</v>
      </c>
      <c r="T135" s="237">
        <v>6.8</v>
      </c>
      <c r="U135" s="237" t="s">
        <v>298</v>
      </c>
      <c r="V135" s="237" t="s">
        <v>235</v>
      </c>
      <c r="W135" s="245">
        <v>45294</v>
      </c>
      <c r="X135" s="237" t="s">
        <v>1029</v>
      </c>
      <c r="Y135" s="237" t="s">
        <v>237</v>
      </c>
      <c r="Z135" s="237" t="s">
        <v>237</v>
      </c>
      <c r="AA135" s="237" t="s">
        <v>1030</v>
      </c>
      <c r="AB135" s="337" t="s">
        <v>228</v>
      </c>
      <c r="AC135" s="237" t="s">
        <v>228</v>
      </c>
      <c r="AD135" s="562"/>
      <c r="AE135" s="555"/>
      <c r="AF135" s="237"/>
    </row>
    <row r="136" spans="1:130" ht="13.5" customHeight="1">
      <c r="A136" s="235">
        <v>134</v>
      </c>
      <c r="B136" s="237">
        <v>175</v>
      </c>
      <c r="C136" s="255" t="s">
        <v>1031</v>
      </c>
      <c r="D136" s="237" t="s">
        <v>1032</v>
      </c>
      <c r="E136" s="237">
        <v>39</v>
      </c>
      <c r="F136" s="237" t="s">
        <v>60</v>
      </c>
      <c r="G136" s="237" t="s">
        <v>1033</v>
      </c>
      <c r="H136" s="243" t="s">
        <v>3</v>
      </c>
      <c r="I136" s="243"/>
      <c r="K136" s="240" t="s">
        <v>1034</v>
      </c>
      <c r="L136" s="243" t="s">
        <v>22</v>
      </c>
      <c r="M136" s="246" t="s">
        <v>228</v>
      </c>
      <c r="N136" s="237" t="s">
        <v>228</v>
      </c>
      <c r="O136" s="237" t="s">
        <v>228</v>
      </c>
      <c r="P136" s="237" t="s">
        <v>231</v>
      </c>
      <c r="Q136" s="245">
        <v>45278</v>
      </c>
      <c r="R136" s="237" t="s">
        <v>309</v>
      </c>
      <c r="S136" s="331" t="s">
        <v>233</v>
      </c>
      <c r="T136" s="237">
        <v>7</v>
      </c>
      <c r="U136" s="237" t="s">
        <v>234</v>
      </c>
      <c r="V136" s="237" t="s">
        <v>235</v>
      </c>
      <c r="W136" s="245">
        <v>45321</v>
      </c>
      <c r="X136" s="237" t="s">
        <v>1035</v>
      </c>
      <c r="Y136" s="237" t="s">
        <v>237</v>
      </c>
      <c r="Z136" s="237" t="s">
        <v>237</v>
      </c>
      <c r="AA136" s="237" t="s">
        <v>1036</v>
      </c>
      <c r="AB136" s="337" t="s">
        <v>228</v>
      </c>
      <c r="AC136" s="237" t="s">
        <v>228</v>
      </c>
      <c r="AD136" s="562"/>
      <c r="AE136" s="555"/>
      <c r="AF136" s="237"/>
    </row>
    <row r="137" spans="1:130" ht="13.5" customHeight="1">
      <c r="A137" s="235">
        <v>135</v>
      </c>
      <c r="B137" s="237">
        <v>196</v>
      </c>
      <c r="C137" s="255" t="s">
        <v>1037</v>
      </c>
      <c r="D137" s="237" t="s">
        <v>294</v>
      </c>
      <c r="E137" s="237">
        <v>52</v>
      </c>
      <c r="F137" s="237" t="s">
        <v>60</v>
      </c>
      <c r="G137" s="237" t="s">
        <v>295</v>
      </c>
      <c r="H137" s="243" t="s">
        <v>3</v>
      </c>
      <c r="I137" s="243"/>
      <c r="K137" s="240" t="s">
        <v>1038</v>
      </c>
      <c r="L137" s="243" t="s">
        <v>55</v>
      </c>
      <c r="M137" s="246" t="s">
        <v>228</v>
      </c>
      <c r="N137" s="237" t="s">
        <v>1039</v>
      </c>
      <c r="O137" s="237" t="s">
        <v>228</v>
      </c>
      <c r="P137" s="237"/>
      <c r="Q137" s="245">
        <v>45400</v>
      </c>
      <c r="R137" s="237" t="s">
        <v>309</v>
      </c>
      <c r="S137" s="331" t="s">
        <v>233</v>
      </c>
      <c r="T137" s="237" t="s">
        <v>389</v>
      </c>
      <c r="U137" s="237" t="s">
        <v>298</v>
      </c>
      <c r="V137" s="237" t="s">
        <v>235</v>
      </c>
      <c r="W137" s="245">
        <v>45435</v>
      </c>
      <c r="X137" s="237" t="s">
        <v>1040</v>
      </c>
      <c r="Y137" s="237" t="s">
        <v>237</v>
      </c>
      <c r="Z137" s="237" t="s">
        <v>237</v>
      </c>
      <c r="AA137" s="237" t="s">
        <v>1041</v>
      </c>
      <c r="AB137" s="337" t="s">
        <v>228</v>
      </c>
      <c r="AC137" s="237" t="s">
        <v>228</v>
      </c>
      <c r="AD137" s="562"/>
      <c r="AE137" s="555"/>
      <c r="AF137" s="237"/>
    </row>
    <row r="138" spans="1:130" ht="13.5" customHeight="1">
      <c r="A138" s="235">
        <v>136</v>
      </c>
      <c r="B138" s="237">
        <v>22</v>
      </c>
      <c r="C138" s="255" t="s">
        <v>1042</v>
      </c>
      <c r="D138" s="237" t="s">
        <v>1043</v>
      </c>
      <c r="E138" s="237">
        <v>39</v>
      </c>
      <c r="F138" s="237" t="s">
        <v>60</v>
      </c>
      <c r="G138" s="237" t="s">
        <v>1044</v>
      </c>
      <c r="H138" s="243" t="s">
        <v>3</v>
      </c>
      <c r="I138" s="243"/>
      <c r="K138" s="240" t="s">
        <v>1045</v>
      </c>
      <c r="L138" s="243" t="s">
        <v>13</v>
      </c>
      <c r="M138" s="246" t="s">
        <v>228</v>
      </c>
      <c r="N138" s="237" t="s">
        <v>228</v>
      </c>
      <c r="O138" s="237" t="s">
        <v>228</v>
      </c>
      <c r="P138" s="237"/>
      <c r="Q138" s="245">
        <v>45467</v>
      </c>
      <c r="R138" s="237" t="s">
        <v>309</v>
      </c>
      <c r="S138" s="331" t="s">
        <v>233</v>
      </c>
      <c r="T138" s="237" t="s">
        <v>1046</v>
      </c>
      <c r="U138" s="237" t="s">
        <v>234</v>
      </c>
      <c r="V138" s="237" t="s">
        <v>235</v>
      </c>
      <c r="W138" s="245">
        <v>45510</v>
      </c>
      <c r="X138" s="237" t="s">
        <v>1047</v>
      </c>
      <c r="Y138" s="237" t="s">
        <v>237</v>
      </c>
      <c r="Z138" s="237" t="s">
        <v>237</v>
      </c>
      <c r="AA138" s="237" t="s">
        <v>1048</v>
      </c>
      <c r="AB138" s="337" t="s">
        <v>228</v>
      </c>
      <c r="AC138" s="237" t="s">
        <v>228</v>
      </c>
      <c r="AD138" s="562"/>
      <c r="AE138" s="555"/>
      <c r="AF138" s="237"/>
    </row>
    <row r="139" spans="1:130" ht="13.5" customHeight="1">
      <c r="A139" s="235">
        <v>137</v>
      </c>
      <c r="B139" s="237">
        <v>23</v>
      </c>
      <c r="C139" s="255" t="s">
        <v>1049</v>
      </c>
      <c r="D139" s="237" t="s">
        <v>1050</v>
      </c>
      <c r="E139" s="237">
        <v>52</v>
      </c>
      <c r="F139" s="237" t="s">
        <v>60</v>
      </c>
      <c r="G139" s="237" t="s">
        <v>1051</v>
      </c>
      <c r="H139" s="243" t="s">
        <v>3</v>
      </c>
      <c r="I139" s="243"/>
      <c r="K139" s="240" t="s">
        <v>887</v>
      </c>
      <c r="L139" s="243" t="s">
        <v>45</v>
      </c>
      <c r="M139" s="246" t="s">
        <v>228</v>
      </c>
      <c r="N139" s="237" t="s">
        <v>228</v>
      </c>
      <c r="O139" s="237" t="s">
        <v>228</v>
      </c>
      <c r="P139" s="237"/>
      <c r="Q139" s="245">
        <v>45470</v>
      </c>
      <c r="R139" s="237" t="s">
        <v>309</v>
      </c>
      <c r="S139" s="331" t="s">
        <v>233</v>
      </c>
      <c r="T139" s="237" t="s">
        <v>1052</v>
      </c>
      <c r="U139" s="237" t="s">
        <v>234</v>
      </c>
      <c r="V139" s="237" t="s">
        <v>235</v>
      </c>
      <c r="W139" s="245">
        <v>45510</v>
      </c>
      <c r="X139" s="237" t="s">
        <v>1053</v>
      </c>
      <c r="Y139" s="237" t="s">
        <v>237</v>
      </c>
      <c r="Z139" s="237" t="s">
        <v>237</v>
      </c>
      <c r="AA139" s="237" t="s">
        <v>1054</v>
      </c>
      <c r="AB139" s="337" t="s">
        <v>228</v>
      </c>
      <c r="AC139" s="237" t="s">
        <v>228</v>
      </c>
      <c r="AD139" s="562"/>
      <c r="AE139" s="555"/>
      <c r="AF139" s="237"/>
    </row>
    <row r="140" spans="1:130" ht="13.5" customHeight="1">
      <c r="A140" s="235">
        <v>138</v>
      </c>
      <c r="B140" s="237">
        <v>27</v>
      </c>
      <c r="C140" s="255" t="s">
        <v>1055</v>
      </c>
      <c r="D140" s="237" t="s">
        <v>1056</v>
      </c>
      <c r="E140" s="237">
        <v>36</v>
      </c>
      <c r="F140" s="237" t="s">
        <v>75</v>
      </c>
      <c r="G140" s="237" t="s">
        <v>1057</v>
      </c>
      <c r="H140" s="243" t="s">
        <v>3</v>
      </c>
      <c r="I140" s="243"/>
      <c r="K140" s="240" t="s">
        <v>1058</v>
      </c>
      <c r="L140" s="288" t="s">
        <v>58</v>
      </c>
      <c r="M140" s="243" t="s">
        <v>426</v>
      </c>
      <c r="N140" s="237" t="s">
        <v>228</v>
      </c>
      <c r="O140" s="237" t="s">
        <v>228</v>
      </c>
      <c r="P140" s="237"/>
      <c r="Q140" s="245">
        <v>45481</v>
      </c>
      <c r="R140" s="237" t="s">
        <v>309</v>
      </c>
      <c r="S140" s="331" t="s">
        <v>233</v>
      </c>
      <c r="T140" s="237" t="s">
        <v>1059</v>
      </c>
      <c r="U140" s="237" t="s">
        <v>234</v>
      </c>
      <c r="V140" s="237" t="s">
        <v>235</v>
      </c>
      <c r="W140" s="245">
        <v>45516</v>
      </c>
      <c r="X140" s="237" t="s">
        <v>1060</v>
      </c>
      <c r="Y140" s="237" t="s">
        <v>237</v>
      </c>
      <c r="Z140" s="237" t="s">
        <v>237</v>
      </c>
      <c r="AA140" s="237" t="s">
        <v>1061</v>
      </c>
      <c r="AB140" s="337" t="s">
        <v>228</v>
      </c>
      <c r="AC140" s="237" t="s">
        <v>228</v>
      </c>
      <c r="AD140" s="562"/>
      <c r="AE140" s="555"/>
      <c r="AF140" s="237"/>
    </row>
    <row r="141" spans="1:130" ht="13.5" customHeight="1">
      <c r="A141" s="235">
        <v>139</v>
      </c>
      <c r="B141" s="237">
        <v>21</v>
      </c>
      <c r="C141" s="255" t="s">
        <v>1062</v>
      </c>
      <c r="D141" s="237" t="s">
        <v>1063</v>
      </c>
      <c r="E141" s="237">
        <v>54</v>
      </c>
      <c r="F141" s="237" t="s">
        <v>60</v>
      </c>
      <c r="G141" s="237" t="s">
        <v>1064</v>
      </c>
      <c r="H141" s="243" t="s">
        <v>3</v>
      </c>
      <c r="I141" s="243"/>
      <c r="K141" s="240" t="s">
        <v>1065</v>
      </c>
      <c r="L141" s="243" t="s">
        <v>41</v>
      </c>
      <c r="M141" s="243" t="s">
        <v>1066</v>
      </c>
      <c r="N141" s="237" t="s">
        <v>228</v>
      </c>
      <c r="O141" s="237" t="s">
        <v>228</v>
      </c>
      <c r="P141" s="237"/>
      <c r="Q141" s="245">
        <v>45490</v>
      </c>
      <c r="R141" s="237" t="s">
        <v>309</v>
      </c>
      <c r="S141" s="331" t="s">
        <v>233</v>
      </c>
      <c r="T141" s="237" t="s">
        <v>410</v>
      </c>
      <c r="U141" s="237" t="s">
        <v>234</v>
      </c>
      <c r="V141" s="237" t="s">
        <v>235</v>
      </c>
      <c r="W141" s="245">
        <v>45527</v>
      </c>
      <c r="X141" s="237" t="s">
        <v>1067</v>
      </c>
      <c r="Y141" s="237" t="s">
        <v>237</v>
      </c>
      <c r="Z141" s="237" t="s">
        <v>237</v>
      </c>
      <c r="AA141" s="237" t="s">
        <v>1068</v>
      </c>
      <c r="AB141" s="337" t="s">
        <v>228</v>
      </c>
      <c r="AC141" s="237" t="s">
        <v>228</v>
      </c>
      <c r="AD141" s="562"/>
      <c r="AE141" s="555"/>
      <c r="AF141" s="237"/>
    </row>
    <row r="142" spans="1:130" ht="13.5" customHeight="1">
      <c r="A142" s="235">
        <v>140</v>
      </c>
      <c r="B142" s="237">
        <v>211</v>
      </c>
      <c r="C142" s="255" t="s">
        <v>1069</v>
      </c>
      <c r="D142" s="237" t="s">
        <v>1070</v>
      </c>
      <c r="E142" s="237">
        <v>62</v>
      </c>
      <c r="F142" s="237" t="s">
        <v>60</v>
      </c>
      <c r="G142" s="237" t="s">
        <v>1071</v>
      </c>
      <c r="H142" s="243" t="s">
        <v>3</v>
      </c>
      <c r="I142" s="243"/>
      <c r="K142" s="240" t="s">
        <v>925</v>
      </c>
      <c r="L142" s="243" t="s">
        <v>926</v>
      </c>
      <c r="M142" s="243" t="s">
        <v>528</v>
      </c>
      <c r="N142" s="237" t="s">
        <v>228</v>
      </c>
      <c r="O142" s="237" t="s">
        <v>228</v>
      </c>
      <c r="P142" s="237"/>
      <c r="Q142" s="245">
        <v>45495</v>
      </c>
      <c r="R142" s="237" t="s">
        <v>309</v>
      </c>
      <c r="S142" s="331" t="s">
        <v>233</v>
      </c>
      <c r="T142" s="237" t="s">
        <v>1072</v>
      </c>
      <c r="U142" s="237" t="s">
        <v>234</v>
      </c>
      <c r="V142" s="237" t="s">
        <v>235</v>
      </c>
      <c r="W142" s="245">
        <v>45530</v>
      </c>
      <c r="X142" s="237" t="s">
        <v>1073</v>
      </c>
      <c r="Y142" s="237" t="s">
        <v>237</v>
      </c>
      <c r="Z142" s="237" t="s">
        <v>237</v>
      </c>
      <c r="AA142" s="237" t="s">
        <v>1074</v>
      </c>
      <c r="AB142" s="337" t="s">
        <v>228</v>
      </c>
      <c r="AC142" s="237" t="s">
        <v>228</v>
      </c>
      <c r="AD142" s="562"/>
      <c r="AE142" s="555"/>
      <c r="AF142" s="237"/>
    </row>
    <row r="143" spans="1:130" s="306" customFormat="1" ht="13.5" customHeight="1">
      <c r="A143" s="306">
        <v>141</v>
      </c>
      <c r="B143" s="264">
        <v>224</v>
      </c>
      <c r="C143" s="307" t="s">
        <v>1075</v>
      </c>
      <c r="D143" s="264" t="s">
        <v>1076</v>
      </c>
      <c r="E143" s="264">
        <v>27</v>
      </c>
      <c r="F143" s="264" t="s">
        <v>60</v>
      </c>
      <c r="G143" s="264" t="s">
        <v>1077</v>
      </c>
      <c r="H143" s="289" t="s">
        <v>3</v>
      </c>
      <c r="I143" s="289"/>
      <c r="K143" s="290" t="s">
        <v>1078</v>
      </c>
      <c r="L143" s="289" t="s">
        <v>22</v>
      </c>
      <c r="M143" s="313" t="s">
        <v>228</v>
      </c>
      <c r="N143" s="264"/>
      <c r="O143" s="264"/>
      <c r="P143" s="264"/>
      <c r="Q143" s="314">
        <v>45530</v>
      </c>
      <c r="R143" s="264" t="s">
        <v>309</v>
      </c>
      <c r="S143" s="366" t="s">
        <v>233</v>
      </c>
      <c r="T143" s="264">
        <v>8.3000000000000007</v>
      </c>
      <c r="U143" s="264" t="s">
        <v>234</v>
      </c>
      <c r="V143" s="264" t="s">
        <v>235</v>
      </c>
      <c r="W143" s="314">
        <v>45593</v>
      </c>
      <c r="X143" s="264" t="s">
        <v>1079</v>
      </c>
      <c r="Y143" s="264" t="s">
        <v>237</v>
      </c>
      <c r="Z143" s="264" t="s">
        <v>237</v>
      </c>
      <c r="AA143" s="264" t="s">
        <v>1080</v>
      </c>
      <c r="AB143" s="364" t="s">
        <v>237</v>
      </c>
      <c r="AC143" s="264" t="s">
        <v>228</v>
      </c>
      <c r="AD143" s="565"/>
      <c r="AE143" s="557"/>
      <c r="AF143" s="264"/>
      <c r="AG143" s="309"/>
      <c r="AH143" s="309"/>
      <c r="AI143" s="309"/>
      <c r="AJ143" s="309"/>
      <c r="AK143" s="309"/>
      <c r="AL143" s="309"/>
      <c r="AM143" s="309"/>
      <c r="AN143" s="309"/>
      <c r="AO143" s="309"/>
      <c r="AP143" s="309"/>
      <c r="AQ143" s="309"/>
      <c r="AR143" s="309"/>
      <c r="AS143" s="309"/>
      <c r="AT143" s="309"/>
      <c r="AU143" s="309"/>
      <c r="AV143" s="309"/>
      <c r="AW143" s="309"/>
      <c r="AX143" s="309"/>
      <c r="AY143" s="309"/>
      <c r="AZ143" s="309"/>
      <c r="BA143" s="309"/>
      <c r="BB143" s="309"/>
      <c r="BC143" s="309"/>
      <c r="BD143" s="309"/>
      <c r="BE143" s="309"/>
      <c r="BF143" s="309"/>
      <c r="BG143" s="309"/>
      <c r="BH143" s="309"/>
      <c r="BI143" s="309"/>
      <c r="BJ143" s="309"/>
      <c r="BK143" s="309"/>
      <c r="BL143" s="309"/>
      <c r="BM143" s="309"/>
      <c r="BN143" s="309"/>
      <c r="BO143" s="309"/>
      <c r="BP143" s="309"/>
      <c r="BQ143" s="309"/>
      <c r="BR143" s="309"/>
      <c r="BS143" s="309"/>
      <c r="BT143" s="309"/>
      <c r="BU143" s="309"/>
      <c r="BV143" s="309"/>
      <c r="BW143" s="309"/>
      <c r="BX143" s="309"/>
      <c r="BY143" s="309"/>
      <c r="BZ143" s="309"/>
      <c r="CA143" s="309"/>
      <c r="CB143" s="309"/>
      <c r="CC143" s="309"/>
      <c r="CD143" s="309"/>
      <c r="CE143" s="309"/>
      <c r="CF143" s="309"/>
      <c r="CG143" s="309"/>
      <c r="CH143" s="309"/>
      <c r="CI143" s="309"/>
      <c r="CJ143" s="309"/>
      <c r="CK143" s="309"/>
      <c r="CL143" s="309"/>
      <c r="CM143" s="309"/>
      <c r="CN143" s="309"/>
      <c r="CO143" s="309"/>
      <c r="CP143" s="309"/>
      <c r="CQ143" s="309"/>
      <c r="CR143" s="309"/>
      <c r="CS143" s="309"/>
      <c r="CT143" s="309"/>
      <c r="CU143" s="309"/>
      <c r="CV143" s="309"/>
      <c r="CW143" s="309"/>
      <c r="CX143" s="309"/>
      <c r="CY143" s="309"/>
      <c r="CZ143" s="309"/>
      <c r="DA143" s="309"/>
      <c r="DB143" s="309"/>
      <c r="DC143" s="309"/>
      <c r="DD143" s="309"/>
      <c r="DE143" s="309"/>
      <c r="DF143" s="309"/>
      <c r="DG143" s="309"/>
      <c r="DH143" s="309"/>
      <c r="DI143" s="309"/>
      <c r="DJ143" s="309"/>
      <c r="DK143" s="309"/>
      <c r="DL143" s="309"/>
      <c r="DM143" s="309"/>
      <c r="DN143" s="309"/>
      <c r="DO143" s="309"/>
      <c r="DP143" s="309"/>
      <c r="DQ143" s="309"/>
      <c r="DR143" s="309"/>
      <c r="DS143" s="309"/>
      <c r="DT143" s="309"/>
      <c r="DU143" s="309"/>
      <c r="DV143" s="309"/>
      <c r="DW143" s="309"/>
      <c r="DX143" s="309"/>
      <c r="DY143" s="309"/>
      <c r="DZ143" s="310"/>
    </row>
    <row r="144" spans="1:130" ht="13.5" customHeight="1">
      <c r="A144" s="235">
        <v>142</v>
      </c>
      <c r="B144" s="237">
        <v>225</v>
      </c>
      <c r="C144" s="255" t="s">
        <v>1081</v>
      </c>
      <c r="D144" s="237" t="s">
        <v>1082</v>
      </c>
      <c r="E144" s="237">
        <v>76</v>
      </c>
      <c r="F144" s="237" t="s">
        <v>60</v>
      </c>
      <c r="G144" s="237" t="s">
        <v>1083</v>
      </c>
      <c r="H144" s="243" t="s">
        <v>3</v>
      </c>
      <c r="I144" s="243"/>
      <c r="K144" s="243" t="s">
        <v>151</v>
      </c>
      <c r="L144" s="243" t="s">
        <v>11</v>
      </c>
      <c r="M144" s="243" t="s">
        <v>528</v>
      </c>
      <c r="N144" s="237"/>
      <c r="O144" s="237"/>
      <c r="P144" s="237"/>
      <c r="Q144" s="245">
        <v>45540</v>
      </c>
      <c r="R144" s="237" t="s">
        <v>309</v>
      </c>
      <c r="S144" s="331" t="s">
        <v>233</v>
      </c>
      <c r="T144" s="237">
        <v>7.8</v>
      </c>
      <c r="U144" s="237" t="s">
        <v>298</v>
      </c>
      <c r="V144" s="237" t="s">
        <v>235</v>
      </c>
      <c r="W144" s="245">
        <v>45593</v>
      </c>
      <c r="X144" s="237" t="s">
        <v>1084</v>
      </c>
      <c r="Y144" s="237" t="s">
        <v>237</v>
      </c>
      <c r="Z144" s="237" t="s">
        <v>237</v>
      </c>
      <c r="AA144" s="237" t="s">
        <v>1085</v>
      </c>
      <c r="AB144" s="337" t="s">
        <v>237</v>
      </c>
      <c r="AC144" s="237" t="s">
        <v>353</v>
      </c>
      <c r="AD144" s="562">
        <v>45604</v>
      </c>
      <c r="AE144" s="553"/>
      <c r="AF144" s="237"/>
    </row>
    <row r="145" spans="1:32" ht="13.5" customHeight="1">
      <c r="A145" s="235">
        <v>143</v>
      </c>
      <c r="B145" s="237">
        <v>251</v>
      </c>
      <c r="C145" s="243" t="s">
        <v>1086</v>
      </c>
      <c r="D145" s="237" t="s">
        <v>1087</v>
      </c>
      <c r="E145" s="237">
        <v>52</v>
      </c>
      <c r="F145" s="237" t="s">
        <v>424</v>
      </c>
      <c r="G145" s="237" t="s">
        <v>1088</v>
      </c>
      <c r="H145" s="243" t="s">
        <v>3</v>
      </c>
      <c r="I145" s="243"/>
      <c r="K145" s="240" t="s">
        <v>1089</v>
      </c>
      <c r="L145" s="243" t="s">
        <v>13</v>
      </c>
      <c r="M145" s="246" t="s">
        <v>228</v>
      </c>
      <c r="N145" s="237"/>
      <c r="O145" s="237"/>
      <c r="P145" s="237"/>
      <c r="Q145" s="245">
        <v>45590</v>
      </c>
      <c r="R145" s="237" t="s">
        <v>309</v>
      </c>
      <c r="S145" s="331" t="s">
        <v>233</v>
      </c>
      <c r="T145" s="237">
        <v>7.7</v>
      </c>
      <c r="U145" s="237" t="s">
        <v>298</v>
      </c>
      <c r="V145" s="237" t="s">
        <v>235</v>
      </c>
      <c r="W145" s="245">
        <v>45631</v>
      </c>
      <c r="X145" s="237" t="s">
        <v>1090</v>
      </c>
      <c r="Y145" s="237" t="s">
        <v>237</v>
      </c>
      <c r="Z145" s="237" t="s">
        <v>237</v>
      </c>
      <c r="AA145" s="237" t="s">
        <v>1091</v>
      </c>
      <c r="AB145" s="337" t="s">
        <v>237</v>
      </c>
      <c r="AC145" s="55" t="s">
        <v>353</v>
      </c>
      <c r="AD145" s="563">
        <v>45639</v>
      </c>
      <c r="AE145" s="550"/>
      <c r="AF145" s="237"/>
    </row>
    <row r="146" spans="1:32" ht="13.5" customHeight="1">
      <c r="A146" s="235">
        <v>144</v>
      </c>
      <c r="B146" s="237">
        <v>263</v>
      </c>
      <c r="C146" s="256" t="s">
        <v>1092</v>
      </c>
      <c r="D146" s="237" t="s">
        <v>1093</v>
      </c>
      <c r="E146" s="237">
        <v>35</v>
      </c>
      <c r="F146" s="237" t="s">
        <v>75</v>
      </c>
      <c r="G146" s="237" t="s">
        <v>1094</v>
      </c>
      <c r="H146" s="243" t="s">
        <v>3</v>
      </c>
      <c r="I146" s="243"/>
      <c r="J146" s="235" t="s">
        <v>620</v>
      </c>
      <c r="K146" s="240" t="s">
        <v>994</v>
      </c>
      <c r="L146" s="243" t="s">
        <v>19</v>
      </c>
      <c r="M146" s="246" t="s">
        <v>228</v>
      </c>
      <c r="N146" s="237"/>
      <c r="O146" s="237"/>
      <c r="P146" s="237"/>
      <c r="Q146" s="245">
        <v>45604</v>
      </c>
      <c r="R146" s="237" t="s">
        <v>309</v>
      </c>
      <c r="S146" s="331" t="s">
        <v>233</v>
      </c>
      <c r="T146" s="237" t="s">
        <v>228</v>
      </c>
      <c r="U146" s="237" t="s">
        <v>234</v>
      </c>
      <c r="V146" s="237" t="s">
        <v>235</v>
      </c>
      <c r="W146" s="245">
        <v>45659</v>
      </c>
      <c r="X146" s="237" t="s">
        <v>1095</v>
      </c>
      <c r="Y146" s="237" t="s">
        <v>237</v>
      </c>
      <c r="Z146" s="237" t="s">
        <v>237</v>
      </c>
      <c r="AA146" s="237" t="s">
        <v>1096</v>
      </c>
      <c r="AB146" s="337" t="s">
        <v>237</v>
      </c>
      <c r="AC146" s="237" t="s">
        <v>228</v>
      </c>
      <c r="AD146" s="566"/>
      <c r="AE146" s="551"/>
      <c r="AF146" s="237"/>
    </row>
    <row r="147" spans="1:32" ht="13.5" customHeight="1">
      <c r="A147" s="235">
        <v>145</v>
      </c>
      <c r="B147" s="237">
        <v>29</v>
      </c>
      <c r="C147" s="256" t="s">
        <v>1097</v>
      </c>
      <c r="D147" s="237" t="s">
        <v>1098</v>
      </c>
      <c r="E147" s="237">
        <v>44</v>
      </c>
      <c r="F147" s="237" t="s">
        <v>1099</v>
      </c>
      <c r="G147" s="237" t="s">
        <v>1100</v>
      </c>
      <c r="H147" s="243" t="s">
        <v>3</v>
      </c>
      <c r="I147" s="243"/>
      <c r="K147" s="240" t="s">
        <v>1101</v>
      </c>
      <c r="L147" s="243" t="s">
        <v>1102</v>
      </c>
      <c r="M147" s="246" t="s">
        <v>228</v>
      </c>
      <c r="N147" s="237"/>
      <c r="O147" s="237"/>
      <c r="P147" s="237"/>
      <c r="Q147" s="245">
        <v>45607</v>
      </c>
      <c r="R147" s="237" t="s">
        <v>309</v>
      </c>
      <c r="S147" s="331" t="s">
        <v>233</v>
      </c>
      <c r="T147" s="237">
        <v>8.1999999999999993</v>
      </c>
      <c r="U147" s="237" t="s">
        <v>1103</v>
      </c>
      <c r="V147" s="237" t="s">
        <v>235</v>
      </c>
      <c r="W147" s="245">
        <v>45677</v>
      </c>
      <c r="X147" s="237" t="s">
        <v>1104</v>
      </c>
      <c r="Y147" s="237" t="s">
        <v>237</v>
      </c>
      <c r="Z147" s="237" t="s">
        <v>237</v>
      </c>
      <c r="AA147" s="237" t="s">
        <v>1105</v>
      </c>
      <c r="AB147" s="337" t="s">
        <v>237</v>
      </c>
      <c r="AC147" s="55" t="s">
        <v>874</v>
      </c>
      <c r="AD147" s="566"/>
      <c r="AE147" s="551"/>
      <c r="AF147" s="237"/>
    </row>
    <row r="148" spans="1:32" ht="13.5" customHeight="1">
      <c r="A148" s="235">
        <v>146</v>
      </c>
      <c r="B148" s="237">
        <v>323</v>
      </c>
      <c r="C148" s="243" t="s">
        <v>1106</v>
      </c>
      <c r="D148" s="237" t="s">
        <v>1107</v>
      </c>
      <c r="E148" s="237">
        <v>77</v>
      </c>
      <c r="F148" s="237" t="s">
        <v>60</v>
      </c>
      <c r="G148" s="237" t="s">
        <v>1108</v>
      </c>
      <c r="H148" s="243" t="s">
        <v>3</v>
      </c>
      <c r="I148" s="243"/>
      <c r="K148" s="240" t="s">
        <v>1109</v>
      </c>
      <c r="L148" s="243" t="s">
        <v>41</v>
      </c>
      <c r="M148" s="243" t="s">
        <v>1110</v>
      </c>
      <c r="N148" s="237"/>
      <c r="O148" s="237"/>
      <c r="P148" s="237"/>
      <c r="Q148" s="245">
        <v>45636</v>
      </c>
      <c r="R148" s="237" t="s">
        <v>309</v>
      </c>
      <c r="S148" s="331" t="s">
        <v>233</v>
      </c>
      <c r="T148" s="237">
        <v>8.6999999999999993</v>
      </c>
      <c r="U148" s="237" t="s">
        <v>298</v>
      </c>
      <c r="V148" s="237" t="s">
        <v>235</v>
      </c>
      <c r="W148" s="245">
        <v>45677</v>
      </c>
      <c r="X148" s="237" t="s">
        <v>1111</v>
      </c>
      <c r="Y148" s="237" t="s">
        <v>237</v>
      </c>
      <c r="Z148" s="237" t="s">
        <v>237</v>
      </c>
      <c r="AA148" s="237" t="s">
        <v>1112</v>
      </c>
      <c r="AB148" s="337" t="s">
        <v>237</v>
      </c>
      <c r="AC148" s="55" t="s">
        <v>353</v>
      </c>
      <c r="AD148" s="563">
        <v>45679</v>
      </c>
      <c r="AE148" s="550"/>
      <c r="AF148" s="237"/>
    </row>
    <row r="149" spans="1:32" ht="13.5" customHeight="1">
      <c r="A149" s="235">
        <v>147</v>
      </c>
      <c r="B149" s="237" t="s">
        <v>1113</v>
      </c>
      <c r="C149" s="243" t="s">
        <v>1114</v>
      </c>
      <c r="D149" s="237" t="s">
        <v>1115</v>
      </c>
      <c r="E149" s="237">
        <v>45</v>
      </c>
      <c r="F149" s="237" t="s">
        <v>75</v>
      </c>
      <c r="G149" s="237" t="s">
        <v>1116</v>
      </c>
      <c r="H149" s="243" t="s">
        <v>3</v>
      </c>
      <c r="I149" s="243"/>
      <c r="J149" s="235" t="s">
        <v>620</v>
      </c>
      <c r="K149" s="240" t="s">
        <v>887</v>
      </c>
      <c r="L149" s="243" t="s">
        <v>1117</v>
      </c>
      <c r="M149" s="246" t="s">
        <v>228</v>
      </c>
      <c r="N149" s="237"/>
      <c r="O149" s="237"/>
      <c r="P149" s="237"/>
      <c r="Q149" s="245">
        <v>45631</v>
      </c>
      <c r="R149" s="237" t="s">
        <v>309</v>
      </c>
      <c r="S149" s="331" t="s">
        <v>233</v>
      </c>
      <c r="T149" s="237" t="s">
        <v>228</v>
      </c>
      <c r="U149" s="237" t="s">
        <v>234</v>
      </c>
      <c r="V149" s="237" t="s">
        <v>652</v>
      </c>
      <c r="W149" s="245">
        <v>45734</v>
      </c>
      <c r="X149" s="237" t="s">
        <v>1118</v>
      </c>
      <c r="Y149" s="237" t="s">
        <v>237</v>
      </c>
      <c r="Z149" s="237" t="s">
        <v>237</v>
      </c>
      <c r="AA149" s="237" t="s">
        <v>1119</v>
      </c>
      <c r="AB149" s="337" t="s">
        <v>228</v>
      </c>
      <c r="AC149" s="237" t="s">
        <v>228</v>
      </c>
      <c r="AD149" s="563"/>
      <c r="AE149" s="550"/>
      <c r="AF149" s="237"/>
    </row>
    <row r="150" spans="1:32" ht="13.5" customHeight="1">
      <c r="A150" s="235">
        <v>148</v>
      </c>
      <c r="B150" s="237">
        <v>195</v>
      </c>
      <c r="C150" s="243" t="s">
        <v>1120</v>
      </c>
      <c r="D150" s="237" t="s">
        <v>1121</v>
      </c>
      <c r="E150" s="237">
        <v>67</v>
      </c>
      <c r="F150" s="237" t="s">
        <v>60</v>
      </c>
      <c r="G150" s="237" t="s">
        <v>1122</v>
      </c>
      <c r="H150" s="243" t="s">
        <v>3</v>
      </c>
      <c r="I150" s="243"/>
      <c r="J150" s="235" t="s">
        <v>620</v>
      </c>
      <c r="K150" s="240" t="s">
        <v>1123</v>
      </c>
      <c r="L150" s="243" t="s">
        <v>926</v>
      </c>
      <c r="M150" s="246" t="s">
        <v>228</v>
      </c>
      <c r="N150" s="237"/>
      <c r="O150" s="237"/>
      <c r="P150" s="237"/>
      <c r="Q150" s="245">
        <v>45624</v>
      </c>
      <c r="R150" s="237" t="s">
        <v>309</v>
      </c>
      <c r="S150" s="331" t="s">
        <v>233</v>
      </c>
      <c r="T150" s="237" t="s">
        <v>228</v>
      </c>
      <c r="U150" s="237" t="s">
        <v>234</v>
      </c>
      <c r="V150" s="237" t="s">
        <v>473</v>
      </c>
      <c r="W150" s="245">
        <v>45768</v>
      </c>
      <c r="X150" s="237" t="s">
        <v>1124</v>
      </c>
      <c r="Y150" s="237" t="s">
        <v>237</v>
      </c>
      <c r="Z150" s="237" t="s">
        <v>228</v>
      </c>
      <c r="AA150" s="237" t="s">
        <v>1125</v>
      </c>
      <c r="AB150" s="337" t="s">
        <v>228</v>
      </c>
      <c r="AC150" s="237" t="s">
        <v>228</v>
      </c>
      <c r="AD150" s="562"/>
      <c r="AE150" s="550"/>
      <c r="AF150" s="237"/>
    </row>
    <row r="151" spans="1:32" ht="13.5" customHeight="1">
      <c r="A151" s="235">
        <v>149</v>
      </c>
      <c r="B151" s="237">
        <v>196</v>
      </c>
      <c r="C151" s="243" t="s">
        <v>1126</v>
      </c>
      <c r="D151" s="237" t="s">
        <v>1127</v>
      </c>
      <c r="E151" s="237">
        <v>40</v>
      </c>
      <c r="F151" s="237" t="s">
        <v>75</v>
      </c>
      <c r="G151" s="237" t="s">
        <v>1128</v>
      </c>
      <c r="H151" s="243" t="s">
        <v>3</v>
      </c>
      <c r="I151" s="243"/>
      <c r="J151" s="235" t="s">
        <v>620</v>
      </c>
      <c r="K151" s="240" t="s">
        <v>1129</v>
      </c>
      <c r="L151" s="243" t="s">
        <v>59</v>
      </c>
      <c r="M151" s="246" t="s">
        <v>228</v>
      </c>
      <c r="N151" s="237"/>
      <c r="O151" s="237"/>
      <c r="P151" s="237"/>
      <c r="Q151" s="245">
        <v>45625</v>
      </c>
      <c r="R151" s="237" t="s">
        <v>309</v>
      </c>
      <c r="S151" s="331" t="s">
        <v>233</v>
      </c>
      <c r="T151" s="237" t="s">
        <v>228</v>
      </c>
      <c r="U151" s="237" t="s">
        <v>234</v>
      </c>
      <c r="V151" s="237" t="s">
        <v>473</v>
      </c>
      <c r="W151" s="245">
        <v>45768</v>
      </c>
      <c r="X151" s="237" t="s">
        <v>1130</v>
      </c>
      <c r="Y151" s="237" t="s">
        <v>237</v>
      </c>
      <c r="Z151" s="237" t="s">
        <v>237</v>
      </c>
      <c r="AA151" s="237" t="s">
        <v>1131</v>
      </c>
      <c r="AB151" s="337" t="s">
        <v>228</v>
      </c>
      <c r="AC151" s="237" t="s">
        <v>228</v>
      </c>
      <c r="AD151" s="562"/>
      <c r="AE151" s="550"/>
      <c r="AF151" s="237"/>
    </row>
    <row r="152" spans="1:32" ht="13.5" customHeight="1">
      <c r="A152" s="235">
        <v>150</v>
      </c>
      <c r="B152" s="237">
        <v>198</v>
      </c>
      <c r="C152" s="243" t="s">
        <v>1132</v>
      </c>
      <c r="D152" s="237" t="s">
        <v>1133</v>
      </c>
      <c r="E152" s="237">
        <v>72</v>
      </c>
      <c r="F152" s="237" t="s">
        <v>60</v>
      </c>
      <c r="G152" s="237" t="s">
        <v>1134</v>
      </c>
      <c r="H152" s="243" t="s">
        <v>3</v>
      </c>
      <c r="I152" s="243"/>
      <c r="J152" s="235" t="s">
        <v>620</v>
      </c>
      <c r="K152" s="240" t="s">
        <v>1135</v>
      </c>
      <c r="L152" s="243" t="s">
        <v>55</v>
      </c>
      <c r="M152" s="246" t="s">
        <v>228</v>
      </c>
      <c r="N152" s="237"/>
      <c r="O152" s="237"/>
      <c r="P152" s="237"/>
      <c r="Q152" s="245">
        <v>45628</v>
      </c>
      <c r="R152" s="237" t="s">
        <v>309</v>
      </c>
      <c r="S152" s="331" t="s">
        <v>233</v>
      </c>
      <c r="T152" s="237" t="s">
        <v>228</v>
      </c>
      <c r="U152" s="237" t="s">
        <v>234</v>
      </c>
      <c r="V152" s="237" t="s">
        <v>473</v>
      </c>
      <c r="W152" s="245">
        <v>45768</v>
      </c>
      <c r="X152" s="237" t="s">
        <v>1136</v>
      </c>
      <c r="Y152" s="237" t="s">
        <v>237</v>
      </c>
      <c r="Z152" s="237" t="s">
        <v>228</v>
      </c>
      <c r="AA152" s="237" t="s">
        <v>1137</v>
      </c>
      <c r="AB152" s="337" t="s">
        <v>228</v>
      </c>
      <c r="AC152" s="237" t="s">
        <v>228</v>
      </c>
      <c r="AD152" s="562"/>
      <c r="AE152" s="550"/>
      <c r="AF152" s="237"/>
    </row>
    <row r="153" spans="1:32" ht="13.5" customHeight="1">
      <c r="A153" s="235">
        <v>151</v>
      </c>
      <c r="B153" s="237">
        <v>199</v>
      </c>
      <c r="C153" s="243" t="s">
        <v>1138</v>
      </c>
      <c r="D153" s="237" t="s">
        <v>1139</v>
      </c>
      <c r="E153" s="237">
        <v>71</v>
      </c>
      <c r="F153" s="237" t="s">
        <v>60</v>
      </c>
      <c r="G153" s="237" t="s">
        <v>1140</v>
      </c>
      <c r="H153" s="243" t="s">
        <v>3</v>
      </c>
      <c r="I153" s="243"/>
      <c r="J153" s="235" t="s">
        <v>620</v>
      </c>
      <c r="K153" s="240" t="s">
        <v>903</v>
      </c>
      <c r="L153" s="243" t="s">
        <v>45</v>
      </c>
      <c r="M153" s="246" t="s">
        <v>228</v>
      </c>
      <c r="N153" s="237"/>
      <c r="O153" s="237"/>
      <c r="P153" s="237"/>
      <c r="Q153" s="245">
        <v>45629</v>
      </c>
      <c r="R153" s="237" t="s">
        <v>309</v>
      </c>
      <c r="S153" s="331" t="s">
        <v>233</v>
      </c>
      <c r="T153" s="237" t="s">
        <v>228</v>
      </c>
      <c r="U153" s="237" t="s">
        <v>234</v>
      </c>
      <c r="V153" s="237" t="s">
        <v>473</v>
      </c>
      <c r="W153" s="245">
        <v>45768</v>
      </c>
      <c r="X153" s="237" t="s">
        <v>1141</v>
      </c>
      <c r="Y153" s="237" t="s">
        <v>237</v>
      </c>
      <c r="Z153" s="237" t="s">
        <v>228</v>
      </c>
      <c r="AA153" s="237" t="s">
        <v>1142</v>
      </c>
      <c r="AB153" s="337" t="s">
        <v>228</v>
      </c>
      <c r="AC153" s="237" t="s">
        <v>228</v>
      </c>
      <c r="AD153" s="562"/>
      <c r="AE153" s="550"/>
      <c r="AF153" s="237"/>
    </row>
    <row r="154" spans="1:32" ht="13.5" customHeight="1">
      <c r="A154" s="235">
        <v>152</v>
      </c>
      <c r="B154" s="237">
        <v>2</v>
      </c>
      <c r="C154" s="243" t="s">
        <v>1143</v>
      </c>
      <c r="D154" s="237" t="s">
        <v>1144</v>
      </c>
      <c r="E154" s="237">
        <v>70</v>
      </c>
      <c r="F154" s="237" t="s">
        <v>60</v>
      </c>
      <c r="G154" s="237" t="s">
        <v>1145</v>
      </c>
      <c r="H154" s="243" t="s">
        <v>3</v>
      </c>
      <c r="I154" s="243"/>
      <c r="J154" s="235" t="s">
        <v>620</v>
      </c>
      <c r="K154" s="240" t="s">
        <v>123</v>
      </c>
      <c r="L154" s="243" t="s">
        <v>55</v>
      </c>
      <c r="M154" s="246" t="s">
        <v>228</v>
      </c>
      <c r="N154" s="237"/>
      <c r="O154" s="237"/>
      <c r="P154" s="237"/>
      <c r="Q154" s="245">
        <v>45631</v>
      </c>
      <c r="R154" s="237" t="s">
        <v>309</v>
      </c>
      <c r="S154" s="331" t="s">
        <v>233</v>
      </c>
      <c r="T154" s="237" t="s">
        <v>228</v>
      </c>
      <c r="U154" s="237" t="s">
        <v>234</v>
      </c>
      <c r="V154" s="237" t="s">
        <v>473</v>
      </c>
      <c r="W154" s="245">
        <v>45768</v>
      </c>
      <c r="X154" s="237" t="s">
        <v>1146</v>
      </c>
      <c r="Y154" s="237" t="s">
        <v>237</v>
      </c>
      <c r="Z154" s="237" t="s">
        <v>237</v>
      </c>
      <c r="AA154" s="237" t="s">
        <v>1147</v>
      </c>
      <c r="AB154" s="337" t="s">
        <v>228</v>
      </c>
      <c r="AC154" s="237" t="s">
        <v>228</v>
      </c>
      <c r="AD154" s="562"/>
      <c r="AE154" s="550"/>
      <c r="AF154" s="237"/>
    </row>
    <row r="155" spans="1:32" ht="13.5" customHeight="1">
      <c r="A155" s="235">
        <v>153</v>
      </c>
      <c r="B155" s="237">
        <v>22</v>
      </c>
      <c r="C155" s="243" t="s">
        <v>1148</v>
      </c>
      <c r="D155" s="237" t="s">
        <v>1149</v>
      </c>
      <c r="E155" s="237">
        <v>53</v>
      </c>
      <c r="F155" s="237" t="s">
        <v>75</v>
      </c>
      <c r="G155" s="237" t="s">
        <v>1150</v>
      </c>
      <c r="H155" s="243" t="s">
        <v>3</v>
      </c>
      <c r="I155" s="243"/>
      <c r="J155" s="235" t="s">
        <v>620</v>
      </c>
      <c r="K155" s="240" t="s">
        <v>1151</v>
      </c>
      <c r="L155" s="243" t="s">
        <v>19</v>
      </c>
      <c r="M155" s="246" t="s">
        <v>228</v>
      </c>
      <c r="N155" s="237"/>
      <c r="O155" s="237"/>
      <c r="P155" s="237"/>
      <c r="Q155" s="245">
        <v>45632</v>
      </c>
      <c r="R155" s="237" t="s">
        <v>309</v>
      </c>
      <c r="S155" s="331" t="s">
        <v>233</v>
      </c>
      <c r="T155" s="237" t="s">
        <v>228</v>
      </c>
      <c r="U155" s="237" t="s">
        <v>234</v>
      </c>
      <c r="V155" s="237" t="s">
        <v>473</v>
      </c>
      <c r="W155" s="245">
        <v>45768</v>
      </c>
      <c r="X155" s="237" t="s">
        <v>1152</v>
      </c>
      <c r="Y155" s="237" t="s">
        <v>237</v>
      </c>
      <c r="Z155" s="237" t="s">
        <v>237</v>
      </c>
      <c r="AA155" s="237" t="s">
        <v>1153</v>
      </c>
      <c r="AB155" s="337" t="s">
        <v>228</v>
      </c>
      <c r="AC155" s="237" t="s">
        <v>228</v>
      </c>
      <c r="AD155" s="562"/>
      <c r="AE155" s="550"/>
      <c r="AF155" s="237"/>
    </row>
    <row r="156" spans="1:32" ht="13.5" customHeight="1">
      <c r="A156" s="235">
        <v>154</v>
      </c>
      <c r="B156" s="237">
        <v>23</v>
      </c>
      <c r="C156" s="243" t="s">
        <v>1154</v>
      </c>
      <c r="D156" s="237" t="s">
        <v>1155</v>
      </c>
      <c r="E156" s="237">
        <v>68</v>
      </c>
      <c r="F156" s="237" t="s">
        <v>75</v>
      </c>
      <c r="G156" s="237" t="s">
        <v>1156</v>
      </c>
      <c r="H156" s="243" t="s">
        <v>3</v>
      </c>
      <c r="I156" s="243"/>
      <c r="J156" s="235" t="s">
        <v>620</v>
      </c>
      <c r="K156" s="240" t="s">
        <v>1157</v>
      </c>
      <c r="L156" s="72" t="s">
        <v>16</v>
      </c>
      <c r="M156" s="246" t="s">
        <v>228</v>
      </c>
      <c r="N156" s="237"/>
      <c r="O156" s="237"/>
      <c r="P156" s="237"/>
      <c r="Q156" s="245">
        <v>45636</v>
      </c>
      <c r="R156" s="237" t="s">
        <v>309</v>
      </c>
      <c r="S156" s="331" t="s">
        <v>233</v>
      </c>
      <c r="T156" s="237" t="s">
        <v>228</v>
      </c>
      <c r="U156" s="237" t="s">
        <v>234</v>
      </c>
      <c r="V156" s="237" t="s">
        <v>473</v>
      </c>
      <c r="W156" s="245">
        <v>45768</v>
      </c>
      <c r="X156" s="237" t="s">
        <v>1158</v>
      </c>
      <c r="Y156" s="237" t="s">
        <v>237</v>
      </c>
      <c r="Z156" s="237" t="s">
        <v>237</v>
      </c>
      <c r="AA156" s="237" t="s">
        <v>1159</v>
      </c>
      <c r="AB156" s="337" t="s">
        <v>228</v>
      </c>
      <c r="AC156" s="237" t="s">
        <v>228</v>
      </c>
      <c r="AD156" s="562"/>
      <c r="AE156" s="550"/>
      <c r="AF156" s="237"/>
    </row>
    <row r="157" spans="1:32" ht="13.5" customHeight="1">
      <c r="A157" s="235">
        <v>155</v>
      </c>
      <c r="B157" s="237">
        <v>24</v>
      </c>
      <c r="C157" s="243" t="s">
        <v>1160</v>
      </c>
      <c r="D157" s="237" t="s">
        <v>1161</v>
      </c>
      <c r="E157" s="237">
        <v>56</v>
      </c>
      <c r="F157" s="237" t="s">
        <v>60</v>
      </c>
      <c r="G157" s="237" t="s">
        <v>1162</v>
      </c>
      <c r="H157" s="243" t="s">
        <v>3</v>
      </c>
      <c r="I157" s="243"/>
      <c r="J157" s="235" t="s">
        <v>620</v>
      </c>
      <c r="K157" s="240" t="s">
        <v>948</v>
      </c>
      <c r="L157" s="243" t="s">
        <v>22</v>
      </c>
      <c r="M157" s="246" t="s">
        <v>228</v>
      </c>
      <c r="N157" s="237"/>
      <c r="O157" s="237"/>
      <c r="P157" s="237"/>
      <c r="Q157" s="245">
        <v>45637</v>
      </c>
      <c r="R157" s="237" t="s">
        <v>309</v>
      </c>
      <c r="S157" s="331" t="s">
        <v>233</v>
      </c>
      <c r="T157" s="237" t="s">
        <v>228</v>
      </c>
      <c r="U157" s="237" t="s">
        <v>234</v>
      </c>
      <c r="V157" s="237" t="s">
        <v>473</v>
      </c>
      <c r="W157" s="245">
        <v>45768</v>
      </c>
      <c r="X157" s="237" t="s">
        <v>1163</v>
      </c>
      <c r="Y157" s="237" t="s">
        <v>237</v>
      </c>
      <c r="Z157" s="237" t="s">
        <v>237</v>
      </c>
      <c r="AA157" s="237" t="s">
        <v>1164</v>
      </c>
      <c r="AB157" s="337" t="s">
        <v>228</v>
      </c>
      <c r="AC157" s="237" t="s">
        <v>228</v>
      </c>
      <c r="AD157" s="562"/>
      <c r="AE157" s="550"/>
      <c r="AF157" s="237"/>
    </row>
    <row r="158" spans="1:32" ht="13.5" customHeight="1">
      <c r="A158" s="235">
        <v>156</v>
      </c>
      <c r="B158" s="237">
        <v>25</v>
      </c>
      <c r="C158" s="243" t="s">
        <v>1165</v>
      </c>
      <c r="D158" s="237" t="s">
        <v>1166</v>
      </c>
      <c r="E158" s="237">
        <v>64</v>
      </c>
      <c r="F158" s="237" t="s">
        <v>60</v>
      </c>
      <c r="G158" s="237" t="s">
        <v>1167</v>
      </c>
      <c r="H158" s="243" t="s">
        <v>3</v>
      </c>
      <c r="I158" s="243"/>
      <c r="J158" s="235" t="s">
        <v>620</v>
      </c>
      <c r="K158" s="240" t="s">
        <v>903</v>
      </c>
      <c r="L158" s="243" t="s">
        <v>45</v>
      </c>
      <c r="M158" s="246" t="s">
        <v>228</v>
      </c>
      <c r="N158" s="237"/>
      <c r="O158" s="237"/>
      <c r="P158" s="237"/>
      <c r="Q158" s="245">
        <v>45637</v>
      </c>
      <c r="R158" s="237" t="s">
        <v>309</v>
      </c>
      <c r="S158" s="331" t="s">
        <v>233</v>
      </c>
      <c r="T158" s="237" t="s">
        <v>228</v>
      </c>
      <c r="U158" s="237" t="s">
        <v>234</v>
      </c>
      <c r="V158" s="237" t="s">
        <v>473</v>
      </c>
      <c r="W158" s="245">
        <v>45768</v>
      </c>
      <c r="X158" s="237" t="s">
        <v>1168</v>
      </c>
      <c r="Y158" s="237" t="s">
        <v>237</v>
      </c>
      <c r="Z158" s="237" t="s">
        <v>237</v>
      </c>
      <c r="AA158" s="237" t="s">
        <v>1169</v>
      </c>
      <c r="AB158" s="337" t="s">
        <v>228</v>
      </c>
      <c r="AC158" s="237" t="s">
        <v>228</v>
      </c>
      <c r="AD158" s="562"/>
      <c r="AE158" s="550"/>
      <c r="AF158" s="237"/>
    </row>
    <row r="159" spans="1:32" ht="13.5" customHeight="1">
      <c r="A159" s="235">
        <v>157</v>
      </c>
      <c r="B159" s="237">
        <v>26</v>
      </c>
      <c r="C159" s="243" t="s">
        <v>1170</v>
      </c>
      <c r="D159" s="237" t="s">
        <v>1171</v>
      </c>
      <c r="E159" s="237">
        <v>60</v>
      </c>
      <c r="F159" s="237" t="s">
        <v>60</v>
      </c>
      <c r="G159" s="237" t="s">
        <v>1172</v>
      </c>
      <c r="H159" s="243" t="s">
        <v>3</v>
      </c>
      <c r="I159" s="243"/>
      <c r="J159" s="235" t="s">
        <v>620</v>
      </c>
      <c r="K159" s="240" t="s">
        <v>903</v>
      </c>
      <c r="L159" s="243" t="s">
        <v>45</v>
      </c>
      <c r="M159" s="246" t="s">
        <v>228</v>
      </c>
      <c r="N159" s="237"/>
      <c r="O159" s="237"/>
      <c r="P159" s="237"/>
      <c r="Q159" s="245">
        <v>45638</v>
      </c>
      <c r="R159" s="237" t="s">
        <v>309</v>
      </c>
      <c r="S159" s="331" t="s">
        <v>233</v>
      </c>
      <c r="T159" s="237" t="s">
        <v>228</v>
      </c>
      <c r="U159" s="237" t="s">
        <v>234</v>
      </c>
      <c r="V159" s="237" t="s">
        <v>473</v>
      </c>
      <c r="W159" s="245">
        <v>45768</v>
      </c>
      <c r="X159" s="237" t="s">
        <v>1173</v>
      </c>
      <c r="Y159" s="237" t="s">
        <v>237</v>
      </c>
      <c r="Z159" s="237" t="s">
        <v>237</v>
      </c>
      <c r="AA159" s="237" t="s">
        <v>1174</v>
      </c>
      <c r="AB159" s="337" t="s">
        <v>228</v>
      </c>
      <c r="AC159" s="237" t="s">
        <v>228</v>
      </c>
      <c r="AD159" s="562"/>
      <c r="AE159" s="550"/>
      <c r="AF159" s="237"/>
    </row>
    <row r="160" spans="1:32" ht="13.5" customHeight="1">
      <c r="A160" s="235">
        <v>158</v>
      </c>
      <c r="B160" s="237">
        <v>27</v>
      </c>
      <c r="C160" s="243" t="s">
        <v>1175</v>
      </c>
      <c r="D160" s="237" t="s">
        <v>1176</v>
      </c>
      <c r="E160" s="237">
        <v>61</v>
      </c>
      <c r="F160" s="237" t="s">
        <v>60</v>
      </c>
      <c r="G160" s="237" t="s">
        <v>1177</v>
      </c>
      <c r="H160" s="243" t="s">
        <v>3</v>
      </c>
      <c r="I160" s="243"/>
      <c r="J160" s="235" t="s">
        <v>620</v>
      </c>
      <c r="K160" s="240" t="s">
        <v>948</v>
      </c>
      <c r="L160" s="243" t="s">
        <v>22</v>
      </c>
      <c r="M160" s="246" t="s">
        <v>228</v>
      </c>
      <c r="N160" s="237"/>
      <c r="O160" s="237"/>
      <c r="P160" s="237"/>
      <c r="Q160" s="245">
        <v>45642</v>
      </c>
      <c r="R160" s="237" t="s">
        <v>309</v>
      </c>
      <c r="S160" s="331" t="s">
        <v>233</v>
      </c>
      <c r="T160" s="237" t="s">
        <v>228</v>
      </c>
      <c r="U160" s="237" t="s">
        <v>234</v>
      </c>
      <c r="V160" s="237" t="s">
        <v>473</v>
      </c>
      <c r="W160" s="245">
        <v>45768</v>
      </c>
      <c r="X160" s="237" t="s">
        <v>1178</v>
      </c>
      <c r="Y160" s="237" t="s">
        <v>237</v>
      </c>
      <c r="Z160" s="237" t="s">
        <v>237</v>
      </c>
      <c r="AA160" s="237" t="s">
        <v>1179</v>
      </c>
      <c r="AB160" s="337" t="s">
        <v>228</v>
      </c>
      <c r="AC160" s="237" t="s">
        <v>228</v>
      </c>
      <c r="AD160" s="562"/>
      <c r="AE160" s="550"/>
      <c r="AF160" s="237"/>
    </row>
    <row r="161" spans="1:130" ht="13.5" customHeight="1">
      <c r="A161" s="235">
        <v>159</v>
      </c>
      <c r="B161" s="237">
        <v>28</v>
      </c>
      <c r="C161" s="243" t="s">
        <v>1180</v>
      </c>
      <c r="D161" s="237" t="s">
        <v>1181</v>
      </c>
      <c r="E161" s="237">
        <v>70</v>
      </c>
      <c r="F161" s="237" t="s">
        <v>75</v>
      </c>
      <c r="G161" s="237" t="s">
        <v>1182</v>
      </c>
      <c r="H161" s="243" t="s">
        <v>3</v>
      </c>
      <c r="I161" s="243"/>
      <c r="J161" s="235" t="s">
        <v>620</v>
      </c>
      <c r="K161" s="240" t="s">
        <v>1183</v>
      </c>
      <c r="L161" s="243" t="s">
        <v>1102</v>
      </c>
      <c r="M161" s="246" t="s">
        <v>228</v>
      </c>
      <c r="N161" s="237"/>
      <c r="O161" s="237"/>
      <c r="P161" s="237"/>
      <c r="Q161" s="245">
        <v>45643</v>
      </c>
      <c r="R161" s="237" t="s">
        <v>309</v>
      </c>
      <c r="S161" s="331" t="s">
        <v>233</v>
      </c>
      <c r="T161" s="237" t="s">
        <v>228</v>
      </c>
      <c r="U161" s="237" t="s">
        <v>234</v>
      </c>
      <c r="V161" s="237" t="s">
        <v>473</v>
      </c>
      <c r="W161" s="245">
        <v>45768</v>
      </c>
      <c r="X161" s="237" t="s">
        <v>1184</v>
      </c>
      <c r="Y161" s="237" t="s">
        <v>237</v>
      </c>
      <c r="Z161" s="237" t="s">
        <v>237</v>
      </c>
      <c r="AA161" s="237" t="s">
        <v>1185</v>
      </c>
      <c r="AB161" s="337" t="s">
        <v>228</v>
      </c>
      <c r="AC161" s="237" t="s">
        <v>228</v>
      </c>
      <c r="AD161" s="562"/>
      <c r="AE161" s="550"/>
      <c r="AF161" s="237"/>
    </row>
    <row r="162" spans="1:130" ht="13.5" customHeight="1">
      <c r="A162" s="235">
        <v>160</v>
      </c>
      <c r="B162" s="237">
        <v>29</v>
      </c>
      <c r="C162" s="243" t="s">
        <v>1186</v>
      </c>
      <c r="D162" s="237" t="s">
        <v>1187</v>
      </c>
      <c r="E162" s="237">
        <v>62</v>
      </c>
      <c r="F162" s="237" t="s">
        <v>75</v>
      </c>
      <c r="G162" s="237" t="s">
        <v>1188</v>
      </c>
      <c r="H162" s="243" t="s">
        <v>3</v>
      </c>
      <c r="I162" s="243"/>
      <c r="J162" s="235" t="s">
        <v>620</v>
      </c>
      <c r="K162" s="240" t="s">
        <v>1189</v>
      </c>
      <c r="L162" s="243" t="s">
        <v>1190</v>
      </c>
      <c r="M162" s="246" t="s">
        <v>228</v>
      </c>
      <c r="N162" s="237"/>
      <c r="O162" s="237"/>
      <c r="P162" s="237"/>
      <c r="Q162" s="245">
        <v>45643</v>
      </c>
      <c r="R162" s="237" t="s">
        <v>309</v>
      </c>
      <c r="S162" s="331" t="s">
        <v>233</v>
      </c>
      <c r="T162" s="237" t="s">
        <v>228</v>
      </c>
      <c r="U162" s="237" t="s">
        <v>234</v>
      </c>
      <c r="V162" s="237" t="s">
        <v>473</v>
      </c>
      <c r="W162" s="245">
        <v>45768</v>
      </c>
      <c r="X162" s="237" t="s">
        <v>1191</v>
      </c>
      <c r="Y162" s="237" t="s">
        <v>237</v>
      </c>
      <c r="Z162" s="237" t="s">
        <v>237</v>
      </c>
      <c r="AA162" s="237" t="s">
        <v>1192</v>
      </c>
      <c r="AB162" s="337" t="s">
        <v>228</v>
      </c>
      <c r="AC162" s="237" t="s">
        <v>228</v>
      </c>
      <c r="AD162" s="562"/>
      <c r="AE162" s="550"/>
      <c r="AF162" s="237"/>
    </row>
    <row r="163" spans="1:130" ht="13.5" customHeight="1">
      <c r="A163" s="235">
        <v>161</v>
      </c>
      <c r="B163" s="237">
        <v>21</v>
      </c>
      <c r="C163" s="243" t="s">
        <v>1193</v>
      </c>
      <c r="D163" s="237" t="s">
        <v>1194</v>
      </c>
      <c r="E163" s="237">
        <v>68</v>
      </c>
      <c r="F163" s="237" t="s">
        <v>75</v>
      </c>
      <c r="G163" s="237" t="s">
        <v>1195</v>
      </c>
      <c r="H163" s="243" t="s">
        <v>3</v>
      </c>
      <c r="I163" s="243"/>
      <c r="J163" s="235" t="s">
        <v>620</v>
      </c>
      <c r="K163" s="240" t="s">
        <v>87</v>
      </c>
      <c r="L163" s="243" t="s">
        <v>16</v>
      </c>
      <c r="M163" s="246" t="s">
        <v>228</v>
      </c>
      <c r="N163" s="237"/>
      <c r="O163" s="237"/>
      <c r="P163" s="237"/>
      <c r="Q163" s="245">
        <v>45645</v>
      </c>
      <c r="R163" s="237" t="s">
        <v>309</v>
      </c>
      <c r="S163" s="331" t="s">
        <v>233</v>
      </c>
      <c r="T163" s="237" t="s">
        <v>228</v>
      </c>
      <c r="U163" s="237" t="s">
        <v>234</v>
      </c>
      <c r="V163" s="237" t="s">
        <v>473</v>
      </c>
      <c r="W163" s="245">
        <v>45768</v>
      </c>
      <c r="X163" s="237" t="s">
        <v>1196</v>
      </c>
      <c r="Y163" s="237" t="s">
        <v>237</v>
      </c>
      <c r="Z163" s="237" t="s">
        <v>237</v>
      </c>
      <c r="AA163" s="237" t="s">
        <v>1197</v>
      </c>
      <c r="AB163" s="337" t="s">
        <v>228</v>
      </c>
      <c r="AC163" s="237" t="s">
        <v>228</v>
      </c>
      <c r="AD163" s="562"/>
      <c r="AE163" s="550"/>
      <c r="AF163" s="237"/>
    </row>
    <row r="164" spans="1:130" ht="13.5" customHeight="1">
      <c r="A164" s="235">
        <v>162</v>
      </c>
      <c r="B164" s="237">
        <v>212</v>
      </c>
      <c r="C164" s="243" t="s">
        <v>1198</v>
      </c>
      <c r="D164" s="237" t="s">
        <v>1199</v>
      </c>
      <c r="E164" s="237">
        <v>52</v>
      </c>
      <c r="F164" s="237" t="s">
        <v>75</v>
      </c>
      <c r="G164" s="237" t="s">
        <v>1200</v>
      </c>
      <c r="H164" s="243" t="s">
        <v>3</v>
      </c>
      <c r="I164" s="243"/>
      <c r="J164" s="235" t="s">
        <v>620</v>
      </c>
      <c r="K164" s="240" t="s">
        <v>1201</v>
      </c>
      <c r="L164" s="243" t="s">
        <v>926</v>
      </c>
      <c r="M164" s="246" t="s">
        <v>228</v>
      </c>
      <c r="N164" s="237"/>
      <c r="O164" s="237"/>
      <c r="P164" s="237"/>
      <c r="Q164" s="245">
        <v>45653</v>
      </c>
      <c r="R164" s="237" t="s">
        <v>309</v>
      </c>
      <c r="S164" s="331" t="s">
        <v>233</v>
      </c>
      <c r="T164" s="237" t="s">
        <v>228</v>
      </c>
      <c r="U164" s="237" t="s">
        <v>234</v>
      </c>
      <c r="V164" s="237" t="s">
        <v>473</v>
      </c>
      <c r="W164" s="245">
        <v>45768</v>
      </c>
      <c r="X164" s="237" t="s">
        <v>1202</v>
      </c>
      <c r="Y164" s="237" t="s">
        <v>237</v>
      </c>
      <c r="Z164" s="237" t="s">
        <v>237</v>
      </c>
      <c r="AA164" s="237" t="s">
        <v>1203</v>
      </c>
      <c r="AB164" s="337" t="s">
        <v>228</v>
      </c>
      <c r="AC164" s="237" t="s">
        <v>228</v>
      </c>
      <c r="AD164" s="562"/>
      <c r="AE164" s="550"/>
      <c r="AF164" s="237"/>
    </row>
    <row r="165" spans="1:130" ht="13.5" customHeight="1">
      <c r="A165" s="235">
        <v>163</v>
      </c>
      <c r="B165" s="237">
        <v>213</v>
      </c>
      <c r="C165" s="243" t="s">
        <v>1204</v>
      </c>
      <c r="D165" s="237" t="s">
        <v>1205</v>
      </c>
      <c r="E165" s="237">
        <v>65</v>
      </c>
      <c r="F165" s="237" t="s">
        <v>75</v>
      </c>
      <c r="G165" s="237" t="s">
        <v>1206</v>
      </c>
      <c r="H165" s="243" t="s">
        <v>3</v>
      </c>
      <c r="I165" s="243"/>
      <c r="J165" s="235" t="s">
        <v>620</v>
      </c>
      <c r="K165" s="240" t="s">
        <v>940</v>
      </c>
      <c r="L165" s="243" t="s">
        <v>8</v>
      </c>
      <c r="M165" s="246" t="s">
        <v>228</v>
      </c>
      <c r="N165" s="237"/>
      <c r="O165" s="237"/>
      <c r="P165" s="237"/>
      <c r="Q165" s="245">
        <v>45653</v>
      </c>
      <c r="R165" s="237" t="s">
        <v>309</v>
      </c>
      <c r="S165" s="331" t="s">
        <v>233</v>
      </c>
      <c r="T165" s="237" t="s">
        <v>228</v>
      </c>
      <c r="U165" s="237" t="s">
        <v>234</v>
      </c>
      <c r="V165" s="237" t="s">
        <v>473</v>
      </c>
      <c r="W165" s="245">
        <v>45768</v>
      </c>
      <c r="X165" s="237" t="s">
        <v>1207</v>
      </c>
      <c r="Y165" s="237" t="s">
        <v>237</v>
      </c>
      <c r="Z165" s="237" t="s">
        <v>228</v>
      </c>
      <c r="AA165" s="237" t="s">
        <v>1208</v>
      </c>
      <c r="AB165" s="337" t="s">
        <v>228</v>
      </c>
      <c r="AC165" s="237" t="s">
        <v>228</v>
      </c>
      <c r="AD165" s="562"/>
      <c r="AE165" s="550"/>
      <c r="AF165" s="237"/>
    </row>
    <row r="166" spans="1:130" ht="13.5" customHeight="1">
      <c r="A166" s="235">
        <v>164</v>
      </c>
      <c r="B166" s="237">
        <v>214</v>
      </c>
      <c r="C166" s="243" t="s">
        <v>1209</v>
      </c>
      <c r="D166" s="237" t="s">
        <v>1210</v>
      </c>
      <c r="E166" s="237">
        <v>45</v>
      </c>
      <c r="F166" s="237" t="s">
        <v>75</v>
      </c>
      <c r="G166" s="237" t="s">
        <v>1211</v>
      </c>
      <c r="H166" s="243" t="s">
        <v>3</v>
      </c>
      <c r="I166" s="243"/>
      <c r="J166" s="235" t="s">
        <v>620</v>
      </c>
      <c r="K166" s="240" t="s">
        <v>986</v>
      </c>
      <c r="L166" s="243" t="s">
        <v>22</v>
      </c>
      <c r="M166" s="246" t="s">
        <v>228</v>
      </c>
      <c r="N166" s="237"/>
      <c r="O166" s="237"/>
      <c r="P166" s="237"/>
      <c r="Q166" s="245">
        <v>45653</v>
      </c>
      <c r="R166" s="237" t="s">
        <v>309</v>
      </c>
      <c r="S166" s="331" t="s">
        <v>233</v>
      </c>
      <c r="T166" s="237" t="s">
        <v>228</v>
      </c>
      <c r="U166" s="237" t="s">
        <v>234</v>
      </c>
      <c r="V166" s="237" t="s">
        <v>473</v>
      </c>
      <c r="W166" s="245">
        <v>45768</v>
      </c>
      <c r="X166" s="237" t="s">
        <v>1212</v>
      </c>
      <c r="Y166" s="237" t="s">
        <v>237</v>
      </c>
      <c r="Z166" s="237" t="s">
        <v>237</v>
      </c>
      <c r="AA166" s="237" t="s">
        <v>1213</v>
      </c>
      <c r="AB166" s="337" t="s">
        <v>228</v>
      </c>
      <c r="AC166" s="237" t="s">
        <v>228</v>
      </c>
      <c r="AD166" s="562"/>
      <c r="AE166" s="550"/>
      <c r="AF166" s="237"/>
    </row>
    <row r="167" spans="1:130" ht="13.5" customHeight="1">
      <c r="A167" s="235">
        <v>165</v>
      </c>
      <c r="B167" s="237" t="s">
        <v>1214</v>
      </c>
      <c r="C167" s="243" t="s">
        <v>1215</v>
      </c>
      <c r="D167" s="237" t="s">
        <v>1216</v>
      </c>
      <c r="E167" s="237">
        <v>78</v>
      </c>
      <c r="F167" s="237" t="s">
        <v>60</v>
      </c>
      <c r="G167" s="237" t="s">
        <v>1217</v>
      </c>
      <c r="H167" s="243" t="s">
        <v>3</v>
      </c>
      <c r="I167" s="243"/>
      <c r="J167" s="240" t="s">
        <v>886</v>
      </c>
      <c r="K167" s="240" t="s">
        <v>1135</v>
      </c>
      <c r="L167" s="288" t="s">
        <v>55</v>
      </c>
      <c r="M167" s="246" t="s">
        <v>228</v>
      </c>
      <c r="N167" s="237"/>
      <c r="O167" s="237"/>
      <c r="P167" s="237"/>
      <c r="Q167" s="245">
        <v>45658</v>
      </c>
      <c r="R167" s="237" t="s">
        <v>309</v>
      </c>
      <c r="S167" s="331" t="s">
        <v>233</v>
      </c>
      <c r="T167" s="237" t="s">
        <v>228</v>
      </c>
      <c r="U167" s="237" t="s">
        <v>234</v>
      </c>
      <c r="V167" s="237" t="s">
        <v>473</v>
      </c>
      <c r="W167" s="245">
        <v>45817</v>
      </c>
      <c r="X167" s="237" t="s">
        <v>1184</v>
      </c>
      <c r="Y167" s="237" t="s">
        <v>237</v>
      </c>
      <c r="Z167" s="237" t="s">
        <v>228</v>
      </c>
      <c r="AA167" s="237" t="s">
        <v>1218</v>
      </c>
      <c r="AB167" s="337" t="s">
        <v>228</v>
      </c>
      <c r="AC167" s="237" t="s">
        <v>228</v>
      </c>
      <c r="AD167" s="562"/>
      <c r="AE167" s="550"/>
      <c r="AF167" s="237"/>
    </row>
    <row r="168" spans="1:130" s="306" customFormat="1" ht="13.5" customHeight="1">
      <c r="A168" s="235">
        <v>166</v>
      </c>
      <c r="B168" s="264" t="s">
        <v>1219</v>
      </c>
      <c r="C168" s="289" t="s">
        <v>1220</v>
      </c>
      <c r="D168" s="264" t="s">
        <v>1221</v>
      </c>
      <c r="E168" s="264">
        <v>32</v>
      </c>
      <c r="F168" s="264" t="s">
        <v>75</v>
      </c>
      <c r="G168" s="264" t="s">
        <v>1222</v>
      </c>
      <c r="H168" s="289" t="s">
        <v>3</v>
      </c>
      <c r="I168" s="289"/>
      <c r="J168" s="306" t="s">
        <v>433</v>
      </c>
      <c r="K168" s="289" t="s">
        <v>132</v>
      </c>
      <c r="L168" s="289" t="s">
        <v>53</v>
      </c>
      <c r="M168" s="313" t="s">
        <v>228</v>
      </c>
      <c r="N168" s="264"/>
      <c r="O168" s="264"/>
      <c r="P168" s="264"/>
      <c r="Q168" s="314">
        <v>45720</v>
      </c>
      <c r="R168" s="264" t="s">
        <v>309</v>
      </c>
      <c r="S168" s="332" t="s">
        <v>233</v>
      </c>
      <c r="T168" s="264" t="s">
        <v>228</v>
      </c>
      <c r="U168" s="264" t="s">
        <v>234</v>
      </c>
      <c r="V168" s="264" t="s">
        <v>473</v>
      </c>
      <c r="W168" s="314">
        <v>45747</v>
      </c>
      <c r="X168" s="264" t="s">
        <v>1223</v>
      </c>
      <c r="Y168" s="264" t="s">
        <v>237</v>
      </c>
      <c r="Z168" s="237" t="s">
        <v>228</v>
      </c>
      <c r="AA168" s="264" t="s">
        <v>1224</v>
      </c>
      <c r="AB168" s="364" t="s">
        <v>228</v>
      </c>
      <c r="AC168" s="264" t="s">
        <v>228</v>
      </c>
      <c r="AD168" s="565"/>
      <c r="AE168" s="552"/>
      <c r="AF168" s="264"/>
      <c r="AG168" s="309"/>
      <c r="AH168" s="309"/>
      <c r="AI168" s="309"/>
      <c r="AJ168" s="309"/>
      <c r="AK168" s="309"/>
      <c r="AL168" s="309"/>
      <c r="AM168" s="309"/>
      <c r="AN168" s="309"/>
      <c r="AO168" s="309"/>
      <c r="AP168" s="309"/>
      <c r="AQ168" s="309"/>
      <c r="AR168" s="309"/>
      <c r="AS168" s="309"/>
      <c r="AT168" s="309"/>
      <c r="AU168" s="309"/>
      <c r="AV168" s="309"/>
      <c r="AW168" s="309"/>
      <c r="AX168" s="309"/>
      <c r="AY168" s="309"/>
      <c r="AZ168" s="309"/>
      <c r="BA168" s="309"/>
      <c r="BB168" s="309"/>
      <c r="BC168" s="309"/>
      <c r="BD168" s="309"/>
      <c r="BE168" s="309"/>
      <c r="BF168" s="309"/>
      <c r="BG168" s="309"/>
      <c r="BH168" s="309"/>
      <c r="BI168" s="309"/>
      <c r="BJ168" s="309"/>
      <c r="BK168" s="309"/>
      <c r="BL168" s="309"/>
      <c r="BM168" s="309"/>
      <c r="BN168" s="309"/>
      <c r="BO168" s="309"/>
      <c r="BP168" s="309"/>
      <c r="BQ168" s="309"/>
      <c r="BR168" s="309"/>
      <c r="BS168" s="309"/>
      <c r="BT168" s="309"/>
      <c r="BU168" s="309"/>
      <c r="BV168" s="309"/>
      <c r="BW168" s="309"/>
      <c r="BX168" s="309"/>
      <c r="BY168" s="309"/>
      <c r="BZ168" s="309"/>
      <c r="CA168" s="309"/>
      <c r="CB168" s="309"/>
      <c r="CC168" s="309"/>
      <c r="CD168" s="309"/>
      <c r="CE168" s="309"/>
      <c r="CF168" s="309"/>
      <c r="CG168" s="309"/>
      <c r="CH168" s="309"/>
      <c r="CI168" s="309"/>
      <c r="CJ168" s="309"/>
      <c r="CK168" s="309"/>
      <c r="CL168" s="309"/>
      <c r="CM168" s="309"/>
      <c r="CN168" s="309"/>
      <c r="CO168" s="309"/>
      <c r="CP168" s="309"/>
      <c r="CQ168" s="309"/>
      <c r="CR168" s="309"/>
      <c r="CS168" s="309"/>
      <c r="CT168" s="309"/>
      <c r="CU168" s="309"/>
      <c r="CV168" s="309"/>
      <c r="CW168" s="309"/>
      <c r="CX168" s="309"/>
      <c r="CY168" s="309"/>
      <c r="CZ168" s="309"/>
      <c r="DA168" s="309"/>
      <c r="DB168" s="309"/>
      <c r="DC168" s="309"/>
      <c r="DD168" s="309"/>
      <c r="DE168" s="309"/>
      <c r="DF168" s="309"/>
      <c r="DG168" s="309"/>
      <c r="DH168" s="309"/>
      <c r="DI168" s="309"/>
      <c r="DJ168" s="309"/>
      <c r="DK168" s="309"/>
      <c r="DL168" s="309"/>
      <c r="DM168" s="309"/>
      <c r="DN168" s="309"/>
      <c r="DO168" s="309"/>
      <c r="DP168" s="309"/>
      <c r="DQ168" s="309"/>
      <c r="DR168" s="309"/>
      <c r="DS168" s="309"/>
      <c r="DT168" s="309"/>
      <c r="DU168" s="309"/>
      <c r="DV168" s="309"/>
      <c r="DW168" s="309"/>
      <c r="DX168" s="309"/>
      <c r="DY168" s="309"/>
      <c r="DZ168" s="310"/>
    </row>
    <row r="169" spans="1:130" ht="13.5" customHeight="1">
      <c r="A169" s="235">
        <v>167</v>
      </c>
      <c r="B169" s="237">
        <v>44</v>
      </c>
      <c r="C169" s="255" t="s">
        <v>1225</v>
      </c>
      <c r="D169" s="237" t="s">
        <v>1226</v>
      </c>
      <c r="E169" s="237">
        <v>47</v>
      </c>
      <c r="F169" s="237" t="s">
        <v>75</v>
      </c>
      <c r="G169" s="237" t="s">
        <v>1227</v>
      </c>
      <c r="H169" s="243" t="s">
        <v>3</v>
      </c>
      <c r="I169" s="243"/>
      <c r="J169" s="235" t="s">
        <v>620</v>
      </c>
      <c r="K169" s="240" t="s">
        <v>1228</v>
      </c>
      <c r="L169" s="243" t="s">
        <v>16</v>
      </c>
      <c r="M169" s="243" t="s">
        <v>231</v>
      </c>
      <c r="N169" s="237"/>
      <c r="O169" s="237"/>
      <c r="P169" s="237"/>
      <c r="Q169" s="245">
        <v>45629</v>
      </c>
      <c r="R169" s="237" t="s">
        <v>309</v>
      </c>
      <c r="S169" s="331" t="s">
        <v>233</v>
      </c>
      <c r="T169" s="237" t="s">
        <v>228</v>
      </c>
      <c r="U169" s="237" t="s">
        <v>234</v>
      </c>
      <c r="V169" s="237" t="s">
        <v>473</v>
      </c>
      <c r="W169" s="245">
        <v>45933</v>
      </c>
      <c r="X169" s="237" t="s">
        <v>1229</v>
      </c>
      <c r="Y169" s="237" t="s">
        <v>237</v>
      </c>
      <c r="Z169" s="237" t="s">
        <v>237</v>
      </c>
      <c r="AA169" s="237" t="s">
        <v>1230</v>
      </c>
      <c r="AB169" s="337" t="s">
        <v>228</v>
      </c>
      <c r="AC169" s="237" t="s">
        <v>228</v>
      </c>
      <c r="AD169" s="562"/>
      <c r="AE169" s="555"/>
      <c r="AF169" s="237"/>
    </row>
    <row r="170" spans="1:130" ht="13.5" customHeight="1">
      <c r="A170" s="235">
        <v>168</v>
      </c>
      <c r="B170" s="237">
        <v>46</v>
      </c>
      <c r="C170" s="255" t="s">
        <v>1231</v>
      </c>
      <c r="D170" s="237" t="s">
        <v>1232</v>
      </c>
      <c r="E170" s="237">
        <v>52</v>
      </c>
      <c r="F170" s="237" t="s">
        <v>75</v>
      </c>
      <c r="G170" s="237" t="s">
        <v>1233</v>
      </c>
      <c r="H170" s="243" t="s">
        <v>3</v>
      </c>
      <c r="I170" s="243"/>
      <c r="J170" s="235" t="s">
        <v>620</v>
      </c>
      <c r="K170" s="240" t="s">
        <v>57</v>
      </c>
      <c r="L170" s="243" t="s">
        <v>57</v>
      </c>
      <c r="M170" s="243" t="s">
        <v>231</v>
      </c>
      <c r="N170" s="237"/>
      <c r="O170" s="237"/>
      <c r="P170" s="237"/>
      <c r="Q170" s="245">
        <v>45632</v>
      </c>
      <c r="R170" s="237" t="s">
        <v>309</v>
      </c>
      <c r="S170" s="331" t="s">
        <v>233</v>
      </c>
      <c r="T170" s="237" t="s">
        <v>228</v>
      </c>
      <c r="U170" s="237" t="s">
        <v>234</v>
      </c>
      <c r="V170" s="237" t="s">
        <v>473</v>
      </c>
      <c r="W170" s="245">
        <v>45933</v>
      </c>
      <c r="X170" s="237" t="s">
        <v>1234</v>
      </c>
      <c r="Y170" s="237" t="s">
        <v>237</v>
      </c>
      <c r="Z170" s="237" t="s">
        <v>237</v>
      </c>
      <c r="AA170" s="237" t="s">
        <v>1235</v>
      </c>
      <c r="AB170" s="337" t="s">
        <v>228</v>
      </c>
      <c r="AC170" s="237" t="s">
        <v>228</v>
      </c>
      <c r="AD170" s="562"/>
      <c r="AE170" s="555"/>
      <c r="AF170" s="237"/>
    </row>
    <row r="171" spans="1:130" ht="13.5" customHeight="1">
      <c r="A171" s="235">
        <v>169</v>
      </c>
      <c r="B171" s="237">
        <v>47</v>
      </c>
      <c r="C171" s="255" t="s">
        <v>1236</v>
      </c>
      <c r="D171" s="237" t="s">
        <v>1237</v>
      </c>
      <c r="E171" s="237">
        <v>91</v>
      </c>
      <c r="F171" s="237" t="s">
        <v>60</v>
      </c>
      <c r="G171" s="237" t="s">
        <v>1238</v>
      </c>
      <c r="H171" s="243" t="s">
        <v>3</v>
      </c>
      <c r="I171" s="243"/>
      <c r="J171" s="235" t="s">
        <v>620</v>
      </c>
      <c r="K171" s="240" t="s">
        <v>1239</v>
      </c>
      <c r="L171" s="243" t="s">
        <v>14</v>
      </c>
      <c r="M171" s="243" t="s">
        <v>231</v>
      </c>
      <c r="N171" s="237"/>
      <c r="O171" s="237"/>
      <c r="P171" s="237"/>
      <c r="Q171" s="245">
        <v>45642</v>
      </c>
      <c r="R171" s="237" t="s">
        <v>309</v>
      </c>
      <c r="S171" s="331" t="s">
        <v>233</v>
      </c>
      <c r="T171" s="237" t="s">
        <v>228</v>
      </c>
      <c r="U171" s="237" t="s">
        <v>234</v>
      </c>
      <c r="V171" s="237" t="s">
        <v>473</v>
      </c>
      <c r="W171" s="245">
        <v>45933</v>
      </c>
      <c r="X171" s="237" t="s">
        <v>1240</v>
      </c>
      <c r="Y171" s="237" t="s">
        <v>237</v>
      </c>
      <c r="Z171" s="237" t="s">
        <v>237</v>
      </c>
      <c r="AA171" s="237" t="s">
        <v>1241</v>
      </c>
      <c r="AB171" s="337" t="s">
        <v>228</v>
      </c>
      <c r="AC171" s="237" t="s">
        <v>228</v>
      </c>
      <c r="AD171" s="562"/>
      <c r="AE171" s="555"/>
      <c r="AF171" s="237"/>
    </row>
    <row r="172" spans="1:130" ht="13.5" customHeight="1">
      <c r="A172" s="235">
        <v>170</v>
      </c>
      <c r="B172" s="237"/>
      <c r="C172" s="243" t="s">
        <v>1242</v>
      </c>
      <c r="D172" s="237" t="s">
        <v>1243</v>
      </c>
      <c r="E172" s="237">
        <v>68</v>
      </c>
      <c r="F172" s="237" t="s">
        <v>424</v>
      </c>
      <c r="G172" s="237" t="s">
        <v>1244</v>
      </c>
      <c r="H172" s="243" t="s">
        <v>3</v>
      </c>
      <c r="I172" s="243"/>
      <c r="J172" s="240" t="s">
        <v>886</v>
      </c>
      <c r="K172" s="240" t="s">
        <v>1245</v>
      </c>
      <c r="L172" s="243" t="s">
        <v>55</v>
      </c>
      <c r="M172" s="243" t="s">
        <v>231</v>
      </c>
      <c r="N172" s="237"/>
      <c r="O172" s="237"/>
      <c r="P172" s="237"/>
      <c r="Q172" s="245">
        <v>44981</v>
      </c>
      <c r="R172" s="237" t="s">
        <v>309</v>
      </c>
      <c r="S172" s="331" t="s">
        <v>233</v>
      </c>
      <c r="T172" s="237" t="s">
        <v>228</v>
      </c>
      <c r="U172" s="237" t="s">
        <v>234</v>
      </c>
      <c r="V172" s="237" t="s">
        <v>652</v>
      </c>
      <c r="W172" s="245">
        <v>45947</v>
      </c>
      <c r="X172" s="237" t="s">
        <v>1246</v>
      </c>
      <c r="Y172" s="237" t="s">
        <v>237</v>
      </c>
      <c r="Z172" s="237" t="s">
        <v>228</v>
      </c>
      <c r="AA172" s="237" t="s">
        <v>1247</v>
      </c>
      <c r="AB172" s="337" t="s">
        <v>228</v>
      </c>
      <c r="AC172" s="237" t="s">
        <v>228</v>
      </c>
      <c r="AD172" s="562"/>
      <c r="AE172" s="550"/>
      <c r="AF172" s="237"/>
    </row>
    <row r="173" spans="1:130" ht="13.5" customHeight="1">
      <c r="A173" s="235">
        <v>171</v>
      </c>
      <c r="B173" s="237"/>
      <c r="C173" s="243" t="s">
        <v>1248</v>
      </c>
      <c r="D173" s="237" t="s">
        <v>1249</v>
      </c>
      <c r="E173" s="237">
        <v>72</v>
      </c>
      <c r="F173" s="237" t="s">
        <v>75</v>
      </c>
      <c r="G173" s="237" t="s">
        <v>1250</v>
      </c>
      <c r="H173" s="243" t="s">
        <v>3</v>
      </c>
      <c r="I173" s="243"/>
      <c r="J173" s="240" t="s">
        <v>886</v>
      </c>
      <c r="K173" s="240" t="s">
        <v>1022</v>
      </c>
      <c r="L173" s="243" t="s">
        <v>16</v>
      </c>
      <c r="M173" s="243" t="s">
        <v>231</v>
      </c>
      <c r="N173" s="237"/>
      <c r="O173" s="237"/>
      <c r="P173" s="237"/>
      <c r="Q173" s="245">
        <v>44981</v>
      </c>
      <c r="R173" s="237" t="s">
        <v>309</v>
      </c>
      <c r="S173" s="331" t="s">
        <v>233</v>
      </c>
      <c r="T173" s="237" t="s">
        <v>228</v>
      </c>
      <c r="U173" s="237" t="s">
        <v>234</v>
      </c>
      <c r="V173" s="237" t="s">
        <v>652</v>
      </c>
      <c r="W173" s="245">
        <v>45947</v>
      </c>
      <c r="X173" s="237" t="s">
        <v>1251</v>
      </c>
      <c r="Y173" s="237" t="s">
        <v>237</v>
      </c>
      <c r="Z173" s="237" t="s">
        <v>228</v>
      </c>
      <c r="AA173" s="237" t="s">
        <v>1252</v>
      </c>
      <c r="AB173" s="337" t="s">
        <v>228</v>
      </c>
      <c r="AC173" s="237" t="s">
        <v>228</v>
      </c>
      <c r="AD173" s="562"/>
      <c r="AE173" s="550"/>
      <c r="AF173" s="237"/>
    </row>
    <row r="174" spans="1:130" ht="13.5" customHeight="1">
      <c r="A174" s="235">
        <v>172</v>
      </c>
      <c r="B174" s="237"/>
      <c r="C174" s="243" t="s">
        <v>1253</v>
      </c>
      <c r="D174" s="237" t="s">
        <v>1254</v>
      </c>
      <c r="E174" s="237">
        <v>55</v>
      </c>
      <c r="F174" s="237" t="s">
        <v>424</v>
      </c>
      <c r="G174" s="237" t="s">
        <v>1255</v>
      </c>
      <c r="H174" s="243" t="s">
        <v>3</v>
      </c>
      <c r="I174" s="243"/>
      <c r="J174" s="240" t="s">
        <v>886</v>
      </c>
      <c r="K174" s="240" t="s">
        <v>1135</v>
      </c>
      <c r="L174" s="243" t="s">
        <v>55</v>
      </c>
      <c r="M174" s="243" t="s">
        <v>231</v>
      </c>
      <c r="N174" s="237"/>
      <c r="O174" s="237"/>
      <c r="P174" s="237"/>
      <c r="Q174" s="245">
        <v>44984</v>
      </c>
      <c r="R174" s="237" t="s">
        <v>309</v>
      </c>
      <c r="S174" s="331" t="s">
        <v>233</v>
      </c>
      <c r="T174" s="237" t="s">
        <v>228</v>
      </c>
      <c r="U174" s="237" t="s">
        <v>234</v>
      </c>
      <c r="V174" s="237" t="s">
        <v>652</v>
      </c>
      <c r="W174" s="245">
        <v>45947</v>
      </c>
      <c r="X174" s="237" t="s">
        <v>1256</v>
      </c>
      <c r="Y174" s="237" t="s">
        <v>237</v>
      </c>
      <c r="Z174" s="237" t="s">
        <v>228</v>
      </c>
      <c r="AA174" s="237" t="s">
        <v>1257</v>
      </c>
      <c r="AB174" s="337" t="s">
        <v>228</v>
      </c>
      <c r="AC174" s="237" t="s">
        <v>228</v>
      </c>
      <c r="AD174" s="562"/>
      <c r="AE174" s="550"/>
      <c r="AF174" s="237"/>
    </row>
    <row r="175" spans="1:130" ht="13.5" customHeight="1">
      <c r="A175" s="235">
        <v>173</v>
      </c>
      <c r="B175" s="237"/>
      <c r="C175" s="243" t="s">
        <v>1258</v>
      </c>
      <c r="D175" s="237" t="s">
        <v>1259</v>
      </c>
      <c r="E175" s="237">
        <v>69</v>
      </c>
      <c r="F175" s="237" t="s">
        <v>424</v>
      </c>
      <c r="G175" s="237" t="s">
        <v>1260</v>
      </c>
      <c r="H175" s="243" t="s">
        <v>3</v>
      </c>
      <c r="I175" s="243"/>
      <c r="J175" s="240" t="s">
        <v>886</v>
      </c>
      <c r="K175" s="240" t="s">
        <v>1245</v>
      </c>
      <c r="L175" s="243" t="s">
        <v>55</v>
      </c>
      <c r="M175" s="243" t="s">
        <v>231</v>
      </c>
      <c r="N175" s="237"/>
      <c r="O175" s="237"/>
      <c r="P175" s="237"/>
      <c r="Q175" s="245">
        <v>44984</v>
      </c>
      <c r="R175" s="237" t="s">
        <v>309</v>
      </c>
      <c r="S175" s="331" t="s">
        <v>233</v>
      </c>
      <c r="T175" s="237" t="s">
        <v>228</v>
      </c>
      <c r="U175" s="237" t="s">
        <v>234</v>
      </c>
      <c r="V175" s="237" t="s">
        <v>652</v>
      </c>
      <c r="W175" s="245">
        <v>45947</v>
      </c>
      <c r="X175" s="237" t="s">
        <v>1261</v>
      </c>
      <c r="Y175" s="237" t="s">
        <v>237</v>
      </c>
      <c r="Z175" s="237" t="s">
        <v>228</v>
      </c>
      <c r="AA175" s="237" t="s">
        <v>1262</v>
      </c>
      <c r="AB175" s="337" t="s">
        <v>228</v>
      </c>
      <c r="AC175" s="237" t="s">
        <v>228</v>
      </c>
      <c r="AD175" s="562"/>
      <c r="AE175" s="550"/>
      <c r="AF175" s="237"/>
    </row>
    <row r="176" spans="1:130" ht="13.5" customHeight="1">
      <c r="A176" s="235">
        <v>174</v>
      </c>
      <c r="B176" s="237"/>
      <c r="C176" s="243" t="s">
        <v>1263</v>
      </c>
      <c r="D176" s="237" t="s">
        <v>1264</v>
      </c>
      <c r="E176" s="237">
        <v>59</v>
      </c>
      <c r="F176" s="237" t="s">
        <v>75</v>
      </c>
      <c r="G176" s="237" t="s">
        <v>1265</v>
      </c>
      <c r="H176" s="243" t="s">
        <v>3</v>
      </c>
      <c r="I176" s="243"/>
      <c r="J176" s="240" t="s">
        <v>886</v>
      </c>
      <c r="K176" s="240" t="s">
        <v>1266</v>
      </c>
      <c r="L176" s="243" t="s">
        <v>16</v>
      </c>
      <c r="M176" s="243" t="s">
        <v>231</v>
      </c>
      <c r="N176" s="237"/>
      <c r="O176" s="237"/>
      <c r="P176" s="237"/>
      <c r="Q176" s="245">
        <v>44984</v>
      </c>
      <c r="R176" s="237" t="s">
        <v>309</v>
      </c>
      <c r="S176" s="331" t="s">
        <v>233</v>
      </c>
      <c r="T176" s="237" t="s">
        <v>228</v>
      </c>
      <c r="U176" s="237" t="s">
        <v>234</v>
      </c>
      <c r="V176" s="237" t="s">
        <v>652</v>
      </c>
      <c r="W176" s="245">
        <v>45947</v>
      </c>
      <c r="X176" s="237" t="s">
        <v>1267</v>
      </c>
      <c r="Y176" s="237" t="s">
        <v>237</v>
      </c>
      <c r="Z176" s="237" t="s">
        <v>228</v>
      </c>
      <c r="AA176" s="237" t="s">
        <v>1268</v>
      </c>
      <c r="AB176" s="337" t="s">
        <v>228</v>
      </c>
      <c r="AC176" s="237" t="s">
        <v>228</v>
      </c>
      <c r="AD176" s="562"/>
      <c r="AE176" s="550"/>
      <c r="AF176" s="237"/>
    </row>
    <row r="177" spans="1:32" ht="13.5" customHeight="1">
      <c r="A177" s="235">
        <v>175</v>
      </c>
      <c r="B177" s="237"/>
      <c r="C177" s="243" t="s">
        <v>1269</v>
      </c>
      <c r="D177" s="237" t="s">
        <v>1270</v>
      </c>
      <c r="E177" s="237">
        <v>56</v>
      </c>
      <c r="F177" s="237" t="s">
        <v>75</v>
      </c>
      <c r="G177" s="237" t="s">
        <v>1271</v>
      </c>
      <c r="H177" s="243" t="s">
        <v>3</v>
      </c>
      <c r="I177" s="243"/>
      <c r="J177" s="240" t="s">
        <v>886</v>
      </c>
      <c r="K177" s="240" t="s">
        <v>87</v>
      </c>
      <c r="L177" s="243" t="s">
        <v>16</v>
      </c>
      <c r="M177" s="243" t="s">
        <v>231</v>
      </c>
      <c r="N177" s="237"/>
      <c r="O177" s="237"/>
      <c r="P177" s="237"/>
      <c r="Q177" s="245">
        <v>44984</v>
      </c>
      <c r="R177" s="237" t="s">
        <v>309</v>
      </c>
      <c r="S177" s="331" t="s">
        <v>233</v>
      </c>
      <c r="T177" s="237" t="s">
        <v>228</v>
      </c>
      <c r="U177" s="237" t="s">
        <v>234</v>
      </c>
      <c r="V177" s="237" t="s">
        <v>652</v>
      </c>
      <c r="W177" s="245">
        <v>45947</v>
      </c>
      <c r="X177" s="237" t="s">
        <v>1272</v>
      </c>
      <c r="Y177" s="237" t="s">
        <v>237</v>
      </c>
      <c r="Z177" s="237" t="s">
        <v>228</v>
      </c>
      <c r="AA177" s="237" t="s">
        <v>1273</v>
      </c>
      <c r="AB177" s="337" t="s">
        <v>228</v>
      </c>
      <c r="AC177" s="237" t="s">
        <v>228</v>
      </c>
      <c r="AD177" s="562"/>
      <c r="AE177" s="550"/>
      <c r="AF177" s="237"/>
    </row>
    <row r="178" spans="1:32" ht="13.5" customHeight="1">
      <c r="A178" s="235">
        <v>176</v>
      </c>
      <c r="B178" s="237"/>
      <c r="C178" s="255" t="s">
        <v>1274</v>
      </c>
      <c r="D178" s="237" t="s">
        <v>1275</v>
      </c>
      <c r="E178" s="237">
        <v>75</v>
      </c>
      <c r="F178" s="237" t="s">
        <v>60</v>
      </c>
      <c r="G178" s="237" t="s">
        <v>1276</v>
      </c>
      <c r="H178" s="243" t="s">
        <v>3</v>
      </c>
      <c r="I178" s="243"/>
      <c r="J178" s="240" t="s">
        <v>886</v>
      </c>
      <c r="K178" s="240" t="s">
        <v>903</v>
      </c>
      <c r="L178" s="243" t="s">
        <v>45</v>
      </c>
      <c r="M178" s="243" t="s">
        <v>231</v>
      </c>
      <c r="N178" s="237"/>
      <c r="O178" s="237"/>
      <c r="P178" s="237"/>
      <c r="Q178" s="245">
        <v>45660</v>
      </c>
      <c r="R178" s="237" t="s">
        <v>309</v>
      </c>
      <c r="S178" s="331" t="s">
        <v>233</v>
      </c>
      <c r="T178" s="237" t="s">
        <v>228</v>
      </c>
      <c r="U178" s="237" t="s">
        <v>234</v>
      </c>
      <c r="V178" s="237" t="s">
        <v>652</v>
      </c>
      <c r="W178" s="245">
        <v>45947</v>
      </c>
      <c r="X178" s="237" t="s">
        <v>1277</v>
      </c>
      <c r="Y178" s="237" t="s">
        <v>237</v>
      </c>
      <c r="Z178" s="237" t="s">
        <v>228</v>
      </c>
      <c r="AA178" s="237" t="s">
        <v>1278</v>
      </c>
      <c r="AB178" s="337" t="s">
        <v>228</v>
      </c>
      <c r="AC178" s="237" t="s">
        <v>228</v>
      </c>
      <c r="AD178" s="562"/>
      <c r="AE178" s="555"/>
      <c r="AF178" s="237"/>
    </row>
    <row r="179" spans="1:32" ht="13.5" customHeight="1">
      <c r="A179" s="235">
        <v>177</v>
      </c>
      <c r="B179" s="237"/>
      <c r="C179" s="243" t="s">
        <v>1279</v>
      </c>
      <c r="D179" s="237" t="s">
        <v>1280</v>
      </c>
      <c r="E179" s="237">
        <v>77</v>
      </c>
      <c r="F179" s="237" t="s">
        <v>60</v>
      </c>
      <c r="G179" s="237" t="s">
        <v>1281</v>
      </c>
      <c r="H179" s="243" t="s">
        <v>3</v>
      </c>
      <c r="I179" s="243"/>
      <c r="J179" s="240" t="s">
        <v>886</v>
      </c>
      <c r="K179" s="240" t="s">
        <v>1135</v>
      </c>
      <c r="L179" s="243" t="s">
        <v>55</v>
      </c>
      <c r="M179" s="246" t="s">
        <v>228</v>
      </c>
      <c r="N179" s="237"/>
      <c r="O179" s="237"/>
      <c r="P179" s="237"/>
      <c r="Q179" s="245">
        <v>45664</v>
      </c>
      <c r="R179" s="237" t="s">
        <v>309</v>
      </c>
      <c r="S179" s="331" t="s">
        <v>233</v>
      </c>
      <c r="T179" s="237" t="s">
        <v>228</v>
      </c>
      <c r="U179" s="237" t="s">
        <v>234</v>
      </c>
      <c r="V179" s="237" t="s">
        <v>652</v>
      </c>
      <c r="W179" s="245">
        <v>45947</v>
      </c>
      <c r="X179" s="237" t="s">
        <v>1282</v>
      </c>
      <c r="Y179" s="237" t="s">
        <v>237</v>
      </c>
      <c r="Z179" s="237" t="s">
        <v>228</v>
      </c>
      <c r="AA179" s="237" t="s">
        <v>1283</v>
      </c>
      <c r="AB179" s="337" t="s">
        <v>228</v>
      </c>
      <c r="AC179" s="237" t="s">
        <v>228</v>
      </c>
      <c r="AD179" s="562"/>
      <c r="AE179" s="550"/>
      <c r="AF179" s="237"/>
    </row>
    <row r="180" spans="1:32" ht="13.5" customHeight="1">
      <c r="A180" s="235">
        <v>178</v>
      </c>
      <c r="B180" s="237">
        <v>4</v>
      </c>
      <c r="C180" s="243" t="s">
        <v>1284</v>
      </c>
      <c r="D180" s="237" t="s">
        <v>1285</v>
      </c>
      <c r="E180" s="237">
        <v>66</v>
      </c>
      <c r="F180" s="237" t="s">
        <v>75</v>
      </c>
      <c r="G180" s="237" t="s">
        <v>1286</v>
      </c>
      <c r="H180" s="243" t="s">
        <v>3</v>
      </c>
      <c r="I180" s="243"/>
      <c r="K180" s="240"/>
      <c r="L180" s="243" t="s">
        <v>49</v>
      </c>
      <c r="M180" s="246" t="s">
        <v>228</v>
      </c>
      <c r="N180" s="237" t="s">
        <v>1287</v>
      </c>
      <c r="O180" s="237" t="s">
        <v>228</v>
      </c>
      <c r="P180" s="237" t="s">
        <v>231</v>
      </c>
      <c r="Q180" s="245">
        <v>44835</v>
      </c>
      <c r="R180" s="237" t="s">
        <v>232</v>
      </c>
      <c r="S180" s="331" t="s">
        <v>233</v>
      </c>
      <c r="T180" s="237">
        <v>3.7</v>
      </c>
      <c r="U180" s="237" t="s">
        <v>298</v>
      </c>
      <c r="V180" s="237" t="s">
        <v>235</v>
      </c>
      <c r="W180" s="245" t="s">
        <v>228</v>
      </c>
      <c r="X180" s="237" t="s">
        <v>1288</v>
      </c>
      <c r="Y180" s="237" t="s">
        <v>237</v>
      </c>
      <c r="Z180" s="237" t="s">
        <v>237</v>
      </c>
      <c r="AA180" s="237" t="s">
        <v>1289</v>
      </c>
      <c r="AB180" s="337" t="s">
        <v>228</v>
      </c>
      <c r="AC180" s="237" t="s">
        <v>228</v>
      </c>
      <c r="AD180" s="562"/>
      <c r="AE180" s="550"/>
      <c r="AF180" s="237"/>
    </row>
    <row r="181" spans="1:32" ht="13.5" customHeight="1">
      <c r="A181" s="235">
        <v>179</v>
      </c>
      <c r="B181" s="237">
        <v>129</v>
      </c>
      <c r="C181" s="243" t="s">
        <v>1290</v>
      </c>
      <c r="D181" s="237" t="s">
        <v>1291</v>
      </c>
      <c r="E181" s="237">
        <v>76</v>
      </c>
      <c r="F181" s="237" t="s">
        <v>60</v>
      </c>
      <c r="G181" s="237" t="s">
        <v>1292</v>
      </c>
      <c r="H181" s="243" t="s">
        <v>3</v>
      </c>
      <c r="I181" s="243"/>
      <c r="K181" s="240"/>
      <c r="L181" s="243" t="s">
        <v>41</v>
      </c>
      <c r="M181" s="246" t="s">
        <v>228</v>
      </c>
      <c r="N181" s="237" t="s">
        <v>1293</v>
      </c>
      <c r="O181" s="237" t="s">
        <v>1294</v>
      </c>
      <c r="P181" s="237" t="s">
        <v>231</v>
      </c>
      <c r="Q181" s="245">
        <v>44975</v>
      </c>
      <c r="R181" s="237" t="s">
        <v>309</v>
      </c>
      <c r="S181" s="331" t="s">
        <v>233</v>
      </c>
      <c r="T181" s="237">
        <v>8.6</v>
      </c>
      <c r="U181" s="237" t="s">
        <v>234</v>
      </c>
      <c r="V181" s="237" t="s">
        <v>235</v>
      </c>
      <c r="W181" s="245" t="s">
        <v>228</v>
      </c>
      <c r="X181" s="237" t="s">
        <v>1295</v>
      </c>
      <c r="Y181" s="237" t="s">
        <v>237</v>
      </c>
      <c r="Z181" s="237" t="s">
        <v>237</v>
      </c>
      <c r="AA181" s="237" t="s">
        <v>1296</v>
      </c>
      <c r="AB181" s="337" t="s">
        <v>228</v>
      </c>
      <c r="AC181" s="237" t="s">
        <v>228</v>
      </c>
      <c r="AD181" s="562"/>
      <c r="AE181" s="550"/>
      <c r="AF181" s="237"/>
    </row>
    <row r="182" spans="1:32" ht="13.5" customHeight="1">
      <c r="A182" s="235">
        <v>180</v>
      </c>
      <c r="B182" s="237"/>
      <c r="C182" s="255" t="s">
        <v>1297</v>
      </c>
      <c r="D182" s="237" t="s">
        <v>1298</v>
      </c>
      <c r="E182" s="237">
        <v>45</v>
      </c>
      <c r="F182" s="237" t="s">
        <v>60</v>
      </c>
      <c r="G182" s="237" t="s">
        <v>1299</v>
      </c>
      <c r="H182" s="243" t="s">
        <v>188</v>
      </c>
      <c r="I182" s="240" t="s">
        <v>39</v>
      </c>
      <c r="K182" s="240"/>
      <c r="L182" s="243"/>
      <c r="M182" s="243" t="s">
        <v>231</v>
      </c>
      <c r="N182" s="237" t="s">
        <v>1300</v>
      </c>
      <c r="O182" s="237"/>
      <c r="P182" s="237"/>
      <c r="Q182" s="245">
        <v>45799</v>
      </c>
      <c r="R182" s="237" t="s">
        <v>309</v>
      </c>
      <c r="S182" s="331" t="s">
        <v>233</v>
      </c>
      <c r="T182" s="237" t="s">
        <v>228</v>
      </c>
      <c r="U182" s="237" t="s">
        <v>234</v>
      </c>
      <c r="V182" s="237" t="s">
        <v>473</v>
      </c>
      <c r="W182" s="245">
        <v>45918</v>
      </c>
      <c r="X182" s="237" t="s">
        <v>1301</v>
      </c>
      <c r="Y182" s="237" t="s">
        <v>588</v>
      </c>
      <c r="Z182" s="237" t="s">
        <v>228</v>
      </c>
      <c r="AA182" s="237" t="s">
        <v>1302</v>
      </c>
      <c r="AB182" s="337" t="s">
        <v>228</v>
      </c>
      <c r="AC182" s="237" t="s">
        <v>228</v>
      </c>
      <c r="AD182" s="562"/>
      <c r="AE182" s="555"/>
      <c r="AF182" s="237"/>
    </row>
    <row r="183" spans="1:32" ht="13.5" customHeight="1">
      <c r="A183" s="235">
        <v>181</v>
      </c>
      <c r="B183" s="237"/>
      <c r="C183" s="243">
        <v>5</v>
      </c>
      <c r="D183" s="237" t="s">
        <v>1303</v>
      </c>
      <c r="E183" s="237">
        <v>60</v>
      </c>
      <c r="F183" s="237" t="s">
        <v>60</v>
      </c>
      <c r="G183" s="237" t="s">
        <v>230</v>
      </c>
      <c r="H183" s="243" t="s">
        <v>4</v>
      </c>
      <c r="I183" s="243"/>
      <c r="K183" s="288" t="s">
        <v>1304</v>
      </c>
      <c r="L183" s="243" t="s">
        <v>1305</v>
      </c>
      <c r="M183" s="243" t="s">
        <v>231</v>
      </c>
      <c r="N183" s="237" t="s">
        <v>228</v>
      </c>
      <c r="O183" s="237" t="s">
        <v>1306</v>
      </c>
      <c r="P183" s="237" t="s">
        <v>231</v>
      </c>
      <c r="Q183" s="245" t="s">
        <v>228</v>
      </c>
      <c r="R183" s="237" t="s">
        <v>232</v>
      </c>
      <c r="S183" s="331" t="s">
        <v>233</v>
      </c>
      <c r="T183" s="237" t="s">
        <v>228</v>
      </c>
      <c r="U183" s="237" t="s">
        <v>234</v>
      </c>
      <c r="V183" s="237" t="s">
        <v>235</v>
      </c>
      <c r="W183" s="245" t="s">
        <v>228</v>
      </c>
      <c r="X183" s="237" t="s">
        <v>231</v>
      </c>
      <c r="Y183" s="237" t="s">
        <v>237</v>
      </c>
      <c r="Z183" s="237" t="s">
        <v>228</v>
      </c>
      <c r="AA183" s="237"/>
      <c r="AB183" s="337" t="s">
        <v>228</v>
      </c>
      <c r="AC183" s="237" t="s">
        <v>228</v>
      </c>
      <c r="AD183" s="562"/>
      <c r="AE183" s="550"/>
      <c r="AF183" s="237"/>
    </row>
    <row r="184" spans="1:32" ht="13.5" customHeight="1">
      <c r="A184" s="235">
        <v>182</v>
      </c>
      <c r="B184" s="237">
        <v>15</v>
      </c>
      <c r="C184" s="243" t="s">
        <v>1307</v>
      </c>
      <c r="D184" s="237" t="s">
        <v>1308</v>
      </c>
      <c r="E184" s="237">
        <v>86</v>
      </c>
      <c r="F184" s="237" t="s">
        <v>75</v>
      </c>
      <c r="G184" s="237" t="s">
        <v>1309</v>
      </c>
      <c r="H184" s="243" t="s">
        <v>4</v>
      </c>
      <c r="I184" s="243"/>
      <c r="K184" s="240" t="s">
        <v>1310</v>
      </c>
      <c r="L184" s="243" t="s">
        <v>13</v>
      </c>
      <c r="M184" s="246" t="s">
        <v>228</v>
      </c>
      <c r="N184" s="237" t="s">
        <v>1311</v>
      </c>
      <c r="O184" s="237" t="s">
        <v>228</v>
      </c>
      <c r="P184" s="237" t="s">
        <v>1312</v>
      </c>
      <c r="Q184" s="245">
        <v>44701</v>
      </c>
      <c r="R184" s="237" t="s">
        <v>232</v>
      </c>
      <c r="S184" s="331" t="s">
        <v>233</v>
      </c>
      <c r="T184" s="237" t="s">
        <v>228</v>
      </c>
      <c r="U184" s="237" t="s">
        <v>234</v>
      </c>
      <c r="V184" s="237" t="s">
        <v>235</v>
      </c>
      <c r="W184" s="245" t="s">
        <v>228</v>
      </c>
      <c r="X184" s="237" t="s">
        <v>1313</v>
      </c>
      <c r="Y184" s="237" t="s">
        <v>237</v>
      </c>
      <c r="Z184" s="237" t="s">
        <v>237</v>
      </c>
      <c r="AA184" s="237" t="s">
        <v>1314</v>
      </c>
      <c r="AB184" s="337" t="s">
        <v>228</v>
      </c>
      <c r="AC184" s="237" t="s">
        <v>228</v>
      </c>
      <c r="AD184" s="562"/>
      <c r="AE184" s="550"/>
      <c r="AF184" s="237"/>
    </row>
    <row r="185" spans="1:32" ht="13.5" customHeight="1">
      <c r="A185" s="235">
        <v>183</v>
      </c>
      <c r="B185" s="237">
        <v>33</v>
      </c>
      <c r="C185" s="243" t="s">
        <v>1315</v>
      </c>
      <c r="D185" s="237" t="s">
        <v>1316</v>
      </c>
      <c r="E185" s="237">
        <v>26</v>
      </c>
      <c r="F185" s="237" t="s">
        <v>75</v>
      </c>
      <c r="G185" s="237" t="s">
        <v>1317</v>
      </c>
      <c r="H185" s="243" t="s">
        <v>4</v>
      </c>
      <c r="I185" s="243"/>
      <c r="K185" s="240" t="s">
        <v>1318</v>
      </c>
      <c r="L185" s="243" t="s">
        <v>22</v>
      </c>
      <c r="M185" s="246" t="s">
        <v>228</v>
      </c>
      <c r="N185" s="237" t="s">
        <v>1319</v>
      </c>
      <c r="O185" s="237" t="s">
        <v>358</v>
      </c>
      <c r="P185" s="237" t="s">
        <v>231</v>
      </c>
      <c r="Q185" s="245">
        <v>44845</v>
      </c>
      <c r="R185" s="237" t="s">
        <v>232</v>
      </c>
      <c r="S185" s="331" t="s">
        <v>233</v>
      </c>
      <c r="T185" s="237">
        <v>9.6999999999999993</v>
      </c>
      <c r="U185" s="237" t="s">
        <v>234</v>
      </c>
      <c r="V185" s="237" t="s">
        <v>235</v>
      </c>
      <c r="W185" s="245" t="s">
        <v>228</v>
      </c>
      <c r="X185" s="237" t="s">
        <v>270</v>
      </c>
      <c r="Y185" s="237" t="s">
        <v>237</v>
      </c>
      <c r="Z185" s="237" t="s">
        <v>237</v>
      </c>
      <c r="AA185" s="237" t="s">
        <v>1320</v>
      </c>
      <c r="AB185" s="337" t="s">
        <v>228</v>
      </c>
      <c r="AC185" s="237" t="s">
        <v>228</v>
      </c>
      <c r="AD185" s="562"/>
      <c r="AE185" s="550"/>
      <c r="AF185" s="237"/>
    </row>
    <row r="186" spans="1:32" ht="13.5" customHeight="1">
      <c r="A186" s="235">
        <v>184</v>
      </c>
      <c r="B186" s="237">
        <v>35</v>
      </c>
      <c r="C186" s="243" t="s">
        <v>1321</v>
      </c>
      <c r="D186" s="237" t="s">
        <v>1322</v>
      </c>
      <c r="E186" s="237">
        <v>48</v>
      </c>
      <c r="F186" s="237" t="s">
        <v>75</v>
      </c>
      <c r="G186" s="237" t="s">
        <v>1323</v>
      </c>
      <c r="H186" s="243" t="s">
        <v>4</v>
      </c>
      <c r="I186" s="243"/>
      <c r="K186" s="240"/>
      <c r="L186" s="243" t="s">
        <v>16</v>
      </c>
      <c r="M186" s="246" t="s">
        <v>228</v>
      </c>
      <c r="N186" s="237" t="s">
        <v>228</v>
      </c>
      <c r="O186" s="237" t="s">
        <v>228</v>
      </c>
      <c r="P186" s="237" t="s">
        <v>1312</v>
      </c>
      <c r="Q186" s="245" t="s">
        <v>228</v>
      </c>
      <c r="R186" s="237" t="s">
        <v>232</v>
      </c>
      <c r="S186" s="331" t="s">
        <v>233</v>
      </c>
      <c r="T186" s="237">
        <v>9.6</v>
      </c>
      <c r="U186" s="237" t="s">
        <v>234</v>
      </c>
      <c r="V186" s="237" t="s">
        <v>235</v>
      </c>
      <c r="W186" s="245" t="s">
        <v>228</v>
      </c>
      <c r="X186" s="237" t="s">
        <v>1324</v>
      </c>
      <c r="Y186" s="237" t="s">
        <v>237</v>
      </c>
      <c r="Z186" s="237" t="s">
        <v>237</v>
      </c>
      <c r="AA186" s="237" t="s">
        <v>1325</v>
      </c>
      <c r="AB186" s="337" t="s">
        <v>228</v>
      </c>
      <c r="AC186" s="237" t="s">
        <v>228</v>
      </c>
      <c r="AD186" s="562"/>
      <c r="AE186" s="550"/>
      <c r="AF186" s="237"/>
    </row>
    <row r="187" spans="1:32" ht="13.5" customHeight="1">
      <c r="A187" s="235">
        <v>185</v>
      </c>
      <c r="B187" s="237">
        <v>42</v>
      </c>
      <c r="C187" s="243" t="s">
        <v>1326</v>
      </c>
      <c r="D187" s="237" t="s">
        <v>1327</v>
      </c>
      <c r="E187" s="237">
        <v>58</v>
      </c>
      <c r="F187" s="237" t="s">
        <v>75</v>
      </c>
      <c r="G187" s="237" t="s">
        <v>1328</v>
      </c>
      <c r="H187" s="243" t="s">
        <v>4</v>
      </c>
      <c r="I187" s="243"/>
      <c r="K187" s="240" t="s">
        <v>1329</v>
      </c>
      <c r="L187" s="243" t="s">
        <v>49</v>
      </c>
      <c r="M187" s="246" t="s">
        <v>228</v>
      </c>
      <c r="N187" s="237" t="s">
        <v>1330</v>
      </c>
      <c r="O187" s="237" t="s">
        <v>228</v>
      </c>
      <c r="P187" s="237" t="s">
        <v>1331</v>
      </c>
      <c r="Q187" s="245">
        <v>44867</v>
      </c>
      <c r="R187" s="237" t="s">
        <v>232</v>
      </c>
      <c r="S187" s="331" t="s">
        <v>233</v>
      </c>
      <c r="T187" s="237">
        <v>8.5</v>
      </c>
      <c r="U187" s="237" t="s">
        <v>234</v>
      </c>
      <c r="V187" s="237" t="s">
        <v>235</v>
      </c>
      <c r="W187" s="245" t="s">
        <v>228</v>
      </c>
      <c r="X187" s="237" t="s">
        <v>1332</v>
      </c>
      <c r="Y187" s="237" t="s">
        <v>237</v>
      </c>
      <c r="Z187" s="237" t="s">
        <v>228</v>
      </c>
      <c r="AA187" s="237" t="s">
        <v>1333</v>
      </c>
      <c r="AB187" s="337" t="s">
        <v>228</v>
      </c>
      <c r="AC187" s="237" t="s">
        <v>228</v>
      </c>
      <c r="AD187" s="562"/>
      <c r="AE187" s="550"/>
      <c r="AF187" s="237"/>
    </row>
    <row r="188" spans="1:32" ht="13.5" customHeight="1">
      <c r="A188" s="235">
        <v>186</v>
      </c>
      <c r="B188" s="237">
        <v>48</v>
      </c>
      <c r="C188" s="243" t="s">
        <v>1334</v>
      </c>
      <c r="D188" s="237" t="s">
        <v>1335</v>
      </c>
      <c r="E188" s="237">
        <v>38</v>
      </c>
      <c r="F188" s="237" t="s">
        <v>60</v>
      </c>
      <c r="G188" s="237" t="s">
        <v>1336</v>
      </c>
      <c r="H188" s="243" t="s">
        <v>4</v>
      </c>
      <c r="I188" s="243"/>
      <c r="J188" s="240" t="s">
        <v>886</v>
      </c>
      <c r="K188" s="240" t="s">
        <v>1337</v>
      </c>
      <c r="L188" s="243" t="s">
        <v>22</v>
      </c>
      <c r="M188" s="246" t="s">
        <v>228</v>
      </c>
      <c r="N188" s="237" t="s">
        <v>1338</v>
      </c>
      <c r="O188" s="237" t="s">
        <v>228</v>
      </c>
      <c r="P188" s="237" t="s">
        <v>231</v>
      </c>
      <c r="Q188" s="245">
        <v>44887</v>
      </c>
      <c r="R188" s="237" t="s">
        <v>232</v>
      </c>
      <c r="S188" s="331" t="s">
        <v>233</v>
      </c>
      <c r="T188" s="237">
        <v>8.6999999999999993</v>
      </c>
      <c r="U188" s="237" t="s">
        <v>234</v>
      </c>
      <c r="V188" s="237" t="s">
        <v>235</v>
      </c>
      <c r="W188" s="245" t="s">
        <v>228</v>
      </c>
      <c r="X188" s="237" t="s">
        <v>1339</v>
      </c>
      <c r="Y188" s="237" t="s">
        <v>237</v>
      </c>
      <c r="Z188" s="237" t="s">
        <v>237</v>
      </c>
      <c r="AA188" s="237" t="s">
        <v>1340</v>
      </c>
      <c r="AB188" s="337" t="s">
        <v>228</v>
      </c>
      <c r="AC188" s="237" t="s">
        <v>228</v>
      </c>
      <c r="AD188" s="562"/>
      <c r="AE188" s="550"/>
      <c r="AF188" s="237"/>
    </row>
    <row r="189" spans="1:32" ht="13.5" customHeight="1">
      <c r="A189" s="235">
        <v>187</v>
      </c>
      <c r="B189" s="237">
        <v>51</v>
      </c>
      <c r="C189" s="243" t="s">
        <v>1341</v>
      </c>
      <c r="D189" s="237" t="s">
        <v>1342</v>
      </c>
      <c r="E189" s="237">
        <v>62</v>
      </c>
      <c r="F189" s="237" t="s">
        <v>75</v>
      </c>
      <c r="G189" s="237" t="s">
        <v>1343</v>
      </c>
      <c r="H189" s="243" t="s">
        <v>4</v>
      </c>
      <c r="I189" s="243"/>
      <c r="J189" s="240" t="s">
        <v>886</v>
      </c>
      <c r="K189" s="240" t="s">
        <v>887</v>
      </c>
      <c r="L189" s="243" t="s">
        <v>45</v>
      </c>
      <c r="M189" s="246" t="s">
        <v>228</v>
      </c>
      <c r="N189" s="237" t="s">
        <v>1344</v>
      </c>
      <c r="O189" s="237" t="s">
        <v>1345</v>
      </c>
      <c r="P189" s="237" t="s">
        <v>231</v>
      </c>
      <c r="Q189" s="245">
        <v>44895</v>
      </c>
      <c r="R189" s="237" t="s">
        <v>309</v>
      </c>
      <c r="S189" s="331" t="s">
        <v>233</v>
      </c>
      <c r="T189" s="237">
        <v>8.9</v>
      </c>
      <c r="U189" s="237" t="s">
        <v>234</v>
      </c>
      <c r="V189" s="237" t="s">
        <v>235</v>
      </c>
      <c r="W189" s="245" t="s">
        <v>228</v>
      </c>
      <c r="X189" s="237" t="s">
        <v>434</v>
      </c>
      <c r="Y189" s="237" t="s">
        <v>237</v>
      </c>
      <c r="Z189" s="237" t="s">
        <v>228</v>
      </c>
      <c r="AA189" s="237" t="s">
        <v>1346</v>
      </c>
      <c r="AB189" s="337" t="s">
        <v>228</v>
      </c>
      <c r="AC189" s="237" t="s">
        <v>228</v>
      </c>
      <c r="AD189" s="562"/>
      <c r="AE189" s="550"/>
      <c r="AF189" s="237"/>
    </row>
    <row r="190" spans="1:32" ht="13.5" customHeight="1">
      <c r="A190" s="235">
        <v>188</v>
      </c>
      <c r="B190" s="237">
        <v>52</v>
      </c>
      <c r="C190" s="243" t="s">
        <v>1347</v>
      </c>
      <c r="D190" s="237" t="s">
        <v>1348</v>
      </c>
      <c r="E190" s="237">
        <v>52</v>
      </c>
      <c r="F190" s="237" t="s">
        <v>75</v>
      </c>
      <c r="G190" s="237" t="s">
        <v>1349</v>
      </c>
      <c r="H190" s="243" t="s">
        <v>4</v>
      </c>
      <c r="I190" s="243"/>
      <c r="J190" s="240" t="s">
        <v>886</v>
      </c>
      <c r="K190" s="240" t="s">
        <v>887</v>
      </c>
      <c r="L190" s="243" t="s">
        <v>45</v>
      </c>
      <c r="M190" s="246" t="s">
        <v>228</v>
      </c>
      <c r="N190" s="237" t="s">
        <v>1350</v>
      </c>
      <c r="O190" s="237" t="s">
        <v>1351</v>
      </c>
      <c r="P190" s="237" t="s">
        <v>231</v>
      </c>
      <c r="Q190" s="245">
        <v>44895</v>
      </c>
      <c r="R190" s="237" t="s">
        <v>309</v>
      </c>
      <c r="S190" s="331" t="s">
        <v>233</v>
      </c>
      <c r="T190" s="237">
        <v>8.4</v>
      </c>
      <c r="U190" s="237" t="s">
        <v>234</v>
      </c>
      <c r="V190" s="237" t="s">
        <v>235</v>
      </c>
      <c r="W190" s="245" t="s">
        <v>228</v>
      </c>
      <c r="X190" s="237" t="s">
        <v>1352</v>
      </c>
      <c r="Y190" s="237" t="s">
        <v>237</v>
      </c>
      <c r="Z190" s="237" t="s">
        <v>228</v>
      </c>
      <c r="AA190" s="237" t="s">
        <v>1353</v>
      </c>
      <c r="AB190" s="337" t="s">
        <v>228</v>
      </c>
      <c r="AC190" s="237" t="s">
        <v>228</v>
      </c>
      <c r="AD190" s="562"/>
      <c r="AE190" s="550"/>
      <c r="AF190" s="237"/>
    </row>
    <row r="191" spans="1:32" ht="13.5" customHeight="1">
      <c r="A191" s="235">
        <v>189</v>
      </c>
      <c r="B191" s="237">
        <v>53</v>
      </c>
      <c r="C191" s="243" t="s">
        <v>1354</v>
      </c>
      <c r="D191" s="237" t="s">
        <v>1355</v>
      </c>
      <c r="E191" s="237">
        <v>72</v>
      </c>
      <c r="F191" s="237" t="s">
        <v>60</v>
      </c>
      <c r="G191" s="237" t="s">
        <v>1356</v>
      </c>
      <c r="H191" s="243" t="s">
        <v>4</v>
      </c>
      <c r="I191" s="243"/>
      <c r="J191" s="240"/>
      <c r="K191" s="240"/>
      <c r="L191" s="243" t="s">
        <v>1357</v>
      </c>
      <c r="M191" s="246" t="s">
        <v>228</v>
      </c>
      <c r="N191" s="237" t="s">
        <v>228</v>
      </c>
      <c r="O191" s="237" t="s">
        <v>228</v>
      </c>
      <c r="P191" s="237" t="s">
        <v>1312</v>
      </c>
      <c r="Q191" s="245">
        <v>44901</v>
      </c>
      <c r="R191" s="237" t="s">
        <v>309</v>
      </c>
      <c r="S191" s="331" t="s">
        <v>233</v>
      </c>
      <c r="T191" s="237">
        <v>7.4</v>
      </c>
      <c r="U191" s="237" t="s">
        <v>234</v>
      </c>
      <c r="V191" s="237" t="s">
        <v>235</v>
      </c>
      <c r="W191" s="245" t="s">
        <v>228</v>
      </c>
      <c r="X191" s="237" t="s">
        <v>1358</v>
      </c>
      <c r="Y191" s="237" t="s">
        <v>237</v>
      </c>
      <c r="Z191" s="237" t="s">
        <v>228</v>
      </c>
      <c r="AA191" s="237" t="s">
        <v>1359</v>
      </c>
      <c r="AB191" s="337" t="s">
        <v>228</v>
      </c>
      <c r="AC191" s="237" t="s">
        <v>228</v>
      </c>
      <c r="AD191" s="562"/>
      <c r="AE191" s="550"/>
      <c r="AF191" s="237"/>
    </row>
    <row r="192" spans="1:32" ht="13.5" customHeight="1">
      <c r="A192" s="235">
        <v>190</v>
      </c>
      <c r="B192" s="237">
        <v>59</v>
      </c>
      <c r="C192" s="243" t="s">
        <v>1360</v>
      </c>
      <c r="D192" s="237" t="s">
        <v>1361</v>
      </c>
      <c r="E192" s="237">
        <v>70</v>
      </c>
      <c r="F192" s="237" t="s">
        <v>75</v>
      </c>
      <c r="G192" s="237" t="s">
        <v>1362</v>
      </c>
      <c r="H192" s="243" t="s">
        <v>4</v>
      </c>
      <c r="I192" s="243"/>
      <c r="J192" s="240" t="s">
        <v>886</v>
      </c>
      <c r="K192" s="240" t="s">
        <v>887</v>
      </c>
      <c r="L192" s="243" t="s">
        <v>45</v>
      </c>
      <c r="M192" s="246" t="s">
        <v>228</v>
      </c>
      <c r="N192" s="237" t="s">
        <v>1363</v>
      </c>
      <c r="O192" s="237" t="s">
        <v>228</v>
      </c>
      <c r="P192" s="237" t="s">
        <v>231</v>
      </c>
      <c r="Q192" s="245">
        <v>44907</v>
      </c>
      <c r="R192" s="237" t="s">
        <v>309</v>
      </c>
      <c r="S192" s="331" t="s">
        <v>233</v>
      </c>
      <c r="T192" s="237">
        <v>7.8</v>
      </c>
      <c r="U192" s="237" t="s">
        <v>234</v>
      </c>
      <c r="V192" s="237" t="s">
        <v>235</v>
      </c>
      <c r="W192" s="245" t="s">
        <v>228</v>
      </c>
      <c r="X192" s="237" t="s">
        <v>1364</v>
      </c>
      <c r="Y192" s="237" t="s">
        <v>237</v>
      </c>
      <c r="Z192" s="237" t="s">
        <v>228</v>
      </c>
      <c r="AA192" s="237" t="s">
        <v>1365</v>
      </c>
      <c r="AB192" s="337" t="s">
        <v>228</v>
      </c>
      <c r="AC192" s="237" t="s">
        <v>228</v>
      </c>
      <c r="AD192" s="562"/>
      <c r="AE192" s="550"/>
      <c r="AF192" s="237"/>
    </row>
    <row r="193" spans="1:32" ht="13.5" customHeight="1">
      <c r="A193" s="235">
        <v>191</v>
      </c>
      <c r="B193" s="237">
        <v>6</v>
      </c>
      <c r="C193" s="243" t="s">
        <v>1366</v>
      </c>
      <c r="D193" s="237" t="s">
        <v>1367</v>
      </c>
      <c r="E193" s="237">
        <v>65</v>
      </c>
      <c r="F193" s="237" t="s">
        <v>75</v>
      </c>
      <c r="G193" s="237" t="s">
        <v>1368</v>
      </c>
      <c r="H193" s="243" t="s">
        <v>4</v>
      </c>
      <c r="I193" s="243"/>
      <c r="J193" s="240" t="s">
        <v>886</v>
      </c>
      <c r="K193" s="240" t="s">
        <v>1369</v>
      </c>
      <c r="L193" s="243" t="s">
        <v>16</v>
      </c>
      <c r="M193" s="246" t="s">
        <v>228</v>
      </c>
      <c r="N193" s="237" t="s">
        <v>1370</v>
      </c>
      <c r="O193" s="237" t="s">
        <v>880</v>
      </c>
      <c r="P193" s="237" t="s">
        <v>1331</v>
      </c>
      <c r="Q193" s="245">
        <v>44908</v>
      </c>
      <c r="R193" s="237" t="s">
        <v>309</v>
      </c>
      <c r="S193" s="331" t="s">
        <v>233</v>
      </c>
      <c r="T193" s="237">
        <v>8.3000000000000007</v>
      </c>
      <c r="U193" s="237" t="s">
        <v>234</v>
      </c>
      <c r="V193" s="237" t="s">
        <v>235</v>
      </c>
      <c r="W193" s="245" t="s">
        <v>228</v>
      </c>
      <c r="X193" s="237" t="s">
        <v>1371</v>
      </c>
      <c r="Y193" s="237" t="s">
        <v>237</v>
      </c>
      <c r="Z193" s="237" t="s">
        <v>228</v>
      </c>
      <c r="AA193" s="237" t="s">
        <v>1372</v>
      </c>
      <c r="AB193" s="337" t="s">
        <v>228</v>
      </c>
      <c r="AC193" s="237" t="s">
        <v>228</v>
      </c>
      <c r="AD193" s="562"/>
      <c r="AE193" s="550"/>
      <c r="AF193" s="237"/>
    </row>
    <row r="194" spans="1:32" ht="13.5" customHeight="1">
      <c r="A194" s="235">
        <v>192</v>
      </c>
      <c r="B194" s="237">
        <v>62</v>
      </c>
      <c r="C194" s="243" t="s">
        <v>1373</v>
      </c>
      <c r="D194" s="237" t="s">
        <v>1374</v>
      </c>
      <c r="E194" s="237">
        <v>71</v>
      </c>
      <c r="F194" s="237" t="s">
        <v>75</v>
      </c>
      <c r="G194" s="237" t="s">
        <v>1375</v>
      </c>
      <c r="H194" s="243" t="s">
        <v>4</v>
      </c>
      <c r="I194" s="243"/>
      <c r="J194" s="240"/>
      <c r="K194" s="240" t="s">
        <v>1376</v>
      </c>
      <c r="L194" s="243" t="s">
        <v>16</v>
      </c>
      <c r="M194" s="246" t="s">
        <v>228</v>
      </c>
      <c r="N194" s="237" t="s">
        <v>32</v>
      </c>
      <c r="O194" s="237" t="s">
        <v>228</v>
      </c>
      <c r="P194" s="237" t="s">
        <v>231</v>
      </c>
      <c r="Q194" s="245">
        <v>44903</v>
      </c>
      <c r="R194" s="237" t="s">
        <v>309</v>
      </c>
      <c r="S194" s="331" t="s">
        <v>233</v>
      </c>
      <c r="T194" s="237">
        <v>8.5</v>
      </c>
      <c r="U194" s="237" t="s">
        <v>234</v>
      </c>
      <c r="V194" s="237" t="s">
        <v>235</v>
      </c>
      <c r="W194" s="245" t="s">
        <v>228</v>
      </c>
      <c r="X194" s="237" t="s">
        <v>1377</v>
      </c>
      <c r="Y194" s="237" t="s">
        <v>237</v>
      </c>
      <c r="Z194" s="237" t="s">
        <v>228</v>
      </c>
      <c r="AA194" s="237" t="s">
        <v>1378</v>
      </c>
      <c r="AB194" s="337" t="s">
        <v>228</v>
      </c>
      <c r="AC194" s="237" t="s">
        <v>228</v>
      </c>
      <c r="AD194" s="562"/>
      <c r="AE194" s="550"/>
      <c r="AF194" s="237"/>
    </row>
    <row r="195" spans="1:32" ht="13.5" customHeight="1">
      <c r="A195" s="235">
        <v>193</v>
      </c>
      <c r="B195" s="237">
        <v>69</v>
      </c>
      <c r="C195" s="243" t="s">
        <v>1379</v>
      </c>
      <c r="D195" s="237" t="s">
        <v>1380</v>
      </c>
      <c r="E195" s="237">
        <v>44</v>
      </c>
      <c r="F195" s="237" t="s">
        <v>75</v>
      </c>
      <c r="G195" s="237" t="s">
        <v>1381</v>
      </c>
      <c r="H195" s="243" t="s">
        <v>3</v>
      </c>
      <c r="I195" s="243"/>
      <c r="J195" s="240" t="s">
        <v>886</v>
      </c>
      <c r="K195" s="240" t="s">
        <v>887</v>
      </c>
      <c r="L195" s="243" t="s">
        <v>45</v>
      </c>
      <c r="M195" s="246" t="s">
        <v>228</v>
      </c>
      <c r="N195" s="237" t="s">
        <v>1382</v>
      </c>
      <c r="O195" s="237" t="s">
        <v>1383</v>
      </c>
      <c r="P195" s="237" t="s">
        <v>231</v>
      </c>
      <c r="Q195" s="245">
        <v>44922</v>
      </c>
      <c r="R195" s="237" t="s">
        <v>232</v>
      </c>
      <c r="S195" s="331" t="s">
        <v>233</v>
      </c>
      <c r="T195" s="237">
        <v>8.9</v>
      </c>
      <c r="U195" s="237" t="s">
        <v>234</v>
      </c>
      <c r="V195" s="237" t="s">
        <v>235</v>
      </c>
      <c r="W195" s="245" t="s">
        <v>228</v>
      </c>
      <c r="X195" s="237" t="s">
        <v>1384</v>
      </c>
      <c r="Y195" s="237" t="s">
        <v>237</v>
      </c>
      <c r="Z195" s="237" t="s">
        <v>228</v>
      </c>
      <c r="AA195" s="237" t="s">
        <v>1385</v>
      </c>
      <c r="AB195" s="337" t="s">
        <v>228</v>
      </c>
      <c r="AC195" s="237" t="s">
        <v>228</v>
      </c>
      <c r="AD195" s="562"/>
      <c r="AE195" s="550"/>
      <c r="AF195" s="237"/>
    </row>
    <row r="196" spans="1:32" ht="13.5" customHeight="1">
      <c r="A196" s="235">
        <v>194</v>
      </c>
      <c r="B196" s="237">
        <v>7</v>
      </c>
      <c r="C196" s="243" t="s">
        <v>1386</v>
      </c>
      <c r="D196" s="237" t="s">
        <v>1387</v>
      </c>
      <c r="E196" s="237">
        <v>52</v>
      </c>
      <c r="F196" s="237" t="s">
        <v>60</v>
      </c>
      <c r="G196" s="237" t="s">
        <v>1388</v>
      </c>
      <c r="H196" s="243" t="s">
        <v>4</v>
      </c>
      <c r="I196" s="243"/>
      <c r="J196" s="240" t="s">
        <v>886</v>
      </c>
      <c r="K196" s="240" t="s">
        <v>1389</v>
      </c>
      <c r="L196" s="243" t="s">
        <v>22</v>
      </c>
      <c r="M196" s="246" t="s">
        <v>228</v>
      </c>
      <c r="N196" s="237" t="s">
        <v>1390</v>
      </c>
      <c r="O196" s="237" t="s">
        <v>358</v>
      </c>
      <c r="P196" s="237" t="s">
        <v>231</v>
      </c>
      <c r="Q196" s="245">
        <v>44922</v>
      </c>
      <c r="R196" s="237" t="s">
        <v>232</v>
      </c>
      <c r="S196" s="331" t="s">
        <v>233</v>
      </c>
      <c r="T196" s="237">
        <v>8.6</v>
      </c>
      <c r="U196" s="237" t="s">
        <v>234</v>
      </c>
      <c r="V196" s="237" t="s">
        <v>235</v>
      </c>
      <c r="W196" s="245" t="s">
        <v>228</v>
      </c>
      <c r="X196" s="237" t="s">
        <v>1391</v>
      </c>
      <c r="Y196" s="237" t="s">
        <v>237</v>
      </c>
      <c r="Z196" s="237" t="s">
        <v>237</v>
      </c>
      <c r="AA196" s="237" t="s">
        <v>1392</v>
      </c>
      <c r="AB196" s="337" t="s">
        <v>228</v>
      </c>
      <c r="AC196" s="237" t="s">
        <v>228</v>
      </c>
      <c r="AD196" s="562"/>
      <c r="AE196" s="550"/>
      <c r="AF196" s="237"/>
    </row>
    <row r="197" spans="1:32" ht="13.5" customHeight="1">
      <c r="A197" s="235">
        <v>195</v>
      </c>
      <c r="B197" s="237">
        <v>73</v>
      </c>
      <c r="C197" s="243" t="s">
        <v>1393</v>
      </c>
      <c r="D197" s="237" t="s">
        <v>1394</v>
      </c>
      <c r="E197" s="237">
        <v>70</v>
      </c>
      <c r="F197" s="237" t="s">
        <v>75</v>
      </c>
      <c r="G197" s="237" t="s">
        <v>1395</v>
      </c>
      <c r="H197" s="243" t="s">
        <v>4</v>
      </c>
      <c r="I197" s="243"/>
      <c r="J197" s="240"/>
      <c r="K197" s="240"/>
      <c r="L197" s="243" t="s">
        <v>1396</v>
      </c>
      <c r="M197" s="246" t="s">
        <v>228</v>
      </c>
      <c r="N197" s="237" t="s">
        <v>1397</v>
      </c>
      <c r="O197" s="237" t="s">
        <v>1398</v>
      </c>
      <c r="P197" s="237" t="s">
        <v>231</v>
      </c>
      <c r="Q197" s="245">
        <v>44925</v>
      </c>
      <c r="R197" s="237" t="s">
        <v>232</v>
      </c>
      <c r="S197" s="331" t="s">
        <v>233</v>
      </c>
      <c r="T197" s="237">
        <v>8.5</v>
      </c>
      <c r="U197" s="237" t="s">
        <v>234</v>
      </c>
      <c r="V197" s="237" t="s">
        <v>235</v>
      </c>
      <c r="W197" s="245" t="s">
        <v>228</v>
      </c>
      <c r="X197" s="237" t="s">
        <v>1399</v>
      </c>
      <c r="Y197" s="237" t="s">
        <v>237</v>
      </c>
      <c r="Z197" s="237" t="s">
        <v>228</v>
      </c>
      <c r="AA197" s="237" t="s">
        <v>1400</v>
      </c>
      <c r="AB197" s="337" t="s">
        <v>228</v>
      </c>
      <c r="AC197" s="237" t="s">
        <v>228</v>
      </c>
      <c r="AD197" s="562"/>
      <c r="AE197" s="550"/>
      <c r="AF197" s="237"/>
    </row>
    <row r="198" spans="1:32" ht="13.5" customHeight="1">
      <c r="A198" s="235">
        <v>196</v>
      </c>
      <c r="B198" s="237">
        <v>88</v>
      </c>
      <c r="C198" s="243" t="s">
        <v>1401</v>
      </c>
      <c r="D198" s="237" t="s">
        <v>1402</v>
      </c>
      <c r="E198" s="237">
        <v>72</v>
      </c>
      <c r="F198" s="237" t="s">
        <v>75</v>
      </c>
      <c r="G198" s="237" t="s">
        <v>1403</v>
      </c>
      <c r="H198" s="243" t="s">
        <v>4</v>
      </c>
      <c r="I198" s="243"/>
      <c r="J198" s="240" t="s">
        <v>886</v>
      </c>
      <c r="K198" s="240" t="s">
        <v>1404</v>
      </c>
      <c r="L198" s="243" t="s">
        <v>45</v>
      </c>
      <c r="M198" s="246" t="s">
        <v>228</v>
      </c>
      <c r="N198" s="237" t="s">
        <v>1405</v>
      </c>
      <c r="O198" s="237" t="s">
        <v>1406</v>
      </c>
      <c r="P198" s="237" t="s">
        <v>231</v>
      </c>
      <c r="Q198" s="245">
        <v>44936</v>
      </c>
      <c r="R198" s="237" t="s">
        <v>309</v>
      </c>
      <c r="S198" s="331" t="s">
        <v>233</v>
      </c>
      <c r="T198" s="237">
        <v>7.7</v>
      </c>
      <c r="U198" s="237" t="s">
        <v>234</v>
      </c>
      <c r="V198" s="237" t="s">
        <v>235</v>
      </c>
      <c r="W198" s="245" t="s">
        <v>228</v>
      </c>
      <c r="X198" s="237" t="s">
        <v>1407</v>
      </c>
      <c r="Y198" s="237" t="s">
        <v>237</v>
      </c>
      <c r="Z198" s="237" t="s">
        <v>228</v>
      </c>
      <c r="AA198" s="237" t="s">
        <v>1408</v>
      </c>
      <c r="AB198" s="337" t="s">
        <v>228</v>
      </c>
      <c r="AC198" s="237" t="s">
        <v>228</v>
      </c>
      <c r="AD198" s="562"/>
      <c r="AE198" s="550"/>
      <c r="AF198" s="237"/>
    </row>
    <row r="199" spans="1:32" ht="13.5" customHeight="1">
      <c r="A199" s="235">
        <v>197</v>
      </c>
      <c r="B199" s="237">
        <v>93</v>
      </c>
      <c r="C199" s="243" t="s">
        <v>1409</v>
      </c>
      <c r="D199" s="237" t="s">
        <v>1410</v>
      </c>
      <c r="E199" s="237">
        <v>59</v>
      </c>
      <c r="F199" s="237" t="s">
        <v>60</v>
      </c>
      <c r="G199" s="237" t="s">
        <v>1411</v>
      </c>
      <c r="H199" s="243" t="s">
        <v>4</v>
      </c>
      <c r="I199" s="243"/>
      <c r="J199" s="240" t="s">
        <v>886</v>
      </c>
      <c r="K199" s="240" t="s">
        <v>887</v>
      </c>
      <c r="L199" s="243" t="s">
        <v>45</v>
      </c>
      <c r="M199" s="246" t="s">
        <v>228</v>
      </c>
      <c r="N199" s="237" t="s">
        <v>1412</v>
      </c>
      <c r="O199" s="237" t="s">
        <v>1413</v>
      </c>
      <c r="P199" s="237" t="s">
        <v>231</v>
      </c>
      <c r="Q199" s="245">
        <v>44943</v>
      </c>
      <c r="R199" s="237" t="s">
        <v>309</v>
      </c>
      <c r="S199" s="331" t="s">
        <v>233</v>
      </c>
      <c r="T199" s="237">
        <v>8.6999999999999993</v>
      </c>
      <c r="U199" s="237" t="s">
        <v>234</v>
      </c>
      <c r="V199" s="237" t="s">
        <v>235</v>
      </c>
      <c r="W199" s="245" t="s">
        <v>228</v>
      </c>
      <c r="X199" s="237" t="s">
        <v>1414</v>
      </c>
      <c r="Y199" s="237" t="s">
        <v>237</v>
      </c>
      <c r="Z199" s="237" t="s">
        <v>228</v>
      </c>
      <c r="AA199" s="237" t="s">
        <v>1415</v>
      </c>
      <c r="AB199" s="337" t="s">
        <v>228</v>
      </c>
      <c r="AC199" s="237" t="s">
        <v>228</v>
      </c>
      <c r="AD199" s="562"/>
      <c r="AE199" s="550"/>
      <c r="AF199" s="237"/>
    </row>
    <row r="200" spans="1:32" ht="13.5" customHeight="1">
      <c r="A200" s="235">
        <v>198</v>
      </c>
      <c r="B200" s="237">
        <v>94</v>
      </c>
      <c r="C200" s="243" t="s">
        <v>1416</v>
      </c>
      <c r="D200" s="237" t="s">
        <v>1417</v>
      </c>
      <c r="E200" s="237">
        <v>36</v>
      </c>
      <c r="F200" s="237" t="s">
        <v>60</v>
      </c>
      <c r="G200" s="237" t="s">
        <v>1418</v>
      </c>
      <c r="H200" s="243" t="s">
        <v>4</v>
      </c>
      <c r="I200" s="243"/>
      <c r="J200" s="240" t="s">
        <v>886</v>
      </c>
      <c r="K200" s="240" t="s">
        <v>917</v>
      </c>
      <c r="L200" s="243" t="s">
        <v>22</v>
      </c>
      <c r="M200" s="246" t="s">
        <v>228</v>
      </c>
      <c r="N200" s="237" t="s">
        <v>1419</v>
      </c>
      <c r="O200" s="237" t="s">
        <v>1420</v>
      </c>
      <c r="P200" s="237" t="s">
        <v>231</v>
      </c>
      <c r="Q200" s="245">
        <v>44944</v>
      </c>
      <c r="R200" s="237" t="s">
        <v>309</v>
      </c>
      <c r="S200" s="331" t="s">
        <v>233</v>
      </c>
      <c r="T200" s="237">
        <v>8.6</v>
      </c>
      <c r="U200" s="237" t="s">
        <v>234</v>
      </c>
      <c r="V200" s="237" t="s">
        <v>235</v>
      </c>
      <c r="W200" s="245" t="s">
        <v>228</v>
      </c>
      <c r="X200" s="237" t="s">
        <v>1421</v>
      </c>
      <c r="Y200" s="237" t="s">
        <v>237</v>
      </c>
      <c r="Z200" s="237" t="s">
        <v>237</v>
      </c>
      <c r="AA200" s="237" t="s">
        <v>1422</v>
      </c>
      <c r="AB200" s="337" t="s">
        <v>228</v>
      </c>
      <c r="AC200" s="237" t="s">
        <v>228</v>
      </c>
      <c r="AD200" s="562"/>
      <c r="AE200" s="550"/>
      <c r="AF200" s="237"/>
    </row>
    <row r="201" spans="1:32" ht="13.5" customHeight="1">
      <c r="A201" s="235">
        <v>199</v>
      </c>
      <c r="B201" s="237">
        <v>95</v>
      </c>
      <c r="C201" s="243" t="s">
        <v>1423</v>
      </c>
      <c r="D201" s="237" t="s">
        <v>1424</v>
      </c>
      <c r="E201" s="237">
        <v>75</v>
      </c>
      <c r="F201" s="237" t="s">
        <v>75</v>
      </c>
      <c r="G201" s="237" t="s">
        <v>1425</v>
      </c>
      <c r="H201" s="243" t="s">
        <v>4</v>
      </c>
      <c r="I201" s="243"/>
      <c r="J201" s="240" t="s">
        <v>886</v>
      </c>
      <c r="K201" s="240" t="s">
        <v>917</v>
      </c>
      <c r="L201" s="243" t="s">
        <v>22</v>
      </c>
      <c r="M201" s="246" t="s">
        <v>228</v>
      </c>
      <c r="N201" s="237" t="s">
        <v>1426</v>
      </c>
      <c r="O201" s="237" t="s">
        <v>1427</v>
      </c>
      <c r="P201" s="237" t="s">
        <v>231</v>
      </c>
      <c r="Q201" s="245">
        <v>44944</v>
      </c>
      <c r="R201" s="237" t="s">
        <v>309</v>
      </c>
      <c r="S201" s="331" t="s">
        <v>233</v>
      </c>
      <c r="T201" s="237">
        <v>8.8000000000000007</v>
      </c>
      <c r="U201" s="237" t="s">
        <v>234</v>
      </c>
      <c r="V201" s="237" t="s">
        <v>235</v>
      </c>
      <c r="W201" s="245" t="s">
        <v>228</v>
      </c>
      <c r="X201" s="237" t="s">
        <v>1428</v>
      </c>
      <c r="Y201" s="237" t="s">
        <v>237</v>
      </c>
      <c r="Z201" s="237" t="s">
        <v>228</v>
      </c>
      <c r="AA201" s="237" t="s">
        <v>1429</v>
      </c>
      <c r="AB201" s="337" t="s">
        <v>228</v>
      </c>
      <c r="AC201" s="237" t="s">
        <v>228</v>
      </c>
      <c r="AD201" s="562"/>
      <c r="AE201" s="550"/>
      <c r="AF201" s="237"/>
    </row>
    <row r="202" spans="1:32" ht="13.5" customHeight="1">
      <c r="A202" s="235">
        <v>200</v>
      </c>
      <c r="B202" s="237">
        <v>96</v>
      </c>
      <c r="C202" s="243" t="s">
        <v>1430</v>
      </c>
      <c r="D202" s="237" t="s">
        <v>1431</v>
      </c>
      <c r="E202" s="237">
        <v>75</v>
      </c>
      <c r="F202" s="237" t="s">
        <v>60</v>
      </c>
      <c r="G202" s="237" t="s">
        <v>1432</v>
      </c>
      <c r="H202" s="243" t="s">
        <v>4</v>
      </c>
      <c r="I202" s="243"/>
      <c r="J202" s="240" t="s">
        <v>886</v>
      </c>
      <c r="K202" s="240" t="s">
        <v>887</v>
      </c>
      <c r="L202" s="243" t="s">
        <v>45</v>
      </c>
      <c r="M202" s="246" t="s">
        <v>228</v>
      </c>
      <c r="N202" s="237" t="s">
        <v>1433</v>
      </c>
      <c r="O202" s="237" t="s">
        <v>1434</v>
      </c>
      <c r="P202" s="237" t="s">
        <v>231</v>
      </c>
      <c r="Q202" s="245">
        <v>44945</v>
      </c>
      <c r="R202" s="237" t="s">
        <v>309</v>
      </c>
      <c r="S202" s="331" t="s">
        <v>233</v>
      </c>
      <c r="T202" s="237">
        <v>8.3000000000000007</v>
      </c>
      <c r="U202" s="237" t="s">
        <v>234</v>
      </c>
      <c r="V202" s="237" t="s">
        <v>235</v>
      </c>
      <c r="W202" s="245" t="s">
        <v>228</v>
      </c>
      <c r="X202" s="237" t="s">
        <v>1435</v>
      </c>
      <c r="Y202" s="237" t="s">
        <v>237</v>
      </c>
      <c r="Z202" s="237" t="s">
        <v>228</v>
      </c>
      <c r="AA202" s="237" t="s">
        <v>1436</v>
      </c>
      <c r="AB202" s="337" t="s">
        <v>228</v>
      </c>
      <c r="AC202" s="237" t="s">
        <v>228</v>
      </c>
      <c r="AD202" s="562"/>
      <c r="AE202" s="550"/>
      <c r="AF202" s="237"/>
    </row>
    <row r="203" spans="1:32" ht="13.5" customHeight="1">
      <c r="A203" s="235">
        <v>201</v>
      </c>
      <c r="B203" s="237">
        <v>98</v>
      </c>
      <c r="C203" s="243" t="s">
        <v>1437</v>
      </c>
      <c r="D203" s="237" t="s">
        <v>1438</v>
      </c>
      <c r="E203" s="237">
        <v>69</v>
      </c>
      <c r="F203" s="237" t="s">
        <v>60</v>
      </c>
      <c r="G203" s="237" t="s">
        <v>1439</v>
      </c>
      <c r="H203" s="243" t="s">
        <v>4</v>
      </c>
      <c r="I203" s="243"/>
      <c r="J203" s="240" t="s">
        <v>886</v>
      </c>
      <c r="K203" s="240" t="s">
        <v>948</v>
      </c>
      <c r="L203" s="243" t="s">
        <v>22</v>
      </c>
      <c r="M203" s="246" t="s">
        <v>228</v>
      </c>
      <c r="N203" s="237" t="s">
        <v>1440</v>
      </c>
      <c r="O203" s="237" t="s">
        <v>1441</v>
      </c>
      <c r="P203" s="237" t="s">
        <v>231</v>
      </c>
      <c r="Q203" s="245">
        <v>44946</v>
      </c>
      <c r="R203" s="237" t="s">
        <v>309</v>
      </c>
      <c r="S203" s="331" t="s">
        <v>233</v>
      </c>
      <c r="T203" s="237">
        <v>8.6999999999999993</v>
      </c>
      <c r="U203" s="237" t="s">
        <v>234</v>
      </c>
      <c r="V203" s="237" t="s">
        <v>235</v>
      </c>
      <c r="W203" s="245" t="s">
        <v>228</v>
      </c>
      <c r="X203" s="237" t="s">
        <v>1442</v>
      </c>
      <c r="Y203" s="237" t="s">
        <v>237</v>
      </c>
      <c r="Z203" s="237" t="s">
        <v>237</v>
      </c>
      <c r="AA203" s="237" t="s">
        <v>1443</v>
      </c>
      <c r="AB203" s="337" t="s">
        <v>228</v>
      </c>
      <c r="AC203" s="237" t="s">
        <v>228</v>
      </c>
      <c r="AD203" s="562"/>
      <c r="AE203" s="550"/>
      <c r="AF203" s="237"/>
    </row>
    <row r="204" spans="1:32" ht="13.5" customHeight="1">
      <c r="A204" s="235">
        <v>202</v>
      </c>
      <c r="B204" s="237">
        <v>84</v>
      </c>
      <c r="C204" s="243" t="s">
        <v>1444</v>
      </c>
      <c r="D204" s="237" t="s">
        <v>1445</v>
      </c>
      <c r="E204" s="237">
        <v>52</v>
      </c>
      <c r="F204" s="237" t="s">
        <v>75</v>
      </c>
      <c r="G204" s="237" t="s">
        <v>1446</v>
      </c>
      <c r="H204" s="243" t="s">
        <v>3</v>
      </c>
      <c r="I204" s="243"/>
      <c r="J204" s="240" t="s">
        <v>886</v>
      </c>
      <c r="K204" s="240" t="s">
        <v>903</v>
      </c>
      <c r="L204" s="243" t="s">
        <v>45</v>
      </c>
      <c r="M204" s="246" t="s">
        <v>228</v>
      </c>
      <c r="N204" s="248" t="s">
        <v>1447</v>
      </c>
      <c r="O204" s="237" t="s">
        <v>1448</v>
      </c>
      <c r="P204" s="237" t="s">
        <v>231</v>
      </c>
      <c r="Q204" s="245">
        <v>44950</v>
      </c>
      <c r="R204" s="237" t="s">
        <v>309</v>
      </c>
      <c r="S204" s="331" t="s">
        <v>233</v>
      </c>
      <c r="T204" s="237">
        <v>8.3000000000000007</v>
      </c>
      <c r="U204" s="237" t="s">
        <v>234</v>
      </c>
      <c r="V204" s="237" t="s">
        <v>235</v>
      </c>
      <c r="W204" s="245" t="s">
        <v>228</v>
      </c>
      <c r="X204" s="237" t="s">
        <v>1449</v>
      </c>
      <c r="Y204" s="237" t="s">
        <v>237</v>
      </c>
      <c r="Z204" s="237" t="s">
        <v>228</v>
      </c>
      <c r="AA204" s="237" t="s">
        <v>228</v>
      </c>
      <c r="AB204" s="337" t="s">
        <v>228</v>
      </c>
      <c r="AC204" s="237" t="s">
        <v>228</v>
      </c>
      <c r="AD204" s="562"/>
      <c r="AE204" s="550"/>
      <c r="AF204" s="237"/>
    </row>
    <row r="205" spans="1:32" ht="13.5" customHeight="1">
      <c r="A205" s="235">
        <v>203</v>
      </c>
      <c r="B205" s="237">
        <v>13</v>
      </c>
      <c r="C205" s="243" t="s">
        <v>1450</v>
      </c>
      <c r="D205" s="237" t="s">
        <v>1451</v>
      </c>
      <c r="E205" s="237">
        <v>38</v>
      </c>
      <c r="F205" s="237" t="s">
        <v>60</v>
      </c>
      <c r="G205" s="237" t="s">
        <v>1452</v>
      </c>
      <c r="H205" s="243" t="s">
        <v>4</v>
      </c>
      <c r="I205" s="243"/>
      <c r="J205" s="240" t="s">
        <v>886</v>
      </c>
      <c r="K205" s="240" t="s">
        <v>1404</v>
      </c>
      <c r="L205" s="243" t="s">
        <v>45</v>
      </c>
      <c r="M205" s="246" t="s">
        <v>228</v>
      </c>
      <c r="N205" s="237" t="s">
        <v>1453</v>
      </c>
      <c r="O205" s="237" t="s">
        <v>1454</v>
      </c>
      <c r="P205" s="237" t="s">
        <v>231</v>
      </c>
      <c r="Q205" s="245">
        <v>44950</v>
      </c>
      <c r="R205" s="237" t="s">
        <v>309</v>
      </c>
      <c r="S205" s="331" t="s">
        <v>233</v>
      </c>
      <c r="T205" s="237">
        <v>8.9</v>
      </c>
      <c r="U205" s="237" t="s">
        <v>234</v>
      </c>
      <c r="V205" s="237" t="s">
        <v>235</v>
      </c>
      <c r="W205" s="245" t="s">
        <v>228</v>
      </c>
      <c r="X205" s="237" t="s">
        <v>1455</v>
      </c>
      <c r="Y205" s="237" t="s">
        <v>237</v>
      </c>
      <c r="Z205" s="237" t="s">
        <v>228</v>
      </c>
      <c r="AA205" s="237" t="s">
        <v>1456</v>
      </c>
      <c r="AB205" s="337" t="s">
        <v>228</v>
      </c>
      <c r="AC205" s="237" t="s">
        <v>228</v>
      </c>
      <c r="AD205" s="562"/>
      <c r="AE205" s="550"/>
      <c r="AF205" s="237"/>
    </row>
    <row r="206" spans="1:32" ht="13.5" customHeight="1">
      <c r="A206" s="235">
        <v>204</v>
      </c>
      <c r="B206" s="237">
        <v>14</v>
      </c>
      <c r="C206" s="243" t="s">
        <v>1457</v>
      </c>
      <c r="D206" s="237" t="s">
        <v>1458</v>
      </c>
      <c r="E206" s="237">
        <v>65</v>
      </c>
      <c r="F206" s="237" t="s">
        <v>60</v>
      </c>
      <c r="G206" s="237" t="s">
        <v>1459</v>
      </c>
      <c r="H206" s="243" t="s">
        <v>4</v>
      </c>
      <c r="I206" s="243"/>
      <c r="J206" s="240" t="s">
        <v>886</v>
      </c>
      <c r="K206" s="240" t="s">
        <v>1404</v>
      </c>
      <c r="L206" s="243" t="s">
        <v>45</v>
      </c>
      <c r="M206" s="246" t="s">
        <v>228</v>
      </c>
      <c r="N206" s="237" t="s">
        <v>1460</v>
      </c>
      <c r="O206" s="237" t="s">
        <v>228</v>
      </c>
      <c r="P206" s="237" t="s">
        <v>231</v>
      </c>
      <c r="Q206" s="245">
        <v>44953</v>
      </c>
      <c r="R206" s="237" t="s">
        <v>309</v>
      </c>
      <c r="S206" s="331" t="s">
        <v>233</v>
      </c>
      <c r="T206" s="237">
        <v>8.8000000000000007</v>
      </c>
      <c r="U206" s="237" t="s">
        <v>234</v>
      </c>
      <c r="V206" s="237" t="s">
        <v>235</v>
      </c>
      <c r="W206" s="245" t="s">
        <v>228</v>
      </c>
      <c r="X206" s="237" t="s">
        <v>1461</v>
      </c>
      <c r="Y206" s="237" t="s">
        <v>237</v>
      </c>
      <c r="Z206" s="237" t="s">
        <v>228</v>
      </c>
      <c r="AA206" s="237" t="s">
        <v>1462</v>
      </c>
      <c r="AB206" s="337" t="s">
        <v>228</v>
      </c>
      <c r="AC206" s="237" t="s">
        <v>228</v>
      </c>
      <c r="AD206" s="562"/>
      <c r="AE206" s="550"/>
      <c r="AF206" s="237"/>
    </row>
    <row r="207" spans="1:32" ht="13.5" customHeight="1">
      <c r="A207" s="235">
        <v>205</v>
      </c>
      <c r="B207" s="237">
        <v>15</v>
      </c>
      <c r="C207" s="243" t="s">
        <v>1463</v>
      </c>
      <c r="D207" s="237" t="s">
        <v>1464</v>
      </c>
      <c r="E207" s="237">
        <v>31</v>
      </c>
      <c r="F207" s="237" t="s">
        <v>60</v>
      </c>
      <c r="G207" s="237" t="s">
        <v>1465</v>
      </c>
      <c r="H207" s="243" t="s">
        <v>3</v>
      </c>
      <c r="I207" s="243"/>
      <c r="J207" s="240" t="s">
        <v>924</v>
      </c>
      <c r="K207" s="240" t="s">
        <v>887</v>
      </c>
      <c r="L207" s="243" t="s">
        <v>45</v>
      </c>
      <c r="M207" s="246" t="s">
        <v>228</v>
      </c>
      <c r="N207" s="237" t="s">
        <v>1466</v>
      </c>
      <c r="O207" s="237" t="s">
        <v>228</v>
      </c>
      <c r="P207" s="237" t="s">
        <v>231</v>
      </c>
      <c r="Q207" s="245">
        <v>44953</v>
      </c>
      <c r="R207" s="237" t="s">
        <v>309</v>
      </c>
      <c r="S207" s="331" t="s">
        <v>233</v>
      </c>
      <c r="T207" s="237">
        <v>8.6999999999999993</v>
      </c>
      <c r="U207" s="237" t="s">
        <v>234</v>
      </c>
      <c r="V207" s="237" t="s">
        <v>235</v>
      </c>
      <c r="W207" s="245" t="s">
        <v>228</v>
      </c>
      <c r="X207" s="237" t="s">
        <v>1467</v>
      </c>
      <c r="Y207" s="237" t="s">
        <v>237</v>
      </c>
      <c r="Z207" s="237" t="s">
        <v>228</v>
      </c>
      <c r="AA207" s="237" t="s">
        <v>1468</v>
      </c>
      <c r="AB207" s="337" t="s">
        <v>228</v>
      </c>
      <c r="AC207" s="237" t="s">
        <v>228</v>
      </c>
      <c r="AD207" s="562"/>
      <c r="AE207" s="550"/>
      <c r="AF207" s="237"/>
    </row>
    <row r="208" spans="1:32" ht="13.5" customHeight="1">
      <c r="A208" s="235">
        <v>206</v>
      </c>
      <c r="B208" s="237">
        <v>17</v>
      </c>
      <c r="C208" s="243" t="s">
        <v>1469</v>
      </c>
      <c r="D208" s="237" t="s">
        <v>1470</v>
      </c>
      <c r="E208" s="237">
        <v>49</v>
      </c>
      <c r="F208" s="237" t="s">
        <v>60</v>
      </c>
      <c r="G208" s="237" t="s">
        <v>1471</v>
      </c>
      <c r="H208" s="243" t="s">
        <v>4</v>
      </c>
      <c r="I208" s="243"/>
      <c r="J208" s="240" t="s">
        <v>886</v>
      </c>
      <c r="K208" s="240" t="s">
        <v>948</v>
      </c>
      <c r="L208" s="243" t="s">
        <v>22</v>
      </c>
      <c r="M208" s="246" t="s">
        <v>228</v>
      </c>
      <c r="N208" s="237" t="s">
        <v>1472</v>
      </c>
      <c r="O208" s="237" t="s">
        <v>228</v>
      </c>
      <c r="P208" s="237" t="s">
        <v>231</v>
      </c>
      <c r="Q208" s="245">
        <v>44953</v>
      </c>
      <c r="R208" s="237" t="s">
        <v>309</v>
      </c>
      <c r="S208" s="331" t="s">
        <v>233</v>
      </c>
      <c r="T208" s="237">
        <v>8.6</v>
      </c>
      <c r="U208" s="237" t="s">
        <v>234</v>
      </c>
      <c r="V208" s="237" t="s">
        <v>235</v>
      </c>
      <c r="W208" s="245" t="s">
        <v>228</v>
      </c>
      <c r="X208" s="237" t="s">
        <v>1473</v>
      </c>
      <c r="Y208" s="237" t="s">
        <v>237</v>
      </c>
      <c r="Z208" s="237" t="s">
        <v>237</v>
      </c>
      <c r="AA208" s="237" t="s">
        <v>1474</v>
      </c>
      <c r="AB208" s="337" t="s">
        <v>228</v>
      </c>
      <c r="AC208" s="237" t="s">
        <v>228</v>
      </c>
      <c r="AD208" s="562"/>
      <c r="AE208" s="550"/>
      <c r="AF208" s="237"/>
    </row>
    <row r="209" spans="1:32" ht="13.5" customHeight="1">
      <c r="A209" s="235">
        <v>207</v>
      </c>
      <c r="B209" s="237">
        <v>18</v>
      </c>
      <c r="C209" s="243" t="s">
        <v>1475</v>
      </c>
      <c r="D209" s="237" t="s">
        <v>1476</v>
      </c>
      <c r="E209" s="237">
        <v>72</v>
      </c>
      <c r="F209" s="237" t="s">
        <v>75</v>
      </c>
      <c r="G209" s="237" t="s">
        <v>1477</v>
      </c>
      <c r="H209" s="243" t="s">
        <v>4</v>
      </c>
      <c r="I209" s="243"/>
      <c r="J209" s="240" t="s">
        <v>886</v>
      </c>
      <c r="K209" s="240" t="s">
        <v>948</v>
      </c>
      <c r="L209" s="243" t="s">
        <v>22</v>
      </c>
      <c r="M209" s="246" t="s">
        <v>228</v>
      </c>
      <c r="N209" s="237" t="s">
        <v>1478</v>
      </c>
      <c r="O209" s="237" t="s">
        <v>1479</v>
      </c>
      <c r="P209" s="237" t="s">
        <v>231</v>
      </c>
      <c r="Q209" s="245">
        <v>44956</v>
      </c>
      <c r="R209" s="237" t="s">
        <v>309</v>
      </c>
      <c r="S209" s="331" t="s">
        <v>233</v>
      </c>
      <c r="T209" s="237">
        <v>9</v>
      </c>
      <c r="U209" s="237" t="s">
        <v>234</v>
      </c>
      <c r="V209" s="237" t="s">
        <v>235</v>
      </c>
      <c r="W209" s="245" t="s">
        <v>228</v>
      </c>
      <c r="X209" s="237" t="s">
        <v>1480</v>
      </c>
      <c r="Y209" s="237" t="s">
        <v>237</v>
      </c>
      <c r="Z209" s="237" t="s">
        <v>237</v>
      </c>
      <c r="AA209" s="237" t="s">
        <v>1481</v>
      </c>
      <c r="AB209" s="337" t="s">
        <v>228</v>
      </c>
      <c r="AC209" s="237" t="s">
        <v>228</v>
      </c>
      <c r="AD209" s="562"/>
      <c r="AE209" s="550"/>
      <c r="AF209" s="237"/>
    </row>
    <row r="210" spans="1:32" ht="13.5" customHeight="1">
      <c r="A210" s="235">
        <v>208</v>
      </c>
      <c r="B210" s="237">
        <v>19</v>
      </c>
      <c r="C210" s="243" t="s">
        <v>1482</v>
      </c>
      <c r="D210" s="237" t="s">
        <v>1483</v>
      </c>
      <c r="E210" s="237">
        <v>62</v>
      </c>
      <c r="F210" s="237" t="s">
        <v>75</v>
      </c>
      <c r="G210" s="237" t="s">
        <v>1484</v>
      </c>
      <c r="H210" s="243" t="s">
        <v>3</v>
      </c>
      <c r="I210" s="243"/>
      <c r="J210" s="240" t="s">
        <v>886</v>
      </c>
      <c r="K210" s="240" t="s">
        <v>1485</v>
      </c>
      <c r="L210" s="243" t="s">
        <v>45</v>
      </c>
      <c r="M210" s="246" t="s">
        <v>228</v>
      </c>
      <c r="N210" s="248" t="s">
        <v>1486</v>
      </c>
      <c r="O210" s="237" t="s">
        <v>1487</v>
      </c>
      <c r="P210" s="237" t="s">
        <v>231</v>
      </c>
      <c r="Q210" s="245">
        <v>44956</v>
      </c>
      <c r="R210" s="237" t="s">
        <v>309</v>
      </c>
      <c r="S210" s="331" t="s">
        <v>233</v>
      </c>
      <c r="T210" s="237">
        <v>8.6999999999999993</v>
      </c>
      <c r="U210" s="237" t="s">
        <v>234</v>
      </c>
      <c r="V210" s="237" t="s">
        <v>235</v>
      </c>
      <c r="W210" s="245" t="s">
        <v>228</v>
      </c>
      <c r="X210" s="237" t="s">
        <v>1488</v>
      </c>
      <c r="Y210" s="237" t="s">
        <v>237</v>
      </c>
      <c r="Z210" s="237" t="s">
        <v>228</v>
      </c>
      <c r="AA210" s="237" t="s">
        <v>1489</v>
      </c>
      <c r="AB210" s="337" t="s">
        <v>228</v>
      </c>
      <c r="AC210" s="237" t="s">
        <v>228</v>
      </c>
      <c r="AD210" s="562"/>
      <c r="AE210" s="550"/>
      <c r="AF210" s="237"/>
    </row>
    <row r="211" spans="1:32" ht="13.5" customHeight="1">
      <c r="A211" s="235">
        <v>209</v>
      </c>
      <c r="B211" s="237">
        <v>11</v>
      </c>
      <c r="C211" s="243" t="s">
        <v>1490</v>
      </c>
      <c r="D211" s="237" t="s">
        <v>1491</v>
      </c>
      <c r="E211" s="237">
        <v>52</v>
      </c>
      <c r="F211" s="237" t="s">
        <v>75</v>
      </c>
      <c r="G211" s="237" t="s">
        <v>1492</v>
      </c>
      <c r="H211" s="243" t="s">
        <v>4</v>
      </c>
      <c r="I211" s="243"/>
      <c r="J211" s="240" t="s">
        <v>886</v>
      </c>
      <c r="K211" s="240" t="s">
        <v>887</v>
      </c>
      <c r="L211" s="243" t="s">
        <v>45</v>
      </c>
      <c r="M211" s="246" t="s">
        <v>228</v>
      </c>
      <c r="N211" s="237" t="s">
        <v>1493</v>
      </c>
      <c r="O211" s="237" t="s">
        <v>1494</v>
      </c>
      <c r="P211" s="237" t="s">
        <v>231</v>
      </c>
      <c r="Q211" s="245">
        <v>44956</v>
      </c>
      <c r="R211" s="237" t="s">
        <v>309</v>
      </c>
      <c r="S211" s="331" t="s">
        <v>233</v>
      </c>
      <c r="T211" s="237">
        <v>9</v>
      </c>
      <c r="U211" s="237" t="s">
        <v>234</v>
      </c>
      <c r="V211" s="237" t="s">
        <v>235</v>
      </c>
      <c r="W211" s="245" t="s">
        <v>228</v>
      </c>
      <c r="X211" s="237" t="s">
        <v>1495</v>
      </c>
      <c r="Y211" s="237" t="s">
        <v>237</v>
      </c>
      <c r="Z211" s="237" t="s">
        <v>228</v>
      </c>
      <c r="AA211" s="237" t="s">
        <v>1496</v>
      </c>
      <c r="AB211" s="337" t="s">
        <v>228</v>
      </c>
      <c r="AC211" s="237" t="s">
        <v>228</v>
      </c>
      <c r="AD211" s="562"/>
      <c r="AE211" s="550"/>
      <c r="AF211" s="237"/>
    </row>
    <row r="212" spans="1:32" ht="13.5" customHeight="1">
      <c r="A212" s="235">
        <v>210</v>
      </c>
      <c r="B212" s="237">
        <v>111</v>
      </c>
      <c r="C212" s="243" t="s">
        <v>1497</v>
      </c>
      <c r="D212" s="237" t="s">
        <v>1498</v>
      </c>
      <c r="E212" s="237">
        <v>26</v>
      </c>
      <c r="F212" s="237" t="s">
        <v>75</v>
      </c>
      <c r="G212" s="237" t="s">
        <v>1499</v>
      </c>
      <c r="H212" s="243" t="s">
        <v>4</v>
      </c>
      <c r="I212" s="243"/>
      <c r="J212" s="240" t="s">
        <v>886</v>
      </c>
      <c r="K212" s="240" t="s">
        <v>1404</v>
      </c>
      <c r="L212" s="243" t="s">
        <v>45</v>
      </c>
      <c r="M212" s="246" t="s">
        <v>228</v>
      </c>
      <c r="N212" s="237" t="s">
        <v>1500</v>
      </c>
      <c r="O212" s="237" t="s">
        <v>1501</v>
      </c>
      <c r="P212" s="237" t="s">
        <v>231</v>
      </c>
      <c r="Q212" s="245">
        <v>44957</v>
      </c>
      <c r="R212" s="237" t="s">
        <v>309</v>
      </c>
      <c r="S212" s="331" t="s">
        <v>233</v>
      </c>
      <c r="T212" s="237">
        <v>9.1</v>
      </c>
      <c r="U212" s="237" t="s">
        <v>234</v>
      </c>
      <c r="V212" s="237" t="s">
        <v>235</v>
      </c>
      <c r="W212" s="245" t="s">
        <v>228</v>
      </c>
      <c r="X212" s="237" t="s">
        <v>1502</v>
      </c>
      <c r="Y212" s="237" t="s">
        <v>237</v>
      </c>
      <c r="Z212" s="237" t="s">
        <v>228</v>
      </c>
      <c r="AA212" s="237" t="s">
        <v>1503</v>
      </c>
      <c r="AB212" s="337" t="s">
        <v>228</v>
      </c>
      <c r="AC212" s="237" t="s">
        <v>228</v>
      </c>
      <c r="AD212" s="562"/>
      <c r="AE212" s="550"/>
      <c r="AF212" s="237"/>
    </row>
    <row r="213" spans="1:32" ht="13.5" customHeight="1">
      <c r="A213" s="235">
        <v>211</v>
      </c>
      <c r="B213" s="237">
        <v>112</v>
      </c>
      <c r="C213" s="243" t="s">
        <v>1504</v>
      </c>
      <c r="D213" s="237" t="s">
        <v>1505</v>
      </c>
      <c r="E213" s="237">
        <v>57</v>
      </c>
      <c r="F213" s="237" t="s">
        <v>75</v>
      </c>
      <c r="G213" s="237" t="s">
        <v>1506</v>
      </c>
      <c r="H213" s="243" t="s">
        <v>4</v>
      </c>
      <c r="I213" s="243"/>
      <c r="J213" s="240" t="s">
        <v>886</v>
      </c>
      <c r="K213" s="240" t="s">
        <v>887</v>
      </c>
      <c r="L213" s="243" t="s">
        <v>45</v>
      </c>
      <c r="M213" s="246" t="s">
        <v>228</v>
      </c>
      <c r="N213" s="237" t="s">
        <v>1507</v>
      </c>
      <c r="O213" s="237" t="s">
        <v>1508</v>
      </c>
      <c r="P213" s="237" t="s">
        <v>231</v>
      </c>
      <c r="Q213" s="245">
        <v>44958</v>
      </c>
      <c r="R213" s="237" t="s">
        <v>309</v>
      </c>
      <c r="S213" s="331" t="s">
        <v>233</v>
      </c>
      <c r="T213" s="237">
        <v>9.1</v>
      </c>
      <c r="U213" s="237" t="s">
        <v>234</v>
      </c>
      <c r="V213" s="237" t="s">
        <v>235</v>
      </c>
      <c r="W213" s="245" t="s">
        <v>228</v>
      </c>
      <c r="X213" s="237" t="s">
        <v>1509</v>
      </c>
      <c r="Y213" s="237" t="s">
        <v>237</v>
      </c>
      <c r="Z213" s="237" t="s">
        <v>228</v>
      </c>
      <c r="AA213" s="237" t="s">
        <v>1510</v>
      </c>
      <c r="AB213" s="337" t="s">
        <v>228</v>
      </c>
      <c r="AC213" s="237" t="s">
        <v>228</v>
      </c>
      <c r="AD213" s="562"/>
      <c r="AE213" s="550"/>
      <c r="AF213" s="237"/>
    </row>
    <row r="214" spans="1:32" ht="13.5" customHeight="1">
      <c r="A214" s="235">
        <v>212</v>
      </c>
      <c r="B214" s="237">
        <v>113</v>
      </c>
      <c r="C214" s="243" t="s">
        <v>1511</v>
      </c>
      <c r="D214" s="237" t="s">
        <v>1512</v>
      </c>
      <c r="E214" s="237">
        <v>71</v>
      </c>
      <c r="F214" s="237" t="s">
        <v>60</v>
      </c>
      <c r="G214" s="237" t="s">
        <v>1513</v>
      </c>
      <c r="H214" s="243" t="s">
        <v>4</v>
      </c>
      <c r="I214" s="243"/>
      <c r="J214" s="240" t="s">
        <v>886</v>
      </c>
      <c r="K214" s="240" t="s">
        <v>1514</v>
      </c>
      <c r="L214" s="243" t="s">
        <v>45</v>
      </c>
      <c r="M214" s="246" t="s">
        <v>228</v>
      </c>
      <c r="N214" s="237" t="s">
        <v>1515</v>
      </c>
      <c r="O214" s="237" t="s">
        <v>228</v>
      </c>
      <c r="P214" s="237" t="s">
        <v>231</v>
      </c>
      <c r="Q214" s="245">
        <v>44958</v>
      </c>
      <c r="R214" s="237" t="s">
        <v>309</v>
      </c>
      <c r="S214" s="331" t="s">
        <v>233</v>
      </c>
      <c r="T214" s="237">
        <v>9.1</v>
      </c>
      <c r="U214" s="237" t="s">
        <v>234</v>
      </c>
      <c r="V214" s="237" t="s">
        <v>235</v>
      </c>
      <c r="W214" s="245" t="s">
        <v>228</v>
      </c>
      <c r="X214" s="237" t="s">
        <v>1516</v>
      </c>
      <c r="Y214" s="237" t="s">
        <v>237</v>
      </c>
      <c r="Z214" s="237" t="s">
        <v>228</v>
      </c>
      <c r="AA214" s="237" t="s">
        <v>1517</v>
      </c>
      <c r="AB214" s="337" t="s">
        <v>228</v>
      </c>
      <c r="AC214" s="237" t="s">
        <v>228</v>
      </c>
      <c r="AD214" s="562"/>
      <c r="AE214" s="550"/>
      <c r="AF214" s="237"/>
    </row>
    <row r="215" spans="1:32" ht="13.5" customHeight="1">
      <c r="A215" s="235">
        <v>213</v>
      </c>
      <c r="B215" s="237">
        <v>12</v>
      </c>
      <c r="C215" s="243" t="s">
        <v>1518</v>
      </c>
      <c r="D215" s="237" t="s">
        <v>1519</v>
      </c>
      <c r="E215" s="237">
        <v>65</v>
      </c>
      <c r="F215" s="237" t="s">
        <v>75</v>
      </c>
      <c r="G215" s="237" t="s">
        <v>1520</v>
      </c>
      <c r="H215" s="243" t="s">
        <v>4</v>
      </c>
      <c r="I215" s="243"/>
      <c r="J215" s="240" t="s">
        <v>886</v>
      </c>
      <c r="K215" s="240" t="s">
        <v>887</v>
      </c>
      <c r="L215" s="243" t="s">
        <v>45</v>
      </c>
      <c r="M215" s="246" t="s">
        <v>228</v>
      </c>
      <c r="N215" s="237" t="s">
        <v>1521</v>
      </c>
      <c r="O215" s="237" t="s">
        <v>228</v>
      </c>
      <c r="P215" s="237" t="s">
        <v>231</v>
      </c>
      <c r="Q215" s="245">
        <v>44966</v>
      </c>
      <c r="R215" s="237" t="s">
        <v>309</v>
      </c>
      <c r="S215" s="331" t="s">
        <v>233</v>
      </c>
      <c r="T215" s="237">
        <v>8.9</v>
      </c>
      <c r="U215" s="237" t="s">
        <v>234</v>
      </c>
      <c r="V215" s="237" t="s">
        <v>235</v>
      </c>
      <c r="W215" s="245" t="s">
        <v>228</v>
      </c>
      <c r="X215" s="237" t="s">
        <v>1522</v>
      </c>
      <c r="Y215" s="237" t="s">
        <v>237</v>
      </c>
      <c r="Z215" s="237" t="s">
        <v>228</v>
      </c>
      <c r="AA215" s="237" t="s">
        <v>1523</v>
      </c>
      <c r="AB215" s="337" t="s">
        <v>228</v>
      </c>
      <c r="AC215" s="237" t="s">
        <v>228</v>
      </c>
      <c r="AD215" s="562"/>
      <c r="AE215" s="550"/>
      <c r="AF215" s="237"/>
    </row>
    <row r="216" spans="1:32" ht="13.5" customHeight="1">
      <c r="A216" s="235">
        <v>214</v>
      </c>
      <c r="B216" s="237">
        <v>126</v>
      </c>
      <c r="C216" s="243" t="s">
        <v>1524</v>
      </c>
      <c r="D216" s="237" t="s">
        <v>1525</v>
      </c>
      <c r="E216" s="237">
        <v>59</v>
      </c>
      <c r="F216" s="237" t="s">
        <v>60</v>
      </c>
      <c r="G216" s="237" t="s">
        <v>1526</v>
      </c>
      <c r="H216" s="243" t="s">
        <v>4</v>
      </c>
      <c r="I216" s="243"/>
      <c r="J216" s="240" t="s">
        <v>886</v>
      </c>
      <c r="K216" s="240" t="s">
        <v>887</v>
      </c>
      <c r="L216" s="243" t="s">
        <v>45</v>
      </c>
      <c r="M216" s="246" t="s">
        <v>228</v>
      </c>
      <c r="N216" s="237" t="s">
        <v>1527</v>
      </c>
      <c r="O216" s="237" t="s">
        <v>1528</v>
      </c>
      <c r="P216" s="237" t="s">
        <v>231</v>
      </c>
      <c r="Q216" s="245">
        <v>44974</v>
      </c>
      <c r="R216" s="237" t="s">
        <v>309</v>
      </c>
      <c r="S216" s="331" t="s">
        <v>233</v>
      </c>
      <c r="T216" s="237">
        <v>8.5</v>
      </c>
      <c r="U216" s="237" t="s">
        <v>234</v>
      </c>
      <c r="V216" s="237" t="s">
        <v>235</v>
      </c>
      <c r="W216" s="245" t="s">
        <v>228</v>
      </c>
      <c r="X216" s="237" t="s">
        <v>1529</v>
      </c>
      <c r="Y216" s="237" t="s">
        <v>237</v>
      </c>
      <c r="Z216" s="237" t="s">
        <v>228</v>
      </c>
      <c r="AA216" s="237" t="s">
        <v>1530</v>
      </c>
      <c r="AB216" s="337" t="s">
        <v>228</v>
      </c>
      <c r="AC216" s="237" t="s">
        <v>228</v>
      </c>
      <c r="AD216" s="562"/>
      <c r="AE216" s="550"/>
      <c r="AF216" s="237"/>
    </row>
    <row r="217" spans="1:32" ht="13.5" customHeight="1">
      <c r="A217" s="235">
        <v>215</v>
      </c>
      <c r="B217" s="237">
        <v>9</v>
      </c>
      <c r="C217" s="243" t="s">
        <v>1531</v>
      </c>
      <c r="D217" s="237" t="s">
        <v>1532</v>
      </c>
      <c r="E217" s="237">
        <v>67</v>
      </c>
      <c r="F217" s="237" t="s">
        <v>60</v>
      </c>
      <c r="G217" s="237" t="s">
        <v>1533</v>
      </c>
      <c r="H217" s="243" t="s">
        <v>4</v>
      </c>
      <c r="I217" s="243"/>
      <c r="J217" s="240" t="s">
        <v>886</v>
      </c>
      <c r="K217" s="240" t="s">
        <v>1534</v>
      </c>
      <c r="L217" s="243" t="s">
        <v>22</v>
      </c>
      <c r="M217" s="246" t="s">
        <v>228</v>
      </c>
      <c r="N217" s="237" t="s">
        <v>1535</v>
      </c>
      <c r="O217" s="237" t="s">
        <v>1536</v>
      </c>
      <c r="P217" s="237" t="s">
        <v>231</v>
      </c>
      <c r="Q217" s="245">
        <v>44938</v>
      </c>
      <c r="R217" s="237" t="s">
        <v>309</v>
      </c>
      <c r="S217" s="331" t="s">
        <v>233</v>
      </c>
      <c r="T217" s="237">
        <v>8.5</v>
      </c>
      <c r="U217" s="237" t="s">
        <v>234</v>
      </c>
      <c r="V217" s="237" t="s">
        <v>235</v>
      </c>
      <c r="W217" s="245">
        <v>45076</v>
      </c>
      <c r="X217" s="237" t="s">
        <v>1537</v>
      </c>
      <c r="Y217" s="237" t="s">
        <v>237</v>
      </c>
      <c r="Z217" s="237" t="s">
        <v>228</v>
      </c>
      <c r="AA217" s="237" t="s">
        <v>228</v>
      </c>
      <c r="AB217" s="337" t="s">
        <v>228</v>
      </c>
      <c r="AC217" s="237" t="s">
        <v>228</v>
      </c>
      <c r="AD217" s="562"/>
      <c r="AE217" s="550"/>
      <c r="AF217" s="237"/>
    </row>
    <row r="218" spans="1:32" ht="13.5" customHeight="1">
      <c r="A218" s="235">
        <v>216</v>
      </c>
      <c r="B218" s="237">
        <v>68</v>
      </c>
      <c r="C218" s="243" t="s">
        <v>1538</v>
      </c>
      <c r="D218" s="237" t="s">
        <v>1539</v>
      </c>
      <c r="E218" s="237">
        <v>66</v>
      </c>
      <c r="F218" s="237" t="s">
        <v>60</v>
      </c>
      <c r="G218" s="237" t="s">
        <v>1540</v>
      </c>
      <c r="H218" s="243" t="s">
        <v>5</v>
      </c>
      <c r="I218" s="240"/>
      <c r="J218" s="240" t="s">
        <v>886</v>
      </c>
      <c r="K218" s="240" t="s">
        <v>948</v>
      </c>
      <c r="L218" s="243" t="s">
        <v>22</v>
      </c>
      <c r="M218" s="246" t="s">
        <v>228</v>
      </c>
      <c r="N218" s="237" t="s">
        <v>1541</v>
      </c>
      <c r="O218" s="237" t="s">
        <v>228</v>
      </c>
      <c r="P218" s="237" t="s">
        <v>231</v>
      </c>
      <c r="Q218" s="245">
        <v>44921</v>
      </c>
      <c r="R218" s="237" t="s">
        <v>232</v>
      </c>
      <c r="S218" s="331" t="s">
        <v>233</v>
      </c>
      <c r="T218" s="237">
        <v>7.9</v>
      </c>
      <c r="U218" s="237" t="s">
        <v>234</v>
      </c>
      <c r="V218" s="237" t="s">
        <v>235</v>
      </c>
      <c r="W218" s="245">
        <v>45076</v>
      </c>
      <c r="X218" s="237" t="s">
        <v>1542</v>
      </c>
      <c r="Y218" s="237" t="s">
        <v>237</v>
      </c>
      <c r="Z218" s="237" t="s">
        <v>237</v>
      </c>
      <c r="AA218" s="237" t="s">
        <v>228</v>
      </c>
      <c r="AB218" s="337" t="s">
        <v>237</v>
      </c>
      <c r="AC218" s="237" t="s">
        <v>228</v>
      </c>
      <c r="AD218" s="562"/>
      <c r="AE218" s="550"/>
      <c r="AF218" s="237"/>
    </row>
    <row r="219" spans="1:32" ht="13.5" customHeight="1">
      <c r="A219" s="235">
        <v>217</v>
      </c>
      <c r="B219" s="237">
        <v>169</v>
      </c>
      <c r="C219" s="243" t="s">
        <v>1543</v>
      </c>
      <c r="D219" s="237" t="s">
        <v>1544</v>
      </c>
      <c r="E219" s="237">
        <v>70</v>
      </c>
      <c r="F219" s="237" t="s">
        <v>60</v>
      </c>
      <c r="G219" s="237" t="s">
        <v>1545</v>
      </c>
      <c r="H219" s="243" t="s">
        <v>4</v>
      </c>
      <c r="I219" s="243"/>
      <c r="K219" s="240" t="s">
        <v>1546</v>
      </c>
      <c r="L219" s="243" t="s">
        <v>1102</v>
      </c>
      <c r="M219" s="243" t="s">
        <v>1547</v>
      </c>
      <c r="N219" s="237" t="s">
        <v>1548</v>
      </c>
      <c r="O219" s="237" t="s">
        <v>228</v>
      </c>
      <c r="P219" s="237" t="s">
        <v>231</v>
      </c>
      <c r="Q219" s="245">
        <v>45265</v>
      </c>
      <c r="R219" s="237" t="s">
        <v>309</v>
      </c>
      <c r="S219" s="331" t="s">
        <v>233</v>
      </c>
      <c r="T219" s="237">
        <v>7.8</v>
      </c>
      <c r="U219" s="237" t="s">
        <v>298</v>
      </c>
      <c r="V219" s="237" t="s">
        <v>235</v>
      </c>
      <c r="W219" s="245">
        <v>45294</v>
      </c>
      <c r="X219" s="237" t="s">
        <v>1549</v>
      </c>
      <c r="Y219" s="237" t="s">
        <v>237</v>
      </c>
      <c r="Z219" s="237" t="s">
        <v>237</v>
      </c>
      <c r="AA219" s="237" t="s">
        <v>1550</v>
      </c>
      <c r="AB219" s="337" t="s">
        <v>237</v>
      </c>
      <c r="AC219" s="237" t="s">
        <v>353</v>
      </c>
      <c r="AD219" s="562">
        <v>45320</v>
      </c>
      <c r="AE219" s="553"/>
      <c r="AF219" s="237"/>
    </row>
    <row r="220" spans="1:32" ht="13.5" customHeight="1">
      <c r="A220" s="235">
        <v>218</v>
      </c>
      <c r="B220" s="237">
        <v>178</v>
      </c>
      <c r="C220" s="243" t="s">
        <v>1551</v>
      </c>
      <c r="D220" s="237" t="s">
        <v>1552</v>
      </c>
      <c r="E220" s="237">
        <v>67</v>
      </c>
      <c r="F220" s="237" t="s">
        <v>75</v>
      </c>
      <c r="G220" s="237" t="s">
        <v>1553</v>
      </c>
      <c r="H220" s="243" t="s">
        <v>4</v>
      </c>
      <c r="I220" s="243"/>
      <c r="K220" s="240" t="s">
        <v>1554</v>
      </c>
      <c r="L220" s="243" t="s">
        <v>68</v>
      </c>
      <c r="M220" s="243" t="s">
        <v>426</v>
      </c>
      <c r="N220" s="248" t="s">
        <v>1555</v>
      </c>
      <c r="O220" s="237" t="s">
        <v>228</v>
      </c>
      <c r="P220" s="237" t="s">
        <v>1312</v>
      </c>
      <c r="Q220" s="245">
        <v>45286</v>
      </c>
      <c r="R220" s="237" t="s">
        <v>309</v>
      </c>
      <c r="S220" s="331" t="s">
        <v>233</v>
      </c>
      <c r="T220" s="237">
        <v>8.3000000000000007</v>
      </c>
      <c r="U220" s="237" t="s">
        <v>298</v>
      </c>
      <c r="V220" s="237" t="s">
        <v>235</v>
      </c>
      <c r="W220" s="245">
        <v>45320</v>
      </c>
      <c r="X220" s="237" t="s">
        <v>1556</v>
      </c>
      <c r="Y220" s="237" t="s">
        <v>237</v>
      </c>
      <c r="Z220" s="237" t="s">
        <v>237</v>
      </c>
      <c r="AA220" s="237" t="s">
        <v>1557</v>
      </c>
      <c r="AB220" s="337" t="s">
        <v>237</v>
      </c>
      <c r="AC220" s="237" t="s">
        <v>353</v>
      </c>
      <c r="AD220" s="562">
        <v>45329</v>
      </c>
      <c r="AE220" s="553"/>
      <c r="AF220" s="237"/>
    </row>
    <row r="221" spans="1:32" ht="13.5" customHeight="1">
      <c r="A221" s="235">
        <v>219</v>
      </c>
      <c r="B221" s="237">
        <v>187</v>
      </c>
      <c r="C221" s="243" t="s">
        <v>1558</v>
      </c>
      <c r="D221" s="237" t="s">
        <v>1559</v>
      </c>
      <c r="E221" s="237">
        <v>54</v>
      </c>
      <c r="F221" s="237" t="s">
        <v>60</v>
      </c>
      <c r="G221" s="237" t="s">
        <v>1560</v>
      </c>
      <c r="H221" s="243" t="s">
        <v>4</v>
      </c>
      <c r="I221" s="243"/>
      <c r="K221" s="240" t="s">
        <v>1561</v>
      </c>
      <c r="L221" s="243" t="s">
        <v>14</v>
      </c>
      <c r="M221" s="246" t="s">
        <v>228</v>
      </c>
      <c r="N221" s="237" t="s">
        <v>1562</v>
      </c>
      <c r="O221" s="237" t="s">
        <v>228</v>
      </c>
      <c r="P221" s="237"/>
      <c r="Q221" s="245">
        <v>45309</v>
      </c>
      <c r="R221" s="237" t="s">
        <v>309</v>
      </c>
      <c r="S221" s="331" t="s">
        <v>233</v>
      </c>
      <c r="T221" s="237" t="s">
        <v>1563</v>
      </c>
      <c r="U221" s="237" t="s">
        <v>298</v>
      </c>
      <c r="V221" s="237" t="s">
        <v>235</v>
      </c>
      <c r="W221" s="245">
        <v>45347</v>
      </c>
      <c r="X221" s="237" t="s">
        <v>1564</v>
      </c>
      <c r="Y221" s="237" t="s">
        <v>237</v>
      </c>
      <c r="Z221" s="237" t="s">
        <v>237</v>
      </c>
      <c r="AA221" s="237" t="s">
        <v>1565</v>
      </c>
      <c r="AB221" s="337" t="s">
        <v>237</v>
      </c>
      <c r="AC221" s="237" t="s">
        <v>353</v>
      </c>
      <c r="AD221" s="562">
        <v>45357</v>
      </c>
      <c r="AE221" s="553"/>
      <c r="AF221" s="237"/>
    </row>
    <row r="222" spans="1:32" ht="13.5" customHeight="1">
      <c r="A222" s="235">
        <v>220</v>
      </c>
      <c r="B222" s="237">
        <v>194</v>
      </c>
      <c r="C222" s="243" t="s">
        <v>1566</v>
      </c>
      <c r="D222" s="237" t="s">
        <v>1567</v>
      </c>
      <c r="E222" s="237">
        <v>67</v>
      </c>
      <c r="F222" s="237" t="s">
        <v>75</v>
      </c>
      <c r="G222" s="237" t="s">
        <v>1568</v>
      </c>
      <c r="H222" s="243" t="s">
        <v>4</v>
      </c>
      <c r="I222" s="243"/>
      <c r="K222" s="240" t="s">
        <v>1569</v>
      </c>
      <c r="L222" s="243" t="s">
        <v>13</v>
      </c>
      <c r="M222" s="243" t="s">
        <v>426</v>
      </c>
      <c r="N222" s="237" t="s">
        <v>1570</v>
      </c>
      <c r="O222" s="237" t="s">
        <v>228</v>
      </c>
      <c r="P222" s="237"/>
      <c r="Q222" s="245">
        <v>45396</v>
      </c>
      <c r="R222" s="237" t="s">
        <v>309</v>
      </c>
      <c r="S222" s="331" t="s">
        <v>233</v>
      </c>
      <c r="T222" s="237" t="s">
        <v>427</v>
      </c>
      <c r="U222" s="237" t="s">
        <v>298</v>
      </c>
      <c r="V222" s="237" t="s">
        <v>235</v>
      </c>
      <c r="W222" s="245">
        <v>45435</v>
      </c>
      <c r="X222" s="237" t="s">
        <v>1571</v>
      </c>
      <c r="Y222" s="237" t="s">
        <v>237</v>
      </c>
      <c r="Z222" s="237" t="s">
        <v>237</v>
      </c>
      <c r="AA222" s="237" t="s">
        <v>1572</v>
      </c>
      <c r="AB222" s="337" t="s">
        <v>237</v>
      </c>
      <c r="AC222" s="55" t="s">
        <v>353</v>
      </c>
      <c r="AD222" s="563">
        <v>45441</v>
      </c>
      <c r="AE222" s="550"/>
      <c r="AF222" s="237"/>
    </row>
    <row r="223" spans="1:32" ht="13.5" customHeight="1">
      <c r="A223" s="235">
        <v>221</v>
      </c>
      <c r="B223" s="237">
        <v>197</v>
      </c>
      <c r="C223" s="243" t="s">
        <v>1573</v>
      </c>
      <c r="D223" s="237" t="s">
        <v>294</v>
      </c>
      <c r="E223" s="237">
        <v>52</v>
      </c>
      <c r="F223" s="237" t="s">
        <v>60</v>
      </c>
      <c r="G223" s="237" t="s">
        <v>295</v>
      </c>
      <c r="H223" s="243" t="s">
        <v>4</v>
      </c>
      <c r="I223" s="243"/>
      <c r="K223" s="240" t="s">
        <v>1038</v>
      </c>
      <c r="L223" s="243" t="s">
        <v>55</v>
      </c>
      <c r="M223" s="246" t="s">
        <v>228</v>
      </c>
      <c r="N223" s="237" t="s">
        <v>1039</v>
      </c>
      <c r="O223" s="237" t="s">
        <v>228</v>
      </c>
      <c r="P223" s="237"/>
      <c r="Q223" s="245">
        <v>45411</v>
      </c>
      <c r="R223" s="237" t="s">
        <v>309</v>
      </c>
      <c r="S223" s="331" t="s">
        <v>233</v>
      </c>
      <c r="T223" s="237" t="s">
        <v>827</v>
      </c>
      <c r="U223" s="237" t="s">
        <v>298</v>
      </c>
      <c r="V223" s="237" t="s">
        <v>235</v>
      </c>
      <c r="W223" s="245">
        <v>45456</v>
      </c>
      <c r="X223" s="237" t="s">
        <v>1574</v>
      </c>
      <c r="Y223" s="237" t="s">
        <v>237</v>
      </c>
      <c r="Z223" s="237" t="s">
        <v>237</v>
      </c>
      <c r="AA223" s="237" t="s">
        <v>1575</v>
      </c>
      <c r="AB223" s="337" t="s">
        <v>228</v>
      </c>
      <c r="AC223" s="237" t="s">
        <v>228</v>
      </c>
      <c r="AD223" s="562"/>
      <c r="AE223" s="550"/>
      <c r="AF223" s="237"/>
    </row>
    <row r="224" spans="1:32" ht="13.5" customHeight="1">
      <c r="A224" s="235">
        <v>222</v>
      </c>
      <c r="B224" s="237">
        <v>199</v>
      </c>
      <c r="C224" s="243" t="s">
        <v>1576</v>
      </c>
      <c r="D224" s="237" t="s">
        <v>1577</v>
      </c>
      <c r="E224" s="237">
        <v>64</v>
      </c>
      <c r="F224" s="237" t="s">
        <v>75</v>
      </c>
      <c r="G224" s="237" t="s">
        <v>1286</v>
      </c>
      <c r="H224" s="243" t="s">
        <v>4</v>
      </c>
      <c r="I224" s="243"/>
      <c r="K224" s="240" t="s">
        <v>1578</v>
      </c>
      <c r="L224" s="243" t="s">
        <v>49</v>
      </c>
      <c r="M224" s="246" t="s">
        <v>228</v>
      </c>
      <c r="N224" s="248" t="s">
        <v>1579</v>
      </c>
      <c r="O224" s="237" t="s">
        <v>228</v>
      </c>
      <c r="P224" s="237"/>
      <c r="Q224" s="245">
        <v>45418</v>
      </c>
      <c r="R224" s="237" t="s">
        <v>309</v>
      </c>
      <c r="S224" s="331" t="s">
        <v>233</v>
      </c>
      <c r="T224" s="237" t="s">
        <v>389</v>
      </c>
      <c r="U224" s="237" t="s">
        <v>298</v>
      </c>
      <c r="V224" s="237" t="s">
        <v>235</v>
      </c>
      <c r="W224" s="245">
        <v>45456</v>
      </c>
      <c r="X224" s="237" t="s">
        <v>1580</v>
      </c>
      <c r="Y224" s="237" t="s">
        <v>237</v>
      </c>
      <c r="Z224" s="237" t="s">
        <v>237</v>
      </c>
      <c r="AA224" s="237" t="s">
        <v>1581</v>
      </c>
      <c r="AB224" s="337" t="s">
        <v>237</v>
      </c>
      <c r="AC224" s="237" t="s">
        <v>228</v>
      </c>
      <c r="AD224" s="562"/>
      <c r="AE224" s="550"/>
      <c r="AF224" s="237"/>
    </row>
    <row r="225" spans="1:130" ht="13.5" customHeight="1">
      <c r="A225" s="235">
        <v>223</v>
      </c>
      <c r="B225" s="237">
        <v>358</v>
      </c>
      <c r="C225" s="243" t="s">
        <v>1582</v>
      </c>
      <c r="D225" s="237" t="s">
        <v>1583</v>
      </c>
      <c r="E225" s="237">
        <v>83</v>
      </c>
      <c r="F225" s="237" t="s">
        <v>75</v>
      </c>
      <c r="G225" s="237" t="s">
        <v>1584</v>
      </c>
      <c r="H225" s="243" t="s">
        <v>4</v>
      </c>
      <c r="I225" s="243"/>
      <c r="K225" s="240" t="s">
        <v>1585</v>
      </c>
      <c r="L225" s="243" t="s">
        <v>16</v>
      </c>
      <c r="M225" s="243" t="s">
        <v>1586</v>
      </c>
      <c r="N225" s="237"/>
      <c r="O225" s="237"/>
      <c r="P225" s="237"/>
      <c r="Q225" s="245">
        <v>45645</v>
      </c>
      <c r="R225" s="237" t="s">
        <v>309</v>
      </c>
      <c r="S225" s="331" t="s">
        <v>233</v>
      </c>
      <c r="T225" s="237">
        <v>8.5</v>
      </c>
      <c r="U225" s="237" t="s">
        <v>298</v>
      </c>
      <c r="V225" s="237" t="s">
        <v>235</v>
      </c>
      <c r="W225" s="245">
        <v>45692</v>
      </c>
      <c r="X225" s="237" t="s">
        <v>1587</v>
      </c>
      <c r="Y225" s="237" t="s">
        <v>237</v>
      </c>
      <c r="Z225" s="237" t="s">
        <v>237</v>
      </c>
      <c r="AA225" s="237" t="s">
        <v>1588</v>
      </c>
      <c r="AB225" s="337" t="s">
        <v>237</v>
      </c>
      <c r="AC225" s="237" t="s">
        <v>874</v>
      </c>
      <c r="AD225" s="562"/>
      <c r="AE225" s="550"/>
      <c r="AF225" s="237"/>
    </row>
    <row r="226" spans="1:130" ht="13.5" customHeight="1">
      <c r="A226" s="235">
        <v>224</v>
      </c>
      <c r="B226" s="237"/>
      <c r="C226" s="243" t="s">
        <v>1589</v>
      </c>
      <c r="D226" s="237" t="s">
        <v>1590</v>
      </c>
      <c r="E226" s="237">
        <v>52</v>
      </c>
      <c r="F226" s="237" t="s">
        <v>75</v>
      </c>
      <c r="G226" s="237" t="s">
        <v>1591</v>
      </c>
      <c r="H226" s="243" t="s">
        <v>4</v>
      </c>
      <c r="I226" s="243"/>
      <c r="K226" s="240" t="s">
        <v>1592</v>
      </c>
      <c r="L226" s="243" t="s">
        <v>16</v>
      </c>
      <c r="M226" s="246" t="s">
        <v>228</v>
      </c>
      <c r="N226" s="237"/>
      <c r="O226" s="237"/>
      <c r="P226" s="237"/>
      <c r="Q226" s="245">
        <v>45712</v>
      </c>
      <c r="R226" s="237" t="s">
        <v>309</v>
      </c>
      <c r="S226" s="331" t="s">
        <v>233</v>
      </c>
      <c r="T226" s="237" t="s">
        <v>228</v>
      </c>
      <c r="U226" s="237" t="s">
        <v>234</v>
      </c>
      <c r="V226" s="237" t="s">
        <v>473</v>
      </c>
      <c r="W226" s="245">
        <v>45747</v>
      </c>
      <c r="X226" s="237" t="s">
        <v>1593</v>
      </c>
      <c r="Y226" s="237" t="s">
        <v>237</v>
      </c>
      <c r="Z226" s="237" t="s">
        <v>228</v>
      </c>
      <c r="AA226" s="237" t="s">
        <v>1594</v>
      </c>
      <c r="AB226" s="337" t="s">
        <v>228</v>
      </c>
      <c r="AC226" s="237" t="s">
        <v>228</v>
      </c>
      <c r="AD226" s="562"/>
      <c r="AE226" s="550"/>
      <c r="AF226" s="237"/>
    </row>
    <row r="227" spans="1:130" ht="13.5" customHeight="1">
      <c r="A227" s="235">
        <v>225</v>
      </c>
      <c r="B227" s="237"/>
      <c r="C227" s="243" t="s">
        <v>1595</v>
      </c>
      <c r="D227" s="237" t="s">
        <v>1596</v>
      </c>
      <c r="E227" s="237">
        <v>62</v>
      </c>
      <c r="F227" s="237" t="s">
        <v>424</v>
      </c>
      <c r="G227" s="237" t="s">
        <v>1597</v>
      </c>
      <c r="H227" s="243" t="s">
        <v>4</v>
      </c>
      <c r="I227" s="243"/>
      <c r="K227" s="240" t="s">
        <v>1598</v>
      </c>
      <c r="L227" s="243" t="s">
        <v>45</v>
      </c>
      <c r="M227" s="246" t="s">
        <v>228</v>
      </c>
      <c r="N227" s="237"/>
      <c r="O227" s="237"/>
      <c r="P227" s="237"/>
      <c r="Q227" s="245">
        <v>45719</v>
      </c>
      <c r="R227" s="237" t="s">
        <v>309</v>
      </c>
      <c r="S227" s="331" t="s">
        <v>233</v>
      </c>
      <c r="T227" s="237" t="s">
        <v>228</v>
      </c>
      <c r="U227" s="237" t="s">
        <v>234</v>
      </c>
      <c r="V227" s="237" t="s">
        <v>473</v>
      </c>
      <c r="W227" s="245">
        <v>45747</v>
      </c>
      <c r="X227" s="237" t="s">
        <v>1599</v>
      </c>
      <c r="Y227" s="237" t="s">
        <v>237</v>
      </c>
      <c r="Z227" s="237" t="s">
        <v>228</v>
      </c>
      <c r="AA227" s="237" t="s">
        <v>1595</v>
      </c>
      <c r="AB227" s="337" t="s">
        <v>228</v>
      </c>
      <c r="AC227" s="237" t="s">
        <v>228</v>
      </c>
      <c r="AD227" s="562"/>
      <c r="AE227" s="550"/>
      <c r="AF227" s="237"/>
    </row>
    <row r="228" spans="1:130" s="306" customFormat="1" ht="13.5" customHeight="1">
      <c r="A228" s="235">
        <v>226</v>
      </c>
      <c r="B228" s="264">
        <v>215</v>
      </c>
      <c r="C228" s="289" t="s">
        <v>1600</v>
      </c>
      <c r="D228" s="264" t="s">
        <v>1601</v>
      </c>
      <c r="E228" s="264">
        <v>57</v>
      </c>
      <c r="F228" s="264" t="s">
        <v>75</v>
      </c>
      <c r="G228" s="264" t="s">
        <v>1602</v>
      </c>
      <c r="H228" s="289" t="s">
        <v>4</v>
      </c>
      <c r="I228" s="289" t="s">
        <v>1603</v>
      </c>
      <c r="K228" s="290"/>
      <c r="L228" s="289" t="s">
        <v>22</v>
      </c>
      <c r="M228" s="313" t="s">
        <v>228</v>
      </c>
      <c r="N228" s="264"/>
      <c r="O228" s="264"/>
      <c r="P228" s="264"/>
      <c r="Q228" s="314">
        <v>45746</v>
      </c>
      <c r="R228" s="264" t="s">
        <v>309</v>
      </c>
      <c r="S228" s="366" t="s">
        <v>233</v>
      </c>
      <c r="T228" s="264" t="s">
        <v>228</v>
      </c>
      <c r="U228" s="264" t="s">
        <v>298</v>
      </c>
      <c r="V228" s="264" t="s">
        <v>473</v>
      </c>
      <c r="W228" s="314">
        <v>45768</v>
      </c>
      <c r="X228" s="264" t="s">
        <v>1604</v>
      </c>
      <c r="Y228" s="264" t="s">
        <v>237</v>
      </c>
      <c r="Z228" s="237" t="s">
        <v>237</v>
      </c>
      <c r="AA228" s="264" t="s">
        <v>1605</v>
      </c>
      <c r="AB228" s="364" t="s">
        <v>228</v>
      </c>
      <c r="AC228" s="264" t="s">
        <v>228</v>
      </c>
      <c r="AD228" s="565"/>
      <c r="AE228" s="552"/>
      <c r="AF228" s="264"/>
      <c r="AG228" s="309"/>
      <c r="AH228" s="309"/>
      <c r="AI228" s="309"/>
      <c r="AJ228" s="309"/>
      <c r="AK228" s="309"/>
      <c r="AL228" s="309"/>
      <c r="AM228" s="309"/>
      <c r="AN228" s="309"/>
      <c r="AO228" s="309"/>
      <c r="AP228" s="309"/>
      <c r="AQ228" s="309"/>
      <c r="AR228" s="309"/>
      <c r="AS228" s="309"/>
      <c r="AT228" s="309"/>
      <c r="AU228" s="309"/>
      <c r="AV228" s="309"/>
      <c r="AW228" s="309"/>
      <c r="AX228" s="309"/>
      <c r="AY228" s="309"/>
      <c r="AZ228" s="309"/>
      <c r="BA228" s="309"/>
      <c r="BB228" s="309"/>
      <c r="BC228" s="309"/>
      <c r="BD228" s="309"/>
      <c r="BE228" s="309"/>
      <c r="BF228" s="309"/>
      <c r="BG228" s="309"/>
      <c r="BH228" s="309"/>
      <c r="BI228" s="309"/>
      <c r="BJ228" s="309"/>
      <c r="BK228" s="309"/>
      <c r="BL228" s="309"/>
      <c r="BM228" s="309"/>
      <c r="BN228" s="309"/>
      <c r="BO228" s="309"/>
      <c r="BP228" s="309"/>
      <c r="BQ228" s="309"/>
      <c r="BR228" s="309"/>
      <c r="BS228" s="309"/>
      <c r="BT228" s="309"/>
      <c r="BU228" s="309"/>
      <c r="BV228" s="309"/>
      <c r="BW228" s="309"/>
      <c r="BX228" s="309"/>
      <c r="BY228" s="309"/>
      <c r="BZ228" s="309"/>
      <c r="CA228" s="309"/>
      <c r="CB228" s="309"/>
      <c r="CC228" s="309"/>
      <c r="CD228" s="309"/>
      <c r="CE228" s="309"/>
      <c r="CF228" s="309"/>
      <c r="CG228" s="309"/>
      <c r="CH228" s="309"/>
      <c r="CI228" s="309"/>
      <c r="CJ228" s="309"/>
      <c r="CK228" s="309"/>
      <c r="CL228" s="309"/>
      <c r="CM228" s="309"/>
      <c r="CN228" s="309"/>
      <c r="CO228" s="309"/>
      <c r="CP228" s="309"/>
      <c r="CQ228" s="309"/>
      <c r="CR228" s="309"/>
      <c r="CS228" s="309"/>
      <c r="CT228" s="309"/>
      <c r="CU228" s="309"/>
      <c r="CV228" s="309"/>
      <c r="CW228" s="309"/>
      <c r="CX228" s="309"/>
      <c r="CY228" s="309"/>
      <c r="CZ228" s="309"/>
      <c r="DA228" s="309"/>
      <c r="DB228" s="309"/>
      <c r="DC228" s="309"/>
      <c r="DD228" s="309"/>
      <c r="DE228" s="309"/>
      <c r="DF228" s="309"/>
      <c r="DG228" s="309"/>
      <c r="DH228" s="309"/>
      <c r="DI228" s="309"/>
      <c r="DJ228" s="309"/>
      <c r="DK228" s="309"/>
      <c r="DL228" s="309"/>
      <c r="DM228" s="309"/>
      <c r="DN228" s="309"/>
      <c r="DO228" s="309"/>
      <c r="DP228" s="309"/>
      <c r="DQ228" s="309"/>
      <c r="DR228" s="309"/>
      <c r="DS228" s="309"/>
      <c r="DT228" s="309"/>
      <c r="DU228" s="309"/>
      <c r="DV228" s="309"/>
      <c r="DW228" s="309"/>
      <c r="DX228" s="309"/>
      <c r="DY228" s="309"/>
      <c r="DZ228" s="310"/>
    </row>
    <row r="229" spans="1:130" ht="13.5" customHeight="1">
      <c r="A229" s="235">
        <v>227</v>
      </c>
      <c r="B229" s="237"/>
      <c r="C229" s="243" t="s">
        <v>1606</v>
      </c>
      <c r="D229" s="237" t="s">
        <v>1607</v>
      </c>
      <c r="E229" s="237">
        <v>58</v>
      </c>
      <c r="F229" s="237" t="s">
        <v>1608</v>
      </c>
      <c r="G229" s="237" t="s">
        <v>1609</v>
      </c>
      <c r="H229" s="243" t="s">
        <v>4</v>
      </c>
      <c r="I229" s="243"/>
      <c r="J229" s="240" t="s">
        <v>886</v>
      </c>
      <c r="K229" s="240" t="s">
        <v>887</v>
      </c>
      <c r="L229" s="243" t="s">
        <v>45</v>
      </c>
      <c r="M229" s="243" t="s">
        <v>231</v>
      </c>
      <c r="N229" s="237"/>
      <c r="O229" s="237"/>
      <c r="P229" s="237"/>
      <c r="Q229" s="245">
        <v>44977</v>
      </c>
      <c r="R229" s="237" t="s">
        <v>309</v>
      </c>
      <c r="S229" s="331" t="s">
        <v>233</v>
      </c>
      <c r="T229" s="237" t="s">
        <v>228</v>
      </c>
      <c r="U229" s="237" t="s">
        <v>234</v>
      </c>
      <c r="V229" s="237" t="s">
        <v>652</v>
      </c>
      <c r="W229" s="245">
        <v>45947</v>
      </c>
      <c r="X229" s="237" t="s">
        <v>1610</v>
      </c>
      <c r="Y229" s="237" t="s">
        <v>237</v>
      </c>
      <c r="Z229" s="237" t="s">
        <v>228</v>
      </c>
      <c r="AA229" s="237" t="s">
        <v>1611</v>
      </c>
      <c r="AB229" s="337" t="s">
        <v>228</v>
      </c>
      <c r="AC229" s="237" t="s">
        <v>228</v>
      </c>
      <c r="AD229" s="562"/>
      <c r="AE229" s="550"/>
      <c r="AF229" s="237"/>
    </row>
    <row r="230" spans="1:130" ht="13.5" customHeight="1">
      <c r="A230" s="235">
        <v>228</v>
      </c>
      <c r="B230" s="237"/>
      <c r="C230" s="243" t="s">
        <v>1612</v>
      </c>
      <c r="D230" s="237" t="s">
        <v>1613</v>
      </c>
      <c r="E230" s="237">
        <v>64</v>
      </c>
      <c r="F230" s="237" t="s">
        <v>60</v>
      </c>
      <c r="G230" s="237" t="s">
        <v>1614</v>
      </c>
      <c r="H230" s="243" t="s">
        <v>4</v>
      </c>
      <c r="I230" s="243"/>
      <c r="J230" s="240" t="s">
        <v>886</v>
      </c>
      <c r="K230" s="240" t="s">
        <v>887</v>
      </c>
      <c r="L230" s="243" t="s">
        <v>45</v>
      </c>
      <c r="M230" s="243" t="s">
        <v>231</v>
      </c>
      <c r="N230" s="237"/>
      <c r="O230" s="237"/>
      <c r="P230" s="237"/>
      <c r="Q230" s="245">
        <v>44977</v>
      </c>
      <c r="R230" s="237" t="s">
        <v>309</v>
      </c>
      <c r="S230" s="331" t="s">
        <v>233</v>
      </c>
      <c r="T230" s="237" t="s">
        <v>228</v>
      </c>
      <c r="U230" s="237" t="s">
        <v>234</v>
      </c>
      <c r="V230" s="237" t="s">
        <v>652</v>
      </c>
      <c r="W230" s="245">
        <v>45947</v>
      </c>
      <c r="X230" s="237" t="s">
        <v>1615</v>
      </c>
      <c r="Y230" s="237" t="s">
        <v>237</v>
      </c>
      <c r="Z230" s="237" t="s">
        <v>228</v>
      </c>
      <c r="AA230" s="237" t="s">
        <v>1616</v>
      </c>
      <c r="AB230" s="337" t="s">
        <v>228</v>
      </c>
      <c r="AC230" s="237" t="s">
        <v>228</v>
      </c>
      <c r="AD230" s="562"/>
      <c r="AE230" s="550"/>
      <c r="AF230" s="237"/>
    </row>
    <row r="231" spans="1:130" ht="13.5" customHeight="1">
      <c r="A231" s="235">
        <v>229</v>
      </c>
      <c r="B231" s="237"/>
      <c r="C231" s="243" t="s">
        <v>1617</v>
      </c>
      <c r="D231" s="237" t="s">
        <v>1618</v>
      </c>
      <c r="E231" s="237">
        <v>65</v>
      </c>
      <c r="F231" s="237" t="s">
        <v>75</v>
      </c>
      <c r="G231" s="237" t="s">
        <v>1619</v>
      </c>
      <c r="H231" s="243" t="s">
        <v>4</v>
      </c>
      <c r="I231" s="243"/>
      <c r="J231" s="240" t="s">
        <v>886</v>
      </c>
      <c r="K231" s="240" t="s">
        <v>1620</v>
      </c>
      <c r="L231" s="243" t="s">
        <v>66</v>
      </c>
      <c r="M231" s="243" t="s">
        <v>231</v>
      </c>
      <c r="N231" s="237"/>
      <c r="O231" s="237"/>
      <c r="P231" s="237"/>
      <c r="Q231" s="245">
        <v>44979</v>
      </c>
      <c r="R231" s="237" t="s">
        <v>309</v>
      </c>
      <c r="S231" s="331" t="s">
        <v>233</v>
      </c>
      <c r="T231" s="237" t="s">
        <v>228</v>
      </c>
      <c r="U231" s="237" t="s">
        <v>234</v>
      </c>
      <c r="V231" s="237" t="s">
        <v>652</v>
      </c>
      <c r="W231" s="245">
        <v>45947</v>
      </c>
      <c r="X231" s="237" t="s">
        <v>1621</v>
      </c>
      <c r="Y231" s="237" t="s">
        <v>237</v>
      </c>
      <c r="Z231" s="237" t="s">
        <v>228</v>
      </c>
      <c r="AA231" s="237" t="s">
        <v>1622</v>
      </c>
      <c r="AB231" s="337" t="s">
        <v>228</v>
      </c>
      <c r="AC231" s="237" t="s">
        <v>228</v>
      </c>
      <c r="AD231" s="562"/>
      <c r="AE231" s="550"/>
      <c r="AF231" s="237"/>
    </row>
    <row r="232" spans="1:130" ht="13.5" customHeight="1">
      <c r="A232" s="235">
        <v>230</v>
      </c>
      <c r="B232" s="237"/>
      <c r="C232" s="243" t="s">
        <v>1623</v>
      </c>
      <c r="D232" s="237" t="s">
        <v>1624</v>
      </c>
      <c r="E232" s="237">
        <v>48</v>
      </c>
      <c r="F232" s="237" t="s">
        <v>75</v>
      </c>
      <c r="G232" s="237" t="s">
        <v>1625</v>
      </c>
      <c r="H232" s="243" t="s">
        <v>4</v>
      </c>
      <c r="I232" s="243"/>
      <c r="J232" s="240" t="s">
        <v>886</v>
      </c>
      <c r="K232" s="240" t="s">
        <v>1626</v>
      </c>
      <c r="L232" s="288" t="s">
        <v>1102</v>
      </c>
      <c r="M232" s="243" t="s">
        <v>231</v>
      </c>
      <c r="N232" s="237"/>
      <c r="O232" s="237"/>
      <c r="P232" s="237"/>
      <c r="Q232" s="245">
        <v>44980</v>
      </c>
      <c r="R232" s="237" t="s">
        <v>309</v>
      </c>
      <c r="S232" s="331" t="s">
        <v>233</v>
      </c>
      <c r="T232" s="237" t="s">
        <v>228</v>
      </c>
      <c r="U232" s="237" t="s">
        <v>234</v>
      </c>
      <c r="V232" s="237" t="s">
        <v>652</v>
      </c>
      <c r="W232" s="245">
        <v>45947</v>
      </c>
      <c r="X232" s="237" t="s">
        <v>1627</v>
      </c>
      <c r="Y232" s="237" t="s">
        <v>237</v>
      </c>
      <c r="Z232" s="237" t="s">
        <v>228</v>
      </c>
      <c r="AA232" s="237" t="s">
        <v>1628</v>
      </c>
      <c r="AB232" s="337" t="s">
        <v>228</v>
      </c>
      <c r="AC232" s="237" t="s">
        <v>228</v>
      </c>
      <c r="AD232" s="562"/>
      <c r="AE232" s="550"/>
      <c r="AF232" s="237"/>
    </row>
    <row r="233" spans="1:130" ht="13.5" customHeight="1">
      <c r="A233" s="235">
        <v>231</v>
      </c>
      <c r="B233" s="237"/>
      <c r="C233" s="243" t="s">
        <v>1629</v>
      </c>
      <c r="D233" s="237" t="s">
        <v>1630</v>
      </c>
      <c r="E233" s="237">
        <v>44</v>
      </c>
      <c r="F233" s="237" t="s">
        <v>75</v>
      </c>
      <c r="G233" s="237" t="s">
        <v>1631</v>
      </c>
      <c r="H233" s="243" t="s">
        <v>4</v>
      </c>
      <c r="I233" s="243"/>
      <c r="J233" s="240" t="s">
        <v>886</v>
      </c>
      <c r="K233" s="240" t="s">
        <v>1376</v>
      </c>
      <c r="L233" s="243" t="s">
        <v>16</v>
      </c>
      <c r="M233" s="243" t="s">
        <v>231</v>
      </c>
      <c r="N233" s="237"/>
      <c r="O233" s="237"/>
      <c r="P233" s="237"/>
      <c r="Q233" s="245">
        <v>44980</v>
      </c>
      <c r="R233" s="237" t="s">
        <v>309</v>
      </c>
      <c r="S233" s="331" t="s">
        <v>233</v>
      </c>
      <c r="T233" s="237" t="s">
        <v>228</v>
      </c>
      <c r="U233" s="237" t="s">
        <v>234</v>
      </c>
      <c r="V233" s="237" t="s">
        <v>652</v>
      </c>
      <c r="W233" s="245">
        <v>45947</v>
      </c>
      <c r="X233" s="237" t="s">
        <v>1632</v>
      </c>
      <c r="Y233" s="237" t="s">
        <v>237</v>
      </c>
      <c r="Z233" s="237" t="s">
        <v>228</v>
      </c>
      <c r="AA233" s="237" t="s">
        <v>1633</v>
      </c>
      <c r="AB233" s="337" t="s">
        <v>228</v>
      </c>
      <c r="AC233" s="237" t="s">
        <v>228</v>
      </c>
      <c r="AD233" s="562"/>
      <c r="AE233" s="550"/>
      <c r="AF233" s="237"/>
    </row>
    <row r="234" spans="1:130" ht="13.5" customHeight="1">
      <c r="A234" s="235">
        <v>232</v>
      </c>
      <c r="B234" s="237"/>
      <c r="C234" s="243" t="s">
        <v>1634</v>
      </c>
      <c r="D234" s="237" t="s">
        <v>1635</v>
      </c>
      <c r="E234" s="237">
        <v>65</v>
      </c>
      <c r="F234" s="237" t="s">
        <v>75</v>
      </c>
      <c r="G234" s="237" t="s">
        <v>1636</v>
      </c>
      <c r="H234" s="243" t="s">
        <v>4</v>
      </c>
      <c r="I234" s="243"/>
      <c r="J234" s="240" t="s">
        <v>886</v>
      </c>
      <c r="K234" s="240" t="s">
        <v>887</v>
      </c>
      <c r="L234" s="243" t="s">
        <v>45</v>
      </c>
      <c r="M234" s="243" t="s">
        <v>231</v>
      </c>
      <c r="N234" s="237"/>
      <c r="O234" s="237"/>
      <c r="P234" s="237"/>
      <c r="Q234" s="245">
        <v>44980</v>
      </c>
      <c r="R234" s="237" t="s">
        <v>309</v>
      </c>
      <c r="S234" s="331" t="s">
        <v>233</v>
      </c>
      <c r="T234" s="237" t="s">
        <v>228</v>
      </c>
      <c r="U234" s="237" t="s">
        <v>234</v>
      </c>
      <c r="V234" s="237" t="s">
        <v>652</v>
      </c>
      <c r="W234" s="245">
        <v>45947</v>
      </c>
      <c r="X234" s="237" t="s">
        <v>1637</v>
      </c>
      <c r="Y234" s="237" t="s">
        <v>237</v>
      </c>
      <c r="Z234" s="237" t="s">
        <v>228</v>
      </c>
      <c r="AA234" s="237" t="s">
        <v>1638</v>
      </c>
      <c r="AB234" s="337" t="s">
        <v>228</v>
      </c>
      <c r="AC234" s="237" t="s">
        <v>228</v>
      </c>
      <c r="AD234" s="562"/>
      <c r="AE234" s="550"/>
      <c r="AF234" s="237"/>
    </row>
    <row r="235" spans="1:130" ht="13.5" customHeight="1">
      <c r="A235" s="235">
        <v>233</v>
      </c>
      <c r="B235" s="237"/>
      <c r="C235" s="243" t="s">
        <v>1639</v>
      </c>
      <c r="D235" s="237" t="s">
        <v>1640</v>
      </c>
      <c r="E235" s="237">
        <v>62</v>
      </c>
      <c r="F235" s="237" t="s">
        <v>424</v>
      </c>
      <c r="G235" s="237" t="s">
        <v>1641</v>
      </c>
      <c r="H235" s="243" t="s">
        <v>4</v>
      </c>
      <c r="I235" s="243"/>
      <c r="J235" s="240" t="s">
        <v>886</v>
      </c>
      <c r="K235" s="240" t="s">
        <v>1038</v>
      </c>
      <c r="L235" s="243" t="s">
        <v>1642</v>
      </c>
      <c r="M235" s="243" t="s">
        <v>231</v>
      </c>
      <c r="N235" s="237"/>
      <c r="O235" s="237"/>
      <c r="P235" s="237"/>
      <c r="Q235" s="245">
        <v>44984</v>
      </c>
      <c r="R235" s="237" t="s">
        <v>309</v>
      </c>
      <c r="S235" s="331" t="s">
        <v>233</v>
      </c>
      <c r="T235" s="237" t="s">
        <v>228</v>
      </c>
      <c r="U235" s="237" t="s">
        <v>234</v>
      </c>
      <c r="V235" s="237" t="s">
        <v>652</v>
      </c>
      <c r="W235" s="245">
        <v>45947</v>
      </c>
      <c r="X235" s="237" t="s">
        <v>1643</v>
      </c>
      <c r="Y235" s="237" t="s">
        <v>237</v>
      </c>
      <c r="Z235" s="237" t="s">
        <v>228</v>
      </c>
      <c r="AA235" s="237" t="s">
        <v>1644</v>
      </c>
      <c r="AB235" s="337" t="s">
        <v>228</v>
      </c>
      <c r="AC235" s="237" t="s">
        <v>228</v>
      </c>
      <c r="AD235" s="562"/>
      <c r="AE235" s="550"/>
      <c r="AF235" s="237"/>
    </row>
    <row r="236" spans="1:130" ht="13.5" customHeight="1">
      <c r="A236" s="235">
        <v>234</v>
      </c>
      <c r="B236" s="237"/>
      <c r="C236" s="243" t="s">
        <v>1645</v>
      </c>
      <c r="D236" s="237" t="s">
        <v>1646</v>
      </c>
      <c r="E236" s="237">
        <v>65</v>
      </c>
      <c r="F236" s="237" t="s">
        <v>424</v>
      </c>
      <c r="G236" s="237" t="s">
        <v>1647</v>
      </c>
      <c r="H236" s="243" t="s">
        <v>4</v>
      </c>
      <c r="I236" s="243"/>
      <c r="J236" s="240" t="s">
        <v>886</v>
      </c>
      <c r="K236" s="240" t="s">
        <v>1648</v>
      </c>
      <c r="L236" s="288" t="s">
        <v>1102</v>
      </c>
      <c r="M236" s="243" t="s">
        <v>231</v>
      </c>
      <c r="N236" s="237"/>
      <c r="O236" s="237"/>
      <c r="P236" s="237"/>
      <c r="Q236" s="245">
        <v>44984</v>
      </c>
      <c r="R236" s="237" t="s">
        <v>309</v>
      </c>
      <c r="S236" s="331" t="s">
        <v>233</v>
      </c>
      <c r="T236" s="237" t="s">
        <v>228</v>
      </c>
      <c r="U236" s="237" t="s">
        <v>234</v>
      </c>
      <c r="V236" s="237" t="s">
        <v>652</v>
      </c>
      <c r="W236" s="245">
        <v>45947</v>
      </c>
      <c r="X236" s="237" t="s">
        <v>1649</v>
      </c>
      <c r="Y236" s="237" t="s">
        <v>237</v>
      </c>
      <c r="Z236" s="237" t="s">
        <v>228</v>
      </c>
      <c r="AA236" s="237" t="s">
        <v>1650</v>
      </c>
      <c r="AB236" s="337" t="s">
        <v>228</v>
      </c>
      <c r="AC236" s="237" t="s">
        <v>228</v>
      </c>
      <c r="AD236" s="562"/>
      <c r="AE236" s="550"/>
      <c r="AF236" s="237"/>
    </row>
    <row r="237" spans="1:130" ht="13.5" customHeight="1">
      <c r="A237" s="235">
        <v>235</v>
      </c>
      <c r="B237" s="237">
        <v>28</v>
      </c>
      <c r="C237" s="243" t="s">
        <v>1651</v>
      </c>
      <c r="D237" s="237" t="s">
        <v>294</v>
      </c>
      <c r="E237" s="237">
        <v>53</v>
      </c>
      <c r="F237" s="237" t="s">
        <v>60</v>
      </c>
      <c r="G237" s="237" t="s">
        <v>295</v>
      </c>
      <c r="H237" s="243" t="s">
        <v>5</v>
      </c>
      <c r="I237" s="243"/>
      <c r="K237" s="240" t="s">
        <v>1038</v>
      </c>
      <c r="L237" s="243" t="s">
        <v>1642</v>
      </c>
      <c r="M237" s="246" t="s">
        <v>228</v>
      </c>
      <c r="N237" s="237"/>
      <c r="O237" s="237"/>
      <c r="P237" s="237"/>
      <c r="Q237" s="245">
        <v>45482</v>
      </c>
      <c r="R237" s="237" t="s">
        <v>309</v>
      </c>
      <c r="S237" s="331" t="s">
        <v>233</v>
      </c>
      <c r="T237" s="237" t="s">
        <v>228</v>
      </c>
      <c r="U237" s="237" t="s">
        <v>234</v>
      </c>
      <c r="V237" s="237" t="s">
        <v>652</v>
      </c>
      <c r="W237" s="245">
        <v>45947</v>
      </c>
      <c r="X237" s="237" t="s">
        <v>1652</v>
      </c>
      <c r="Y237" s="237" t="s">
        <v>237</v>
      </c>
      <c r="Z237" s="237" t="s">
        <v>228</v>
      </c>
      <c r="AA237" s="237" t="s">
        <v>1653</v>
      </c>
      <c r="AB237" s="337" t="s">
        <v>228</v>
      </c>
      <c r="AC237" s="237" t="s">
        <v>228</v>
      </c>
      <c r="AD237" s="562"/>
      <c r="AE237" s="550"/>
      <c r="AF237" s="237"/>
    </row>
    <row r="238" spans="1:130" ht="13.5" customHeight="1">
      <c r="A238" s="235">
        <v>236</v>
      </c>
      <c r="B238" s="237">
        <v>277</v>
      </c>
      <c r="C238" s="243" t="s">
        <v>1654</v>
      </c>
      <c r="D238" s="237" t="s">
        <v>1655</v>
      </c>
      <c r="E238" s="237">
        <v>76</v>
      </c>
      <c r="F238" s="237" t="s">
        <v>60</v>
      </c>
      <c r="G238" s="237" t="s">
        <v>1083</v>
      </c>
      <c r="H238" s="243" t="s">
        <v>4</v>
      </c>
      <c r="I238" s="243"/>
      <c r="K238" s="240" t="s">
        <v>1656</v>
      </c>
      <c r="L238" s="243" t="s">
        <v>11</v>
      </c>
      <c r="M238" s="246" t="s">
        <v>228</v>
      </c>
      <c r="N238" s="237"/>
      <c r="O238" s="237"/>
      <c r="P238" s="237"/>
      <c r="Q238" s="245">
        <v>45611</v>
      </c>
      <c r="R238" s="237" t="s">
        <v>309</v>
      </c>
      <c r="S238" s="331" t="s">
        <v>233</v>
      </c>
      <c r="T238" s="237" t="s">
        <v>228</v>
      </c>
      <c r="U238" s="237" t="s">
        <v>234</v>
      </c>
      <c r="V238" s="237" t="s">
        <v>652</v>
      </c>
      <c r="W238" s="245">
        <v>45947</v>
      </c>
      <c r="X238" s="237" t="s">
        <v>1657</v>
      </c>
      <c r="Y238" s="237" t="s">
        <v>237</v>
      </c>
      <c r="Z238" s="237" t="s">
        <v>228</v>
      </c>
      <c r="AA238" s="237" t="s">
        <v>1658</v>
      </c>
      <c r="AB238" s="337" t="s">
        <v>228</v>
      </c>
      <c r="AC238" s="237" t="s">
        <v>228</v>
      </c>
      <c r="AD238" s="562"/>
      <c r="AE238" s="550"/>
      <c r="AF238" s="237"/>
    </row>
    <row r="239" spans="1:130" ht="13.5" customHeight="1">
      <c r="A239" s="235">
        <v>237</v>
      </c>
      <c r="B239" s="237">
        <v>356</v>
      </c>
      <c r="C239" s="243" t="s">
        <v>1659</v>
      </c>
      <c r="D239" s="237" t="s">
        <v>1660</v>
      </c>
      <c r="E239" s="237">
        <v>61</v>
      </c>
      <c r="F239" s="237" t="s">
        <v>75</v>
      </c>
      <c r="G239" s="237" t="s">
        <v>1661</v>
      </c>
      <c r="H239" s="243" t="s">
        <v>4</v>
      </c>
      <c r="I239" s="243"/>
      <c r="K239" s="240" t="s">
        <v>1662</v>
      </c>
      <c r="L239" s="243" t="s">
        <v>22</v>
      </c>
      <c r="M239" s="246" t="s">
        <v>228</v>
      </c>
      <c r="N239" s="237"/>
      <c r="O239" s="237"/>
      <c r="P239" s="237"/>
      <c r="Q239" s="245">
        <v>45644</v>
      </c>
      <c r="R239" s="237" t="s">
        <v>309</v>
      </c>
      <c r="S239" s="331" t="s">
        <v>233</v>
      </c>
      <c r="T239" s="237" t="s">
        <v>228</v>
      </c>
      <c r="U239" s="237" t="s">
        <v>234</v>
      </c>
      <c r="V239" s="237" t="s">
        <v>652</v>
      </c>
      <c r="W239" s="245">
        <v>45947</v>
      </c>
      <c r="X239" s="237" t="s">
        <v>1663</v>
      </c>
      <c r="Y239" s="237" t="s">
        <v>237</v>
      </c>
      <c r="Z239" s="237" t="s">
        <v>228</v>
      </c>
      <c r="AA239" s="237" t="s">
        <v>1664</v>
      </c>
      <c r="AB239" s="337" t="s">
        <v>237</v>
      </c>
      <c r="AC239" s="237" t="s">
        <v>353</v>
      </c>
      <c r="AD239" s="562">
        <v>45603</v>
      </c>
      <c r="AE239" s="553"/>
      <c r="AF239" s="237"/>
    </row>
    <row r="240" spans="1:130" ht="13.5" customHeight="1">
      <c r="A240" s="235">
        <v>238</v>
      </c>
      <c r="B240" s="237">
        <v>191</v>
      </c>
      <c r="C240" s="243" t="s">
        <v>1665</v>
      </c>
      <c r="D240" s="237" t="s">
        <v>1666</v>
      </c>
      <c r="E240" s="237">
        <v>72</v>
      </c>
      <c r="F240" s="237" t="s">
        <v>60</v>
      </c>
      <c r="G240" s="237" t="s">
        <v>1667</v>
      </c>
      <c r="H240" s="243" t="s">
        <v>4</v>
      </c>
      <c r="I240" s="243"/>
      <c r="K240" s="243" t="s">
        <v>142</v>
      </c>
      <c r="L240" s="243" t="s">
        <v>67</v>
      </c>
      <c r="M240" s="243" t="s">
        <v>426</v>
      </c>
      <c r="N240" s="237" t="s">
        <v>1668</v>
      </c>
      <c r="O240" s="237" t="s">
        <v>228</v>
      </c>
      <c r="P240" s="237"/>
      <c r="Q240" s="245">
        <v>45380</v>
      </c>
      <c r="R240" s="237" t="s">
        <v>309</v>
      </c>
      <c r="S240" s="331" t="s">
        <v>233</v>
      </c>
      <c r="T240" s="237" t="s">
        <v>1669</v>
      </c>
      <c r="U240" s="237" t="s">
        <v>298</v>
      </c>
      <c r="V240" s="237" t="s">
        <v>235</v>
      </c>
      <c r="W240" s="245">
        <v>45433</v>
      </c>
      <c r="X240" s="237">
        <v>0</v>
      </c>
      <c r="Y240" s="237" t="s">
        <v>237</v>
      </c>
      <c r="Z240" s="237" t="s">
        <v>237</v>
      </c>
      <c r="AA240" s="237" t="s">
        <v>1670</v>
      </c>
      <c r="AB240" s="337" t="s">
        <v>237</v>
      </c>
      <c r="AC240" s="55" t="s">
        <v>353</v>
      </c>
      <c r="AD240" s="563">
        <v>45434</v>
      </c>
      <c r="AE240" s="550"/>
      <c r="AF240" s="237"/>
    </row>
    <row r="241" spans="1:130" ht="13.5" customHeight="1">
      <c r="A241" s="235">
        <v>239</v>
      </c>
      <c r="B241" s="237"/>
      <c r="C241" s="256">
        <v>4</v>
      </c>
      <c r="D241" s="237" t="s">
        <v>1671</v>
      </c>
      <c r="E241" s="237">
        <v>65</v>
      </c>
      <c r="F241" s="237" t="s">
        <v>75</v>
      </c>
      <c r="G241" s="237"/>
      <c r="H241" s="243" t="s">
        <v>4</v>
      </c>
      <c r="I241" s="243"/>
      <c r="K241" s="240" t="s">
        <v>1672</v>
      </c>
      <c r="L241" s="243" t="s">
        <v>13</v>
      </c>
      <c r="M241" s="243" t="s">
        <v>231</v>
      </c>
      <c r="N241" s="237" t="s">
        <v>228</v>
      </c>
      <c r="O241" s="237" t="s">
        <v>228</v>
      </c>
      <c r="P241" s="237" t="s">
        <v>231</v>
      </c>
      <c r="Q241" s="245" t="s">
        <v>228</v>
      </c>
      <c r="R241" s="237" t="s">
        <v>232</v>
      </c>
      <c r="S241" s="331" t="s">
        <v>233</v>
      </c>
      <c r="T241" s="237" t="s">
        <v>228</v>
      </c>
      <c r="U241" s="237" t="s">
        <v>298</v>
      </c>
      <c r="V241" s="237" t="s">
        <v>235</v>
      </c>
      <c r="W241" s="245" t="s">
        <v>228</v>
      </c>
      <c r="X241" s="237" t="s">
        <v>1673</v>
      </c>
      <c r="Y241" s="237" t="s">
        <v>237</v>
      </c>
      <c r="Z241" s="237" t="s">
        <v>228</v>
      </c>
      <c r="AA241" s="237"/>
      <c r="AB241" s="337" t="s">
        <v>237</v>
      </c>
      <c r="AC241" s="237" t="s">
        <v>353</v>
      </c>
      <c r="AD241" s="562">
        <v>45386</v>
      </c>
      <c r="AE241" s="553"/>
      <c r="AF241" s="237"/>
    </row>
    <row r="242" spans="1:130" ht="13.5" customHeight="1">
      <c r="A242" s="235">
        <v>240</v>
      </c>
      <c r="B242" s="8">
        <v>188</v>
      </c>
      <c r="C242" s="109" t="s">
        <v>1674</v>
      </c>
      <c r="D242" s="110" t="s">
        <v>1671</v>
      </c>
      <c r="E242" s="110">
        <v>67</v>
      </c>
      <c r="F242" s="110" t="s">
        <v>75</v>
      </c>
      <c r="G242" s="110" t="s">
        <v>1675</v>
      </c>
      <c r="H242" s="109" t="s">
        <v>5</v>
      </c>
      <c r="I242" s="109"/>
      <c r="J242" s="72"/>
      <c r="K242" s="109" t="s">
        <v>84</v>
      </c>
      <c r="L242" s="111" t="s">
        <v>13</v>
      </c>
      <c r="M242" s="110" t="s">
        <v>1676</v>
      </c>
      <c r="N242" s="110" t="s">
        <v>228</v>
      </c>
      <c r="O242" s="110" t="s">
        <v>231</v>
      </c>
      <c r="P242" s="112"/>
      <c r="Q242" s="113">
        <v>45349</v>
      </c>
      <c r="R242" s="237" t="s">
        <v>309</v>
      </c>
      <c r="S242" s="237" t="s">
        <v>233</v>
      </c>
      <c r="T242" s="237" t="s">
        <v>1677</v>
      </c>
      <c r="U242" s="237" t="s">
        <v>298</v>
      </c>
      <c r="V242" s="237" t="s">
        <v>235</v>
      </c>
      <c r="W242" s="245" t="s">
        <v>1678</v>
      </c>
      <c r="X242" s="237" t="s">
        <v>1679</v>
      </c>
      <c r="Y242" s="237" t="s">
        <v>237</v>
      </c>
      <c r="Z242" s="237" t="s">
        <v>237</v>
      </c>
      <c r="AA242" s="72"/>
      <c r="AB242" s="130" t="s">
        <v>228</v>
      </c>
      <c r="AC242" s="72" t="s">
        <v>228</v>
      </c>
      <c r="AD242" s="562"/>
      <c r="AE242" s="550"/>
      <c r="AF242" s="237"/>
    </row>
    <row r="243" spans="1:130" ht="13.5" customHeight="1">
      <c r="A243" s="235">
        <v>241</v>
      </c>
      <c r="B243" s="237"/>
      <c r="C243" s="255">
        <v>8</v>
      </c>
      <c r="D243" s="237" t="s">
        <v>1680</v>
      </c>
      <c r="E243" s="237">
        <v>55</v>
      </c>
      <c r="F243" s="237" t="s">
        <v>60</v>
      </c>
      <c r="G243" s="237"/>
      <c r="H243" s="243" t="s">
        <v>5</v>
      </c>
      <c r="I243" s="243"/>
      <c r="K243" s="240" t="s">
        <v>1681</v>
      </c>
      <c r="L243" s="243" t="s">
        <v>1682</v>
      </c>
      <c r="M243" s="243" t="s">
        <v>231</v>
      </c>
      <c r="N243" s="237" t="s">
        <v>228</v>
      </c>
      <c r="O243" s="237" t="s">
        <v>228</v>
      </c>
      <c r="P243" s="237" t="s">
        <v>231</v>
      </c>
      <c r="Q243" s="245" t="s">
        <v>228</v>
      </c>
      <c r="R243" s="237" t="s">
        <v>232</v>
      </c>
      <c r="S243" s="331" t="s">
        <v>233</v>
      </c>
      <c r="T243" s="237" t="s">
        <v>228</v>
      </c>
      <c r="U243" s="237" t="s">
        <v>234</v>
      </c>
      <c r="V243" s="237" t="s">
        <v>235</v>
      </c>
      <c r="W243" s="245" t="s">
        <v>228</v>
      </c>
      <c r="X243" s="237" t="s">
        <v>1643</v>
      </c>
      <c r="Y243" s="237" t="s">
        <v>237</v>
      </c>
      <c r="Z243" s="237" t="s">
        <v>228</v>
      </c>
      <c r="AA243" s="237"/>
      <c r="AB243" s="337" t="s">
        <v>228</v>
      </c>
      <c r="AC243" s="237" t="s">
        <v>228</v>
      </c>
      <c r="AD243" s="562"/>
      <c r="AE243" s="555"/>
      <c r="AF243" s="237"/>
    </row>
    <row r="244" spans="1:130" ht="13.5" customHeight="1">
      <c r="A244" s="235">
        <v>242</v>
      </c>
      <c r="B244" s="237">
        <v>16</v>
      </c>
      <c r="C244" s="243" t="s">
        <v>1683</v>
      </c>
      <c r="D244" s="237" t="s">
        <v>1684</v>
      </c>
      <c r="E244" s="237">
        <v>24</v>
      </c>
      <c r="F244" s="237" t="s">
        <v>75</v>
      </c>
      <c r="G244" s="237" t="s">
        <v>1685</v>
      </c>
      <c r="H244" s="240" t="s">
        <v>15</v>
      </c>
      <c r="I244" s="240" t="s">
        <v>5</v>
      </c>
      <c r="K244" s="240" t="s">
        <v>1686</v>
      </c>
      <c r="L244" s="243" t="s">
        <v>1687</v>
      </c>
      <c r="M244" s="246" t="s">
        <v>228</v>
      </c>
      <c r="N244" s="237" t="s">
        <v>228</v>
      </c>
      <c r="O244" s="237" t="s">
        <v>228</v>
      </c>
      <c r="P244" s="237" t="s">
        <v>231</v>
      </c>
      <c r="Q244" s="245">
        <v>44830</v>
      </c>
      <c r="R244" s="237" t="s">
        <v>232</v>
      </c>
      <c r="S244" s="331" t="s">
        <v>233</v>
      </c>
      <c r="T244" s="237" t="s">
        <v>228</v>
      </c>
      <c r="U244" s="237" t="s">
        <v>234</v>
      </c>
      <c r="V244" s="237" t="s">
        <v>235</v>
      </c>
      <c r="W244" s="245" t="s">
        <v>228</v>
      </c>
      <c r="X244" s="237" t="s">
        <v>1688</v>
      </c>
      <c r="Y244" s="237" t="s">
        <v>237</v>
      </c>
      <c r="Z244" s="237" t="s">
        <v>237</v>
      </c>
      <c r="AA244" s="237" t="s">
        <v>1689</v>
      </c>
      <c r="AB244" s="337" t="s">
        <v>228</v>
      </c>
      <c r="AC244" s="237" t="s">
        <v>228</v>
      </c>
      <c r="AD244" s="562"/>
      <c r="AE244" s="550"/>
      <c r="AF244" s="237"/>
    </row>
    <row r="245" spans="1:130" ht="13.5" customHeight="1">
      <c r="A245" s="235">
        <v>243</v>
      </c>
      <c r="B245" s="237">
        <v>19</v>
      </c>
      <c r="C245" s="243" t="s">
        <v>1690</v>
      </c>
      <c r="D245" s="237" t="s">
        <v>1691</v>
      </c>
      <c r="E245" s="237">
        <v>49</v>
      </c>
      <c r="F245" s="237" t="s">
        <v>75</v>
      </c>
      <c r="G245" s="237" t="s">
        <v>1692</v>
      </c>
      <c r="H245" s="243" t="s">
        <v>5</v>
      </c>
      <c r="I245" s="243"/>
      <c r="K245" s="240" t="s">
        <v>87</v>
      </c>
      <c r="L245" s="243" t="s">
        <v>16</v>
      </c>
      <c r="M245" s="246" t="s">
        <v>228</v>
      </c>
      <c r="N245" s="237" t="s">
        <v>1693</v>
      </c>
      <c r="O245" s="237" t="s">
        <v>228</v>
      </c>
      <c r="P245" s="237" t="s">
        <v>231</v>
      </c>
      <c r="Q245" s="245">
        <v>44748</v>
      </c>
      <c r="R245" s="237" t="s">
        <v>232</v>
      </c>
      <c r="S245" s="331" t="s">
        <v>233</v>
      </c>
      <c r="T245" s="237">
        <v>8.6999999999999993</v>
      </c>
      <c r="U245" s="237" t="s">
        <v>298</v>
      </c>
      <c r="V245" s="237" t="s">
        <v>235</v>
      </c>
      <c r="W245" s="245" t="s">
        <v>228</v>
      </c>
      <c r="X245" s="237" t="s">
        <v>1694</v>
      </c>
      <c r="Y245" s="237" t="s">
        <v>237</v>
      </c>
      <c r="Z245" s="237" t="s">
        <v>237</v>
      </c>
      <c r="AA245" s="237" t="s">
        <v>1695</v>
      </c>
      <c r="AB245" s="337" t="s">
        <v>228</v>
      </c>
      <c r="AC245" s="237" t="s">
        <v>228</v>
      </c>
      <c r="AD245" s="562"/>
      <c r="AE245" s="550"/>
      <c r="AF245" s="237"/>
    </row>
    <row r="246" spans="1:130" ht="13.5" customHeight="1">
      <c r="A246" s="235">
        <v>244</v>
      </c>
      <c r="B246" s="237">
        <v>46</v>
      </c>
      <c r="C246" s="243" t="s">
        <v>1696</v>
      </c>
      <c r="D246" s="237" t="s">
        <v>1697</v>
      </c>
      <c r="E246" s="237">
        <v>72</v>
      </c>
      <c r="F246" s="237" t="s">
        <v>60</v>
      </c>
      <c r="G246" s="237" t="s">
        <v>1698</v>
      </c>
      <c r="H246" s="243" t="s">
        <v>5</v>
      </c>
      <c r="I246" s="243"/>
      <c r="J246" s="240" t="s">
        <v>886</v>
      </c>
      <c r="K246" s="240" t="s">
        <v>917</v>
      </c>
      <c r="L246" s="243" t="s">
        <v>22</v>
      </c>
      <c r="M246" s="246" t="s">
        <v>228</v>
      </c>
      <c r="N246" s="237" t="s">
        <v>1699</v>
      </c>
      <c r="O246" s="237" t="s">
        <v>228</v>
      </c>
      <c r="P246" s="237" t="s">
        <v>231</v>
      </c>
      <c r="Q246" s="245">
        <v>44882</v>
      </c>
      <c r="R246" s="237" t="s">
        <v>232</v>
      </c>
      <c r="S246" s="331" t="s">
        <v>233</v>
      </c>
      <c r="T246" s="237">
        <v>8.8000000000000007</v>
      </c>
      <c r="U246" s="237" t="s">
        <v>234</v>
      </c>
      <c r="V246" s="237" t="s">
        <v>235</v>
      </c>
      <c r="W246" s="245" t="s">
        <v>228</v>
      </c>
      <c r="X246" s="237" t="s">
        <v>1700</v>
      </c>
      <c r="Y246" s="237" t="s">
        <v>237</v>
      </c>
      <c r="Z246" s="237" t="s">
        <v>228</v>
      </c>
      <c r="AA246" s="237" t="s">
        <v>1701</v>
      </c>
      <c r="AB246" s="337" t="s">
        <v>228</v>
      </c>
      <c r="AC246" s="237" t="s">
        <v>228</v>
      </c>
      <c r="AD246" s="562"/>
      <c r="AE246" s="550"/>
      <c r="AF246" s="237"/>
    </row>
    <row r="247" spans="1:130" ht="13.5" customHeight="1">
      <c r="A247" s="235">
        <v>245</v>
      </c>
      <c r="B247" s="237">
        <v>54</v>
      </c>
      <c r="C247" s="243" t="s">
        <v>1702</v>
      </c>
      <c r="D247" s="237" t="s">
        <v>1703</v>
      </c>
      <c r="E247" s="237">
        <v>60</v>
      </c>
      <c r="F247" s="237" t="s">
        <v>60</v>
      </c>
      <c r="G247" s="237" t="s">
        <v>1704</v>
      </c>
      <c r="H247" s="243" t="s">
        <v>4</v>
      </c>
      <c r="I247" s="243"/>
      <c r="J247" s="240" t="s">
        <v>886</v>
      </c>
      <c r="K247" s="240" t="s">
        <v>1705</v>
      </c>
      <c r="L247" s="243" t="s">
        <v>1706</v>
      </c>
      <c r="M247" s="246" t="s">
        <v>228</v>
      </c>
      <c r="N247" s="237" t="s">
        <v>1707</v>
      </c>
      <c r="O247" s="237" t="s">
        <v>228</v>
      </c>
      <c r="P247" s="237" t="s">
        <v>231</v>
      </c>
      <c r="Q247" s="245">
        <v>44904</v>
      </c>
      <c r="R247" s="237" t="s">
        <v>309</v>
      </c>
      <c r="S247" s="331" t="s">
        <v>233</v>
      </c>
      <c r="T247" s="237">
        <v>8.5</v>
      </c>
      <c r="U247" s="237" t="s">
        <v>234</v>
      </c>
      <c r="V247" s="237" t="s">
        <v>235</v>
      </c>
      <c r="W247" s="245" t="s">
        <v>228</v>
      </c>
      <c r="X247" s="237" t="s">
        <v>1708</v>
      </c>
      <c r="Y247" s="237" t="s">
        <v>237</v>
      </c>
      <c r="Z247" s="237" t="s">
        <v>228</v>
      </c>
      <c r="AA247" s="237" t="s">
        <v>1709</v>
      </c>
      <c r="AB247" s="337" t="s">
        <v>228</v>
      </c>
      <c r="AC247" s="237" t="s">
        <v>228</v>
      </c>
      <c r="AD247" s="562"/>
      <c r="AE247" s="550"/>
      <c r="AF247" s="237"/>
    </row>
    <row r="248" spans="1:130" s="306" customFormat="1" ht="13.5" customHeight="1">
      <c r="A248" s="235">
        <v>246</v>
      </c>
      <c r="B248" s="264">
        <v>55</v>
      </c>
      <c r="C248" s="289" t="s">
        <v>1710</v>
      </c>
      <c r="D248" s="264" t="s">
        <v>1711</v>
      </c>
      <c r="E248" s="264">
        <v>48</v>
      </c>
      <c r="F248" s="264" t="s">
        <v>60</v>
      </c>
      <c r="G248" s="264" t="s">
        <v>1712</v>
      </c>
      <c r="H248" s="289" t="s">
        <v>5</v>
      </c>
      <c r="I248" s="289" t="s">
        <v>1713</v>
      </c>
      <c r="J248" s="290" t="s">
        <v>886</v>
      </c>
      <c r="K248" s="290" t="s">
        <v>948</v>
      </c>
      <c r="L248" s="289" t="s">
        <v>22</v>
      </c>
      <c r="M248" s="313" t="s">
        <v>228</v>
      </c>
      <c r="N248" s="264" t="s">
        <v>1714</v>
      </c>
      <c r="O248" s="264" t="s">
        <v>228</v>
      </c>
      <c r="P248" s="264" t="s">
        <v>231</v>
      </c>
      <c r="Q248" s="314">
        <v>44904</v>
      </c>
      <c r="R248" s="264" t="s">
        <v>309</v>
      </c>
      <c r="S248" s="366" t="s">
        <v>233</v>
      </c>
      <c r="T248" s="264">
        <v>8.6</v>
      </c>
      <c r="U248" s="264" t="s">
        <v>234</v>
      </c>
      <c r="V248" s="264" t="s">
        <v>235</v>
      </c>
      <c r="W248" s="314" t="s">
        <v>228</v>
      </c>
      <c r="X248" s="264" t="s">
        <v>1715</v>
      </c>
      <c r="Y248" s="264" t="s">
        <v>237</v>
      </c>
      <c r="Z248" s="237" t="s">
        <v>237</v>
      </c>
      <c r="AA248" s="264" t="s">
        <v>1716</v>
      </c>
      <c r="AB248" s="364" t="s">
        <v>228</v>
      </c>
      <c r="AC248" s="264" t="s">
        <v>228</v>
      </c>
      <c r="AD248" s="565"/>
      <c r="AE248" s="552"/>
      <c r="AF248" s="264"/>
      <c r="AG248" s="309"/>
      <c r="AH248" s="309"/>
      <c r="AI248" s="309"/>
      <c r="AJ248" s="309"/>
      <c r="AK248" s="309"/>
      <c r="AL248" s="309"/>
      <c r="AM248" s="309"/>
      <c r="AN248" s="309"/>
      <c r="AO248" s="309"/>
      <c r="AP248" s="309"/>
      <c r="AQ248" s="309"/>
      <c r="AR248" s="309"/>
      <c r="AS248" s="309"/>
      <c r="AT248" s="309"/>
      <c r="AU248" s="309"/>
      <c r="AV248" s="309"/>
      <c r="AW248" s="309"/>
      <c r="AX248" s="309"/>
      <c r="AY248" s="309"/>
      <c r="AZ248" s="309"/>
      <c r="BA248" s="309"/>
      <c r="BB248" s="309"/>
      <c r="BC248" s="309"/>
      <c r="BD248" s="309"/>
      <c r="BE248" s="309"/>
      <c r="BF248" s="309"/>
      <c r="BG248" s="309"/>
      <c r="BH248" s="309"/>
      <c r="BI248" s="309"/>
      <c r="BJ248" s="309"/>
      <c r="BK248" s="309"/>
      <c r="BL248" s="309"/>
      <c r="BM248" s="309"/>
      <c r="BN248" s="309"/>
      <c r="BO248" s="309"/>
      <c r="BP248" s="309"/>
      <c r="BQ248" s="309"/>
      <c r="BR248" s="309"/>
      <c r="BS248" s="309"/>
      <c r="BT248" s="309"/>
      <c r="BU248" s="309"/>
      <c r="BV248" s="309"/>
      <c r="BW248" s="309"/>
      <c r="BX248" s="309"/>
      <c r="BY248" s="309"/>
      <c r="BZ248" s="309"/>
      <c r="CA248" s="309"/>
      <c r="CB248" s="309"/>
      <c r="CC248" s="309"/>
      <c r="CD248" s="309"/>
      <c r="CE248" s="309"/>
      <c r="CF248" s="309"/>
      <c r="CG248" s="309"/>
      <c r="CH248" s="309"/>
      <c r="CI248" s="309"/>
      <c r="CJ248" s="309"/>
      <c r="CK248" s="309"/>
      <c r="CL248" s="309"/>
      <c r="CM248" s="309"/>
      <c r="CN248" s="309"/>
      <c r="CO248" s="309"/>
      <c r="CP248" s="309"/>
      <c r="CQ248" s="309"/>
      <c r="CR248" s="309"/>
      <c r="CS248" s="309"/>
      <c r="CT248" s="309"/>
      <c r="CU248" s="309"/>
      <c r="CV248" s="309"/>
      <c r="CW248" s="309"/>
      <c r="CX248" s="309"/>
      <c r="CY248" s="309"/>
      <c r="CZ248" s="309"/>
      <c r="DA248" s="309"/>
      <c r="DB248" s="309"/>
      <c r="DC248" s="309"/>
      <c r="DD248" s="309"/>
      <c r="DE248" s="309"/>
      <c r="DF248" s="309"/>
      <c r="DG248" s="309"/>
      <c r="DH248" s="309"/>
      <c r="DI248" s="309"/>
      <c r="DJ248" s="309"/>
      <c r="DK248" s="309"/>
      <c r="DL248" s="309"/>
      <c r="DM248" s="309"/>
      <c r="DN248" s="309"/>
      <c r="DO248" s="309"/>
      <c r="DP248" s="309"/>
      <c r="DQ248" s="309"/>
      <c r="DR248" s="309"/>
      <c r="DS248" s="309"/>
      <c r="DT248" s="309"/>
      <c r="DU248" s="309"/>
      <c r="DV248" s="309"/>
      <c r="DW248" s="309"/>
      <c r="DX248" s="309"/>
      <c r="DY248" s="309"/>
      <c r="DZ248" s="310"/>
    </row>
    <row r="249" spans="1:130" ht="13.5" customHeight="1">
      <c r="A249" s="235">
        <v>247</v>
      </c>
      <c r="B249" s="237">
        <v>63</v>
      </c>
      <c r="C249" s="243" t="s">
        <v>1717</v>
      </c>
      <c r="D249" s="237" t="s">
        <v>1718</v>
      </c>
      <c r="E249" s="237">
        <v>44</v>
      </c>
      <c r="F249" s="237" t="s">
        <v>75</v>
      </c>
      <c r="G249" s="237" t="s">
        <v>1719</v>
      </c>
      <c r="H249" s="243" t="s">
        <v>5</v>
      </c>
      <c r="I249" s="243"/>
      <c r="J249" s="240" t="s">
        <v>886</v>
      </c>
      <c r="K249" s="240" t="s">
        <v>1720</v>
      </c>
      <c r="L249" s="243" t="s">
        <v>16</v>
      </c>
      <c r="M249" s="246" t="s">
        <v>228</v>
      </c>
      <c r="N249" s="237" t="s">
        <v>1721</v>
      </c>
      <c r="O249" s="237" t="s">
        <v>228</v>
      </c>
      <c r="P249" s="237" t="s">
        <v>231</v>
      </c>
      <c r="Q249" s="245">
        <v>44908</v>
      </c>
      <c r="R249" s="237" t="s">
        <v>232</v>
      </c>
      <c r="S249" s="331" t="s">
        <v>233</v>
      </c>
      <c r="T249" s="237">
        <v>8.5</v>
      </c>
      <c r="U249" s="237" t="s">
        <v>234</v>
      </c>
      <c r="V249" s="237" t="s">
        <v>235</v>
      </c>
      <c r="W249" s="245" t="s">
        <v>228</v>
      </c>
      <c r="X249" s="237" t="s">
        <v>1722</v>
      </c>
      <c r="Y249" s="237" t="s">
        <v>237</v>
      </c>
      <c r="Z249" s="237" t="s">
        <v>228</v>
      </c>
      <c r="AA249" s="237" t="s">
        <v>1723</v>
      </c>
      <c r="AB249" s="337" t="s">
        <v>228</v>
      </c>
      <c r="AC249" s="237" t="s">
        <v>228</v>
      </c>
      <c r="AD249" s="562"/>
      <c r="AE249" s="550"/>
      <c r="AF249" s="237"/>
    </row>
    <row r="250" spans="1:130" ht="13.5" customHeight="1">
      <c r="A250" s="235">
        <v>248</v>
      </c>
      <c r="B250" s="237">
        <v>64</v>
      </c>
      <c r="C250" s="243" t="s">
        <v>1724</v>
      </c>
      <c r="D250" s="237" t="s">
        <v>1725</v>
      </c>
      <c r="E250" s="237">
        <v>22</v>
      </c>
      <c r="F250" s="237" t="s">
        <v>60</v>
      </c>
      <c r="G250" s="237" t="s">
        <v>1726</v>
      </c>
      <c r="H250" s="243" t="s">
        <v>5</v>
      </c>
      <c r="I250" s="243"/>
      <c r="J250" s="240" t="s">
        <v>886</v>
      </c>
      <c r="K250" s="240" t="s">
        <v>1727</v>
      </c>
      <c r="L250" s="243" t="s">
        <v>13</v>
      </c>
      <c r="M250" s="246" t="s">
        <v>228</v>
      </c>
      <c r="N250" s="237" t="s">
        <v>1728</v>
      </c>
      <c r="O250" s="237" t="s">
        <v>1729</v>
      </c>
      <c r="P250" s="237" t="s">
        <v>231</v>
      </c>
      <c r="Q250" s="245">
        <v>44903</v>
      </c>
      <c r="R250" s="237" t="s">
        <v>309</v>
      </c>
      <c r="S250" s="331" t="s">
        <v>233</v>
      </c>
      <c r="T250" s="237">
        <v>8.4</v>
      </c>
      <c r="U250" s="237" t="s">
        <v>234</v>
      </c>
      <c r="V250" s="237" t="s">
        <v>235</v>
      </c>
      <c r="W250" s="245" t="s">
        <v>228</v>
      </c>
      <c r="X250" s="237" t="s">
        <v>1730</v>
      </c>
      <c r="Y250" s="237" t="s">
        <v>237</v>
      </c>
      <c r="Z250" s="237" t="s">
        <v>228</v>
      </c>
      <c r="AA250" s="237" t="s">
        <v>1731</v>
      </c>
      <c r="AB250" s="337" t="s">
        <v>228</v>
      </c>
      <c r="AC250" s="237" t="s">
        <v>228</v>
      </c>
      <c r="AD250" s="562"/>
      <c r="AE250" s="550"/>
      <c r="AF250" s="237"/>
    </row>
    <row r="251" spans="1:130" s="306" customFormat="1" ht="13.5" customHeight="1">
      <c r="A251" s="235">
        <v>249</v>
      </c>
      <c r="B251" s="264">
        <v>66</v>
      </c>
      <c r="C251" s="289" t="s">
        <v>1732</v>
      </c>
      <c r="D251" s="264" t="s">
        <v>1733</v>
      </c>
      <c r="E251" s="264">
        <v>66</v>
      </c>
      <c r="F251" s="264" t="s">
        <v>60</v>
      </c>
      <c r="G251" s="264" t="s">
        <v>1734</v>
      </c>
      <c r="H251" s="289" t="s">
        <v>5</v>
      </c>
      <c r="I251" s="289" t="s">
        <v>1713</v>
      </c>
      <c r="J251" s="290" t="s">
        <v>886</v>
      </c>
      <c r="K251" s="290" t="s">
        <v>917</v>
      </c>
      <c r="L251" s="289" t="s">
        <v>22</v>
      </c>
      <c r="M251" s="313" t="s">
        <v>228</v>
      </c>
      <c r="N251" s="264" t="s">
        <v>1735</v>
      </c>
      <c r="O251" s="264" t="s">
        <v>228</v>
      </c>
      <c r="P251" s="264" t="s">
        <v>231</v>
      </c>
      <c r="Q251" s="314">
        <v>44928</v>
      </c>
      <c r="R251" s="264" t="s">
        <v>309</v>
      </c>
      <c r="S251" s="366" t="s">
        <v>233</v>
      </c>
      <c r="T251" s="264">
        <v>8.5</v>
      </c>
      <c r="U251" s="264" t="s">
        <v>234</v>
      </c>
      <c r="V251" s="264" t="s">
        <v>235</v>
      </c>
      <c r="W251" s="314" t="s">
        <v>228</v>
      </c>
      <c r="X251" s="264" t="s">
        <v>1736</v>
      </c>
      <c r="Y251" s="264" t="s">
        <v>237</v>
      </c>
      <c r="Z251" s="237" t="s">
        <v>228</v>
      </c>
      <c r="AA251" s="264" t="s">
        <v>1737</v>
      </c>
      <c r="AB251" s="364" t="s">
        <v>228</v>
      </c>
      <c r="AC251" s="264" t="s">
        <v>228</v>
      </c>
      <c r="AD251" s="565"/>
      <c r="AE251" s="552"/>
      <c r="AF251" s="264"/>
      <c r="AG251" s="309"/>
      <c r="AH251" s="309"/>
      <c r="AI251" s="309"/>
      <c r="AJ251" s="309"/>
      <c r="AK251" s="309"/>
      <c r="AL251" s="309"/>
      <c r="AM251" s="309"/>
      <c r="AN251" s="309"/>
      <c r="AO251" s="309"/>
      <c r="AP251" s="309"/>
      <c r="AQ251" s="309"/>
      <c r="AR251" s="309"/>
      <c r="AS251" s="309"/>
      <c r="AT251" s="309"/>
      <c r="AU251" s="309"/>
      <c r="AV251" s="309"/>
      <c r="AW251" s="309"/>
      <c r="AX251" s="309"/>
      <c r="AY251" s="309"/>
      <c r="AZ251" s="309"/>
      <c r="BA251" s="309"/>
      <c r="BB251" s="309"/>
      <c r="BC251" s="309"/>
      <c r="BD251" s="309"/>
      <c r="BE251" s="309"/>
      <c r="BF251" s="309"/>
      <c r="BG251" s="309"/>
      <c r="BH251" s="309"/>
      <c r="BI251" s="309"/>
      <c r="BJ251" s="309"/>
      <c r="BK251" s="309"/>
      <c r="BL251" s="309"/>
      <c r="BM251" s="309"/>
      <c r="BN251" s="309"/>
      <c r="BO251" s="309"/>
      <c r="BP251" s="309"/>
      <c r="BQ251" s="309"/>
      <c r="BR251" s="309"/>
      <c r="BS251" s="309"/>
      <c r="BT251" s="309"/>
      <c r="BU251" s="309"/>
      <c r="BV251" s="309"/>
      <c r="BW251" s="309"/>
      <c r="BX251" s="309"/>
      <c r="BY251" s="309"/>
      <c r="BZ251" s="309"/>
      <c r="CA251" s="309"/>
      <c r="CB251" s="309"/>
      <c r="CC251" s="309"/>
      <c r="CD251" s="309"/>
      <c r="CE251" s="309"/>
      <c r="CF251" s="309"/>
      <c r="CG251" s="309"/>
      <c r="CH251" s="309"/>
      <c r="CI251" s="309"/>
      <c r="CJ251" s="309"/>
      <c r="CK251" s="309"/>
      <c r="CL251" s="309"/>
      <c r="CM251" s="309"/>
      <c r="CN251" s="309"/>
      <c r="CO251" s="309"/>
      <c r="CP251" s="309"/>
      <c r="CQ251" s="309"/>
      <c r="CR251" s="309"/>
      <c r="CS251" s="309"/>
      <c r="CT251" s="309"/>
      <c r="CU251" s="309"/>
      <c r="CV251" s="309"/>
      <c r="CW251" s="309"/>
      <c r="CX251" s="309"/>
      <c r="CY251" s="309"/>
      <c r="CZ251" s="309"/>
      <c r="DA251" s="309"/>
      <c r="DB251" s="309"/>
      <c r="DC251" s="309"/>
      <c r="DD251" s="309"/>
      <c r="DE251" s="309"/>
      <c r="DF251" s="309"/>
      <c r="DG251" s="309"/>
      <c r="DH251" s="309"/>
      <c r="DI251" s="309"/>
      <c r="DJ251" s="309"/>
      <c r="DK251" s="309"/>
      <c r="DL251" s="309"/>
      <c r="DM251" s="309"/>
      <c r="DN251" s="309"/>
      <c r="DO251" s="309"/>
      <c r="DP251" s="309"/>
      <c r="DQ251" s="309"/>
      <c r="DR251" s="309"/>
      <c r="DS251" s="309"/>
      <c r="DT251" s="309"/>
      <c r="DU251" s="309"/>
      <c r="DV251" s="309"/>
      <c r="DW251" s="309"/>
      <c r="DX251" s="309"/>
      <c r="DY251" s="309"/>
      <c r="DZ251" s="310"/>
    </row>
    <row r="252" spans="1:130" ht="13.5" customHeight="1">
      <c r="A252" s="235">
        <v>250</v>
      </c>
      <c r="B252" s="237">
        <v>11</v>
      </c>
      <c r="C252" s="243" t="s">
        <v>1738</v>
      </c>
      <c r="D252" s="237" t="s">
        <v>1739</v>
      </c>
      <c r="E252" s="237">
        <v>27</v>
      </c>
      <c r="F252" s="237" t="s">
        <v>60</v>
      </c>
      <c r="G252" s="237" t="s">
        <v>1740</v>
      </c>
      <c r="H252" s="243" t="s">
        <v>5</v>
      </c>
      <c r="I252" s="243"/>
      <c r="J252" s="240" t="s">
        <v>886</v>
      </c>
      <c r="K252" s="240" t="s">
        <v>933</v>
      </c>
      <c r="L252" s="243" t="s">
        <v>22</v>
      </c>
      <c r="M252" s="246" t="s">
        <v>228</v>
      </c>
      <c r="N252" s="237" t="s">
        <v>1741</v>
      </c>
      <c r="O252" s="237" t="s">
        <v>228</v>
      </c>
      <c r="P252" s="237" t="s">
        <v>231</v>
      </c>
      <c r="Q252" s="245">
        <v>44950</v>
      </c>
      <c r="R252" s="237" t="s">
        <v>309</v>
      </c>
      <c r="S252" s="331" t="s">
        <v>233</v>
      </c>
      <c r="T252" s="237">
        <v>9.3000000000000007</v>
      </c>
      <c r="U252" s="237" t="s">
        <v>234</v>
      </c>
      <c r="V252" s="237" t="s">
        <v>235</v>
      </c>
      <c r="W252" s="245" t="s">
        <v>228</v>
      </c>
      <c r="X252" s="237" t="s">
        <v>1742</v>
      </c>
      <c r="Y252" s="237" t="s">
        <v>237</v>
      </c>
      <c r="Z252" s="237" t="s">
        <v>228</v>
      </c>
      <c r="AA252" s="237" t="s">
        <v>1743</v>
      </c>
      <c r="AB252" s="337" t="s">
        <v>228</v>
      </c>
      <c r="AC252" s="237" t="s">
        <v>228</v>
      </c>
      <c r="AD252" s="562"/>
      <c r="AE252" s="550"/>
      <c r="AF252" s="237"/>
    </row>
    <row r="253" spans="1:130" ht="13.5" customHeight="1">
      <c r="A253" s="235">
        <v>251</v>
      </c>
      <c r="B253" s="237">
        <v>118</v>
      </c>
      <c r="C253" s="243" t="s">
        <v>1744</v>
      </c>
      <c r="D253" s="237" t="s">
        <v>1745</v>
      </c>
      <c r="E253" s="237">
        <v>33</v>
      </c>
      <c r="F253" s="237" t="s">
        <v>60</v>
      </c>
      <c r="G253" s="237" t="s">
        <v>1746</v>
      </c>
      <c r="H253" s="243" t="s">
        <v>5</v>
      </c>
      <c r="I253" s="243"/>
      <c r="J253" s="240" t="s">
        <v>886</v>
      </c>
      <c r="K253" s="240" t="s">
        <v>1747</v>
      </c>
      <c r="L253" s="243" t="s">
        <v>22</v>
      </c>
      <c r="M253" s="246" t="s">
        <v>228</v>
      </c>
      <c r="N253" s="237" t="s">
        <v>1748</v>
      </c>
      <c r="O253" s="237" t="s">
        <v>228</v>
      </c>
      <c r="P253" s="237" t="s">
        <v>231</v>
      </c>
      <c r="Q253" s="245">
        <v>44966</v>
      </c>
      <c r="R253" s="237" t="s">
        <v>309</v>
      </c>
      <c r="S253" s="331" t="s">
        <v>233</v>
      </c>
      <c r="T253" s="237">
        <v>8.9</v>
      </c>
      <c r="U253" s="237" t="s">
        <v>234</v>
      </c>
      <c r="V253" s="237" t="s">
        <v>235</v>
      </c>
      <c r="W253" s="245" t="s">
        <v>228</v>
      </c>
      <c r="X253" s="237" t="s">
        <v>1749</v>
      </c>
      <c r="Y253" s="237" t="s">
        <v>237</v>
      </c>
      <c r="Z253" s="237" t="s">
        <v>228</v>
      </c>
      <c r="AA253" s="237" t="s">
        <v>1750</v>
      </c>
      <c r="AB253" s="337" t="s">
        <v>228</v>
      </c>
      <c r="AC253" s="237" t="s">
        <v>228</v>
      </c>
      <c r="AD253" s="562"/>
      <c r="AE253" s="550"/>
      <c r="AF253" s="237"/>
    </row>
    <row r="254" spans="1:130" ht="13.5" customHeight="1">
      <c r="A254" s="235">
        <v>252</v>
      </c>
      <c r="B254" s="237">
        <v>119</v>
      </c>
      <c r="C254" s="243" t="s">
        <v>1751</v>
      </c>
      <c r="D254" s="237" t="s">
        <v>1752</v>
      </c>
      <c r="E254" s="237">
        <v>61</v>
      </c>
      <c r="F254" s="237" t="s">
        <v>60</v>
      </c>
      <c r="G254" s="237" t="s">
        <v>1753</v>
      </c>
      <c r="H254" s="243" t="s">
        <v>5</v>
      </c>
      <c r="I254" s="243"/>
      <c r="J254" s="240" t="s">
        <v>886</v>
      </c>
      <c r="K254" s="240" t="s">
        <v>948</v>
      </c>
      <c r="L254" s="243" t="s">
        <v>22</v>
      </c>
      <c r="M254" s="246" t="s">
        <v>228</v>
      </c>
      <c r="N254" s="237" t="s">
        <v>1754</v>
      </c>
      <c r="O254" s="237" t="s">
        <v>228</v>
      </c>
      <c r="P254" s="237" t="s">
        <v>231</v>
      </c>
      <c r="Q254" s="245">
        <v>44966</v>
      </c>
      <c r="R254" s="237" t="s">
        <v>309</v>
      </c>
      <c r="S254" s="331" t="s">
        <v>233</v>
      </c>
      <c r="T254" s="237">
        <v>9.1</v>
      </c>
      <c r="U254" s="237" t="s">
        <v>234</v>
      </c>
      <c r="V254" s="237" t="s">
        <v>235</v>
      </c>
      <c r="W254" s="245" t="s">
        <v>228</v>
      </c>
      <c r="X254" s="237" t="s">
        <v>1755</v>
      </c>
      <c r="Y254" s="237" t="s">
        <v>237</v>
      </c>
      <c r="Z254" s="237" t="s">
        <v>237</v>
      </c>
      <c r="AA254" s="237" t="s">
        <v>1756</v>
      </c>
      <c r="AB254" s="337" t="s">
        <v>228</v>
      </c>
      <c r="AC254" s="237" t="s">
        <v>228</v>
      </c>
      <c r="AD254" s="562"/>
      <c r="AE254" s="550"/>
      <c r="AF254" s="237"/>
    </row>
    <row r="255" spans="1:130" ht="13.5" customHeight="1">
      <c r="A255" s="235">
        <v>253</v>
      </c>
      <c r="B255" s="237">
        <v>121</v>
      </c>
      <c r="C255" s="243" t="s">
        <v>1757</v>
      </c>
      <c r="D255" s="237" t="s">
        <v>1758</v>
      </c>
      <c r="E255" s="237">
        <v>72</v>
      </c>
      <c r="F255" s="237" t="s">
        <v>75</v>
      </c>
      <c r="G255" s="237" t="s">
        <v>1759</v>
      </c>
      <c r="H255" s="243" t="s">
        <v>5</v>
      </c>
      <c r="I255" s="243"/>
      <c r="J255" s="240" t="s">
        <v>886</v>
      </c>
      <c r="K255" s="240" t="s">
        <v>917</v>
      </c>
      <c r="L255" s="243" t="s">
        <v>22</v>
      </c>
      <c r="M255" s="246" t="s">
        <v>228</v>
      </c>
      <c r="N255" s="237" t="s">
        <v>1760</v>
      </c>
      <c r="O255" s="237" t="s">
        <v>228</v>
      </c>
      <c r="P255" s="237" t="s">
        <v>231</v>
      </c>
      <c r="Q255" s="245">
        <v>44967</v>
      </c>
      <c r="R255" s="237" t="s">
        <v>309</v>
      </c>
      <c r="S255" s="331" t="s">
        <v>233</v>
      </c>
      <c r="T255" s="237">
        <v>9</v>
      </c>
      <c r="U255" s="237" t="s">
        <v>234</v>
      </c>
      <c r="V255" s="237" t="s">
        <v>235</v>
      </c>
      <c r="W255" s="245" t="s">
        <v>228</v>
      </c>
      <c r="X255" s="237" t="s">
        <v>1761</v>
      </c>
      <c r="Y255" s="237" t="s">
        <v>237</v>
      </c>
      <c r="Z255" s="237" t="s">
        <v>228</v>
      </c>
      <c r="AA255" s="237" t="s">
        <v>1762</v>
      </c>
      <c r="AB255" s="337" t="s">
        <v>228</v>
      </c>
      <c r="AC255" s="237" t="s">
        <v>228</v>
      </c>
      <c r="AD255" s="562"/>
      <c r="AE255" s="550"/>
      <c r="AF255" s="237"/>
    </row>
    <row r="256" spans="1:130" ht="13.5" customHeight="1">
      <c r="A256" s="235">
        <v>254</v>
      </c>
      <c r="B256" s="237">
        <v>128</v>
      </c>
      <c r="C256" s="243" t="s">
        <v>1763</v>
      </c>
      <c r="D256" s="237" t="s">
        <v>1764</v>
      </c>
      <c r="E256" s="237">
        <v>54</v>
      </c>
      <c r="F256" s="237" t="s">
        <v>60</v>
      </c>
      <c r="G256" s="237" t="s">
        <v>1765</v>
      </c>
      <c r="H256" s="243" t="s">
        <v>5</v>
      </c>
      <c r="I256" s="243"/>
      <c r="J256" s="240" t="s">
        <v>886</v>
      </c>
      <c r="K256" s="240" t="s">
        <v>911</v>
      </c>
      <c r="L256" s="243" t="s">
        <v>22</v>
      </c>
      <c r="M256" s="246" t="s">
        <v>228</v>
      </c>
      <c r="N256" s="237" t="s">
        <v>228</v>
      </c>
      <c r="O256" s="237" t="s">
        <v>228</v>
      </c>
      <c r="P256" s="237" t="s">
        <v>231</v>
      </c>
      <c r="Q256" s="245">
        <v>44974</v>
      </c>
      <c r="R256" s="237" t="s">
        <v>309</v>
      </c>
      <c r="S256" s="331" t="s">
        <v>233</v>
      </c>
      <c r="T256" s="237">
        <v>8.6999999999999993</v>
      </c>
      <c r="U256" s="237" t="s">
        <v>234</v>
      </c>
      <c r="V256" s="237" t="s">
        <v>235</v>
      </c>
      <c r="W256" s="245" t="s">
        <v>228</v>
      </c>
      <c r="X256" s="237" t="s">
        <v>1766</v>
      </c>
      <c r="Y256" s="237" t="s">
        <v>237</v>
      </c>
      <c r="Z256" s="237" t="s">
        <v>228</v>
      </c>
      <c r="AA256" s="237" t="s">
        <v>1767</v>
      </c>
      <c r="AB256" s="337" t="s">
        <v>228</v>
      </c>
      <c r="AC256" s="237" t="s">
        <v>228</v>
      </c>
      <c r="AD256" s="562"/>
      <c r="AE256" s="550"/>
      <c r="AF256" s="237"/>
    </row>
    <row r="257" spans="1:32" ht="13.5" customHeight="1">
      <c r="A257" s="235">
        <v>255</v>
      </c>
      <c r="B257" s="237">
        <v>153</v>
      </c>
      <c r="C257" s="243" t="s">
        <v>1768</v>
      </c>
      <c r="D257" s="237" t="s">
        <v>1769</v>
      </c>
      <c r="E257" s="237">
        <v>61</v>
      </c>
      <c r="F257" s="237" t="s">
        <v>75</v>
      </c>
      <c r="G257" s="237" t="s">
        <v>1770</v>
      </c>
      <c r="H257" s="243" t="s">
        <v>5</v>
      </c>
      <c r="I257" s="243"/>
      <c r="K257" s="240" t="s">
        <v>119</v>
      </c>
      <c r="L257" s="243" t="s">
        <v>45</v>
      </c>
      <c r="M257" s="246" t="s">
        <v>228</v>
      </c>
      <c r="N257" s="237" t="s">
        <v>1771</v>
      </c>
      <c r="O257" s="237" t="s">
        <v>228</v>
      </c>
      <c r="P257" s="237" t="s">
        <v>231</v>
      </c>
      <c r="Q257" s="245">
        <v>45073</v>
      </c>
      <c r="R257" s="237" t="s">
        <v>309</v>
      </c>
      <c r="S257" s="331" t="s">
        <v>233</v>
      </c>
      <c r="T257" s="237">
        <v>7.8</v>
      </c>
      <c r="U257" s="237" t="s">
        <v>298</v>
      </c>
      <c r="V257" s="237" t="s">
        <v>235</v>
      </c>
      <c r="W257" s="245">
        <v>45294</v>
      </c>
      <c r="X257" s="237" t="s">
        <v>1772</v>
      </c>
      <c r="Y257" s="237" t="s">
        <v>1772</v>
      </c>
      <c r="Z257" s="237" t="s">
        <v>237</v>
      </c>
      <c r="AA257" s="237" t="s">
        <v>1773</v>
      </c>
      <c r="AB257" s="337" t="s">
        <v>237</v>
      </c>
      <c r="AC257" s="237" t="s">
        <v>228</v>
      </c>
      <c r="AD257" s="562"/>
      <c r="AE257" s="550"/>
      <c r="AF257" s="237"/>
    </row>
    <row r="258" spans="1:32" ht="13.5" customHeight="1">
      <c r="A258" s="235">
        <v>256</v>
      </c>
      <c r="B258" s="237">
        <v>157</v>
      </c>
      <c r="C258" s="243" t="s">
        <v>1774</v>
      </c>
      <c r="D258" s="237" t="s">
        <v>1775</v>
      </c>
      <c r="E258" s="237">
        <v>55</v>
      </c>
      <c r="F258" s="237" t="s">
        <v>75</v>
      </c>
      <c r="G258" s="237" t="s">
        <v>1776</v>
      </c>
      <c r="H258" s="243" t="s">
        <v>5</v>
      </c>
      <c r="I258" s="243"/>
      <c r="K258" s="240" t="s">
        <v>1266</v>
      </c>
      <c r="L258" s="243" t="s">
        <v>16</v>
      </c>
      <c r="M258" s="246" t="s">
        <v>228</v>
      </c>
      <c r="N258" s="237" t="s">
        <v>1777</v>
      </c>
      <c r="O258" s="237" t="s">
        <v>1778</v>
      </c>
      <c r="P258" s="237" t="s">
        <v>231</v>
      </c>
      <c r="Q258" s="245">
        <v>45124</v>
      </c>
      <c r="R258" s="237" t="s">
        <v>309</v>
      </c>
      <c r="S258" s="331" t="s">
        <v>233</v>
      </c>
      <c r="T258" s="237">
        <v>8.5</v>
      </c>
      <c r="U258" s="237" t="s">
        <v>298</v>
      </c>
      <c r="V258" s="237" t="s">
        <v>235</v>
      </c>
      <c r="W258" s="245">
        <v>45155</v>
      </c>
      <c r="X258" s="237" t="s">
        <v>1779</v>
      </c>
      <c r="Y258" s="237" t="s">
        <v>237</v>
      </c>
      <c r="Z258" s="237" t="s">
        <v>228</v>
      </c>
      <c r="AA258" s="237" t="s">
        <v>1780</v>
      </c>
      <c r="AB258" s="337" t="s">
        <v>228</v>
      </c>
      <c r="AC258" s="55" t="s">
        <v>353</v>
      </c>
      <c r="AD258" s="563">
        <v>45211</v>
      </c>
      <c r="AE258" s="550"/>
      <c r="AF258" s="237"/>
    </row>
    <row r="259" spans="1:32" ht="13.5" customHeight="1">
      <c r="A259" s="235">
        <v>257</v>
      </c>
      <c r="B259" s="237">
        <v>16</v>
      </c>
      <c r="C259" s="243" t="s">
        <v>1781</v>
      </c>
      <c r="D259" s="237" t="s">
        <v>1782</v>
      </c>
      <c r="E259" s="237">
        <v>69</v>
      </c>
      <c r="F259" s="237" t="s">
        <v>60</v>
      </c>
      <c r="G259" s="237" t="s">
        <v>1783</v>
      </c>
      <c r="H259" s="243" t="s">
        <v>5</v>
      </c>
      <c r="I259" s="243"/>
      <c r="K259" s="240" t="s">
        <v>1784</v>
      </c>
      <c r="L259" s="243" t="s">
        <v>13</v>
      </c>
      <c r="M259" s="246" t="s">
        <v>228</v>
      </c>
      <c r="N259" s="237" t="s">
        <v>1785</v>
      </c>
      <c r="O259" s="237" t="s">
        <v>228</v>
      </c>
      <c r="P259" s="237" t="s">
        <v>231</v>
      </c>
      <c r="Q259" s="245">
        <v>45135</v>
      </c>
      <c r="R259" s="237" t="s">
        <v>309</v>
      </c>
      <c r="S259" s="331" t="s">
        <v>233</v>
      </c>
      <c r="T259" s="237">
        <v>8.6</v>
      </c>
      <c r="U259" s="237" t="s">
        <v>234</v>
      </c>
      <c r="V259" s="237" t="s">
        <v>235</v>
      </c>
      <c r="W259" s="245">
        <v>45155</v>
      </c>
      <c r="X259" s="237" t="s">
        <v>1786</v>
      </c>
      <c r="Y259" s="237" t="s">
        <v>237</v>
      </c>
      <c r="Z259" s="237" t="s">
        <v>228</v>
      </c>
      <c r="AA259" s="237" t="s">
        <v>1787</v>
      </c>
      <c r="AB259" s="337" t="s">
        <v>237</v>
      </c>
      <c r="AC259" s="237" t="s">
        <v>228</v>
      </c>
      <c r="AD259" s="562"/>
      <c r="AE259" s="550"/>
      <c r="AF259" s="237"/>
    </row>
    <row r="260" spans="1:32" ht="13.5" customHeight="1">
      <c r="A260" s="235">
        <v>258</v>
      </c>
      <c r="B260" s="237">
        <v>17</v>
      </c>
      <c r="C260" s="243" t="s">
        <v>1788</v>
      </c>
      <c r="D260" s="237" t="s">
        <v>1789</v>
      </c>
      <c r="E260" s="237">
        <v>26</v>
      </c>
      <c r="F260" s="237" t="s">
        <v>60</v>
      </c>
      <c r="G260" s="237" t="s">
        <v>1790</v>
      </c>
      <c r="H260" s="243" t="s">
        <v>5</v>
      </c>
      <c r="I260" s="243"/>
      <c r="K260" s="240" t="s">
        <v>1791</v>
      </c>
      <c r="L260" s="243" t="s">
        <v>62</v>
      </c>
      <c r="M260" s="243" t="s">
        <v>32</v>
      </c>
      <c r="N260" s="248" t="s">
        <v>1792</v>
      </c>
      <c r="O260" s="237" t="s">
        <v>228</v>
      </c>
      <c r="P260" s="237" t="s">
        <v>231</v>
      </c>
      <c r="Q260" s="245">
        <v>45268</v>
      </c>
      <c r="R260" s="237" t="s">
        <v>309</v>
      </c>
      <c r="S260" s="331" t="s">
        <v>233</v>
      </c>
      <c r="T260" s="237">
        <v>9.1999999999999993</v>
      </c>
      <c r="U260" s="237" t="s">
        <v>298</v>
      </c>
      <c r="V260" s="237" t="s">
        <v>235</v>
      </c>
      <c r="W260" s="245">
        <v>45294</v>
      </c>
      <c r="X260" s="237" t="s">
        <v>1793</v>
      </c>
      <c r="Y260" s="237" t="s">
        <v>237</v>
      </c>
      <c r="Z260" s="237" t="s">
        <v>228</v>
      </c>
      <c r="AA260" s="237" t="s">
        <v>1794</v>
      </c>
      <c r="AB260" s="337" t="s">
        <v>237</v>
      </c>
      <c r="AC260" s="55" t="s">
        <v>353</v>
      </c>
      <c r="AD260" s="563">
        <v>45308</v>
      </c>
      <c r="AE260" s="550"/>
      <c r="AF260" s="237"/>
    </row>
    <row r="261" spans="1:32" ht="13.5" customHeight="1">
      <c r="A261" s="235">
        <v>259</v>
      </c>
      <c r="B261" s="237">
        <v>184</v>
      </c>
      <c r="C261" s="243" t="s">
        <v>1795</v>
      </c>
      <c r="D261" s="237" t="s">
        <v>1796</v>
      </c>
      <c r="E261" s="237">
        <v>63</v>
      </c>
      <c r="F261" s="237" t="s">
        <v>60</v>
      </c>
      <c r="G261" s="237" t="s">
        <v>1797</v>
      </c>
      <c r="H261" s="243" t="s">
        <v>5</v>
      </c>
      <c r="I261" s="243"/>
      <c r="K261" s="240" t="s">
        <v>1798</v>
      </c>
      <c r="L261" s="243" t="s">
        <v>67</v>
      </c>
      <c r="M261" s="243" t="s">
        <v>1799</v>
      </c>
      <c r="N261" s="237" t="s">
        <v>1800</v>
      </c>
      <c r="O261" s="237" t="s">
        <v>228</v>
      </c>
      <c r="P261" s="237"/>
      <c r="Q261" s="245">
        <v>45303</v>
      </c>
      <c r="R261" s="237" t="s">
        <v>309</v>
      </c>
      <c r="S261" s="331" t="s">
        <v>233</v>
      </c>
      <c r="T261" s="237">
        <v>8.6</v>
      </c>
      <c r="U261" s="237" t="s">
        <v>298</v>
      </c>
      <c r="V261" s="237" t="s">
        <v>235</v>
      </c>
      <c r="W261" s="245">
        <v>45341</v>
      </c>
      <c r="X261" s="237" t="s">
        <v>1801</v>
      </c>
      <c r="Y261" s="237" t="s">
        <v>237</v>
      </c>
      <c r="Z261" s="237" t="s">
        <v>237</v>
      </c>
      <c r="AA261" s="237" t="s">
        <v>1802</v>
      </c>
      <c r="AB261" s="337" t="s">
        <v>228</v>
      </c>
      <c r="AC261" s="237" t="s">
        <v>228</v>
      </c>
      <c r="AD261" s="562"/>
      <c r="AE261" s="550"/>
      <c r="AF261" s="237"/>
    </row>
    <row r="262" spans="1:32" ht="13.5" customHeight="1">
      <c r="A262" s="235">
        <v>260</v>
      </c>
      <c r="B262" s="237">
        <v>279</v>
      </c>
      <c r="C262" s="243" t="s">
        <v>1803</v>
      </c>
      <c r="D262" s="237" t="s">
        <v>1804</v>
      </c>
      <c r="E262" s="237">
        <v>72</v>
      </c>
      <c r="F262" s="237" t="s">
        <v>424</v>
      </c>
      <c r="G262" s="237" t="s">
        <v>1805</v>
      </c>
      <c r="H262" s="243" t="s">
        <v>5</v>
      </c>
      <c r="I262" s="243"/>
      <c r="J262" s="235" t="s">
        <v>433</v>
      </c>
      <c r="K262" s="240" t="s">
        <v>123</v>
      </c>
      <c r="L262" s="243" t="s">
        <v>1642</v>
      </c>
      <c r="M262" s="243" t="s">
        <v>32</v>
      </c>
      <c r="N262" s="237"/>
      <c r="O262" s="237"/>
      <c r="P262" s="237"/>
      <c r="Q262" s="245">
        <v>45607</v>
      </c>
      <c r="R262" s="237" t="s">
        <v>309</v>
      </c>
      <c r="S262" s="331" t="s">
        <v>233</v>
      </c>
      <c r="T262" s="237">
        <v>8.1</v>
      </c>
      <c r="U262" s="237" t="s">
        <v>234</v>
      </c>
      <c r="V262" s="237" t="s">
        <v>235</v>
      </c>
      <c r="W262" s="245">
        <v>45666</v>
      </c>
      <c r="X262" s="237" t="s">
        <v>1806</v>
      </c>
      <c r="Y262" s="237" t="s">
        <v>237</v>
      </c>
      <c r="Z262" s="237" t="s">
        <v>237</v>
      </c>
      <c r="AA262" s="237" t="s">
        <v>1807</v>
      </c>
      <c r="AB262" s="337" t="s">
        <v>228</v>
      </c>
      <c r="AC262" s="237" t="s">
        <v>228</v>
      </c>
      <c r="AD262" s="562"/>
      <c r="AE262" s="550"/>
      <c r="AF262" s="237"/>
    </row>
    <row r="263" spans="1:32" ht="13.5" customHeight="1">
      <c r="A263" s="235">
        <v>261</v>
      </c>
      <c r="B263" s="237"/>
      <c r="C263" s="243" t="s">
        <v>1808</v>
      </c>
      <c r="D263" s="237" t="s">
        <v>1809</v>
      </c>
      <c r="E263" s="237">
        <v>79</v>
      </c>
      <c r="F263" s="237" t="s">
        <v>424</v>
      </c>
      <c r="G263" s="237" t="s">
        <v>1810</v>
      </c>
      <c r="H263" s="243" t="s">
        <v>4</v>
      </c>
      <c r="I263" s="243"/>
      <c r="K263" s="240" t="s">
        <v>1811</v>
      </c>
      <c r="L263" s="243" t="s">
        <v>13</v>
      </c>
      <c r="M263" s="243" t="s">
        <v>1812</v>
      </c>
      <c r="N263" s="237"/>
      <c r="O263" s="237"/>
      <c r="P263" s="237"/>
      <c r="Q263" s="245">
        <v>45673</v>
      </c>
      <c r="R263" s="237" t="s">
        <v>309</v>
      </c>
      <c r="S263" s="331" t="s">
        <v>233</v>
      </c>
      <c r="T263" s="237" t="s">
        <v>228</v>
      </c>
      <c r="U263" s="237" t="s">
        <v>234</v>
      </c>
      <c r="V263" s="237" t="s">
        <v>473</v>
      </c>
      <c r="W263" s="245">
        <v>45747</v>
      </c>
      <c r="X263" s="237" t="s">
        <v>1813</v>
      </c>
      <c r="Y263" s="237" t="s">
        <v>237</v>
      </c>
      <c r="Z263" s="237" t="s">
        <v>228</v>
      </c>
      <c r="AA263" s="237" t="s">
        <v>1814</v>
      </c>
      <c r="AB263" s="337" t="s">
        <v>228</v>
      </c>
      <c r="AC263" s="237" t="s">
        <v>228</v>
      </c>
      <c r="AD263" s="562"/>
      <c r="AE263" s="550"/>
      <c r="AF263" s="237"/>
    </row>
    <row r="264" spans="1:32" ht="13.5" customHeight="1">
      <c r="A264" s="235">
        <v>262</v>
      </c>
      <c r="B264" s="237"/>
      <c r="C264" s="243" t="s">
        <v>1815</v>
      </c>
      <c r="D264" s="237" t="s">
        <v>1816</v>
      </c>
      <c r="E264" s="237">
        <v>50</v>
      </c>
      <c r="F264" s="237" t="s">
        <v>75</v>
      </c>
      <c r="G264" s="237" t="s">
        <v>1817</v>
      </c>
      <c r="H264" s="243" t="s">
        <v>5</v>
      </c>
      <c r="I264" s="243"/>
      <c r="J264" s="240" t="s">
        <v>886</v>
      </c>
      <c r="K264" s="240" t="s">
        <v>887</v>
      </c>
      <c r="L264" s="243" t="s">
        <v>45</v>
      </c>
      <c r="M264" s="243" t="s">
        <v>231</v>
      </c>
      <c r="N264" s="237"/>
      <c r="O264" s="237"/>
      <c r="P264" s="237"/>
      <c r="Q264" s="245">
        <v>44979</v>
      </c>
      <c r="R264" s="237" t="s">
        <v>309</v>
      </c>
      <c r="S264" s="331" t="s">
        <v>233</v>
      </c>
      <c r="T264" s="237" t="s">
        <v>228</v>
      </c>
      <c r="U264" s="237" t="s">
        <v>234</v>
      </c>
      <c r="V264" s="237" t="s">
        <v>652</v>
      </c>
      <c r="W264" s="245">
        <v>45947</v>
      </c>
      <c r="X264" s="237" t="s">
        <v>1818</v>
      </c>
      <c r="Y264" s="237" t="s">
        <v>237</v>
      </c>
      <c r="Z264" s="237" t="s">
        <v>228</v>
      </c>
      <c r="AA264" s="237" t="s">
        <v>1819</v>
      </c>
      <c r="AB264" s="337" t="s">
        <v>228</v>
      </c>
      <c r="AC264" s="237" t="s">
        <v>228</v>
      </c>
      <c r="AD264" s="562"/>
      <c r="AE264" s="550"/>
      <c r="AF264" s="237"/>
    </row>
    <row r="265" spans="1:32" ht="13.5" customHeight="1">
      <c r="A265" s="235">
        <v>263</v>
      </c>
      <c r="B265" s="237"/>
      <c r="C265" s="243" t="s">
        <v>1820</v>
      </c>
      <c r="D265" s="237" t="s">
        <v>1821</v>
      </c>
      <c r="E265" s="237">
        <v>53</v>
      </c>
      <c r="F265" s="237" t="s">
        <v>75</v>
      </c>
      <c r="G265" s="237" t="s">
        <v>1822</v>
      </c>
      <c r="H265" s="243" t="s">
        <v>5</v>
      </c>
      <c r="I265" s="243"/>
      <c r="J265" s="240" t="s">
        <v>886</v>
      </c>
      <c r="K265" s="240" t="s">
        <v>1823</v>
      </c>
      <c r="L265" s="243" t="s">
        <v>59</v>
      </c>
      <c r="M265" s="243" t="s">
        <v>231</v>
      </c>
      <c r="N265" s="237"/>
      <c r="O265" s="237"/>
      <c r="P265" s="237"/>
      <c r="Q265" s="245">
        <v>44984</v>
      </c>
      <c r="R265" s="237" t="s">
        <v>309</v>
      </c>
      <c r="S265" s="331" t="s">
        <v>233</v>
      </c>
      <c r="T265" s="237" t="s">
        <v>228</v>
      </c>
      <c r="U265" s="237" t="s">
        <v>234</v>
      </c>
      <c r="V265" s="237" t="s">
        <v>652</v>
      </c>
      <c r="W265" s="245">
        <v>45947</v>
      </c>
      <c r="X265" s="237" t="s">
        <v>1824</v>
      </c>
      <c r="Y265" s="237" t="s">
        <v>237</v>
      </c>
      <c r="Z265" s="237" t="s">
        <v>228</v>
      </c>
      <c r="AA265" s="237" t="s">
        <v>1825</v>
      </c>
      <c r="AB265" s="337" t="s">
        <v>228</v>
      </c>
      <c r="AC265" s="237" t="s">
        <v>228</v>
      </c>
      <c r="AD265" s="562"/>
      <c r="AE265" s="550"/>
      <c r="AF265" s="237"/>
    </row>
    <row r="266" spans="1:32" ht="13.5" customHeight="1">
      <c r="A266" s="235">
        <v>264</v>
      </c>
      <c r="B266" s="237"/>
      <c r="C266" s="243" t="s">
        <v>1826</v>
      </c>
      <c r="D266" s="237" t="s">
        <v>1827</v>
      </c>
      <c r="E266" s="237">
        <v>65</v>
      </c>
      <c r="F266" s="237" t="s">
        <v>75</v>
      </c>
      <c r="G266" s="237" t="s">
        <v>1828</v>
      </c>
      <c r="H266" s="243" t="s">
        <v>5</v>
      </c>
      <c r="I266" s="243"/>
      <c r="K266" s="240" t="s">
        <v>87</v>
      </c>
      <c r="L266" s="243" t="s">
        <v>16</v>
      </c>
      <c r="M266" s="243" t="s">
        <v>231</v>
      </c>
      <c r="N266" s="237"/>
      <c r="O266" s="237"/>
      <c r="P266" s="237"/>
      <c r="Q266" s="245">
        <v>45478</v>
      </c>
      <c r="R266" s="237" t="s">
        <v>309</v>
      </c>
      <c r="S266" s="331" t="s">
        <v>233</v>
      </c>
      <c r="T266" s="237" t="s">
        <v>228</v>
      </c>
      <c r="U266" s="237" t="s">
        <v>234</v>
      </c>
      <c r="V266" s="237" t="s">
        <v>652</v>
      </c>
      <c r="W266" s="245">
        <v>45947</v>
      </c>
      <c r="X266" s="237" t="s">
        <v>1829</v>
      </c>
      <c r="Y266" s="237" t="s">
        <v>237</v>
      </c>
      <c r="Z266" s="237" t="s">
        <v>228</v>
      </c>
      <c r="AA266" s="237" t="s">
        <v>1830</v>
      </c>
      <c r="AB266" s="337" t="s">
        <v>228</v>
      </c>
      <c r="AC266" s="237" t="s">
        <v>228</v>
      </c>
      <c r="AD266" s="562"/>
      <c r="AE266" s="550"/>
      <c r="AF266" s="237"/>
    </row>
    <row r="267" spans="1:32" ht="13.5" customHeight="1">
      <c r="A267" s="235">
        <v>265</v>
      </c>
      <c r="B267" s="237"/>
      <c r="C267" s="256" t="s">
        <v>1831</v>
      </c>
      <c r="D267" s="237" t="s">
        <v>1832</v>
      </c>
      <c r="E267" s="237">
        <v>72</v>
      </c>
      <c r="F267" s="237" t="s">
        <v>75</v>
      </c>
      <c r="G267" s="237" t="s">
        <v>1833</v>
      </c>
      <c r="H267" s="243" t="s">
        <v>5</v>
      </c>
      <c r="I267" s="243"/>
      <c r="K267" s="240" t="s">
        <v>1834</v>
      </c>
      <c r="L267" s="243" t="s">
        <v>19</v>
      </c>
      <c r="M267" s="243" t="s">
        <v>1835</v>
      </c>
      <c r="N267" s="237"/>
      <c r="O267" s="237"/>
      <c r="P267" s="237"/>
      <c r="Q267" s="245">
        <v>45739</v>
      </c>
      <c r="R267" s="237" t="s">
        <v>309</v>
      </c>
      <c r="S267" s="331" t="s">
        <v>233</v>
      </c>
      <c r="T267" s="237" t="s">
        <v>228</v>
      </c>
      <c r="U267" s="237" t="s">
        <v>234</v>
      </c>
      <c r="V267" s="237" t="s">
        <v>652</v>
      </c>
      <c r="W267" s="245">
        <v>45947</v>
      </c>
      <c r="X267" s="237" t="s">
        <v>1836</v>
      </c>
      <c r="Y267" s="237" t="s">
        <v>237</v>
      </c>
      <c r="Z267" s="237" t="s">
        <v>228</v>
      </c>
      <c r="AA267" s="237" t="s">
        <v>1837</v>
      </c>
      <c r="AB267" s="337" t="s">
        <v>228</v>
      </c>
      <c r="AC267" s="237" t="s">
        <v>228</v>
      </c>
      <c r="AD267" s="566"/>
      <c r="AE267" s="551"/>
      <c r="AF267" s="237"/>
    </row>
    <row r="268" spans="1:32" ht="13.5" customHeight="1">
      <c r="A268" s="235">
        <v>266</v>
      </c>
      <c r="B268" s="237"/>
      <c r="C268" s="256" t="s">
        <v>1838</v>
      </c>
      <c r="D268" s="237" t="s">
        <v>1839</v>
      </c>
      <c r="E268" s="237">
        <v>60</v>
      </c>
      <c r="F268" s="237" t="s">
        <v>75</v>
      </c>
      <c r="G268" s="237" t="s">
        <v>1840</v>
      </c>
      <c r="H268" s="243" t="s">
        <v>5</v>
      </c>
      <c r="I268" s="243"/>
      <c r="K268" s="240"/>
      <c r="L268" s="243" t="s">
        <v>78</v>
      </c>
      <c r="M268" s="246" t="s">
        <v>228</v>
      </c>
      <c r="N268" s="237"/>
      <c r="O268" s="237"/>
      <c r="P268" s="237"/>
      <c r="Q268" s="245">
        <v>45888</v>
      </c>
      <c r="R268" s="237" t="s">
        <v>309</v>
      </c>
      <c r="S268" s="331" t="s">
        <v>233</v>
      </c>
      <c r="T268" s="237" t="s">
        <v>228</v>
      </c>
      <c r="U268" s="237" t="s">
        <v>298</v>
      </c>
      <c r="V268" s="237" t="s">
        <v>652</v>
      </c>
      <c r="W268" s="245">
        <v>45947</v>
      </c>
      <c r="X268" s="237" t="s">
        <v>1841</v>
      </c>
      <c r="Y268" s="237" t="s">
        <v>588</v>
      </c>
      <c r="Z268" s="237" t="s">
        <v>228</v>
      </c>
      <c r="AA268" s="237" t="s">
        <v>1842</v>
      </c>
      <c r="AB268" s="337" t="s">
        <v>228</v>
      </c>
      <c r="AC268" s="237" t="s">
        <v>228</v>
      </c>
      <c r="AD268" s="566"/>
      <c r="AE268" s="551"/>
      <c r="AF268" s="237"/>
    </row>
    <row r="269" spans="1:32" ht="13.5" customHeight="1">
      <c r="A269" s="235">
        <v>267</v>
      </c>
      <c r="B269" s="237">
        <v>17</v>
      </c>
      <c r="C269" s="255" t="s">
        <v>1843</v>
      </c>
      <c r="D269" s="237" t="s">
        <v>1844</v>
      </c>
      <c r="E269" s="237">
        <v>26</v>
      </c>
      <c r="F269" s="237" t="s">
        <v>75</v>
      </c>
      <c r="G269" s="237" t="s">
        <v>1845</v>
      </c>
      <c r="H269" s="243" t="s">
        <v>5</v>
      </c>
      <c r="I269" s="243"/>
      <c r="K269" s="243" t="s">
        <v>926</v>
      </c>
      <c r="L269" s="243" t="s">
        <v>926</v>
      </c>
      <c r="M269" s="246" t="s">
        <v>228</v>
      </c>
      <c r="N269" s="237" t="s">
        <v>228</v>
      </c>
      <c r="O269" s="237" t="s">
        <v>228</v>
      </c>
      <c r="P269" s="237" t="s">
        <v>231</v>
      </c>
      <c r="Q269" s="245">
        <v>44726</v>
      </c>
      <c r="R269" s="237" t="s">
        <v>232</v>
      </c>
      <c r="S269" s="331" t="s">
        <v>233</v>
      </c>
      <c r="T269" s="237">
        <v>8.9</v>
      </c>
      <c r="U269" s="237" t="s">
        <v>234</v>
      </c>
      <c r="V269" s="237" t="s">
        <v>235</v>
      </c>
      <c r="W269" s="245" t="s">
        <v>228</v>
      </c>
      <c r="X269" s="237" t="s">
        <v>1846</v>
      </c>
      <c r="Y269" s="237" t="s">
        <v>237</v>
      </c>
      <c r="Z269" s="237" t="s">
        <v>237</v>
      </c>
      <c r="AA269" s="237" t="s">
        <v>1847</v>
      </c>
      <c r="AB269" s="337" t="s">
        <v>228</v>
      </c>
      <c r="AC269" s="237" t="s">
        <v>228</v>
      </c>
      <c r="AD269" s="562"/>
      <c r="AE269" s="555"/>
      <c r="AF269" s="237"/>
    </row>
    <row r="270" spans="1:32" ht="13.5" customHeight="1">
      <c r="A270" s="235">
        <v>268</v>
      </c>
      <c r="B270" s="237">
        <v>185</v>
      </c>
      <c r="C270" s="255" t="s">
        <v>1848</v>
      </c>
      <c r="D270" s="237" t="s">
        <v>1849</v>
      </c>
      <c r="E270" s="237">
        <v>32</v>
      </c>
      <c r="F270" s="237" t="s">
        <v>75</v>
      </c>
      <c r="G270" s="237" t="s">
        <v>1850</v>
      </c>
      <c r="H270" s="243" t="s">
        <v>5</v>
      </c>
      <c r="I270" s="243"/>
      <c r="K270" s="240"/>
      <c r="L270" s="243" t="s">
        <v>16</v>
      </c>
      <c r="M270" s="246" t="s">
        <v>228</v>
      </c>
      <c r="N270" s="237" t="s">
        <v>228</v>
      </c>
      <c r="O270" s="237" t="s">
        <v>228</v>
      </c>
      <c r="P270" s="237"/>
      <c r="Q270" s="245">
        <v>45306</v>
      </c>
      <c r="R270" s="237" t="s">
        <v>309</v>
      </c>
      <c r="S270" s="331" t="s">
        <v>233</v>
      </c>
      <c r="T270" s="237">
        <v>8.9</v>
      </c>
      <c r="U270" s="237" t="s">
        <v>298</v>
      </c>
      <c r="V270" s="237" t="s">
        <v>235</v>
      </c>
      <c r="W270" s="245">
        <v>45341</v>
      </c>
      <c r="X270" s="237" t="s">
        <v>1851</v>
      </c>
      <c r="Y270" s="237" t="s">
        <v>237</v>
      </c>
      <c r="Z270" s="237" t="s">
        <v>237</v>
      </c>
      <c r="AA270" s="237" t="s">
        <v>1852</v>
      </c>
      <c r="AB270" s="337" t="s">
        <v>228</v>
      </c>
      <c r="AC270" s="237" t="s">
        <v>228</v>
      </c>
      <c r="AD270" s="562"/>
      <c r="AE270" s="555"/>
      <c r="AF270" s="237"/>
    </row>
    <row r="271" spans="1:32" ht="13.5" customHeight="1">
      <c r="A271" s="235">
        <v>269</v>
      </c>
      <c r="B271" s="237"/>
      <c r="C271" s="243" t="s">
        <v>1853</v>
      </c>
      <c r="D271" s="237" t="s">
        <v>1854</v>
      </c>
      <c r="E271" s="237">
        <v>35</v>
      </c>
      <c r="F271" s="237" t="s">
        <v>75</v>
      </c>
      <c r="G271" s="237" t="s">
        <v>1855</v>
      </c>
      <c r="H271" s="243" t="s">
        <v>5</v>
      </c>
      <c r="I271" s="243"/>
      <c r="K271" s="240"/>
      <c r="L271" s="243" t="s">
        <v>69</v>
      </c>
      <c r="M271" s="246" t="s">
        <v>228</v>
      </c>
      <c r="N271" s="237"/>
      <c r="O271" s="237"/>
      <c r="P271" s="237"/>
      <c r="Q271" s="245">
        <v>45671</v>
      </c>
      <c r="R271" s="237" t="s">
        <v>309</v>
      </c>
      <c r="S271" s="331" t="s">
        <v>233</v>
      </c>
      <c r="T271" s="237" t="s">
        <v>228</v>
      </c>
      <c r="U271" s="237" t="s">
        <v>234</v>
      </c>
      <c r="V271" s="237" t="s">
        <v>473</v>
      </c>
      <c r="W271" s="245">
        <v>45747</v>
      </c>
      <c r="X271" s="237" t="s">
        <v>1856</v>
      </c>
      <c r="Y271" s="237" t="s">
        <v>237</v>
      </c>
      <c r="Z271" s="237" t="s">
        <v>228</v>
      </c>
      <c r="AA271" s="237" t="s">
        <v>1857</v>
      </c>
      <c r="AB271" s="337" t="s">
        <v>228</v>
      </c>
      <c r="AC271" s="237" t="s">
        <v>228</v>
      </c>
      <c r="AD271" s="562"/>
      <c r="AE271" s="550"/>
      <c r="AF271" s="237"/>
    </row>
    <row r="272" spans="1:32" ht="13.5" customHeight="1">
      <c r="A272" s="235">
        <v>270</v>
      </c>
      <c r="B272" s="8">
        <v>157</v>
      </c>
      <c r="C272" s="216" t="s">
        <v>1858</v>
      </c>
      <c r="D272" s="110" t="s">
        <v>1854</v>
      </c>
      <c r="E272" s="110">
        <v>37</v>
      </c>
      <c r="F272" s="110" t="s">
        <v>75</v>
      </c>
      <c r="G272" s="110" t="s">
        <v>1855</v>
      </c>
      <c r="H272" s="109" t="s">
        <v>4</v>
      </c>
      <c r="I272" s="109"/>
      <c r="J272" s="72"/>
      <c r="K272" s="109" t="s">
        <v>126</v>
      </c>
      <c r="L272" s="111" t="s">
        <v>926</v>
      </c>
      <c r="M272" s="110" t="s">
        <v>32</v>
      </c>
      <c r="N272" s="110"/>
      <c r="O272" s="110"/>
      <c r="P272" s="112">
        <v>45748</v>
      </c>
      <c r="Q272" s="113">
        <v>45748</v>
      </c>
      <c r="R272" s="110" t="s">
        <v>233</v>
      </c>
      <c r="S272" s="110" t="s">
        <v>228</v>
      </c>
      <c r="T272" s="110" t="s">
        <v>234</v>
      </c>
      <c r="U272" s="110" t="s">
        <v>652</v>
      </c>
      <c r="V272" s="113">
        <v>45947</v>
      </c>
      <c r="W272" s="110" t="s">
        <v>1859</v>
      </c>
      <c r="X272" s="110" t="s">
        <v>237</v>
      </c>
      <c r="Y272" s="110" t="s">
        <v>1860</v>
      </c>
      <c r="Z272" s="237" t="s">
        <v>228</v>
      </c>
      <c r="AA272" s="72"/>
      <c r="AB272" s="130" t="s">
        <v>228</v>
      </c>
      <c r="AC272" s="72" t="s">
        <v>228</v>
      </c>
      <c r="AD272" s="566"/>
      <c r="AE272" s="551"/>
      <c r="AF272" s="237"/>
    </row>
    <row r="273" spans="1:130" ht="13.5" customHeight="1">
      <c r="A273" s="235">
        <v>271</v>
      </c>
      <c r="B273" s="237">
        <v>25</v>
      </c>
      <c r="C273" s="243" t="s">
        <v>1861</v>
      </c>
      <c r="D273" s="237" t="s">
        <v>1862</v>
      </c>
      <c r="E273" s="237">
        <v>34</v>
      </c>
      <c r="F273" s="237" t="s">
        <v>60</v>
      </c>
      <c r="G273" s="237" t="s">
        <v>1863</v>
      </c>
      <c r="H273" s="243" t="s">
        <v>15</v>
      </c>
      <c r="I273" s="243"/>
      <c r="K273" s="240" t="s">
        <v>1864</v>
      </c>
      <c r="L273" s="246" t="s">
        <v>1420</v>
      </c>
      <c r="M273" s="246" t="s">
        <v>1864</v>
      </c>
      <c r="N273" s="237" t="s">
        <v>228</v>
      </c>
      <c r="O273" s="237" t="s">
        <v>228</v>
      </c>
      <c r="P273" s="237" t="s">
        <v>231</v>
      </c>
      <c r="Q273" s="245">
        <v>44733</v>
      </c>
      <c r="R273" s="237" t="s">
        <v>232</v>
      </c>
      <c r="S273" s="331" t="s">
        <v>233</v>
      </c>
      <c r="T273" s="237">
        <v>8.6999999999999993</v>
      </c>
      <c r="U273" s="237" t="s">
        <v>234</v>
      </c>
      <c r="V273" s="237" t="s">
        <v>235</v>
      </c>
      <c r="W273" s="245" t="s">
        <v>228</v>
      </c>
      <c r="X273" s="237" t="s">
        <v>1865</v>
      </c>
      <c r="Y273" s="237" t="s">
        <v>237</v>
      </c>
      <c r="Z273" s="237" t="s">
        <v>237</v>
      </c>
      <c r="AA273" s="237" t="s">
        <v>1866</v>
      </c>
      <c r="AB273" s="337" t="s">
        <v>228</v>
      </c>
      <c r="AC273" s="237" t="s">
        <v>228</v>
      </c>
      <c r="AD273" s="562"/>
      <c r="AE273" s="550"/>
      <c r="AF273" s="237"/>
    </row>
    <row r="274" spans="1:130" ht="13.5" customHeight="1">
      <c r="A274" s="235">
        <v>272</v>
      </c>
      <c r="B274" s="237"/>
      <c r="C274" s="243" t="s">
        <v>1867</v>
      </c>
      <c r="D274" s="237" t="s">
        <v>1868</v>
      </c>
      <c r="E274" s="237">
        <v>45</v>
      </c>
      <c r="F274" s="237" t="s">
        <v>75</v>
      </c>
      <c r="G274" s="237" t="s">
        <v>1869</v>
      </c>
      <c r="H274" s="243" t="s">
        <v>15</v>
      </c>
      <c r="I274" s="243"/>
      <c r="K274" s="243" t="s">
        <v>158</v>
      </c>
      <c r="L274" s="243" t="s">
        <v>1870</v>
      </c>
      <c r="M274" s="246" t="s">
        <v>228</v>
      </c>
      <c r="N274" s="237"/>
      <c r="O274" s="237"/>
      <c r="P274" s="237"/>
      <c r="Q274" s="245">
        <v>45728</v>
      </c>
      <c r="R274" s="237" t="s">
        <v>309</v>
      </c>
      <c r="S274" s="331" t="s">
        <v>233</v>
      </c>
      <c r="T274" s="237" t="s">
        <v>228</v>
      </c>
      <c r="U274" s="237" t="s">
        <v>234</v>
      </c>
      <c r="V274" s="237" t="s">
        <v>473</v>
      </c>
      <c r="W274" s="245">
        <v>45832</v>
      </c>
      <c r="X274" s="237" t="s">
        <v>1871</v>
      </c>
      <c r="Y274" s="237" t="s">
        <v>237</v>
      </c>
      <c r="Z274" s="237" t="s">
        <v>228</v>
      </c>
      <c r="AA274" s="237" t="s">
        <v>1872</v>
      </c>
      <c r="AB274" s="337" t="s">
        <v>237</v>
      </c>
      <c r="AC274" s="237" t="s">
        <v>228</v>
      </c>
      <c r="AD274" s="562"/>
      <c r="AE274" s="550"/>
      <c r="AF274" s="237"/>
    </row>
    <row r="275" spans="1:130" ht="13.5" customHeight="1">
      <c r="A275" s="235">
        <v>273</v>
      </c>
      <c r="B275" s="237">
        <v>193</v>
      </c>
      <c r="C275" s="243" t="s">
        <v>1873</v>
      </c>
      <c r="D275" s="237" t="s">
        <v>1874</v>
      </c>
      <c r="E275" s="237">
        <v>41</v>
      </c>
      <c r="F275" s="237" t="s">
        <v>60</v>
      </c>
      <c r="G275" s="237" t="s">
        <v>1875</v>
      </c>
      <c r="H275" s="243" t="s">
        <v>15</v>
      </c>
      <c r="I275" s="243"/>
      <c r="K275" s="240" t="s">
        <v>1876</v>
      </c>
      <c r="L275" s="243" t="s">
        <v>1877</v>
      </c>
      <c r="M275" s="243"/>
      <c r="N275" s="237" t="s">
        <v>1878</v>
      </c>
      <c r="O275" s="237" t="s">
        <v>228</v>
      </c>
      <c r="P275" s="237"/>
      <c r="Q275" s="245">
        <v>45393</v>
      </c>
      <c r="R275" s="237" t="s">
        <v>309</v>
      </c>
      <c r="S275" s="331" t="s">
        <v>233</v>
      </c>
      <c r="T275" s="237" t="s">
        <v>1879</v>
      </c>
      <c r="U275" s="237" t="s">
        <v>298</v>
      </c>
      <c r="V275" s="237" t="s">
        <v>235</v>
      </c>
      <c r="W275" s="245">
        <v>45427</v>
      </c>
      <c r="X275" s="237" t="s">
        <v>1880</v>
      </c>
      <c r="Y275" s="237" t="s">
        <v>237</v>
      </c>
      <c r="Z275" s="237" t="s">
        <v>237</v>
      </c>
      <c r="AA275" s="237" t="s">
        <v>1881</v>
      </c>
      <c r="AB275" s="337" t="s">
        <v>237</v>
      </c>
      <c r="AC275" s="55" t="s">
        <v>353</v>
      </c>
      <c r="AD275" s="563">
        <v>45435</v>
      </c>
      <c r="AE275" s="550"/>
      <c r="AF275" s="237"/>
    </row>
    <row r="276" spans="1:130" ht="13.5" customHeight="1">
      <c r="A276" s="235">
        <v>274</v>
      </c>
      <c r="B276" s="237"/>
      <c r="C276" s="255" t="s">
        <v>1882</v>
      </c>
      <c r="D276" s="237" t="s">
        <v>1883</v>
      </c>
      <c r="E276" s="237">
        <v>70</v>
      </c>
      <c r="F276" s="237" t="s">
        <v>60</v>
      </c>
      <c r="G276" s="237" t="s">
        <v>1884</v>
      </c>
      <c r="H276" s="243" t="s">
        <v>15</v>
      </c>
      <c r="I276" s="243"/>
      <c r="K276" s="243" t="s">
        <v>164</v>
      </c>
      <c r="L276" s="243" t="s">
        <v>1885</v>
      </c>
      <c r="M276" s="243" t="s">
        <v>1886</v>
      </c>
      <c r="N276" s="237"/>
      <c r="O276" s="237"/>
      <c r="P276" s="237"/>
      <c r="Q276" s="245">
        <v>45822</v>
      </c>
      <c r="R276" s="237" t="s">
        <v>309</v>
      </c>
      <c r="S276" s="331" t="s">
        <v>233</v>
      </c>
      <c r="T276" s="237" t="s">
        <v>228</v>
      </c>
      <c r="U276" s="237" t="s">
        <v>1887</v>
      </c>
      <c r="V276" s="237" t="s">
        <v>652</v>
      </c>
      <c r="W276" s="245">
        <v>45933</v>
      </c>
      <c r="X276" s="237" t="s">
        <v>1888</v>
      </c>
      <c r="Y276" s="237" t="s">
        <v>237</v>
      </c>
      <c r="Z276" s="237" t="s">
        <v>237</v>
      </c>
      <c r="AA276" s="237" t="s">
        <v>1889</v>
      </c>
      <c r="AB276" s="337" t="s">
        <v>228</v>
      </c>
      <c r="AC276" s="237" t="s">
        <v>228</v>
      </c>
      <c r="AD276" s="562"/>
      <c r="AE276" s="555"/>
      <c r="AF276" s="237"/>
    </row>
    <row r="277" spans="1:130" ht="13.5" customHeight="1">
      <c r="A277" s="235">
        <v>275</v>
      </c>
      <c r="B277" s="237">
        <v>45</v>
      </c>
      <c r="C277" s="255" t="s">
        <v>1890</v>
      </c>
      <c r="D277" s="237" t="s">
        <v>1891</v>
      </c>
      <c r="E277" s="237">
        <v>57</v>
      </c>
      <c r="F277" s="237" t="s">
        <v>75</v>
      </c>
      <c r="G277" s="237" t="s">
        <v>1892</v>
      </c>
      <c r="H277" s="243" t="s">
        <v>15</v>
      </c>
      <c r="I277" s="243"/>
      <c r="J277" s="235" t="s">
        <v>620</v>
      </c>
      <c r="K277" s="240" t="s">
        <v>162</v>
      </c>
      <c r="L277" s="243" t="s">
        <v>162</v>
      </c>
      <c r="M277" s="243" t="s">
        <v>231</v>
      </c>
      <c r="N277" s="237"/>
      <c r="O277" s="237"/>
      <c r="P277" s="237"/>
      <c r="Q277" s="245">
        <v>45631</v>
      </c>
      <c r="R277" s="237" t="s">
        <v>309</v>
      </c>
      <c r="S277" s="331" t="s">
        <v>233</v>
      </c>
      <c r="T277" s="237" t="s">
        <v>228</v>
      </c>
      <c r="U277" s="237" t="s">
        <v>234</v>
      </c>
      <c r="V277" s="237" t="s">
        <v>473</v>
      </c>
      <c r="W277" s="245">
        <v>45933</v>
      </c>
      <c r="X277" s="237" t="s">
        <v>1893</v>
      </c>
      <c r="Y277" s="237" t="s">
        <v>237</v>
      </c>
      <c r="Z277" s="237" t="s">
        <v>237</v>
      </c>
      <c r="AA277" s="237" t="s">
        <v>1894</v>
      </c>
      <c r="AB277" s="337" t="s">
        <v>228</v>
      </c>
      <c r="AC277" s="237" t="s">
        <v>228</v>
      </c>
      <c r="AD277" s="562"/>
      <c r="AE277" s="555"/>
      <c r="AF277" s="237"/>
    </row>
    <row r="278" spans="1:130" ht="13.5" customHeight="1">
      <c r="A278" s="235">
        <v>276</v>
      </c>
      <c r="B278" s="237"/>
      <c r="C278" s="243" t="s">
        <v>1895</v>
      </c>
      <c r="D278" s="237" t="s">
        <v>1896</v>
      </c>
      <c r="E278" s="237">
        <v>46</v>
      </c>
      <c r="F278" s="237" t="s">
        <v>75</v>
      </c>
      <c r="G278" s="237" t="s">
        <v>1897</v>
      </c>
      <c r="H278" s="243" t="s">
        <v>15</v>
      </c>
      <c r="I278" s="243"/>
      <c r="K278" s="240" t="s">
        <v>156</v>
      </c>
      <c r="L278" s="243" t="s">
        <v>1898</v>
      </c>
      <c r="M278" s="243" t="s">
        <v>231</v>
      </c>
      <c r="N278" s="237"/>
      <c r="O278" s="237"/>
      <c r="P278" s="237"/>
      <c r="Q278" s="245">
        <v>45666</v>
      </c>
      <c r="R278" s="237" t="s">
        <v>309</v>
      </c>
      <c r="S278" s="331" t="s">
        <v>233</v>
      </c>
      <c r="T278" s="237" t="s">
        <v>228</v>
      </c>
      <c r="U278" s="237" t="s">
        <v>234</v>
      </c>
      <c r="V278" s="237" t="s">
        <v>652</v>
      </c>
      <c r="W278" s="245">
        <v>45947</v>
      </c>
      <c r="X278" s="237" t="s">
        <v>1899</v>
      </c>
      <c r="Y278" s="237" t="s">
        <v>237</v>
      </c>
      <c r="Z278" s="237" t="s">
        <v>228</v>
      </c>
      <c r="AA278" s="237" t="s">
        <v>1900</v>
      </c>
      <c r="AB278" s="337" t="s">
        <v>228</v>
      </c>
      <c r="AC278" s="237" t="s">
        <v>228</v>
      </c>
      <c r="AD278" s="562"/>
      <c r="AE278" s="550"/>
      <c r="AF278" s="237"/>
    </row>
    <row r="279" spans="1:130" ht="13.5" customHeight="1">
      <c r="A279" s="235">
        <v>277</v>
      </c>
      <c r="B279" s="237"/>
      <c r="C279" s="243" t="s">
        <v>1901</v>
      </c>
      <c r="D279" s="237" t="s">
        <v>1902</v>
      </c>
      <c r="E279" s="237">
        <v>33</v>
      </c>
      <c r="F279" s="237" t="s">
        <v>75</v>
      </c>
      <c r="G279" s="237" t="s">
        <v>1903</v>
      </c>
      <c r="H279" s="243" t="s">
        <v>15</v>
      </c>
      <c r="I279" s="243"/>
      <c r="K279" s="240" t="s">
        <v>157</v>
      </c>
      <c r="L279" s="243" t="s">
        <v>1898</v>
      </c>
      <c r="M279" s="243" t="s">
        <v>231</v>
      </c>
      <c r="N279" s="237"/>
      <c r="O279" s="237"/>
      <c r="P279" s="237"/>
      <c r="Q279" s="245">
        <v>45666</v>
      </c>
      <c r="R279" s="237" t="s">
        <v>309</v>
      </c>
      <c r="S279" s="331" t="s">
        <v>233</v>
      </c>
      <c r="T279" s="237" t="s">
        <v>228</v>
      </c>
      <c r="U279" s="237" t="s">
        <v>234</v>
      </c>
      <c r="V279" s="237" t="s">
        <v>652</v>
      </c>
      <c r="W279" s="245">
        <v>45947</v>
      </c>
      <c r="X279" s="237" t="s">
        <v>1904</v>
      </c>
      <c r="Y279" s="237" t="s">
        <v>237</v>
      </c>
      <c r="Z279" s="237" t="s">
        <v>228</v>
      </c>
      <c r="AA279" s="237" t="s">
        <v>1905</v>
      </c>
      <c r="AB279" s="337" t="s">
        <v>228</v>
      </c>
      <c r="AC279" s="237" t="s">
        <v>228</v>
      </c>
      <c r="AD279" s="562"/>
      <c r="AE279" s="550"/>
      <c r="AF279" s="237"/>
    </row>
    <row r="280" spans="1:130" ht="13.5" customHeight="1">
      <c r="A280" s="235">
        <v>278</v>
      </c>
      <c r="B280" s="237"/>
      <c r="C280" s="243" t="s">
        <v>1906</v>
      </c>
      <c r="D280" s="237" t="s">
        <v>1907</v>
      </c>
      <c r="E280" s="237">
        <v>47</v>
      </c>
      <c r="F280" s="237" t="s">
        <v>60</v>
      </c>
      <c r="G280" s="237" t="s">
        <v>1908</v>
      </c>
      <c r="H280" s="243" t="s">
        <v>15</v>
      </c>
      <c r="I280" s="243" t="s">
        <v>646</v>
      </c>
      <c r="K280" s="240" t="s">
        <v>146</v>
      </c>
      <c r="L280" s="243" t="s">
        <v>162</v>
      </c>
      <c r="M280" s="243" t="s">
        <v>231</v>
      </c>
      <c r="N280" s="237" t="s">
        <v>1909</v>
      </c>
      <c r="O280" s="237"/>
      <c r="P280" s="237"/>
      <c r="Q280" s="245">
        <v>45673</v>
      </c>
      <c r="R280" s="237" t="s">
        <v>309</v>
      </c>
      <c r="S280" s="331" t="s">
        <v>233</v>
      </c>
      <c r="T280" s="237" t="s">
        <v>228</v>
      </c>
      <c r="U280" s="237" t="s">
        <v>234</v>
      </c>
      <c r="V280" s="237" t="s">
        <v>652</v>
      </c>
      <c r="W280" s="245">
        <v>45947</v>
      </c>
      <c r="X280" s="237" t="s">
        <v>1910</v>
      </c>
      <c r="Y280" s="237" t="s">
        <v>237</v>
      </c>
      <c r="Z280" s="237" t="s">
        <v>228</v>
      </c>
      <c r="AA280" s="237" t="s">
        <v>1911</v>
      </c>
      <c r="AB280" s="337" t="s">
        <v>228</v>
      </c>
      <c r="AC280" s="237" t="s">
        <v>228</v>
      </c>
      <c r="AD280" s="562"/>
      <c r="AE280" s="550"/>
      <c r="AF280" s="237"/>
    </row>
    <row r="281" spans="1:130" ht="13.5" customHeight="1">
      <c r="A281" s="235">
        <v>279</v>
      </c>
      <c r="B281" s="237">
        <v>144</v>
      </c>
      <c r="C281" s="243" t="s">
        <v>1912</v>
      </c>
      <c r="D281" s="237" t="s">
        <v>294</v>
      </c>
      <c r="E281" s="237">
        <v>50</v>
      </c>
      <c r="F281" s="237" t="s">
        <v>60</v>
      </c>
      <c r="G281" s="237" t="s">
        <v>295</v>
      </c>
      <c r="H281" s="243" t="s">
        <v>18</v>
      </c>
      <c r="I281" s="235" t="s">
        <v>296</v>
      </c>
      <c r="K281" s="240"/>
      <c r="L281" s="237"/>
      <c r="M281" s="243" t="s">
        <v>296</v>
      </c>
      <c r="N281" s="237"/>
      <c r="O281" s="237"/>
      <c r="P281" s="237"/>
      <c r="Q281" s="245">
        <v>45057</v>
      </c>
      <c r="R281" s="237" t="s">
        <v>309</v>
      </c>
      <c r="S281" s="331" t="s">
        <v>233</v>
      </c>
      <c r="T281" s="237" t="s">
        <v>228</v>
      </c>
      <c r="U281" s="237" t="s">
        <v>234</v>
      </c>
      <c r="V281" s="237" t="s">
        <v>652</v>
      </c>
      <c r="W281" s="245">
        <v>45947</v>
      </c>
      <c r="X281" s="237" t="s">
        <v>1913</v>
      </c>
      <c r="Y281" s="237" t="s">
        <v>237</v>
      </c>
      <c r="Z281" s="237" t="s">
        <v>228</v>
      </c>
      <c r="AA281" s="237" t="s">
        <v>1914</v>
      </c>
      <c r="AB281" s="337" t="s">
        <v>228</v>
      </c>
      <c r="AC281" s="237" t="s">
        <v>228</v>
      </c>
      <c r="AD281" s="562"/>
      <c r="AE281" s="550"/>
      <c r="AF281" s="237"/>
    </row>
    <row r="282" spans="1:130" s="306" customFormat="1" ht="13.5" customHeight="1">
      <c r="A282" s="235">
        <v>280</v>
      </c>
      <c r="B282" s="264"/>
      <c r="C282" s="315" t="s">
        <v>1915</v>
      </c>
      <c r="D282" s="264" t="s">
        <v>1916</v>
      </c>
      <c r="E282" s="264">
        <v>40</v>
      </c>
      <c r="F282" s="264" t="s">
        <v>75</v>
      </c>
      <c r="G282" s="264" t="s">
        <v>1917</v>
      </c>
      <c r="H282" s="289" t="s">
        <v>15</v>
      </c>
      <c r="I282" s="289"/>
      <c r="K282" s="290" t="s">
        <v>159</v>
      </c>
      <c r="L282" s="289" t="s">
        <v>358</v>
      </c>
      <c r="M282" s="289" t="s">
        <v>231</v>
      </c>
      <c r="N282" s="264"/>
      <c r="O282" s="264"/>
      <c r="P282" s="264"/>
      <c r="Q282" s="314">
        <v>45757</v>
      </c>
      <c r="R282" s="264" t="s">
        <v>309</v>
      </c>
      <c r="S282" s="366" t="s">
        <v>233</v>
      </c>
      <c r="T282" s="264" t="s">
        <v>228</v>
      </c>
      <c r="U282" s="264" t="s">
        <v>234</v>
      </c>
      <c r="V282" s="264" t="s">
        <v>652</v>
      </c>
      <c r="W282" s="314">
        <v>45947</v>
      </c>
      <c r="X282" s="264" t="s">
        <v>1918</v>
      </c>
      <c r="Y282" s="264" t="s">
        <v>237</v>
      </c>
      <c r="Z282" s="237" t="s">
        <v>228</v>
      </c>
      <c r="AA282" s="264" t="s">
        <v>1919</v>
      </c>
      <c r="AB282" s="364" t="s">
        <v>228</v>
      </c>
      <c r="AC282" s="264" t="s">
        <v>228</v>
      </c>
      <c r="AD282" s="567"/>
      <c r="AE282" s="558"/>
      <c r="AF282" s="264"/>
      <c r="AG282" s="309"/>
      <c r="AH282" s="309"/>
      <c r="AI282" s="309"/>
      <c r="AJ282" s="309"/>
      <c r="AK282" s="309"/>
      <c r="AL282" s="309"/>
      <c r="AM282" s="309"/>
      <c r="AN282" s="309"/>
      <c r="AO282" s="309"/>
      <c r="AP282" s="309"/>
      <c r="AQ282" s="309"/>
      <c r="AR282" s="309"/>
      <c r="AS282" s="309"/>
      <c r="AT282" s="309"/>
      <c r="AU282" s="309"/>
      <c r="AV282" s="309"/>
      <c r="AW282" s="309"/>
      <c r="AX282" s="309"/>
      <c r="AY282" s="309"/>
      <c r="AZ282" s="309"/>
      <c r="BA282" s="309"/>
      <c r="BB282" s="309"/>
      <c r="BC282" s="309"/>
      <c r="BD282" s="309"/>
      <c r="BE282" s="309"/>
      <c r="BF282" s="309"/>
      <c r="BG282" s="309"/>
      <c r="BH282" s="309"/>
      <c r="BI282" s="309"/>
      <c r="BJ282" s="309"/>
      <c r="BK282" s="309"/>
      <c r="BL282" s="309"/>
      <c r="BM282" s="309"/>
      <c r="BN282" s="309"/>
      <c r="BO282" s="309"/>
      <c r="BP282" s="309"/>
      <c r="BQ282" s="309"/>
      <c r="BR282" s="309"/>
      <c r="BS282" s="309"/>
      <c r="BT282" s="309"/>
      <c r="BU282" s="309"/>
      <c r="BV282" s="309"/>
      <c r="BW282" s="309"/>
      <c r="BX282" s="309"/>
      <c r="BY282" s="309"/>
      <c r="BZ282" s="309"/>
      <c r="CA282" s="309"/>
      <c r="CB282" s="309"/>
      <c r="CC282" s="309"/>
      <c r="CD282" s="309"/>
      <c r="CE282" s="309"/>
      <c r="CF282" s="309"/>
      <c r="CG282" s="309"/>
      <c r="CH282" s="309"/>
      <c r="CI282" s="309"/>
      <c r="CJ282" s="309"/>
      <c r="CK282" s="309"/>
      <c r="CL282" s="309"/>
      <c r="CM282" s="309"/>
      <c r="CN282" s="309"/>
      <c r="CO282" s="309"/>
      <c r="CP282" s="309"/>
      <c r="CQ282" s="309"/>
      <c r="CR282" s="309"/>
      <c r="CS282" s="309"/>
      <c r="CT282" s="309"/>
      <c r="CU282" s="309"/>
      <c r="CV282" s="309"/>
      <c r="CW282" s="309"/>
      <c r="CX282" s="309"/>
      <c r="CY282" s="309"/>
      <c r="CZ282" s="309"/>
      <c r="DA282" s="309"/>
      <c r="DB282" s="309"/>
      <c r="DC282" s="309"/>
      <c r="DD282" s="309"/>
      <c r="DE282" s="309"/>
      <c r="DF282" s="309"/>
      <c r="DG282" s="309"/>
      <c r="DH282" s="309"/>
      <c r="DI282" s="309"/>
      <c r="DJ282" s="309"/>
      <c r="DK282" s="309"/>
      <c r="DL282" s="309"/>
      <c r="DM282" s="309"/>
      <c r="DN282" s="309"/>
      <c r="DO282" s="309"/>
      <c r="DP282" s="309"/>
      <c r="DQ282" s="309"/>
      <c r="DR282" s="309"/>
      <c r="DS282" s="309"/>
      <c r="DT282" s="309"/>
      <c r="DU282" s="309"/>
      <c r="DV282" s="309"/>
      <c r="DW282" s="309"/>
      <c r="DX282" s="309"/>
      <c r="DY282" s="309"/>
      <c r="DZ282" s="310"/>
    </row>
    <row r="283" spans="1:130" ht="13.5" customHeight="1">
      <c r="A283" s="235">
        <v>281</v>
      </c>
      <c r="B283" s="237">
        <v>155</v>
      </c>
      <c r="C283" s="256" t="s">
        <v>1920</v>
      </c>
      <c r="D283" s="237" t="s">
        <v>1921</v>
      </c>
      <c r="E283" s="237">
        <v>38</v>
      </c>
      <c r="F283" s="237" t="s">
        <v>75</v>
      </c>
      <c r="G283" s="237" t="s">
        <v>274</v>
      </c>
      <c r="H283" s="243" t="s">
        <v>15</v>
      </c>
      <c r="I283" s="243"/>
      <c r="K283" s="240" t="s">
        <v>97</v>
      </c>
      <c r="L283" s="243" t="s">
        <v>1922</v>
      </c>
      <c r="M283" s="246" t="s">
        <v>228</v>
      </c>
      <c r="N283" s="237"/>
      <c r="O283" s="237"/>
      <c r="P283" s="237"/>
      <c r="Q283" s="245">
        <v>45759</v>
      </c>
      <c r="R283" s="237" t="s">
        <v>309</v>
      </c>
      <c r="S283" s="331" t="s">
        <v>233</v>
      </c>
      <c r="T283" s="237" t="s">
        <v>228</v>
      </c>
      <c r="U283" s="237" t="s">
        <v>234</v>
      </c>
      <c r="V283" s="237" t="s">
        <v>652</v>
      </c>
      <c r="W283" s="245">
        <v>45947</v>
      </c>
      <c r="X283" s="237" t="s">
        <v>1652</v>
      </c>
      <c r="Y283" s="237" t="s">
        <v>588</v>
      </c>
      <c r="Z283" s="237" t="s">
        <v>228</v>
      </c>
      <c r="AA283" s="237" t="s">
        <v>1923</v>
      </c>
      <c r="AB283" s="337" t="s">
        <v>228</v>
      </c>
      <c r="AC283" s="237" t="s">
        <v>228</v>
      </c>
      <c r="AD283" s="566"/>
      <c r="AE283" s="551"/>
      <c r="AF283" s="237"/>
    </row>
    <row r="284" spans="1:130" ht="13.5" customHeight="1">
      <c r="A284" s="235">
        <v>282</v>
      </c>
      <c r="B284" s="237"/>
      <c r="C284" s="256" t="s">
        <v>1924</v>
      </c>
      <c r="D284" s="237" t="s">
        <v>1925</v>
      </c>
      <c r="E284" s="237">
        <v>41</v>
      </c>
      <c r="F284" s="237" t="s">
        <v>60</v>
      </c>
      <c r="G284" s="237" t="s">
        <v>1926</v>
      </c>
      <c r="H284" s="243" t="s">
        <v>15</v>
      </c>
      <c r="I284" s="243"/>
      <c r="K284" s="240" t="s">
        <v>163</v>
      </c>
      <c r="L284" s="243" t="s">
        <v>348</v>
      </c>
      <c r="M284" s="243" t="s">
        <v>231</v>
      </c>
      <c r="N284" s="237"/>
      <c r="O284" s="237"/>
      <c r="P284" s="237"/>
      <c r="Q284" s="245">
        <v>45742</v>
      </c>
      <c r="R284" s="237" t="s">
        <v>309</v>
      </c>
      <c r="S284" s="331" t="s">
        <v>233</v>
      </c>
      <c r="T284" s="237" t="s">
        <v>228</v>
      </c>
      <c r="U284" s="237" t="s">
        <v>234</v>
      </c>
      <c r="V284" s="237" t="s">
        <v>652</v>
      </c>
      <c r="W284" s="245">
        <v>45947</v>
      </c>
      <c r="X284" s="237" t="s">
        <v>1927</v>
      </c>
      <c r="Y284" s="237" t="s">
        <v>237</v>
      </c>
      <c r="Z284" s="237" t="s">
        <v>228</v>
      </c>
      <c r="AA284" s="237" t="s">
        <v>1928</v>
      </c>
      <c r="AB284" s="337" t="s">
        <v>228</v>
      </c>
      <c r="AC284" s="237" t="s">
        <v>228</v>
      </c>
      <c r="AD284" s="566"/>
      <c r="AE284" s="551"/>
      <c r="AF284" s="237"/>
    </row>
    <row r="285" spans="1:130" s="306" customFormat="1" ht="13.5" customHeight="1">
      <c r="A285" s="235">
        <v>283</v>
      </c>
      <c r="B285" s="264"/>
      <c r="C285" s="315" t="s">
        <v>1929</v>
      </c>
      <c r="D285" s="264" t="s">
        <v>1930</v>
      </c>
      <c r="E285" s="264">
        <v>29</v>
      </c>
      <c r="F285" s="264" t="s">
        <v>75</v>
      </c>
      <c r="G285" s="264" t="s">
        <v>1931</v>
      </c>
      <c r="H285" s="289" t="s">
        <v>15</v>
      </c>
      <c r="I285" s="289"/>
      <c r="K285" s="290" t="s">
        <v>157</v>
      </c>
      <c r="L285" s="289" t="s">
        <v>1898</v>
      </c>
      <c r="M285" s="289" t="s">
        <v>231</v>
      </c>
      <c r="N285" s="264"/>
      <c r="O285" s="264"/>
      <c r="P285" s="264"/>
      <c r="Q285" s="314">
        <v>45468</v>
      </c>
      <c r="R285" s="264" t="s">
        <v>309</v>
      </c>
      <c r="S285" s="366" t="s">
        <v>233</v>
      </c>
      <c r="T285" s="264" t="s">
        <v>228</v>
      </c>
      <c r="U285" s="264" t="s">
        <v>234</v>
      </c>
      <c r="V285" s="264" t="s">
        <v>652</v>
      </c>
      <c r="W285" s="314">
        <v>45947</v>
      </c>
      <c r="X285" s="264" t="s">
        <v>1932</v>
      </c>
      <c r="Y285" s="264" t="s">
        <v>237</v>
      </c>
      <c r="Z285" s="237" t="s">
        <v>228</v>
      </c>
      <c r="AA285" s="264" t="s">
        <v>1933</v>
      </c>
      <c r="AB285" s="364" t="s">
        <v>237</v>
      </c>
      <c r="AC285" s="237" t="s">
        <v>228</v>
      </c>
      <c r="AD285" s="567"/>
      <c r="AE285" s="558"/>
      <c r="AF285" s="264"/>
      <c r="AG285" s="309"/>
      <c r="AH285" s="309"/>
      <c r="AI285" s="309"/>
      <c r="AJ285" s="309"/>
      <c r="AK285" s="309"/>
      <c r="AL285" s="309"/>
      <c r="AM285" s="309"/>
      <c r="AN285" s="309"/>
      <c r="AO285" s="309"/>
      <c r="AP285" s="309"/>
      <c r="AQ285" s="309"/>
      <c r="AR285" s="309"/>
      <c r="AS285" s="309"/>
      <c r="AT285" s="309"/>
      <c r="AU285" s="309"/>
      <c r="AV285" s="309"/>
      <c r="AW285" s="309"/>
      <c r="AX285" s="309"/>
      <c r="AY285" s="309"/>
      <c r="AZ285" s="309"/>
      <c r="BA285" s="309"/>
      <c r="BB285" s="309"/>
      <c r="BC285" s="309"/>
      <c r="BD285" s="309"/>
      <c r="BE285" s="309"/>
      <c r="BF285" s="309"/>
      <c r="BG285" s="309"/>
      <c r="BH285" s="309"/>
      <c r="BI285" s="309"/>
      <c r="BJ285" s="309"/>
      <c r="BK285" s="309"/>
      <c r="BL285" s="309"/>
      <c r="BM285" s="309"/>
      <c r="BN285" s="309"/>
      <c r="BO285" s="309"/>
      <c r="BP285" s="309"/>
      <c r="BQ285" s="309"/>
      <c r="BR285" s="309"/>
      <c r="BS285" s="309"/>
      <c r="BT285" s="309"/>
      <c r="BU285" s="309"/>
      <c r="BV285" s="309"/>
      <c r="BW285" s="309"/>
      <c r="BX285" s="309"/>
      <c r="BY285" s="309"/>
      <c r="BZ285" s="309"/>
      <c r="CA285" s="309"/>
      <c r="CB285" s="309"/>
      <c r="CC285" s="309"/>
      <c r="CD285" s="309"/>
      <c r="CE285" s="309"/>
      <c r="CF285" s="309"/>
      <c r="CG285" s="309"/>
      <c r="CH285" s="309"/>
      <c r="CI285" s="309"/>
      <c r="CJ285" s="309"/>
      <c r="CK285" s="309"/>
      <c r="CL285" s="309"/>
      <c r="CM285" s="309"/>
      <c r="CN285" s="309"/>
      <c r="CO285" s="309"/>
      <c r="CP285" s="309"/>
      <c r="CQ285" s="309"/>
      <c r="CR285" s="309"/>
      <c r="CS285" s="309"/>
      <c r="CT285" s="309"/>
      <c r="CU285" s="309"/>
      <c r="CV285" s="309"/>
      <c r="CW285" s="309"/>
      <c r="CX285" s="309"/>
      <c r="CY285" s="309"/>
      <c r="CZ285" s="309"/>
      <c r="DA285" s="309"/>
      <c r="DB285" s="309"/>
      <c r="DC285" s="309"/>
      <c r="DD285" s="309"/>
      <c r="DE285" s="309"/>
      <c r="DF285" s="309"/>
      <c r="DG285" s="309"/>
      <c r="DH285" s="309"/>
      <c r="DI285" s="309"/>
      <c r="DJ285" s="309"/>
      <c r="DK285" s="309"/>
      <c r="DL285" s="309"/>
      <c r="DM285" s="309"/>
      <c r="DN285" s="309"/>
      <c r="DO285" s="309"/>
      <c r="DP285" s="309"/>
      <c r="DQ285" s="309"/>
      <c r="DR285" s="309"/>
      <c r="DS285" s="309"/>
      <c r="DT285" s="309"/>
      <c r="DU285" s="309"/>
      <c r="DV285" s="309"/>
      <c r="DW285" s="309"/>
      <c r="DX285" s="309"/>
      <c r="DY285" s="309"/>
      <c r="DZ285" s="310"/>
    </row>
    <row r="286" spans="1:130" ht="13.5" customHeight="1">
      <c r="A286" s="235">
        <v>284</v>
      </c>
      <c r="B286" s="237">
        <v>397</v>
      </c>
      <c r="C286" s="256" t="s">
        <v>1934</v>
      </c>
      <c r="D286" s="237" t="s">
        <v>1935</v>
      </c>
      <c r="E286" s="237">
        <v>22</v>
      </c>
      <c r="F286" s="237" t="s">
        <v>424</v>
      </c>
      <c r="G286" s="237" t="s">
        <v>1936</v>
      </c>
      <c r="H286" s="243" t="s">
        <v>18</v>
      </c>
      <c r="I286" s="243" t="s">
        <v>1937</v>
      </c>
      <c r="K286" s="240"/>
      <c r="L286" s="243"/>
      <c r="M286" s="243" t="s">
        <v>31</v>
      </c>
      <c r="N286" s="237"/>
      <c r="O286" s="237"/>
      <c r="P286" s="237"/>
      <c r="Q286" s="245">
        <v>45643</v>
      </c>
      <c r="R286" s="237" t="s">
        <v>309</v>
      </c>
      <c r="S286" s="331" t="s">
        <v>233</v>
      </c>
      <c r="T286" s="237">
        <v>8.1999999999999993</v>
      </c>
      <c r="U286" s="237" t="s">
        <v>298</v>
      </c>
      <c r="V286" s="237" t="s">
        <v>797</v>
      </c>
      <c r="W286" s="245">
        <v>45685</v>
      </c>
      <c r="X286" s="237" t="s">
        <v>1938</v>
      </c>
      <c r="Y286" s="237" t="s">
        <v>237</v>
      </c>
      <c r="Z286" s="237" t="s">
        <v>237</v>
      </c>
      <c r="AA286" s="237" t="s">
        <v>1939</v>
      </c>
      <c r="AB286" s="337" t="s">
        <v>237</v>
      </c>
      <c r="AC286" s="55" t="s">
        <v>353</v>
      </c>
      <c r="AD286" s="563">
        <v>45841</v>
      </c>
      <c r="AE286" s="551"/>
      <c r="AF286" s="237"/>
    </row>
    <row r="287" spans="1:130" ht="13.5" customHeight="1">
      <c r="A287" s="235">
        <v>285</v>
      </c>
      <c r="B287" s="237">
        <v>238</v>
      </c>
      <c r="C287" s="243" t="s">
        <v>1940</v>
      </c>
      <c r="D287" s="237" t="s">
        <v>1941</v>
      </c>
      <c r="E287" s="237">
        <v>40</v>
      </c>
      <c r="F287" s="237" t="s">
        <v>75</v>
      </c>
      <c r="G287" s="237" t="s">
        <v>1942</v>
      </c>
      <c r="H287" s="243" t="s">
        <v>27</v>
      </c>
      <c r="I287" s="243"/>
      <c r="J287" s="235" t="s">
        <v>433</v>
      </c>
      <c r="K287" s="243" t="s">
        <v>1943</v>
      </c>
      <c r="L287" s="237"/>
      <c r="M287" s="243" t="s">
        <v>32</v>
      </c>
      <c r="N287" s="237"/>
      <c r="O287" s="237"/>
      <c r="P287" s="237"/>
      <c r="Q287" s="245">
        <v>45582</v>
      </c>
      <c r="R287" s="237" t="s">
        <v>309</v>
      </c>
      <c r="S287" s="331" t="s">
        <v>233</v>
      </c>
      <c r="T287" s="237">
        <v>9.8000000000000007</v>
      </c>
      <c r="U287" s="237" t="s">
        <v>298</v>
      </c>
      <c r="V287" s="237" t="s">
        <v>235</v>
      </c>
      <c r="W287" s="245">
        <v>45624</v>
      </c>
      <c r="X287" s="237" t="s">
        <v>1944</v>
      </c>
      <c r="Y287" s="237" t="s">
        <v>237</v>
      </c>
      <c r="Z287" s="237" t="s">
        <v>237</v>
      </c>
      <c r="AA287" s="237" t="s">
        <v>1945</v>
      </c>
      <c r="AB287" s="337" t="s">
        <v>237</v>
      </c>
      <c r="AC287" s="237" t="s">
        <v>874</v>
      </c>
      <c r="AD287" s="562"/>
      <c r="AE287" s="550"/>
      <c r="AF287" s="237"/>
    </row>
    <row r="288" spans="1:130" ht="13.5" customHeight="1">
      <c r="A288" s="235">
        <v>286</v>
      </c>
      <c r="B288" s="237">
        <v>239</v>
      </c>
      <c r="C288" s="243" t="s">
        <v>1946</v>
      </c>
      <c r="D288" s="237" t="s">
        <v>1947</v>
      </c>
      <c r="E288" s="237">
        <v>32</v>
      </c>
      <c r="F288" s="237" t="s">
        <v>75</v>
      </c>
      <c r="G288" s="237" t="s">
        <v>1948</v>
      </c>
      <c r="H288" s="243" t="s">
        <v>27</v>
      </c>
      <c r="I288" s="243"/>
      <c r="J288" s="235" t="s">
        <v>433</v>
      </c>
      <c r="K288" s="240"/>
      <c r="L288" s="243" t="s">
        <v>231</v>
      </c>
      <c r="M288" s="243" t="s">
        <v>32</v>
      </c>
      <c r="N288" s="237"/>
      <c r="O288" s="237"/>
      <c r="P288" s="237"/>
      <c r="Q288" s="245">
        <v>45582</v>
      </c>
      <c r="R288" s="237" t="s">
        <v>309</v>
      </c>
      <c r="S288" s="331" t="s">
        <v>233</v>
      </c>
      <c r="T288" s="237">
        <v>9.1</v>
      </c>
      <c r="U288" s="237" t="s">
        <v>298</v>
      </c>
      <c r="V288" s="237" t="s">
        <v>235</v>
      </c>
      <c r="W288" s="245">
        <v>45624</v>
      </c>
      <c r="X288" s="237" t="s">
        <v>1949</v>
      </c>
      <c r="Y288" s="237" t="s">
        <v>237</v>
      </c>
      <c r="Z288" s="237" t="s">
        <v>237</v>
      </c>
      <c r="AA288" s="237" t="s">
        <v>1950</v>
      </c>
      <c r="AB288" s="337" t="s">
        <v>237</v>
      </c>
      <c r="AC288" s="237" t="s">
        <v>874</v>
      </c>
      <c r="AD288" s="562"/>
      <c r="AE288" s="550"/>
      <c r="AF288" s="237"/>
    </row>
    <row r="289" spans="1:32" ht="13.5" customHeight="1">
      <c r="A289" s="235">
        <v>287</v>
      </c>
      <c r="B289" s="237">
        <v>24</v>
      </c>
      <c r="C289" s="243" t="s">
        <v>1951</v>
      </c>
      <c r="D289" s="237" t="s">
        <v>1952</v>
      </c>
      <c r="E289" s="237">
        <v>39</v>
      </c>
      <c r="F289" s="237" t="s">
        <v>60</v>
      </c>
      <c r="G289" s="237" t="s">
        <v>1953</v>
      </c>
      <c r="H289" s="243" t="s">
        <v>27</v>
      </c>
      <c r="I289" s="243"/>
      <c r="J289" s="235" t="s">
        <v>433</v>
      </c>
      <c r="K289" s="240"/>
      <c r="L289" s="243" t="s">
        <v>231</v>
      </c>
      <c r="M289" s="243" t="s">
        <v>32</v>
      </c>
      <c r="N289" s="237"/>
      <c r="O289" s="237"/>
      <c r="P289" s="237"/>
      <c r="Q289" s="245">
        <v>45583</v>
      </c>
      <c r="R289" s="237" t="s">
        <v>309</v>
      </c>
      <c r="S289" s="331" t="s">
        <v>233</v>
      </c>
      <c r="T289" s="237">
        <v>8.5</v>
      </c>
      <c r="U289" s="237" t="s">
        <v>298</v>
      </c>
      <c r="V289" s="237" t="s">
        <v>235</v>
      </c>
      <c r="W289" s="245">
        <v>45624</v>
      </c>
      <c r="X289" s="237" t="s">
        <v>1954</v>
      </c>
      <c r="Y289" s="237" t="s">
        <v>237</v>
      </c>
      <c r="Z289" s="237" t="s">
        <v>237</v>
      </c>
      <c r="AA289" s="237" t="s">
        <v>1955</v>
      </c>
      <c r="AB289" s="337" t="s">
        <v>237</v>
      </c>
      <c r="AC289" s="237" t="s">
        <v>228</v>
      </c>
      <c r="AD289" s="562"/>
      <c r="AE289" s="550"/>
      <c r="AF289" s="237"/>
    </row>
    <row r="290" spans="1:32" ht="13.5" customHeight="1">
      <c r="A290" s="235">
        <v>288</v>
      </c>
      <c r="B290" s="237">
        <v>25</v>
      </c>
      <c r="C290" s="243" t="s">
        <v>1956</v>
      </c>
      <c r="D290" s="237" t="s">
        <v>1957</v>
      </c>
      <c r="E290" s="237">
        <v>60</v>
      </c>
      <c r="F290" s="237" t="s">
        <v>424</v>
      </c>
      <c r="G290" s="237" t="s">
        <v>1958</v>
      </c>
      <c r="H290" s="243" t="s">
        <v>27</v>
      </c>
      <c r="I290" s="243"/>
      <c r="J290" s="235" t="s">
        <v>433</v>
      </c>
      <c r="K290" s="240"/>
      <c r="L290" s="243" t="s">
        <v>231</v>
      </c>
      <c r="M290" s="243" t="s">
        <v>32</v>
      </c>
      <c r="N290" s="237"/>
      <c r="O290" s="237"/>
      <c r="P290" s="237"/>
      <c r="Q290" s="245">
        <v>45586</v>
      </c>
      <c r="R290" s="237" t="s">
        <v>309</v>
      </c>
      <c r="S290" s="331" t="s">
        <v>233</v>
      </c>
      <c r="T290" s="237">
        <v>7.9</v>
      </c>
      <c r="U290" s="237" t="s">
        <v>298</v>
      </c>
      <c r="V290" s="237" t="s">
        <v>235</v>
      </c>
      <c r="W290" s="245">
        <v>45624</v>
      </c>
      <c r="X290" s="237" t="s">
        <v>1959</v>
      </c>
      <c r="Y290" s="237" t="s">
        <v>237</v>
      </c>
      <c r="Z290" s="237" t="s">
        <v>237</v>
      </c>
      <c r="AA290" s="237" t="s">
        <v>1960</v>
      </c>
      <c r="AB290" s="337" t="s">
        <v>237</v>
      </c>
      <c r="AC290" s="237" t="s">
        <v>874</v>
      </c>
      <c r="AD290" s="562"/>
      <c r="AE290" s="550"/>
      <c r="AF290" s="237"/>
    </row>
    <row r="291" spans="1:32" ht="13.5" customHeight="1">
      <c r="A291" s="235">
        <v>289</v>
      </c>
      <c r="B291" s="237">
        <v>252</v>
      </c>
      <c r="C291" s="243" t="s">
        <v>1961</v>
      </c>
      <c r="D291" s="237" t="s">
        <v>1962</v>
      </c>
      <c r="E291" s="237">
        <v>60</v>
      </c>
      <c r="F291" s="237" t="s">
        <v>424</v>
      </c>
      <c r="G291" s="237" t="s">
        <v>1963</v>
      </c>
      <c r="H291" s="243" t="s">
        <v>27</v>
      </c>
      <c r="I291" s="243"/>
      <c r="J291" s="235" t="s">
        <v>433</v>
      </c>
      <c r="K291" s="240"/>
      <c r="L291" s="243" t="s">
        <v>231</v>
      </c>
      <c r="M291" s="243" t="s">
        <v>32</v>
      </c>
      <c r="N291" s="237"/>
      <c r="O291" s="237"/>
      <c r="P291" s="237"/>
      <c r="Q291" s="245">
        <v>45595</v>
      </c>
      <c r="R291" s="237" t="s">
        <v>309</v>
      </c>
      <c r="S291" s="331" t="s">
        <v>233</v>
      </c>
      <c r="T291" s="237">
        <v>7.9</v>
      </c>
      <c r="U291" s="237" t="s">
        <v>298</v>
      </c>
      <c r="V291" s="237" t="s">
        <v>235</v>
      </c>
      <c r="W291" s="245">
        <v>45637</v>
      </c>
      <c r="X291" s="237" t="s">
        <v>1964</v>
      </c>
      <c r="Y291" s="237" t="s">
        <v>237</v>
      </c>
      <c r="Z291" s="237" t="s">
        <v>237</v>
      </c>
      <c r="AA291" s="237" t="s">
        <v>1965</v>
      </c>
      <c r="AB291" s="337" t="s">
        <v>228</v>
      </c>
      <c r="AC291" s="237" t="s">
        <v>228</v>
      </c>
      <c r="AD291" s="562"/>
      <c r="AE291" s="550"/>
      <c r="AF291" s="237"/>
    </row>
    <row r="292" spans="1:32" ht="13.5" customHeight="1">
      <c r="A292" s="235">
        <v>290</v>
      </c>
      <c r="B292" s="237">
        <v>28</v>
      </c>
      <c r="C292" s="243" t="s">
        <v>1966</v>
      </c>
      <c r="D292" s="237" t="s">
        <v>1967</v>
      </c>
      <c r="E292" s="237">
        <v>35</v>
      </c>
      <c r="F292" s="237" t="s">
        <v>424</v>
      </c>
      <c r="G292" s="237" t="s">
        <v>1968</v>
      </c>
      <c r="H292" s="243" t="s">
        <v>27</v>
      </c>
      <c r="I292" s="243"/>
      <c r="J292" s="235" t="s">
        <v>433</v>
      </c>
      <c r="K292" s="240"/>
      <c r="L292" s="243" t="s">
        <v>231</v>
      </c>
      <c r="M292" s="243" t="s">
        <v>32</v>
      </c>
      <c r="N292" s="237"/>
      <c r="O292" s="237"/>
      <c r="P292" s="237"/>
      <c r="Q292" s="245">
        <v>45607</v>
      </c>
      <c r="R292" s="237" t="s">
        <v>309</v>
      </c>
      <c r="S292" s="331" t="s">
        <v>233</v>
      </c>
      <c r="T292" s="237">
        <v>8.3000000000000007</v>
      </c>
      <c r="U292" s="237" t="s">
        <v>234</v>
      </c>
      <c r="V292" s="237" t="s">
        <v>235</v>
      </c>
      <c r="W292" s="245">
        <v>45666</v>
      </c>
      <c r="X292" s="237" t="s">
        <v>1969</v>
      </c>
      <c r="Y292" s="237" t="s">
        <v>237</v>
      </c>
      <c r="Z292" s="237" t="s">
        <v>237</v>
      </c>
      <c r="AA292" s="237" t="s">
        <v>1970</v>
      </c>
      <c r="AB292" s="337" t="s">
        <v>228</v>
      </c>
      <c r="AC292" s="237" t="s">
        <v>228</v>
      </c>
      <c r="AD292" s="562"/>
      <c r="AE292" s="550"/>
      <c r="AF292" s="237"/>
    </row>
    <row r="293" spans="1:32" ht="13.5" customHeight="1">
      <c r="A293" s="235">
        <v>291</v>
      </c>
      <c r="B293" s="237">
        <v>281</v>
      </c>
      <c r="C293" s="243" t="s">
        <v>1971</v>
      </c>
      <c r="D293" s="237" t="s">
        <v>1972</v>
      </c>
      <c r="E293" s="237">
        <v>33</v>
      </c>
      <c r="F293" s="237" t="s">
        <v>424</v>
      </c>
      <c r="G293" s="237" t="s">
        <v>1973</v>
      </c>
      <c r="H293" s="243" t="s">
        <v>27</v>
      </c>
      <c r="I293" s="243"/>
      <c r="J293" s="235" t="s">
        <v>433</v>
      </c>
      <c r="K293" s="240"/>
      <c r="L293" s="243" t="s">
        <v>231</v>
      </c>
      <c r="M293" s="243" t="s">
        <v>32</v>
      </c>
      <c r="N293" s="237"/>
      <c r="O293" s="237"/>
      <c r="P293" s="237"/>
      <c r="Q293" s="245">
        <v>45607</v>
      </c>
      <c r="R293" s="237" t="s">
        <v>309</v>
      </c>
      <c r="S293" s="331" t="s">
        <v>233</v>
      </c>
      <c r="T293" s="237">
        <v>8.4</v>
      </c>
      <c r="U293" s="237" t="s">
        <v>234</v>
      </c>
      <c r="V293" s="237" t="s">
        <v>235</v>
      </c>
      <c r="W293" s="245">
        <v>45666</v>
      </c>
      <c r="X293" s="237" t="s">
        <v>1974</v>
      </c>
      <c r="Y293" s="237" t="s">
        <v>237</v>
      </c>
      <c r="Z293" s="237" t="s">
        <v>237</v>
      </c>
      <c r="AA293" s="237" t="s">
        <v>1975</v>
      </c>
      <c r="AB293" s="337" t="s">
        <v>228</v>
      </c>
      <c r="AC293" s="237" t="s">
        <v>228</v>
      </c>
      <c r="AD293" s="562"/>
      <c r="AE293" s="550"/>
      <c r="AF293" s="237"/>
    </row>
    <row r="294" spans="1:32" ht="13.5" customHeight="1">
      <c r="A294" s="235">
        <v>292</v>
      </c>
      <c r="B294" s="237">
        <v>282</v>
      </c>
      <c r="C294" s="243" t="s">
        <v>1976</v>
      </c>
      <c r="D294" s="237" t="s">
        <v>1977</v>
      </c>
      <c r="E294" s="237">
        <v>38</v>
      </c>
      <c r="F294" s="237" t="s">
        <v>1099</v>
      </c>
      <c r="G294" s="237" t="s">
        <v>1978</v>
      </c>
      <c r="H294" s="243" t="s">
        <v>27</v>
      </c>
      <c r="I294" s="243"/>
      <c r="J294" s="235" t="s">
        <v>433</v>
      </c>
      <c r="K294" s="240"/>
      <c r="L294" s="243" t="s">
        <v>231</v>
      </c>
      <c r="M294" s="243" t="s">
        <v>32</v>
      </c>
      <c r="N294" s="237"/>
      <c r="O294" s="237"/>
      <c r="P294" s="237"/>
      <c r="Q294" s="245">
        <v>45607</v>
      </c>
      <c r="R294" s="237" t="s">
        <v>309</v>
      </c>
      <c r="S294" s="331" t="s">
        <v>233</v>
      </c>
      <c r="T294" s="237">
        <v>7.9</v>
      </c>
      <c r="U294" s="237" t="s">
        <v>234</v>
      </c>
      <c r="V294" s="237" t="s">
        <v>235</v>
      </c>
      <c r="W294" s="245">
        <v>45666</v>
      </c>
      <c r="X294" s="237" t="s">
        <v>1979</v>
      </c>
      <c r="Y294" s="237" t="s">
        <v>237</v>
      </c>
      <c r="Z294" s="237" t="s">
        <v>237</v>
      </c>
      <c r="AA294" s="237" t="s">
        <v>1980</v>
      </c>
      <c r="AB294" s="337" t="s">
        <v>237</v>
      </c>
      <c r="AC294" s="237" t="s">
        <v>228</v>
      </c>
      <c r="AD294" s="562"/>
      <c r="AE294" s="550"/>
      <c r="AF294" s="237"/>
    </row>
    <row r="295" spans="1:32" ht="13.5" customHeight="1">
      <c r="A295" s="235">
        <v>293</v>
      </c>
      <c r="B295" s="237">
        <v>283</v>
      </c>
      <c r="C295" s="243" t="s">
        <v>1981</v>
      </c>
      <c r="D295" s="237" t="s">
        <v>1982</v>
      </c>
      <c r="E295" s="237">
        <v>41</v>
      </c>
      <c r="F295" s="237" t="s">
        <v>1099</v>
      </c>
      <c r="G295" s="237" t="s">
        <v>1983</v>
      </c>
      <c r="H295" s="243" t="s">
        <v>27</v>
      </c>
      <c r="I295" s="243"/>
      <c r="J295" s="235" t="s">
        <v>433</v>
      </c>
      <c r="K295" s="240"/>
      <c r="L295" s="243" t="s">
        <v>231</v>
      </c>
      <c r="M295" s="243" t="s">
        <v>32</v>
      </c>
      <c r="N295" s="237"/>
      <c r="O295" s="237"/>
      <c r="P295" s="237"/>
      <c r="Q295" s="245">
        <v>45614</v>
      </c>
      <c r="R295" s="237" t="s">
        <v>309</v>
      </c>
      <c r="S295" s="331" t="s">
        <v>233</v>
      </c>
      <c r="T295" s="237">
        <v>8.1999999999999993</v>
      </c>
      <c r="U295" s="237" t="s">
        <v>234</v>
      </c>
      <c r="V295" s="237" t="s">
        <v>235</v>
      </c>
      <c r="W295" s="245">
        <v>45666</v>
      </c>
      <c r="X295" s="237" t="s">
        <v>1984</v>
      </c>
      <c r="Y295" s="237" t="s">
        <v>237</v>
      </c>
      <c r="Z295" s="237" t="s">
        <v>237</v>
      </c>
      <c r="AA295" s="237" t="s">
        <v>1985</v>
      </c>
      <c r="AB295" s="337" t="s">
        <v>237</v>
      </c>
      <c r="AC295" s="237" t="s">
        <v>874</v>
      </c>
      <c r="AD295" s="562"/>
      <c r="AE295" s="550"/>
      <c r="AF295" s="237"/>
    </row>
    <row r="296" spans="1:32" ht="13.5" customHeight="1">
      <c r="A296" s="235">
        <v>294</v>
      </c>
      <c r="B296" s="237">
        <v>284</v>
      </c>
      <c r="C296" s="243" t="s">
        <v>1986</v>
      </c>
      <c r="D296" s="237" t="s">
        <v>1987</v>
      </c>
      <c r="E296" s="237">
        <v>35</v>
      </c>
      <c r="F296" s="237" t="s">
        <v>424</v>
      </c>
      <c r="G296" s="237" t="s">
        <v>1988</v>
      </c>
      <c r="H296" s="243" t="s">
        <v>27</v>
      </c>
      <c r="I296" s="243"/>
      <c r="J296" s="235" t="s">
        <v>433</v>
      </c>
      <c r="K296" s="240"/>
      <c r="L296" s="243" t="s">
        <v>231</v>
      </c>
      <c r="M296" s="243" t="s">
        <v>32</v>
      </c>
      <c r="N296" s="237"/>
      <c r="O296" s="237"/>
      <c r="P296" s="237"/>
      <c r="Q296" s="245">
        <v>45614</v>
      </c>
      <c r="R296" s="237" t="s">
        <v>309</v>
      </c>
      <c r="S296" s="331" t="s">
        <v>233</v>
      </c>
      <c r="T296" s="237">
        <v>8.4</v>
      </c>
      <c r="U296" s="237" t="s">
        <v>234</v>
      </c>
      <c r="V296" s="237" t="s">
        <v>235</v>
      </c>
      <c r="W296" s="245">
        <v>45666</v>
      </c>
      <c r="X296" s="237" t="s">
        <v>1989</v>
      </c>
      <c r="Y296" s="237" t="s">
        <v>237</v>
      </c>
      <c r="Z296" s="237" t="s">
        <v>237</v>
      </c>
      <c r="AA296" s="237" t="s">
        <v>1990</v>
      </c>
      <c r="AB296" s="337" t="s">
        <v>228</v>
      </c>
      <c r="AC296" s="237" t="s">
        <v>228</v>
      </c>
      <c r="AD296" s="562"/>
      <c r="AE296" s="550"/>
      <c r="AF296" s="237"/>
    </row>
    <row r="297" spans="1:32" ht="13.5" customHeight="1">
      <c r="A297" s="235">
        <v>295</v>
      </c>
      <c r="B297" s="237">
        <v>285</v>
      </c>
      <c r="C297" s="243" t="s">
        <v>1991</v>
      </c>
      <c r="D297" s="237" t="s">
        <v>1992</v>
      </c>
      <c r="E297" s="237">
        <v>32</v>
      </c>
      <c r="F297" s="237" t="s">
        <v>1099</v>
      </c>
      <c r="G297" s="237" t="s">
        <v>1993</v>
      </c>
      <c r="H297" s="243" t="s">
        <v>27</v>
      </c>
      <c r="I297" s="243"/>
      <c r="J297" s="235" t="s">
        <v>433</v>
      </c>
      <c r="K297" s="240"/>
      <c r="L297" s="243" t="s">
        <v>231</v>
      </c>
      <c r="M297" s="243" t="s">
        <v>32</v>
      </c>
      <c r="N297" s="237"/>
      <c r="O297" s="237"/>
      <c r="P297" s="237"/>
      <c r="Q297" s="245">
        <v>45617</v>
      </c>
      <c r="R297" s="237" t="s">
        <v>309</v>
      </c>
      <c r="S297" s="331" t="s">
        <v>233</v>
      </c>
      <c r="T297" s="237">
        <v>8.1999999999999993</v>
      </c>
      <c r="U297" s="237" t="s">
        <v>234</v>
      </c>
      <c r="V297" s="237" t="s">
        <v>235</v>
      </c>
      <c r="W297" s="245">
        <v>45666</v>
      </c>
      <c r="X297" s="237" t="s">
        <v>1994</v>
      </c>
      <c r="Y297" s="237" t="s">
        <v>237</v>
      </c>
      <c r="Z297" s="237" t="s">
        <v>237</v>
      </c>
      <c r="AA297" s="237" t="s">
        <v>1995</v>
      </c>
      <c r="AB297" s="337" t="s">
        <v>228</v>
      </c>
      <c r="AC297" s="237" t="s">
        <v>228</v>
      </c>
      <c r="AD297" s="562"/>
      <c r="AE297" s="550"/>
      <c r="AF297" s="237"/>
    </row>
    <row r="298" spans="1:32" ht="13.5" customHeight="1">
      <c r="A298" s="235">
        <v>296</v>
      </c>
      <c r="B298" s="237">
        <v>286</v>
      </c>
      <c r="C298" s="243" t="s">
        <v>1996</v>
      </c>
      <c r="D298" s="237" t="s">
        <v>1997</v>
      </c>
      <c r="E298" s="237">
        <v>70</v>
      </c>
      <c r="F298" s="237" t="s">
        <v>424</v>
      </c>
      <c r="G298" s="237" t="s">
        <v>1998</v>
      </c>
      <c r="H298" s="243" t="s">
        <v>27</v>
      </c>
      <c r="I298" s="243"/>
      <c r="J298" s="235" t="s">
        <v>433</v>
      </c>
      <c r="K298" s="240"/>
      <c r="L298" s="243" t="s">
        <v>231</v>
      </c>
      <c r="M298" s="243" t="s">
        <v>32</v>
      </c>
      <c r="N298" s="237"/>
      <c r="O298" s="237"/>
      <c r="P298" s="237"/>
      <c r="Q298" s="245">
        <v>45617</v>
      </c>
      <c r="R298" s="237" t="s">
        <v>309</v>
      </c>
      <c r="S298" s="331" t="s">
        <v>233</v>
      </c>
      <c r="T298" s="237">
        <v>7.4</v>
      </c>
      <c r="U298" s="237" t="s">
        <v>234</v>
      </c>
      <c r="V298" s="237" t="s">
        <v>235</v>
      </c>
      <c r="W298" s="245">
        <v>45666</v>
      </c>
      <c r="X298" s="237" t="s">
        <v>1999</v>
      </c>
      <c r="Y298" s="237" t="s">
        <v>237</v>
      </c>
      <c r="Z298" s="237" t="s">
        <v>228</v>
      </c>
      <c r="AA298" s="237" t="s">
        <v>2000</v>
      </c>
      <c r="AB298" s="337" t="s">
        <v>228</v>
      </c>
      <c r="AC298" s="237" t="s">
        <v>228</v>
      </c>
      <c r="AD298" s="562"/>
      <c r="AE298" s="550"/>
      <c r="AF298" s="237"/>
    </row>
    <row r="299" spans="1:32" ht="13.5" customHeight="1">
      <c r="A299" s="235">
        <v>297</v>
      </c>
      <c r="B299" s="237">
        <v>293</v>
      </c>
      <c r="C299" s="243" t="s">
        <v>2001</v>
      </c>
      <c r="D299" s="237" t="s">
        <v>2002</v>
      </c>
      <c r="E299" s="237">
        <v>28</v>
      </c>
      <c r="F299" s="237" t="s">
        <v>424</v>
      </c>
      <c r="G299" s="237" t="s">
        <v>2003</v>
      </c>
      <c r="H299" s="243" t="s">
        <v>27</v>
      </c>
      <c r="I299" s="243"/>
      <c r="J299" s="235" t="s">
        <v>433</v>
      </c>
      <c r="K299" s="240"/>
      <c r="L299" s="243" t="s">
        <v>231</v>
      </c>
      <c r="M299" s="243" t="s">
        <v>32</v>
      </c>
      <c r="N299" s="237"/>
      <c r="O299" s="237"/>
      <c r="P299" s="237"/>
      <c r="Q299" s="245">
        <v>45621</v>
      </c>
      <c r="R299" s="237" t="s">
        <v>309</v>
      </c>
      <c r="S299" s="331" t="s">
        <v>233</v>
      </c>
      <c r="T299" s="237">
        <v>8.4</v>
      </c>
      <c r="U299" s="237" t="s">
        <v>234</v>
      </c>
      <c r="V299" s="237" t="s">
        <v>235</v>
      </c>
      <c r="W299" s="245">
        <v>45666</v>
      </c>
      <c r="X299" s="237" t="s">
        <v>2004</v>
      </c>
      <c r="Y299" s="237" t="s">
        <v>237</v>
      </c>
      <c r="Z299" s="237" t="s">
        <v>237</v>
      </c>
      <c r="AA299" s="237" t="s">
        <v>2005</v>
      </c>
      <c r="AB299" s="337" t="s">
        <v>228</v>
      </c>
      <c r="AC299" s="237" t="s">
        <v>228</v>
      </c>
      <c r="AD299" s="562"/>
      <c r="AE299" s="550"/>
      <c r="AF299" s="237"/>
    </row>
    <row r="300" spans="1:32" ht="13.5" customHeight="1">
      <c r="A300" s="235">
        <v>298</v>
      </c>
      <c r="B300" s="237">
        <v>297</v>
      </c>
      <c r="C300" s="243" t="s">
        <v>2006</v>
      </c>
      <c r="D300" s="237" t="s">
        <v>2007</v>
      </c>
      <c r="E300" s="237">
        <v>57</v>
      </c>
      <c r="F300" s="237" t="s">
        <v>60</v>
      </c>
      <c r="G300" s="237" t="s">
        <v>2008</v>
      </c>
      <c r="H300" s="243" t="s">
        <v>27</v>
      </c>
      <c r="I300" s="243"/>
      <c r="J300" s="235" t="s">
        <v>433</v>
      </c>
      <c r="K300" s="240"/>
      <c r="L300" s="243" t="s">
        <v>231</v>
      </c>
      <c r="M300" s="243" t="s">
        <v>2009</v>
      </c>
      <c r="N300" s="237"/>
      <c r="O300" s="237"/>
      <c r="P300" s="237"/>
      <c r="Q300" s="245">
        <v>45623</v>
      </c>
      <c r="R300" s="237" t="s">
        <v>309</v>
      </c>
      <c r="S300" s="331" t="s">
        <v>233</v>
      </c>
      <c r="T300" s="237">
        <v>8.5</v>
      </c>
      <c r="U300" s="237" t="s">
        <v>234</v>
      </c>
      <c r="V300" s="237" t="s">
        <v>235</v>
      </c>
      <c r="W300" s="245">
        <v>45677</v>
      </c>
      <c r="X300" s="237" t="s">
        <v>2010</v>
      </c>
      <c r="Y300" s="237" t="s">
        <v>237</v>
      </c>
      <c r="Z300" s="237" t="s">
        <v>237</v>
      </c>
      <c r="AA300" s="237" t="s">
        <v>2011</v>
      </c>
      <c r="AB300" s="337" t="s">
        <v>228</v>
      </c>
      <c r="AC300" s="237" t="s">
        <v>228</v>
      </c>
      <c r="AD300" s="562"/>
      <c r="AE300" s="550"/>
      <c r="AF300" s="237"/>
    </row>
    <row r="301" spans="1:32" ht="13.5" customHeight="1">
      <c r="A301" s="235">
        <v>299</v>
      </c>
      <c r="B301" s="237">
        <v>33</v>
      </c>
      <c r="C301" s="243" t="s">
        <v>2012</v>
      </c>
      <c r="D301" s="237" t="s">
        <v>2013</v>
      </c>
      <c r="E301" s="237">
        <v>51</v>
      </c>
      <c r="F301" s="237" t="s">
        <v>75</v>
      </c>
      <c r="G301" s="237" t="s">
        <v>2014</v>
      </c>
      <c r="H301" s="243" t="s">
        <v>27</v>
      </c>
      <c r="I301" s="243"/>
      <c r="J301" s="235" t="s">
        <v>433</v>
      </c>
      <c r="K301" s="240"/>
      <c r="L301" s="243" t="s">
        <v>231</v>
      </c>
      <c r="M301" s="243" t="s">
        <v>32</v>
      </c>
      <c r="N301" s="237"/>
      <c r="O301" s="237"/>
      <c r="P301" s="237"/>
      <c r="Q301" s="245">
        <v>45637</v>
      </c>
      <c r="R301" s="237" t="s">
        <v>309</v>
      </c>
      <c r="S301" s="331" t="s">
        <v>233</v>
      </c>
      <c r="T301" s="237">
        <v>8.5</v>
      </c>
      <c r="U301" s="237" t="s">
        <v>234</v>
      </c>
      <c r="V301" s="237" t="s">
        <v>235</v>
      </c>
      <c r="W301" s="245">
        <v>45687</v>
      </c>
      <c r="X301" s="237">
        <v>0</v>
      </c>
      <c r="Y301" s="237" t="s">
        <v>237</v>
      </c>
      <c r="Z301" s="237" t="s">
        <v>237</v>
      </c>
      <c r="AA301" s="237" t="s">
        <v>2015</v>
      </c>
      <c r="AB301" s="337" t="s">
        <v>228</v>
      </c>
      <c r="AC301" s="237" t="s">
        <v>228</v>
      </c>
      <c r="AD301" s="562"/>
      <c r="AE301" s="550"/>
      <c r="AF301" s="237"/>
    </row>
    <row r="302" spans="1:32" ht="13.5" customHeight="1">
      <c r="A302" s="235">
        <v>300</v>
      </c>
      <c r="B302" s="237">
        <v>342</v>
      </c>
      <c r="C302" s="243" t="s">
        <v>2016</v>
      </c>
      <c r="D302" s="237" t="s">
        <v>2017</v>
      </c>
      <c r="E302" s="237">
        <v>24</v>
      </c>
      <c r="F302" s="237" t="s">
        <v>75</v>
      </c>
      <c r="G302" s="237" t="s">
        <v>2018</v>
      </c>
      <c r="H302" s="243" t="s">
        <v>27</v>
      </c>
      <c r="I302" s="243"/>
      <c r="J302" s="235" t="s">
        <v>433</v>
      </c>
      <c r="K302" s="240"/>
      <c r="L302" s="243" t="s">
        <v>231</v>
      </c>
      <c r="M302" s="243" t="s">
        <v>32</v>
      </c>
      <c r="N302" s="237"/>
      <c r="O302" s="237"/>
      <c r="P302" s="237"/>
      <c r="Q302" s="245">
        <v>45638</v>
      </c>
      <c r="R302" s="237" t="s">
        <v>309</v>
      </c>
      <c r="S302" s="331" t="s">
        <v>233</v>
      </c>
      <c r="T302" s="237">
        <v>8.4</v>
      </c>
      <c r="U302" s="237" t="s">
        <v>234</v>
      </c>
      <c r="V302" s="237" t="s">
        <v>235</v>
      </c>
      <c r="W302" s="245">
        <v>45687</v>
      </c>
      <c r="X302" s="237" t="s">
        <v>2019</v>
      </c>
      <c r="Y302" s="237" t="s">
        <v>237</v>
      </c>
      <c r="Z302" s="237" t="s">
        <v>237</v>
      </c>
      <c r="AA302" s="237" t="s">
        <v>2020</v>
      </c>
      <c r="AB302" s="337" t="s">
        <v>228</v>
      </c>
      <c r="AC302" s="237" t="s">
        <v>228</v>
      </c>
      <c r="AD302" s="562"/>
      <c r="AE302" s="550"/>
      <c r="AF302" s="237"/>
    </row>
    <row r="303" spans="1:32" ht="13.5" customHeight="1">
      <c r="A303" s="235">
        <v>301</v>
      </c>
      <c r="B303" s="237">
        <v>355</v>
      </c>
      <c r="C303" s="243" t="s">
        <v>2021</v>
      </c>
      <c r="D303" s="237" t="s">
        <v>2022</v>
      </c>
      <c r="E303" s="237">
        <v>47</v>
      </c>
      <c r="F303" s="237" t="s">
        <v>75</v>
      </c>
      <c r="G303" s="237" t="s">
        <v>2023</v>
      </c>
      <c r="H303" s="243" t="s">
        <v>27</v>
      </c>
      <c r="I303" s="243"/>
      <c r="J303" s="235" t="s">
        <v>433</v>
      </c>
      <c r="K303" s="240"/>
      <c r="L303" s="243" t="s">
        <v>231</v>
      </c>
      <c r="M303" s="243" t="s">
        <v>32</v>
      </c>
      <c r="N303" s="237"/>
      <c r="O303" s="237"/>
      <c r="P303" s="237"/>
      <c r="Q303" s="245">
        <v>45642</v>
      </c>
      <c r="R303" s="237" t="s">
        <v>309</v>
      </c>
      <c r="S303" s="331" t="s">
        <v>233</v>
      </c>
      <c r="T303" s="237">
        <v>8.6999999999999993</v>
      </c>
      <c r="U303" s="237" t="s">
        <v>234</v>
      </c>
      <c r="V303" s="237" t="s">
        <v>235</v>
      </c>
      <c r="W303" s="245">
        <v>45687</v>
      </c>
      <c r="X303" s="237" t="s">
        <v>2024</v>
      </c>
      <c r="Y303" s="237" t="s">
        <v>237</v>
      </c>
      <c r="Z303" s="237" t="s">
        <v>237</v>
      </c>
      <c r="AA303" s="237" t="s">
        <v>2025</v>
      </c>
      <c r="AB303" s="337" t="s">
        <v>228</v>
      </c>
      <c r="AC303" s="237" t="s">
        <v>228</v>
      </c>
      <c r="AD303" s="562"/>
      <c r="AE303" s="550"/>
      <c r="AF303" s="237"/>
    </row>
    <row r="304" spans="1:32" ht="13.5" customHeight="1">
      <c r="A304" s="235">
        <v>302</v>
      </c>
      <c r="B304" s="237">
        <v>357</v>
      </c>
      <c r="C304" s="243" t="s">
        <v>2026</v>
      </c>
      <c r="D304" s="237" t="s">
        <v>2027</v>
      </c>
      <c r="E304" s="237">
        <v>58</v>
      </c>
      <c r="F304" s="237" t="s">
        <v>60</v>
      </c>
      <c r="G304" s="237" t="s">
        <v>2028</v>
      </c>
      <c r="H304" s="243" t="s">
        <v>27</v>
      </c>
      <c r="I304" s="243"/>
      <c r="J304" s="235" t="s">
        <v>433</v>
      </c>
      <c r="K304" s="240"/>
      <c r="L304" s="243" t="s">
        <v>231</v>
      </c>
      <c r="M304" s="243" t="s">
        <v>32</v>
      </c>
      <c r="N304" s="237"/>
      <c r="O304" s="237"/>
      <c r="P304" s="237"/>
      <c r="Q304" s="245">
        <v>45644</v>
      </c>
      <c r="R304" s="237" t="s">
        <v>309</v>
      </c>
      <c r="S304" s="331" t="s">
        <v>233</v>
      </c>
      <c r="T304" s="237">
        <v>8.4</v>
      </c>
      <c r="U304" s="237" t="s">
        <v>234</v>
      </c>
      <c r="V304" s="237" t="s">
        <v>235</v>
      </c>
      <c r="W304" s="245">
        <v>45687</v>
      </c>
      <c r="X304" s="237" t="s">
        <v>2029</v>
      </c>
      <c r="Y304" s="237" t="s">
        <v>237</v>
      </c>
      <c r="Z304" s="237" t="s">
        <v>237</v>
      </c>
      <c r="AA304" s="237" t="s">
        <v>2030</v>
      </c>
      <c r="AB304" s="337" t="s">
        <v>228</v>
      </c>
      <c r="AC304" s="237" t="s">
        <v>228</v>
      </c>
      <c r="AD304" s="562"/>
      <c r="AE304" s="550"/>
      <c r="AF304" s="237"/>
    </row>
    <row r="305" spans="1:32" ht="13.5" customHeight="1">
      <c r="A305" s="235">
        <v>303</v>
      </c>
      <c r="B305" s="237"/>
      <c r="C305" s="243" t="s">
        <v>2031</v>
      </c>
      <c r="D305" s="237" t="s">
        <v>2032</v>
      </c>
      <c r="E305" s="237">
        <v>57</v>
      </c>
      <c r="F305" s="237" t="s">
        <v>60</v>
      </c>
      <c r="G305" s="237" t="s">
        <v>2033</v>
      </c>
      <c r="H305" s="243" t="s">
        <v>27</v>
      </c>
      <c r="I305" s="243"/>
      <c r="J305" s="235" t="s">
        <v>433</v>
      </c>
      <c r="K305" s="240"/>
      <c r="L305" s="243" t="s">
        <v>231</v>
      </c>
      <c r="M305" s="243" t="s">
        <v>32</v>
      </c>
      <c r="N305" s="237"/>
      <c r="O305" s="237"/>
      <c r="P305" s="237"/>
      <c r="Q305" s="245">
        <v>45660</v>
      </c>
      <c r="R305" s="237" t="s">
        <v>309</v>
      </c>
      <c r="S305" s="331" t="s">
        <v>233</v>
      </c>
      <c r="T305" s="237">
        <v>9.1</v>
      </c>
      <c r="U305" s="237" t="s">
        <v>234</v>
      </c>
      <c r="V305" s="237" t="s">
        <v>797</v>
      </c>
      <c r="W305" s="245">
        <v>45685</v>
      </c>
      <c r="X305" s="237" t="s">
        <v>2034</v>
      </c>
      <c r="Y305" s="237" t="s">
        <v>588</v>
      </c>
      <c r="Z305" s="237" t="s">
        <v>228</v>
      </c>
      <c r="AA305" s="237" t="s">
        <v>2035</v>
      </c>
      <c r="AB305" s="337" t="s">
        <v>228</v>
      </c>
      <c r="AC305" s="237" t="s">
        <v>228</v>
      </c>
      <c r="AD305" s="562"/>
      <c r="AE305" s="550"/>
      <c r="AF305" s="237"/>
    </row>
    <row r="306" spans="1:32" ht="13.5" customHeight="1">
      <c r="A306" s="235">
        <v>304</v>
      </c>
      <c r="B306" s="237"/>
      <c r="C306" s="243" t="s">
        <v>2036</v>
      </c>
      <c r="D306" s="237" t="s">
        <v>2037</v>
      </c>
      <c r="E306" s="237">
        <v>33</v>
      </c>
      <c r="F306" s="237" t="s">
        <v>424</v>
      </c>
      <c r="G306" s="237" t="s">
        <v>2038</v>
      </c>
      <c r="H306" s="243" t="s">
        <v>27</v>
      </c>
      <c r="I306" s="243"/>
      <c r="J306" s="235" t="s">
        <v>433</v>
      </c>
      <c r="K306" s="240"/>
      <c r="L306" s="243" t="s">
        <v>231</v>
      </c>
      <c r="M306" s="246" t="s">
        <v>228</v>
      </c>
      <c r="N306" s="237"/>
      <c r="O306" s="237"/>
      <c r="P306" s="237"/>
      <c r="Q306" s="245">
        <v>45663</v>
      </c>
      <c r="R306" s="237" t="s">
        <v>309</v>
      </c>
      <c r="S306" s="331" t="s">
        <v>233</v>
      </c>
      <c r="T306" s="237">
        <v>9.1999999999999993</v>
      </c>
      <c r="U306" s="237" t="s">
        <v>234</v>
      </c>
      <c r="V306" s="237" t="s">
        <v>797</v>
      </c>
      <c r="W306" s="245">
        <v>45685</v>
      </c>
      <c r="X306" s="237" t="s">
        <v>2039</v>
      </c>
      <c r="Y306" s="237" t="s">
        <v>588</v>
      </c>
      <c r="Z306" s="237" t="s">
        <v>228</v>
      </c>
      <c r="AA306" s="237" t="s">
        <v>2040</v>
      </c>
      <c r="AB306" s="337" t="s">
        <v>228</v>
      </c>
      <c r="AC306" s="237" t="s">
        <v>228</v>
      </c>
      <c r="AD306" s="562"/>
      <c r="AE306" s="550"/>
      <c r="AF306" s="237"/>
    </row>
    <row r="307" spans="1:32" ht="13.5" customHeight="1">
      <c r="A307" s="235">
        <v>305</v>
      </c>
      <c r="B307" s="237"/>
      <c r="C307" s="255" t="s">
        <v>2041</v>
      </c>
      <c r="D307" s="237" t="s">
        <v>2042</v>
      </c>
      <c r="E307" s="237">
        <v>35</v>
      </c>
      <c r="F307" s="237" t="s">
        <v>75</v>
      </c>
      <c r="G307" s="237" t="s">
        <v>2043</v>
      </c>
      <c r="H307" s="243" t="s">
        <v>27</v>
      </c>
      <c r="I307" s="243"/>
      <c r="J307" s="235" t="s">
        <v>433</v>
      </c>
      <c r="K307" s="240"/>
      <c r="L307" s="243" t="s">
        <v>231</v>
      </c>
      <c r="M307" s="243" t="s">
        <v>1066</v>
      </c>
      <c r="N307" s="237"/>
      <c r="O307" s="237"/>
      <c r="P307" s="237"/>
      <c r="Q307" s="245">
        <v>45707</v>
      </c>
      <c r="R307" s="237" t="s">
        <v>309</v>
      </c>
      <c r="S307" s="331" t="s">
        <v>233</v>
      </c>
      <c r="T307" s="237" t="s">
        <v>228</v>
      </c>
      <c r="U307" s="237" t="s">
        <v>234</v>
      </c>
      <c r="V307" s="237" t="s">
        <v>652</v>
      </c>
      <c r="W307" s="245">
        <v>45889</v>
      </c>
      <c r="X307" s="237" t="s">
        <v>2044</v>
      </c>
      <c r="Y307" s="237" t="s">
        <v>237</v>
      </c>
      <c r="Z307" s="237" t="s">
        <v>237</v>
      </c>
      <c r="AA307" s="237" t="s">
        <v>2045</v>
      </c>
      <c r="AB307" s="337" t="s">
        <v>228</v>
      </c>
      <c r="AC307" s="237" t="s">
        <v>228</v>
      </c>
      <c r="AD307" s="562"/>
      <c r="AE307" s="555"/>
      <c r="AF307" s="237"/>
    </row>
    <row r="308" spans="1:32" ht="13.5" customHeight="1">
      <c r="A308" s="235">
        <v>306</v>
      </c>
      <c r="B308" s="237"/>
      <c r="C308" s="243" t="s">
        <v>2046</v>
      </c>
      <c r="D308" s="237" t="s">
        <v>2047</v>
      </c>
      <c r="E308" s="237">
        <v>33</v>
      </c>
      <c r="F308" s="237" t="s">
        <v>75</v>
      </c>
      <c r="G308" s="237" t="s">
        <v>2048</v>
      </c>
      <c r="H308" s="243" t="s">
        <v>188</v>
      </c>
      <c r="I308" s="243"/>
      <c r="K308" s="240"/>
      <c r="L308" s="243" t="s">
        <v>231</v>
      </c>
      <c r="M308" s="243" t="s">
        <v>32</v>
      </c>
      <c r="N308" s="237"/>
      <c r="O308" s="237"/>
      <c r="P308" s="237"/>
      <c r="Q308" s="245">
        <v>45672</v>
      </c>
      <c r="R308" s="237" t="s">
        <v>309</v>
      </c>
      <c r="S308" s="331" t="s">
        <v>233</v>
      </c>
      <c r="T308" s="237" t="s">
        <v>228</v>
      </c>
      <c r="U308" s="237" t="s">
        <v>234</v>
      </c>
      <c r="V308" s="237" t="s">
        <v>473</v>
      </c>
      <c r="W308" s="245">
        <v>45889</v>
      </c>
      <c r="X308" s="237" t="s">
        <v>2049</v>
      </c>
      <c r="Y308" s="237" t="s">
        <v>237</v>
      </c>
      <c r="Z308" s="237" t="s">
        <v>237</v>
      </c>
      <c r="AA308" s="237" t="s">
        <v>2050</v>
      </c>
      <c r="AB308" s="337" t="s">
        <v>228</v>
      </c>
      <c r="AC308" s="237" t="s">
        <v>228</v>
      </c>
      <c r="AD308" s="562"/>
      <c r="AE308" s="550"/>
      <c r="AF308" s="237"/>
    </row>
    <row r="309" spans="1:32" ht="13.5" customHeight="1">
      <c r="A309" s="235">
        <v>307</v>
      </c>
      <c r="B309" s="237"/>
      <c r="C309" s="243" t="s">
        <v>2051</v>
      </c>
      <c r="D309" s="237" t="s">
        <v>2052</v>
      </c>
      <c r="E309" s="237">
        <v>53</v>
      </c>
      <c r="F309" s="237" t="s">
        <v>60</v>
      </c>
      <c r="G309" s="237" t="s">
        <v>2053</v>
      </c>
      <c r="H309" s="243" t="s">
        <v>188</v>
      </c>
      <c r="I309" s="243"/>
      <c r="K309" s="240"/>
      <c r="L309" s="243" t="s">
        <v>231</v>
      </c>
      <c r="M309" s="243" t="s">
        <v>32</v>
      </c>
      <c r="N309" s="237"/>
      <c r="O309" s="237"/>
      <c r="P309" s="237"/>
      <c r="Q309" s="245">
        <v>45869</v>
      </c>
      <c r="R309" s="237" t="s">
        <v>309</v>
      </c>
      <c r="S309" s="331" t="s">
        <v>233</v>
      </c>
      <c r="T309" s="237" t="s">
        <v>228</v>
      </c>
      <c r="U309" s="237" t="s">
        <v>515</v>
      </c>
      <c r="V309" s="237" t="s">
        <v>473</v>
      </c>
      <c r="W309" s="245">
        <v>45889</v>
      </c>
      <c r="X309" s="237" t="s">
        <v>2054</v>
      </c>
      <c r="Y309" s="237" t="s">
        <v>237</v>
      </c>
      <c r="Z309" s="237" t="s">
        <v>237</v>
      </c>
      <c r="AA309" s="237" t="s">
        <v>2055</v>
      </c>
      <c r="AB309" s="337" t="s">
        <v>228</v>
      </c>
      <c r="AC309" s="237" t="s">
        <v>228</v>
      </c>
      <c r="AD309" s="562"/>
      <c r="AE309" s="550"/>
      <c r="AF309" s="237"/>
    </row>
    <row r="310" spans="1:32" ht="13.5" customHeight="1">
      <c r="A310" s="235">
        <v>308</v>
      </c>
      <c r="B310" s="237"/>
      <c r="C310" s="255" t="s">
        <v>2056</v>
      </c>
      <c r="D310" s="237" t="s">
        <v>2057</v>
      </c>
      <c r="E310" s="237">
        <v>29</v>
      </c>
      <c r="F310" s="237" t="s">
        <v>60</v>
      </c>
      <c r="G310" s="237" t="s">
        <v>2058</v>
      </c>
      <c r="H310" s="243" t="s">
        <v>27</v>
      </c>
      <c r="I310" s="243"/>
      <c r="J310" s="235" t="s">
        <v>433</v>
      </c>
      <c r="K310" s="243" t="s">
        <v>2059</v>
      </c>
      <c r="L310" s="243"/>
      <c r="M310" s="243" t="s">
        <v>32</v>
      </c>
      <c r="N310" s="237"/>
      <c r="O310" s="237"/>
      <c r="P310" s="237"/>
      <c r="Q310" s="245">
        <v>45692</v>
      </c>
      <c r="R310" s="237" t="s">
        <v>309</v>
      </c>
      <c r="S310" s="331" t="s">
        <v>233</v>
      </c>
      <c r="T310" s="237" t="s">
        <v>228</v>
      </c>
      <c r="U310" s="237" t="s">
        <v>234</v>
      </c>
      <c r="V310" s="237" t="s">
        <v>652</v>
      </c>
      <c r="W310" s="245">
        <v>45933</v>
      </c>
      <c r="X310" s="237" t="s">
        <v>2060</v>
      </c>
      <c r="Y310" s="237" t="s">
        <v>237</v>
      </c>
      <c r="Z310" s="237" t="s">
        <v>237</v>
      </c>
      <c r="AA310" s="237" t="s">
        <v>2061</v>
      </c>
      <c r="AB310" s="337" t="s">
        <v>228</v>
      </c>
      <c r="AC310" s="237" t="s">
        <v>228</v>
      </c>
      <c r="AD310" s="562"/>
      <c r="AE310" s="555"/>
      <c r="AF310" s="237"/>
    </row>
    <row r="311" spans="1:32" ht="13.5" customHeight="1">
      <c r="A311" s="235">
        <v>309</v>
      </c>
      <c r="B311" s="237"/>
      <c r="C311" s="255" t="s">
        <v>2062</v>
      </c>
      <c r="D311" s="237" t="s">
        <v>2063</v>
      </c>
      <c r="E311" s="237">
        <v>43</v>
      </c>
      <c r="F311" s="237" t="s">
        <v>75</v>
      </c>
      <c r="G311" s="237" t="s">
        <v>2064</v>
      </c>
      <c r="H311" s="243" t="s">
        <v>27</v>
      </c>
      <c r="I311" s="243"/>
      <c r="J311" s="235" t="s">
        <v>433</v>
      </c>
      <c r="K311" s="243" t="s">
        <v>32</v>
      </c>
      <c r="L311" s="243"/>
      <c r="M311" s="243" t="s">
        <v>528</v>
      </c>
      <c r="N311" s="237"/>
      <c r="O311" s="237"/>
      <c r="P311" s="237"/>
      <c r="Q311" s="245">
        <v>45693</v>
      </c>
      <c r="R311" s="237" t="s">
        <v>309</v>
      </c>
      <c r="S311" s="331" t="s">
        <v>233</v>
      </c>
      <c r="T311" s="237" t="s">
        <v>228</v>
      </c>
      <c r="U311" s="237" t="s">
        <v>234</v>
      </c>
      <c r="V311" s="237" t="s">
        <v>652</v>
      </c>
      <c r="W311" s="245">
        <v>45933</v>
      </c>
      <c r="X311" s="237" t="s">
        <v>2065</v>
      </c>
      <c r="Y311" s="237" t="s">
        <v>237</v>
      </c>
      <c r="Z311" s="237" t="s">
        <v>237</v>
      </c>
      <c r="AA311" s="237" t="s">
        <v>2066</v>
      </c>
      <c r="AB311" s="337" t="s">
        <v>228</v>
      </c>
      <c r="AC311" s="237" t="s">
        <v>228</v>
      </c>
      <c r="AD311" s="562"/>
      <c r="AE311" s="555"/>
      <c r="AF311" s="237"/>
    </row>
    <row r="312" spans="1:32" ht="13.5" customHeight="1">
      <c r="A312" s="235">
        <v>310</v>
      </c>
      <c r="B312" s="237"/>
      <c r="C312" s="255" t="s">
        <v>2067</v>
      </c>
      <c r="D312" s="237" t="s">
        <v>2068</v>
      </c>
      <c r="E312" s="237">
        <v>72</v>
      </c>
      <c r="F312" s="237" t="s">
        <v>60</v>
      </c>
      <c r="G312" s="237" t="s">
        <v>2069</v>
      </c>
      <c r="H312" s="243" t="s">
        <v>27</v>
      </c>
      <c r="I312" s="243"/>
      <c r="J312" s="235" t="s">
        <v>433</v>
      </c>
      <c r="K312" s="243" t="s">
        <v>170</v>
      </c>
      <c r="L312" s="243"/>
      <c r="M312" s="243" t="s">
        <v>2070</v>
      </c>
      <c r="N312" s="237"/>
      <c r="O312" s="237"/>
      <c r="P312" s="237"/>
      <c r="Q312" s="245">
        <v>45694</v>
      </c>
      <c r="R312" s="237" t="s">
        <v>309</v>
      </c>
      <c r="S312" s="331" t="s">
        <v>233</v>
      </c>
      <c r="T312" s="237" t="s">
        <v>228</v>
      </c>
      <c r="U312" s="237" t="s">
        <v>234</v>
      </c>
      <c r="V312" s="237" t="s">
        <v>652</v>
      </c>
      <c r="W312" s="245">
        <v>45933</v>
      </c>
      <c r="X312" s="237" t="s">
        <v>2071</v>
      </c>
      <c r="Y312" s="237" t="s">
        <v>237</v>
      </c>
      <c r="Z312" s="237" t="s">
        <v>237</v>
      </c>
      <c r="AA312" s="237" t="s">
        <v>2072</v>
      </c>
      <c r="AB312" s="337" t="s">
        <v>228</v>
      </c>
      <c r="AC312" s="237" t="s">
        <v>228</v>
      </c>
      <c r="AD312" s="562"/>
      <c r="AE312" s="555"/>
      <c r="AF312" s="237"/>
    </row>
    <row r="313" spans="1:32" ht="13.5" customHeight="1">
      <c r="A313" s="235">
        <v>311</v>
      </c>
      <c r="B313" s="237"/>
      <c r="C313" s="255" t="s">
        <v>2073</v>
      </c>
      <c r="D313" s="237" t="s">
        <v>2074</v>
      </c>
      <c r="E313" s="237">
        <v>33</v>
      </c>
      <c r="F313" s="237" t="s">
        <v>75</v>
      </c>
      <c r="G313" s="237" t="s">
        <v>2075</v>
      </c>
      <c r="H313" s="243" t="s">
        <v>27</v>
      </c>
      <c r="I313" s="243"/>
      <c r="J313" s="235" t="s">
        <v>433</v>
      </c>
      <c r="K313" s="243" t="s">
        <v>2076</v>
      </c>
      <c r="L313" s="243"/>
      <c r="M313" s="243" t="s">
        <v>32</v>
      </c>
      <c r="N313" s="237"/>
      <c r="O313" s="237"/>
      <c r="P313" s="237"/>
      <c r="Q313" s="245">
        <v>45699</v>
      </c>
      <c r="R313" s="237" t="s">
        <v>309</v>
      </c>
      <c r="S313" s="331" t="s">
        <v>233</v>
      </c>
      <c r="T313" s="237" t="s">
        <v>228</v>
      </c>
      <c r="U313" s="237" t="s">
        <v>234</v>
      </c>
      <c r="V313" s="237" t="s">
        <v>652</v>
      </c>
      <c r="W313" s="245">
        <v>45933</v>
      </c>
      <c r="X313" s="237" t="s">
        <v>2077</v>
      </c>
      <c r="Y313" s="237" t="s">
        <v>237</v>
      </c>
      <c r="Z313" s="237" t="s">
        <v>237</v>
      </c>
      <c r="AA313" s="237" t="s">
        <v>2078</v>
      </c>
      <c r="AB313" s="337" t="s">
        <v>228</v>
      </c>
      <c r="AC313" s="237" t="s">
        <v>228</v>
      </c>
      <c r="AD313" s="562"/>
      <c r="AE313" s="555"/>
      <c r="AF313" s="237"/>
    </row>
    <row r="314" spans="1:32" ht="13.5" customHeight="1">
      <c r="A314" s="235">
        <v>312</v>
      </c>
      <c r="B314" s="237"/>
      <c r="C314" s="255" t="s">
        <v>2079</v>
      </c>
      <c r="D314" s="237" t="s">
        <v>2080</v>
      </c>
      <c r="E314" s="237">
        <v>41</v>
      </c>
      <c r="F314" s="237" t="s">
        <v>75</v>
      </c>
      <c r="G314" s="237" t="s">
        <v>2081</v>
      </c>
      <c r="H314" s="243" t="s">
        <v>27</v>
      </c>
      <c r="I314" s="243"/>
      <c r="J314" s="235" t="s">
        <v>433</v>
      </c>
      <c r="K314" s="243" t="s">
        <v>183</v>
      </c>
      <c r="L314" s="243"/>
      <c r="M314" s="243" t="s">
        <v>32</v>
      </c>
      <c r="N314" s="237"/>
      <c r="O314" s="237"/>
      <c r="P314" s="237"/>
      <c r="Q314" s="245">
        <v>45700</v>
      </c>
      <c r="R314" s="237" t="s">
        <v>309</v>
      </c>
      <c r="S314" s="331" t="s">
        <v>233</v>
      </c>
      <c r="T314" s="237" t="s">
        <v>228</v>
      </c>
      <c r="U314" s="237" t="s">
        <v>234</v>
      </c>
      <c r="V314" s="237" t="s">
        <v>652</v>
      </c>
      <c r="W314" s="245">
        <v>45933</v>
      </c>
      <c r="X314" s="237" t="s">
        <v>2082</v>
      </c>
      <c r="Y314" s="237" t="s">
        <v>237</v>
      </c>
      <c r="Z314" s="237" t="s">
        <v>237</v>
      </c>
      <c r="AA314" s="237" t="s">
        <v>2083</v>
      </c>
      <c r="AB314" s="337" t="s">
        <v>228</v>
      </c>
      <c r="AC314" s="237" t="s">
        <v>228</v>
      </c>
      <c r="AD314" s="562"/>
      <c r="AE314" s="555"/>
      <c r="AF314" s="237"/>
    </row>
    <row r="315" spans="1:32" ht="13.5" customHeight="1">
      <c r="A315" s="235">
        <v>313</v>
      </c>
      <c r="B315" s="237"/>
      <c r="C315" s="255" t="s">
        <v>2084</v>
      </c>
      <c r="D315" s="237" t="s">
        <v>2085</v>
      </c>
      <c r="E315" s="237">
        <v>50</v>
      </c>
      <c r="F315" s="237" t="s">
        <v>60</v>
      </c>
      <c r="G315" s="237" t="s">
        <v>2086</v>
      </c>
      <c r="H315" s="243" t="s">
        <v>27</v>
      </c>
      <c r="I315" s="243"/>
      <c r="J315" s="235" t="s">
        <v>433</v>
      </c>
      <c r="K315" s="243" t="s">
        <v>170</v>
      </c>
      <c r="L315" s="243"/>
      <c r="M315" s="243" t="s">
        <v>2087</v>
      </c>
      <c r="N315" s="237"/>
      <c r="O315" s="237"/>
      <c r="P315" s="237"/>
      <c r="Q315" s="245">
        <v>45705</v>
      </c>
      <c r="R315" s="237" t="s">
        <v>309</v>
      </c>
      <c r="S315" s="331" t="s">
        <v>233</v>
      </c>
      <c r="T315" s="237" t="s">
        <v>228</v>
      </c>
      <c r="U315" s="237" t="s">
        <v>234</v>
      </c>
      <c r="V315" s="237" t="s">
        <v>652</v>
      </c>
      <c r="W315" s="245">
        <v>45933</v>
      </c>
      <c r="X315" s="237" t="s">
        <v>2088</v>
      </c>
      <c r="Y315" s="237" t="s">
        <v>237</v>
      </c>
      <c r="Z315" s="237" t="s">
        <v>237</v>
      </c>
      <c r="AA315" s="237" t="s">
        <v>2089</v>
      </c>
      <c r="AB315" s="337" t="s">
        <v>228</v>
      </c>
      <c r="AC315" s="237" t="s">
        <v>228</v>
      </c>
      <c r="AD315" s="562"/>
      <c r="AE315" s="555"/>
      <c r="AF315" s="237"/>
    </row>
    <row r="316" spans="1:32" ht="13.5" customHeight="1">
      <c r="A316" s="235">
        <v>314</v>
      </c>
      <c r="B316" s="237"/>
      <c r="C316" s="255" t="s">
        <v>2090</v>
      </c>
      <c r="D316" s="237" t="s">
        <v>2091</v>
      </c>
      <c r="E316" s="237">
        <v>29</v>
      </c>
      <c r="F316" s="237" t="s">
        <v>60</v>
      </c>
      <c r="G316" s="237" t="s">
        <v>2092</v>
      </c>
      <c r="H316" s="243" t="s">
        <v>27</v>
      </c>
      <c r="I316" s="243"/>
      <c r="J316" s="235" t="s">
        <v>433</v>
      </c>
      <c r="K316" s="243" t="s">
        <v>172</v>
      </c>
      <c r="L316" s="243"/>
      <c r="M316" s="243" t="s">
        <v>32</v>
      </c>
      <c r="N316" s="237"/>
      <c r="O316" s="237"/>
      <c r="P316" s="237"/>
      <c r="Q316" s="245">
        <v>45708</v>
      </c>
      <c r="R316" s="237" t="s">
        <v>309</v>
      </c>
      <c r="S316" s="331" t="s">
        <v>233</v>
      </c>
      <c r="T316" s="237" t="s">
        <v>228</v>
      </c>
      <c r="U316" s="237" t="s">
        <v>234</v>
      </c>
      <c r="V316" s="237" t="s">
        <v>473</v>
      </c>
      <c r="W316" s="245">
        <v>45933</v>
      </c>
      <c r="X316" s="237" t="s">
        <v>2093</v>
      </c>
      <c r="Y316" s="237" t="s">
        <v>237</v>
      </c>
      <c r="Z316" s="237" t="s">
        <v>237</v>
      </c>
      <c r="AA316" s="237" t="s">
        <v>2094</v>
      </c>
      <c r="AB316" s="337" t="s">
        <v>228</v>
      </c>
      <c r="AC316" s="237" t="s">
        <v>228</v>
      </c>
      <c r="AD316" s="562"/>
      <c r="AE316" s="555"/>
      <c r="AF316" s="237"/>
    </row>
    <row r="317" spans="1:32" ht="13.5" customHeight="1">
      <c r="A317" s="235">
        <v>315</v>
      </c>
      <c r="B317" s="237"/>
      <c r="C317" s="255" t="s">
        <v>2095</v>
      </c>
      <c r="D317" s="237" t="s">
        <v>2096</v>
      </c>
      <c r="E317" s="237">
        <v>82</v>
      </c>
      <c r="F317" s="237" t="s">
        <v>424</v>
      </c>
      <c r="G317" s="237" t="s">
        <v>2097</v>
      </c>
      <c r="H317" s="243" t="s">
        <v>27</v>
      </c>
      <c r="I317" s="243"/>
      <c r="J317" s="235" t="s">
        <v>433</v>
      </c>
      <c r="K317" s="243" t="s">
        <v>170</v>
      </c>
      <c r="L317" s="243"/>
      <c r="M317" s="243" t="s">
        <v>32</v>
      </c>
      <c r="N317" s="237"/>
      <c r="O317" s="237"/>
      <c r="P317" s="237"/>
      <c r="Q317" s="245">
        <v>45721</v>
      </c>
      <c r="R317" s="237" t="s">
        <v>309</v>
      </c>
      <c r="S317" s="331" t="s">
        <v>233</v>
      </c>
      <c r="T317" s="237" t="s">
        <v>228</v>
      </c>
      <c r="U317" s="237" t="s">
        <v>234</v>
      </c>
      <c r="V317" s="237" t="s">
        <v>473</v>
      </c>
      <c r="W317" s="245">
        <v>45933</v>
      </c>
      <c r="X317" s="237" t="s">
        <v>2098</v>
      </c>
      <c r="Y317" s="237" t="s">
        <v>237</v>
      </c>
      <c r="Z317" s="237" t="s">
        <v>237</v>
      </c>
      <c r="AA317" s="237" t="s">
        <v>2099</v>
      </c>
      <c r="AB317" s="337" t="s">
        <v>228</v>
      </c>
      <c r="AC317" s="237" t="s">
        <v>228</v>
      </c>
      <c r="AD317" s="562"/>
      <c r="AE317" s="555"/>
      <c r="AF317" s="237"/>
    </row>
    <row r="318" spans="1:32" ht="13.5" customHeight="1">
      <c r="A318" s="235">
        <v>316</v>
      </c>
      <c r="B318" s="237"/>
      <c r="C318" s="255" t="s">
        <v>2100</v>
      </c>
      <c r="D318" s="237" t="s">
        <v>2101</v>
      </c>
      <c r="E318" s="237">
        <v>28</v>
      </c>
      <c r="F318" s="237" t="s">
        <v>424</v>
      </c>
      <c r="G318" s="237" t="s">
        <v>2102</v>
      </c>
      <c r="H318" s="243" t="s">
        <v>27</v>
      </c>
      <c r="I318" s="243"/>
      <c r="J318" s="235" t="s">
        <v>433</v>
      </c>
      <c r="K318" s="243" t="s">
        <v>658</v>
      </c>
      <c r="L318" s="243"/>
      <c r="M318" s="246" t="s">
        <v>228</v>
      </c>
      <c r="N318" s="237"/>
      <c r="O318" s="237"/>
      <c r="P318" s="237"/>
      <c r="Q318" s="245">
        <v>45723</v>
      </c>
      <c r="R318" s="237" t="s">
        <v>309</v>
      </c>
      <c r="S318" s="331" t="s">
        <v>233</v>
      </c>
      <c r="T318" s="237" t="s">
        <v>228</v>
      </c>
      <c r="U318" s="237" t="s">
        <v>234</v>
      </c>
      <c r="V318" s="237" t="s">
        <v>473</v>
      </c>
      <c r="W318" s="245">
        <v>45933</v>
      </c>
      <c r="X318" s="237" t="s">
        <v>2103</v>
      </c>
      <c r="Y318" s="237" t="s">
        <v>237</v>
      </c>
      <c r="Z318" s="237" t="s">
        <v>237</v>
      </c>
      <c r="AA318" s="237" t="s">
        <v>2104</v>
      </c>
      <c r="AB318" s="337" t="s">
        <v>228</v>
      </c>
      <c r="AC318" s="237" t="s">
        <v>228</v>
      </c>
      <c r="AD318" s="562"/>
      <c r="AE318" s="555"/>
      <c r="AF318" s="237"/>
    </row>
    <row r="319" spans="1:32" ht="13.5" customHeight="1">
      <c r="A319" s="235">
        <v>317</v>
      </c>
      <c r="B319" s="237"/>
      <c r="C319" s="255" t="s">
        <v>2105</v>
      </c>
      <c r="D319" s="237" t="s">
        <v>2106</v>
      </c>
      <c r="E319" s="237">
        <v>52</v>
      </c>
      <c r="F319" s="237" t="s">
        <v>75</v>
      </c>
      <c r="G319" s="237" t="s">
        <v>2107</v>
      </c>
      <c r="H319" s="243" t="s">
        <v>27</v>
      </c>
      <c r="I319" s="243"/>
      <c r="J319" s="235" t="s">
        <v>433</v>
      </c>
      <c r="K319" s="243" t="s">
        <v>184</v>
      </c>
      <c r="L319" s="243"/>
      <c r="M319" s="246" t="s">
        <v>228</v>
      </c>
      <c r="N319" s="237"/>
      <c r="O319" s="237"/>
      <c r="P319" s="237"/>
      <c r="Q319" s="245">
        <v>45727</v>
      </c>
      <c r="R319" s="237" t="s">
        <v>309</v>
      </c>
      <c r="S319" s="331" t="s">
        <v>233</v>
      </c>
      <c r="T319" s="237" t="s">
        <v>228</v>
      </c>
      <c r="U319" s="237" t="s">
        <v>234</v>
      </c>
      <c r="V319" s="237" t="s">
        <v>473</v>
      </c>
      <c r="W319" s="245">
        <v>45933</v>
      </c>
      <c r="X319" s="237" t="s">
        <v>2108</v>
      </c>
      <c r="Y319" s="237" t="s">
        <v>237</v>
      </c>
      <c r="Z319" s="237" t="s">
        <v>237</v>
      </c>
      <c r="AA319" s="237" t="s">
        <v>2109</v>
      </c>
      <c r="AB319" s="337" t="s">
        <v>228</v>
      </c>
      <c r="AC319" s="237" t="s">
        <v>228</v>
      </c>
      <c r="AD319" s="562"/>
      <c r="AE319" s="555"/>
      <c r="AF319" s="237"/>
    </row>
    <row r="320" spans="1:32" ht="13.5" customHeight="1">
      <c r="A320" s="235">
        <v>318</v>
      </c>
      <c r="B320" s="237"/>
      <c r="C320" s="255" t="s">
        <v>2110</v>
      </c>
      <c r="D320" s="237" t="s">
        <v>2111</v>
      </c>
      <c r="E320" s="237">
        <v>32</v>
      </c>
      <c r="F320" s="237" t="s">
        <v>75</v>
      </c>
      <c r="G320" s="237" t="s">
        <v>2112</v>
      </c>
      <c r="H320" s="243" t="s">
        <v>27</v>
      </c>
      <c r="I320" s="243"/>
      <c r="J320" s="235" t="s">
        <v>433</v>
      </c>
      <c r="K320" s="243" t="s">
        <v>2113</v>
      </c>
      <c r="L320" s="243"/>
      <c r="M320" s="246" t="s">
        <v>228</v>
      </c>
      <c r="N320" s="237"/>
      <c r="O320" s="237"/>
      <c r="P320" s="237"/>
      <c r="Q320" s="245">
        <v>45729</v>
      </c>
      <c r="R320" s="237" t="s">
        <v>309</v>
      </c>
      <c r="S320" s="331" t="s">
        <v>233</v>
      </c>
      <c r="T320" s="237" t="s">
        <v>228</v>
      </c>
      <c r="U320" s="237" t="s">
        <v>234</v>
      </c>
      <c r="V320" s="237" t="s">
        <v>473</v>
      </c>
      <c r="W320" s="245">
        <v>45933</v>
      </c>
      <c r="X320" s="237" t="s">
        <v>2114</v>
      </c>
      <c r="Y320" s="237" t="s">
        <v>237</v>
      </c>
      <c r="Z320" s="237" t="s">
        <v>237</v>
      </c>
      <c r="AA320" s="237" t="s">
        <v>2115</v>
      </c>
      <c r="AB320" s="337" t="s">
        <v>228</v>
      </c>
      <c r="AC320" s="237" t="s">
        <v>228</v>
      </c>
      <c r="AD320" s="562"/>
      <c r="AE320" s="555"/>
      <c r="AF320" s="237"/>
    </row>
    <row r="321" spans="1:32" ht="13.5" customHeight="1">
      <c r="A321" s="235">
        <v>319</v>
      </c>
      <c r="B321" s="237"/>
      <c r="C321" s="255" t="s">
        <v>2116</v>
      </c>
      <c r="D321" s="237" t="s">
        <v>2117</v>
      </c>
      <c r="E321" s="237">
        <v>55</v>
      </c>
      <c r="F321" s="237" t="s">
        <v>75</v>
      </c>
      <c r="G321" s="237" t="s">
        <v>2118</v>
      </c>
      <c r="H321" s="243" t="s">
        <v>27</v>
      </c>
      <c r="I321" s="243"/>
      <c r="J321" s="235" t="s">
        <v>433</v>
      </c>
      <c r="K321" s="243" t="s">
        <v>2059</v>
      </c>
      <c r="L321" s="243"/>
      <c r="M321" s="246" t="s">
        <v>228</v>
      </c>
      <c r="N321" s="237"/>
      <c r="O321" s="237"/>
      <c r="P321" s="237"/>
      <c r="Q321" s="245">
        <v>45734</v>
      </c>
      <c r="R321" s="237" t="s">
        <v>309</v>
      </c>
      <c r="S321" s="331" t="s">
        <v>233</v>
      </c>
      <c r="T321" s="237" t="s">
        <v>228</v>
      </c>
      <c r="U321" s="237" t="s">
        <v>234</v>
      </c>
      <c r="V321" s="237" t="s">
        <v>473</v>
      </c>
      <c r="W321" s="245">
        <v>45933</v>
      </c>
      <c r="X321" s="237" t="s">
        <v>2119</v>
      </c>
      <c r="Y321" s="237" t="s">
        <v>237</v>
      </c>
      <c r="Z321" s="237" t="s">
        <v>237</v>
      </c>
      <c r="AA321" s="237" t="s">
        <v>2120</v>
      </c>
      <c r="AB321" s="337" t="s">
        <v>228</v>
      </c>
      <c r="AC321" s="237" t="s">
        <v>228</v>
      </c>
      <c r="AD321" s="562"/>
      <c r="AE321" s="555"/>
      <c r="AF321" s="237"/>
    </row>
    <row r="322" spans="1:32" ht="13.5" customHeight="1">
      <c r="A322" s="235">
        <v>320</v>
      </c>
      <c r="B322" s="237"/>
      <c r="C322" s="255" t="s">
        <v>2121</v>
      </c>
      <c r="D322" s="237" t="s">
        <v>2122</v>
      </c>
      <c r="E322" s="237">
        <v>66</v>
      </c>
      <c r="F322" s="237" t="s">
        <v>60</v>
      </c>
      <c r="G322" s="237" t="s">
        <v>2123</v>
      </c>
      <c r="H322" s="243" t="s">
        <v>27</v>
      </c>
      <c r="I322" s="243"/>
      <c r="J322" s="235" t="s">
        <v>433</v>
      </c>
      <c r="K322" s="243" t="s">
        <v>2059</v>
      </c>
      <c r="L322" s="243"/>
      <c r="M322" s="243" t="s">
        <v>528</v>
      </c>
      <c r="N322" s="237"/>
      <c r="O322" s="237"/>
      <c r="P322" s="237"/>
      <c r="Q322" s="245">
        <v>45742</v>
      </c>
      <c r="R322" s="237" t="s">
        <v>309</v>
      </c>
      <c r="S322" s="331" t="s">
        <v>233</v>
      </c>
      <c r="T322" s="237" t="s">
        <v>228</v>
      </c>
      <c r="U322" s="237" t="s">
        <v>234</v>
      </c>
      <c r="V322" s="237" t="s">
        <v>473</v>
      </c>
      <c r="W322" s="245">
        <v>45933</v>
      </c>
      <c r="X322" s="237" t="s">
        <v>2124</v>
      </c>
      <c r="Y322" s="237" t="s">
        <v>237</v>
      </c>
      <c r="Z322" s="237" t="s">
        <v>237</v>
      </c>
      <c r="AA322" s="237" t="s">
        <v>2125</v>
      </c>
      <c r="AB322" s="337" t="s">
        <v>228</v>
      </c>
      <c r="AC322" s="237" t="s">
        <v>228</v>
      </c>
      <c r="AD322" s="562"/>
      <c r="AE322" s="555"/>
      <c r="AF322" s="237"/>
    </row>
    <row r="323" spans="1:32" ht="13.5" customHeight="1">
      <c r="A323" s="235">
        <v>321</v>
      </c>
      <c r="B323" s="237"/>
      <c r="C323" s="255" t="s">
        <v>2126</v>
      </c>
      <c r="D323" s="237" t="s">
        <v>2127</v>
      </c>
      <c r="E323" s="237">
        <v>45</v>
      </c>
      <c r="F323" s="237" t="s">
        <v>75</v>
      </c>
      <c r="G323" s="237" t="s">
        <v>2128</v>
      </c>
      <c r="H323" s="243" t="s">
        <v>27</v>
      </c>
      <c r="I323" s="243"/>
      <c r="J323" s="235" t="s">
        <v>433</v>
      </c>
      <c r="K323" s="243" t="s">
        <v>2129</v>
      </c>
      <c r="L323" s="243"/>
      <c r="M323" s="246" t="s">
        <v>228</v>
      </c>
      <c r="N323" s="237"/>
      <c r="O323" s="237"/>
      <c r="P323" s="237"/>
      <c r="Q323" s="245">
        <v>45743</v>
      </c>
      <c r="R323" s="237" t="s">
        <v>309</v>
      </c>
      <c r="S323" s="331" t="s">
        <v>233</v>
      </c>
      <c r="T323" s="237" t="s">
        <v>228</v>
      </c>
      <c r="U323" s="237" t="s">
        <v>234</v>
      </c>
      <c r="V323" s="237" t="s">
        <v>473</v>
      </c>
      <c r="W323" s="245">
        <v>45933</v>
      </c>
      <c r="X323" s="237" t="s">
        <v>2130</v>
      </c>
      <c r="Y323" s="237" t="s">
        <v>237</v>
      </c>
      <c r="Z323" s="237" t="s">
        <v>237</v>
      </c>
      <c r="AA323" s="237" t="s">
        <v>2131</v>
      </c>
      <c r="AB323" s="337" t="s">
        <v>228</v>
      </c>
      <c r="AC323" s="237" t="s">
        <v>228</v>
      </c>
      <c r="AD323" s="562"/>
      <c r="AE323" s="555"/>
      <c r="AF323" s="237"/>
    </row>
    <row r="324" spans="1:32" ht="13.5" customHeight="1">
      <c r="A324" s="235">
        <v>322</v>
      </c>
      <c r="B324" s="237"/>
      <c r="C324" s="255" t="s">
        <v>2132</v>
      </c>
      <c r="D324" s="237" t="s">
        <v>2133</v>
      </c>
      <c r="E324" s="237">
        <v>49</v>
      </c>
      <c r="F324" s="237" t="s">
        <v>60</v>
      </c>
      <c r="G324" s="237" t="s">
        <v>2134</v>
      </c>
      <c r="H324" s="243" t="s">
        <v>27</v>
      </c>
      <c r="I324" s="243"/>
      <c r="J324" s="235" t="s">
        <v>433</v>
      </c>
      <c r="K324" s="243" t="s">
        <v>658</v>
      </c>
      <c r="L324" s="243"/>
      <c r="M324" s="246" t="s">
        <v>228</v>
      </c>
      <c r="N324" s="237"/>
      <c r="O324" s="237"/>
      <c r="P324" s="237"/>
      <c r="Q324" s="245">
        <v>45744</v>
      </c>
      <c r="R324" s="237" t="s">
        <v>309</v>
      </c>
      <c r="S324" s="331" t="s">
        <v>233</v>
      </c>
      <c r="T324" s="237" t="s">
        <v>228</v>
      </c>
      <c r="U324" s="237" t="s">
        <v>234</v>
      </c>
      <c r="V324" s="237" t="s">
        <v>473</v>
      </c>
      <c r="W324" s="245">
        <v>45933</v>
      </c>
      <c r="X324" s="237" t="s">
        <v>2135</v>
      </c>
      <c r="Y324" s="237" t="s">
        <v>237</v>
      </c>
      <c r="Z324" s="237" t="s">
        <v>237</v>
      </c>
      <c r="AA324" s="237" t="s">
        <v>2136</v>
      </c>
      <c r="AB324" s="337" t="s">
        <v>228</v>
      </c>
      <c r="AC324" s="237" t="s">
        <v>228</v>
      </c>
      <c r="AD324" s="562"/>
      <c r="AE324" s="555"/>
      <c r="AF324" s="237"/>
    </row>
    <row r="325" spans="1:32" ht="13.5" customHeight="1">
      <c r="A325" s="235">
        <v>323</v>
      </c>
      <c r="B325" s="237"/>
      <c r="C325" s="255" t="s">
        <v>2137</v>
      </c>
      <c r="D325" s="237" t="s">
        <v>2138</v>
      </c>
      <c r="E325" s="237">
        <v>49</v>
      </c>
      <c r="F325" s="237" t="s">
        <v>60</v>
      </c>
      <c r="G325" s="237" t="s">
        <v>2139</v>
      </c>
      <c r="H325" s="243" t="s">
        <v>27</v>
      </c>
      <c r="I325" s="243"/>
      <c r="J325" s="235" t="s">
        <v>433</v>
      </c>
      <c r="K325" s="243" t="s">
        <v>2059</v>
      </c>
      <c r="L325" s="243"/>
      <c r="M325" s="246" t="s">
        <v>228</v>
      </c>
      <c r="N325" s="237"/>
      <c r="O325" s="237"/>
      <c r="P325" s="237"/>
      <c r="Q325" s="245">
        <v>45744</v>
      </c>
      <c r="R325" s="237" t="s">
        <v>309</v>
      </c>
      <c r="S325" s="331" t="s">
        <v>233</v>
      </c>
      <c r="T325" s="237" t="s">
        <v>228</v>
      </c>
      <c r="U325" s="237" t="s">
        <v>234</v>
      </c>
      <c r="V325" s="237" t="s">
        <v>473</v>
      </c>
      <c r="W325" s="245">
        <v>45933</v>
      </c>
      <c r="X325" s="237" t="s">
        <v>2140</v>
      </c>
      <c r="Y325" s="237" t="s">
        <v>237</v>
      </c>
      <c r="Z325" s="237" t="s">
        <v>237</v>
      </c>
      <c r="AA325" s="237" t="s">
        <v>2141</v>
      </c>
      <c r="AB325" s="337" t="s">
        <v>228</v>
      </c>
      <c r="AC325" s="237" t="s">
        <v>228</v>
      </c>
      <c r="AD325" s="562"/>
      <c r="AE325" s="555"/>
      <c r="AF325" s="237"/>
    </row>
    <row r="326" spans="1:32" ht="13.5" customHeight="1">
      <c r="A326" s="235">
        <v>324</v>
      </c>
      <c r="B326" s="237">
        <v>159</v>
      </c>
      <c r="C326" s="255" t="s">
        <v>2142</v>
      </c>
      <c r="D326" s="237" t="s">
        <v>2143</v>
      </c>
      <c r="E326" s="237">
        <v>66</v>
      </c>
      <c r="F326" s="237" t="s">
        <v>60</v>
      </c>
      <c r="G326" s="237" t="s">
        <v>2144</v>
      </c>
      <c r="H326" s="243" t="s">
        <v>27</v>
      </c>
      <c r="I326" s="243"/>
      <c r="J326" s="235" t="s">
        <v>433</v>
      </c>
      <c r="K326" s="243" t="s">
        <v>141</v>
      </c>
      <c r="L326" s="243"/>
      <c r="M326" s="243" t="s">
        <v>2145</v>
      </c>
      <c r="N326" s="237"/>
      <c r="O326" s="237"/>
      <c r="P326" s="237"/>
      <c r="Q326" s="245">
        <v>45755</v>
      </c>
      <c r="R326" s="237" t="s">
        <v>309</v>
      </c>
      <c r="S326" s="331" t="s">
        <v>233</v>
      </c>
      <c r="T326" s="237" t="s">
        <v>228</v>
      </c>
      <c r="U326" s="237" t="s">
        <v>234</v>
      </c>
      <c r="V326" s="237" t="s">
        <v>652</v>
      </c>
      <c r="W326" s="245">
        <v>45933</v>
      </c>
      <c r="X326" s="237" t="s">
        <v>2146</v>
      </c>
      <c r="Y326" s="237" t="s">
        <v>237</v>
      </c>
      <c r="Z326" s="237" t="s">
        <v>237</v>
      </c>
      <c r="AA326" s="237" t="s">
        <v>2147</v>
      </c>
      <c r="AB326" s="337" t="s">
        <v>228</v>
      </c>
      <c r="AC326" s="237" t="s">
        <v>228</v>
      </c>
      <c r="AD326" s="562"/>
      <c r="AE326" s="555"/>
      <c r="AF326" s="237"/>
    </row>
    <row r="327" spans="1:32" ht="13.5" customHeight="1">
      <c r="A327" s="235">
        <v>325</v>
      </c>
      <c r="B327" s="237">
        <v>16</v>
      </c>
      <c r="C327" s="255" t="s">
        <v>2148</v>
      </c>
      <c r="D327" s="237" t="s">
        <v>2149</v>
      </c>
      <c r="E327" s="237">
        <v>43</v>
      </c>
      <c r="F327" s="237" t="s">
        <v>75</v>
      </c>
      <c r="G327" s="237" t="s">
        <v>2150</v>
      </c>
      <c r="H327" s="243" t="s">
        <v>27</v>
      </c>
      <c r="I327" s="243"/>
      <c r="J327" s="235" t="s">
        <v>433</v>
      </c>
      <c r="K327" s="243" t="s">
        <v>2151</v>
      </c>
      <c r="L327" s="243"/>
      <c r="M327" s="246" t="s">
        <v>228</v>
      </c>
      <c r="N327" s="237"/>
      <c r="O327" s="237"/>
      <c r="P327" s="237"/>
      <c r="Q327" s="245">
        <v>45755</v>
      </c>
      <c r="R327" s="237" t="s">
        <v>309</v>
      </c>
      <c r="S327" s="331" t="s">
        <v>233</v>
      </c>
      <c r="T327" s="237" t="s">
        <v>228</v>
      </c>
      <c r="U327" s="237" t="s">
        <v>234</v>
      </c>
      <c r="V327" s="237" t="s">
        <v>473</v>
      </c>
      <c r="W327" s="245">
        <v>45933</v>
      </c>
      <c r="X327" s="237" t="s">
        <v>2152</v>
      </c>
      <c r="Y327" s="237" t="s">
        <v>237</v>
      </c>
      <c r="Z327" s="237" t="s">
        <v>237</v>
      </c>
      <c r="AA327" s="237" t="s">
        <v>2153</v>
      </c>
      <c r="AB327" s="337" t="s">
        <v>228</v>
      </c>
      <c r="AC327" s="237" t="s">
        <v>228</v>
      </c>
      <c r="AD327" s="562"/>
      <c r="AE327" s="555"/>
      <c r="AF327" s="237"/>
    </row>
    <row r="328" spans="1:32" ht="13.5" customHeight="1">
      <c r="A328" s="235">
        <v>326</v>
      </c>
      <c r="B328" s="237">
        <v>161</v>
      </c>
      <c r="C328" s="255" t="s">
        <v>2154</v>
      </c>
      <c r="D328" s="237" t="s">
        <v>2155</v>
      </c>
      <c r="E328" s="237">
        <v>64</v>
      </c>
      <c r="F328" s="237" t="s">
        <v>60</v>
      </c>
      <c r="G328" s="237" t="s">
        <v>2156</v>
      </c>
      <c r="H328" s="243" t="s">
        <v>27</v>
      </c>
      <c r="I328" s="243"/>
      <c r="J328" s="235" t="s">
        <v>433</v>
      </c>
      <c r="K328" s="243" t="s">
        <v>2157</v>
      </c>
      <c r="L328" s="243"/>
      <c r="M328" s="246" t="s">
        <v>228</v>
      </c>
      <c r="N328" s="237"/>
      <c r="O328" s="237"/>
      <c r="P328" s="237"/>
      <c r="Q328" s="245">
        <v>45755</v>
      </c>
      <c r="R328" s="237" t="s">
        <v>309</v>
      </c>
      <c r="S328" s="331" t="s">
        <v>233</v>
      </c>
      <c r="T328" s="237" t="s">
        <v>228</v>
      </c>
      <c r="U328" s="237" t="s">
        <v>234</v>
      </c>
      <c r="V328" s="237" t="s">
        <v>473</v>
      </c>
      <c r="W328" s="245">
        <v>45933</v>
      </c>
      <c r="X328" s="237" t="s">
        <v>2158</v>
      </c>
      <c r="Y328" s="237" t="s">
        <v>237</v>
      </c>
      <c r="Z328" s="237" t="s">
        <v>237</v>
      </c>
      <c r="AA328" s="237" t="s">
        <v>2159</v>
      </c>
      <c r="AB328" s="337" t="s">
        <v>228</v>
      </c>
      <c r="AC328" s="237" t="s">
        <v>228</v>
      </c>
      <c r="AD328" s="562"/>
      <c r="AE328" s="555"/>
      <c r="AF328" s="237"/>
    </row>
    <row r="329" spans="1:32" ht="13.5" customHeight="1">
      <c r="A329" s="235">
        <v>327</v>
      </c>
      <c r="B329" s="237">
        <v>153</v>
      </c>
      <c r="C329" s="255" t="s">
        <v>2160</v>
      </c>
      <c r="D329" s="237" t="s">
        <v>2161</v>
      </c>
      <c r="E329" s="237">
        <v>45</v>
      </c>
      <c r="F329" s="237" t="s">
        <v>75</v>
      </c>
      <c r="G329" s="237" t="s">
        <v>2162</v>
      </c>
      <c r="H329" s="243" t="s">
        <v>27</v>
      </c>
      <c r="I329" s="243"/>
      <c r="J329" s="235" t="s">
        <v>433</v>
      </c>
      <c r="K329" s="243" t="s">
        <v>2059</v>
      </c>
      <c r="L329" s="243"/>
      <c r="M329" s="246" t="s">
        <v>228</v>
      </c>
      <c r="N329" s="237"/>
      <c r="O329" s="237"/>
      <c r="P329" s="237"/>
      <c r="Q329" s="245">
        <v>45756</v>
      </c>
      <c r="R329" s="237" t="s">
        <v>309</v>
      </c>
      <c r="S329" s="331" t="s">
        <v>233</v>
      </c>
      <c r="T329" s="237" t="s">
        <v>228</v>
      </c>
      <c r="U329" s="237" t="s">
        <v>234</v>
      </c>
      <c r="V329" s="237" t="s">
        <v>473</v>
      </c>
      <c r="W329" s="245">
        <v>45933</v>
      </c>
      <c r="X329" s="237" t="s">
        <v>2163</v>
      </c>
      <c r="Y329" s="237" t="s">
        <v>237</v>
      </c>
      <c r="Z329" s="237" t="s">
        <v>237</v>
      </c>
      <c r="AA329" s="237" t="s">
        <v>2164</v>
      </c>
      <c r="AB329" s="337" t="s">
        <v>228</v>
      </c>
      <c r="AC329" s="237" t="s">
        <v>228</v>
      </c>
      <c r="AD329" s="562"/>
      <c r="AE329" s="555"/>
      <c r="AF329" s="237"/>
    </row>
    <row r="330" spans="1:32" ht="13.5" customHeight="1">
      <c r="A330" s="235">
        <v>328</v>
      </c>
      <c r="B330" s="237" t="s">
        <v>2165</v>
      </c>
      <c r="C330" s="255" t="s">
        <v>2166</v>
      </c>
      <c r="D330" s="237" t="s">
        <v>2167</v>
      </c>
      <c r="E330" s="237">
        <v>54</v>
      </c>
      <c r="F330" s="237" t="s">
        <v>60</v>
      </c>
      <c r="G330" s="237" t="s">
        <v>2168</v>
      </c>
      <c r="H330" s="243" t="s">
        <v>27</v>
      </c>
      <c r="I330" s="243"/>
      <c r="J330" s="235" t="s">
        <v>433</v>
      </c>
      <c r="K330" s="243" t="s">
        <v>2169</v>
      </c>
      <c r="L330" s="243"/>
      <c r="M330" s="246" t="s">
        <v>228</v>
      </c>
      <c r="N330" s="237"/>
      <c r="O330" s="237"/>
      <c r="P330" s="237"/>
      <c r="Q330" s="245">
        <v>45764</v>
      </c>
      <c r="R330" s="237" t="s">
        <v>309</v>
      </c>
      <c r="S330" s="331" t="s">
        <v>233</v>
      </c>
      <c r="T330" s="237" t="s">
        <v>228</v>
      </c>
      <c r="U330" s="237" t="s">
        <v>234</v>
      </c>
      <c r="V330" s="237" t="s">
        <v>652</v>
      </c>
      <c r="W330" s="245">
        <v>45933</v>
      </c>
      <c r="X330" s="237" t="s">
        <v>2170</v>
      </c>
      <c r="Y330" s="237" t="s">
        <v>237</v>
      </c>
      <c r="Z330" s="237" t="s">
        <v>237</v>
      </c>
      <c r="AA330" s="237" t="s">
        <v>2171</v>
      </c>
      <c r="AB330" s="337" t="s">
        <v>228</v>
      </c>
      <c r="AC330" s="237" t="s">
        <v>228</v>
      </c>
      <c r="AD330" s="562"/>
      <c r="AE330" s="555"/>
      <c r="AF330" s="237"/>
    </row>
    <row r="331" spans="1:32" ht="13.5" customHeight="1">
      <c r="A331" s="235">
        <v>329</v>
      </c>
      <c r="B331" s="237" t="s">
        <v>2172</v>
      </c>
      <c r="C331" s="255" t="s">
        <v>2173</v>
      </c>
      <c r="D331" s="237" t="s">
        <v>2174</v>
      </c>
      <c r="E331" s="237">
        <v>40</v>
      </c>
      <c r="F331" s="237" t="s">
        <v>75</v>
      </c>
      <c r="G331" s="237" t="s">
        <v>2175</v>
      </c>
      <c r="H331" s="243" t="s">
        <v>27</v>
      </c>
      <c r="I331" s="243"/>
      <c r="J331" s="235" t="s">
        <v>433</v>
      </c>
      <c r="K331" s="243" t="s">
        <v>2176</v>
      </c>
      <c r="L331" s="243"/>
      <c r="M331" s="246" t="s">
        <v>228</v>
      </c>
      <c r="N331" s="237"/>
      <c r="O331" s="237"/>
      <c r="P331" s="237"/>
      <c r="Q331" s="245">
        <v>45765</v>
      </c>
      <c r="R331" s="237" t="s">
        <v>309</v>
      </c>
      <c r="S331" s="331" t="s">
        <v>233</v>
      </c>
      <c r="T331" s="237" t="s">
        <v>228</v>
      </c>
      <c r="U331" s="237" t="s">
        <v>234</v>
      </c>
      <c r="V331" s="237" t="s">
        <v>652</v>
      </c>
      <c r="W331" s="245">
        <v>45933</v>
      </c>
      <c r="X331" s="237" t="s">
        <v>2177</v>
      </c>
      <c r="Y331" s="237" t="s">
        <v>237</v>
      </c>
      <c r="Z331" s="237" t="s">
        <v>237</v>
      </c>
      <c r="AA331" s="237" t="s">
        <v>2178</v>
      </c>
      <c r="AB331" s="337" t="s">
        <v>228</v>
      </c>
      <c r="AC331" s="237" t="s">
        <v>228</v>
      </c>
      <c r="AD331" s="562"/>
      <c r="AE331" s="555"/>
      <c r="AF331" s="237"/>
    </row>
    <row r="332" spans="1:32" ht="13.5" customHeight="1">
      <c r="A332" s="235">
        <v>330</v>
      </c>
      <c r="B332" s="237" t="s">
        <v>2179</v>
      </c>
      <c r="C332" s="255" t="s">
        <v>2180</v>
      </c>
      <c r="D332" s="237" t="s">
        <v>2181</v>
      </c>
      <c r="E332" s="237">
        <v>54</v>
      </c>
      <c r="F332" s="237" t="s">
        <v>60</v>
      </c>
      <c r="G332" s="237" t="s">
        <v>2182</v>
      </c>
      <c r="H332" s="243" t="s">
        <v>27</v>
      </c>
      <c r="I332" s="243"/>
      <c r="J332" s="235" t="s">
        <v>433</v>
      </c>
      <c r="K332" s="243" t="s">
        <v>2183</v>
      </c>
      <c r="L332" s="243"/>
      <c r="M332" s="246" t="s">
        <v>228</v>
      </c>
      <c r="N332" s="237"/>
      <c r="O332" s="237"/>
      <c r="P332" s="237"/>
      <c r="Q332" s="245">
        <v>45768</v>
      </c>
      <c r="R332" s="237" t="s">
        <v>309</v>
      </c>
      <c r="S332" s="331" t="s">
        <v>233</v>
      </c>
      <c r="T332" s="237" t="s">
        <v>228</v>
      </c>
      <c r="U332" s="237" t="s">
        <v>234</v>
      </c>
      <c r="V332" s="237" t="s">
        <v>473</v>
      </c>
      <c r="W332" s="245">
        <v>45933</v>
      </c>
      <c r="X332" s="237" t="s">
        <v>2184</v>
      </c>
      <c r="Y332" s="237" t="s">
        <v>237</v>
      </c>
      <c r="Z332" s="237" t="s">
        <v>237</v>
      </c>
      <c r="AA332" s="237" t="s">
        <v>2185</v>
      </c>
      <c r="AB332" s="337" t="s">
        <v>228</v>
      </c>
      <c r="AC332" s="237" t="s">
        <v>228</v>
      </c>
      <c r="AD332" s="562"/>
      <c r="AE332" s="555"/>
      <c r="AF332" s="237"/>
    </row>
    <row r="333" spans="1:32" ht="13.5" customHeight="1">
      <c r="A333" s="235">
        <v>331</v>
      </c>
      <c r="B333" s="237"/>
      <c r="C333" s="255" t="s">
        <v>2186</v>
      </c>
      <c r="D333" s="237" t="s">
        <v>2187</v>
      </c>
      <c r="E333" s="237">
        <v>52</v>
      </c>
      <c r="F333" s="237" t="s">
        <v>60</v>
      </c>
      <c r="G333" s="237" t="s">
        <v>2188</v>
      </c>
      <c r="H333" s="243" t="s">
        <v>27</v>
      </c>
      <c r="I333" s="243"/>
      <c r="J333" s="235" t="s">
        <v>433</v>
      </c>
      <c r="K333" s="243" t="s">
        <v>2189</v>
      </c>
      <c r="L333" s="243"/>
      <c r="M333" s="246" t="s">
        <v>228</v>
      </c>
      <c r="N333" s="237"/>
      <c r="O333" s="237"/>
      <c r="P333" s="237"/>
      <c r="Q333" s="245">
        <v>45769</v>
      </c>
      <c r="R333" s="237" t="s">
        <v>309</v>
      </c>
      <c r="S333" s="331" t="s">
        <v>233</v>
      </c>
      <c r="T333" s="237" t="s">
        <v>228</v>
      </c>
      <c r="U333" s="237" t="s">
        <v>234</v>
      </c>
      <c r="V333" s="237" t="s">
        <v>473</v>
      </c>
      <c r="W333" s="245">
        <v>45933</v>
      </c>
      <c r="X333" s="237" t="s">
        <v>2190</v>
      </c>
      <c r="Y333" s="237" t="s">
        <v>237</v>
      </c>
      <c r="Z333" s="237" t="s">
        <v>237</v>
      </c>
      <c r="AA333" s="237" t="s">
        <v>2191</v>
      </c>
      <c r="AB333" s="337" t="s">
        <v>228</v>
      </c>
      <c r="AC333" s="237" t="s">
        <v>228</v>
      </c>
      <c r="AD333" s="562"/>
      <c r="AE333" s="555"/>
      <c r="AF333" s="237"/>
    </row>
    <row r="334" spans="1:32" ht="13.5" customHeight="1">
      <c r="A334" s="235">
        <v>332</v>
      </c>
      <c r="B334" s="237"/>
      <c r="C334" s="255" t="s">
        <v>2192</v>
      </c>
      <c r="D334" s="237" t="s">
        <v>2193</v>
      </c>
      <c r="E334" s="237">
        <v>48</v>
      </c>
      <c r="F334" s="237" t="s">
        <v>75</v>
      </c>
      <c r="G334" s="237" t="s">
        <v>2194</v>
      </c>
      <c r="H334" s="243" t="s">
        <v>27</v>
      </c>
      <c r="I334" s="243"/>
      <c r="J334" s="235" t="s">
        <v>433</v>
      </c>
      <c r="K334" s="243" t="s">
        <v>2195</v>
      </c>
      <c r="L334" s="243"/>
      <c r="M334" s="246" t="s">
        <v>228</v>
      </c>
      <c r="N334" s="237"/>
      <c r="O334" s="237"/>
      <c r="P334" s="237"/>
      <c r="Q334" s="245">
        <v>45792</v>
      </c>
      <c r="R334" s="237" t="s">
        <v>309</v>
      </c>
      <c r="S334" s="331" t="s">
        <v>233</v>
      </c>
      <c r="T334" s="237" t="s">
        <v>228</v>
      </c>
      <c r="U334" s="237" t="s">
        <v>234</v>
      </c>
      <c r="V334" s="237" t="s">
        <v>652</v>
      </c>
      <c r="W334" s="245">
        <v>45933</v>
      </c>
      <c r="X334" s="237" t="s">
        <v>2196</v>
      </c>
      <c r="Y334" s="237" t="s">
        <v>237</v>
      </c>
      <c r="Z334" s="237" t="s">
        <v>237</v>
      </c>
      <c r="AA334" s="237" t="s">
        <v>2197</v>
      </c>
      <c r="AB334" s="337" t="s">
        <v>228</v>
      </c>
      <c r="AC334" s="237" t="s">
        <v>228</v>
      </c>
      <c r="AD334" s="562"/>
      <c r="AE334" s="555"/>
      <c r="AF334" s="237"/>
    </row>
    <row r="335" spans="1:32" ht="13.5" customHeight="1">
      <c r="A335" s="235">
        <v>333</v>
      </c>
      <c r="B335" s="237"/>
      <c r="C335" s="255" t="s">
        <v>2198</v>
      </c>
      <c r="D335" s="237" t="s">
        <v>2199</v>
      </c>
      <c r="E335" s="237">
        <v>48</v>
      </c>
      <c r="F335" s="237" t="s">
        <v>60</v>
      </c>
      <c r="G335" s="237" t="s">
        <v>2200</v>
      </c>
      <c r="H335" s="243" t="s">
        <v>27</v>
      </c>
      <c r="I335" s="243"/>
      <c r="J335" s="235" t="s">
        <v>433</v>
      </c>
      <c r="K335" s="243" t="s">
        <v>2189</v>
      </c>
      <c r="L335" s="243"/>
      <c r="M335" s="246" t="s">
        <v>228</v>
      </c>
      <c r="N335" s="237"/>
      <c r="O335" s="237"/>
      <c r="P335" s="237"/>
      <c r="Q335" s="245">
        <v>45792</v>
      </c>
      <c r="R335" s="237" t="s">
        <v>309</v>
      </c>
      <c r="S335" s="331" t="s">
        <v>233</v>
      </c>
      <c r="T335" s="237" t="s">
        <v>228</v>
      </c>
      <c r="U335" s="237" t="s">
        <v>234</v>
      </c>
      <c r="V335" s="237" t="s">
        <v>473</v>
      </c>
      <c r="W335" s="245">
        <v>45933</v>
      </c>
      <c r="X335" s="237" t="s">
        <v>2201</v>
      </c>
      <c r="Y335" s="237" t="s">
        <v>237</v>
      </c>
      <c r="Z335" s="237" t="s">
        <v>237</v>
      </c>
      <c r="AA335" s="237" t="s">
        <v>2202</v>
      </c>
      <c r="AB335" s="337" t="s">
        <v>228</v>
      </c>
      <c r="AC335" s="237" t="s">
        <v>228</v>
      </c>
      <c r="AD335" s="562"/>
      <c r="AE335" s="555"/>
      <c r="AF335" s="237"/>
    </row>
    <row r="336" spans="1:32" ht="13.5" customHeight="1">
      <c r="A336" s="306">
        <v>334</v>
      </c>
      <c r="B336" s="264"/>
      <c r="C336" s="307" t="s">
        <v>2203</v>
      </c>
      <c r="D336" s="264" t="s">
        <v>2204</v>
      </c>
      <c r="E336" s="264">
        <v>59</v>
      </c>
      <c r="F336" s="264" t="s">
        <v>75</v>
      </c>
      <c r="G336" s="264" t="s">
        <v>2205</v>
      </c>
      <c r="H336" s="289" t="s">
        <v>27</v>
      </c>
      <c r="I336" s="290" t="s">
        <v>39</v>
      </c>
      <c r="J336" s="306" t="s">
        <v>433</v>
      </c>
      <c r="K336" s="289" t="s">
        <v>2206</v>
      </c>
      <c r="L336" s="289" t="s">
        <v>2206</v>
      </c>
      <c r="M336" s="289" t="s">
        <v>231</v>
      </c>
      <c r="N336" s="264"/>
      <c r="O336" s="264"/>
      <c r="P336" s="264"/>
      <c r="Q336" s="314">
        <v>45798</v>
      </c>
      <c r="R336" s="264" t="s">
        <v>309</v>
      </c>
      <c r="S336" s="366" t="s">
        <v>233</v>
      </c>
      <c r="T336" s="264" t="s">
        <v>228</v>
      </c>
      <c r="U336" s="264" t="s">
        <v>234</v>
      </c>
      <c r="V336" s="264" t="s">
        <v>652</v>
      </c>
      <c r="W336" s="314">
        <v>45933</v>
      </c>
      <c r="X336" s="264" t="s">
        <v>2207</v>
      </c>
      <c r="Y336" s="264" t="s">
        <v>237</v>
      </c>
      <c r="Z336" s="264" t="s">
        <v>237</v>
      </c>
      <c r="AA336" s="264" t="s">
        <v>2208</v>
      </c>
      <c r="AB336" s="364" t="s">
        <v>228</v>
      </c>
      <c r="AC336" s="264" t="s">
        <v>228</v>
      </c>
      <c r="AD336" s="565"/>
      <c r="AE336" s="557"/>
      <c r="AF336" s="264"/>
    </row>
    <row r="337" spans="1:32" ht="13.5" customHeight="1">
      <c r="A337" s="235">
        <v>335</v>
      </c>
      <c r="B337" s="237"/>
      <c r="C337" s="255" t="s">
        <v>2209</v>
      </c>
      <c r="D337" s="237" t="s">
        <v>2210</v>
      </c>
      <c r="E337" s="237">
        <v>59</v>
      </c>
      <c r="F337" s="237" t="s">
        <v>75</v>
      </c>
      <c r="G337" s="237" t="s">
        <v>2211</v>
      </c>
      <c r="H337" s="243" t="s">
        <v>27</v>
      </c>
      <c r="I337" s="243"/>
      <c r="J337" s="235" t="s">
        <v>433</v>
      </c>
      <c r="K337" s="243" t="s">
        <v>175</v>
      </c>
      <c r="L337" s="243"/>
      <c r="M337" s="243" t="s">
        <v>231</v>
      </c>
      <c r="N337" s="237"/>
      <c r="O337" s="237"/>
      <c r="P337" s="237"/>
      <c r="Q337" s="245">
        <v>45728</v>
      </c>
      <c r="R337" s="237" t="s">
        <v>309</v>
      </c>
      <c r="S337" s="331" t="s">
        <v>233</v>
      </c>
      <c r="T337" s="237" t="s">
        <v>228</v>
      </c>
      <c r="U337" s="237" t="s">
        <v>234</v>
      </c>
      <c r="V337" s="237" t="s">
        <v>473</v>
      </c>
      <c r="W337" s="245">
        <v>45933</v>
      </c>
      <c r="X337" s="237" t="s">
        <v>2212</v>
      </c>
      <c r="Y337" s="237" t="s">
        <v>237</v>
      </c>
      <c r="Z337" s="237" t="s">
        <v>237</v>
      </c>
      <c r="AA337" s="237" t="s">
        <v>2213</v>
      </c>
      <c r="AB337" s="337" t="s">
        <v>228</v>
      </c>
      <c r="AC337" s="237" t="s">
        <v>228</v>
      </c>
      <c r="AD337" s="562"/>
      <c r="AE337" s="555"/>
      <c r="AF337" s="237"/>
    </row>
    <row r="338" spans="1:32" ht="13.5" customHeight="1">
      <c r="A338" s="235">
        <v>336</v>
      </c>
      <c r="B338" s="237"/>
      <c r="C338" s="255" t="s">
        <v>2214</v>
      </c>
      <c r="D338" s="237" t="s">
        <v>2215</v>
      </c>
      <c r="E338" s="237">
        <v>45</v>
      </c>
      <c r="F338" s="237" t="s">
        <v>75</v>
      </c>
      <c r="G338" s="237" t="s">
        <v>2216</v>
      </c>
      <c r="H338" s="243" t="s">
        <v>27</v>
      </c>
      <c r="I338" s="243"/>
      <c r="J338" s="235" t="s">
        <v>433</v>
      </c>
      <c r="K338" s="243" t="s">
        <v>2217</v>
      </c>
      <c r="L338" s="243"/>
      <c r="M338" s="246" t="s">
        <v>228</v>
      </c>
      <c r="N338" s="237"/>
      <c r="O338" s="237"/>
      <c r="P338" s="237"/>
      <c r="Q338" s="245">
        <v>45799</v>
      </c>
      <c r="R338" s="237" t="s">
        <v>309</v>
      </c>
      <c r="S338" s="331" t="s">
        <v>233</v>
      </c>
      <c r="T338" s="237" t="s">
        <v>228</v>
      </c>
      <c r="U338" s="237" t="s">
        <v>234</v>
      </c>
      <c r="V338" s="237" t="s">
        <v>652</v>
      </c>
      <c r="W338" s="245">
        <v>45933</v>
      </c>
      <c r="X338" s="237" t="s">
        <v>2218</v>
      </c>
      <c r="Y338" s="237" t="s">
        <v>237</v>
      </c>
      <c r="Z338" s="237" t="s">
        <v>237</v>
      </c>
      <c r="AA338" s="237" t="s">
        <v>2219</v>
      </c>
      <c r="AB338" s="337" t="s">
        <v>228</v>
      </c>
      <c r="AC338" s="237" t="s">
        <v>228</v>
      </c>
      <c r="AD338" s="562"/>
      <c r="AE338" s="555"/>
      <c r="AF338" s="237"/>
    </row>
    <row r="339" spans="1:32" ht="13.5" customHeight="1">
      <c r="A339" s="235">
        <v>337</v>
      </c>
      <c r="B339" s="237"/>
      <c r="C339" s="255" t="s">
        <v>2220</v>
      </c>
      <c r="D339" s="237" t="s">
        <v>2221</v>
      </c>
      <c r="E339" s="237">
        <v>56</v>
      </c>
      <c r="F339" s="237" t="s">
        <v>60</v>
      </c>
      <c r="G339" s="237" t="s">
        <v>2222</v>
      </c>
      <c r="H339" s="243" t="s">
        <v>27</v>
      </c>
      <c r="I339" s="243"/>
      <c r="K339" s="240"/>
      <c r="L339" s="243" t="s">
        <v>231</v>
      </c>
      <c r="M339" s="243" t="s">
        <v>2223</v>
      </c>
      <c r="N339" s="237"/>
      <c r="O339" s="237"/>
      <c r="P339" s="237"/>
      <c r="Q339" s="245">
        <v>45818</v>
      </c>
      <c r="R339" s="237" t="s">
        <v>309</v>
      </c>
      <c r="S339" s="331" t="s">
        <v>233</v>
      </c>
      <c r="T339" s="237" t="s">
        <v>228</v>
      </c>
      <c r="U339" s="237" t="s">
        <v>515</v>
      </c>
      <c r="V339" s="237" t="s">
        <v>473</v>
      </c>
      <c r="W339" s="245">
        <v>45889</v>
      </c>
      <c r="X339" s="237" t="s">
        <v>2224</v>
      </c>
      <c r="Y339" s="237" t="s">
        <v>2225</v>
      </c>
      <c r="Z339" s="237" t="s">
        <v>237</v>
      </c>
      <c r="AA339" s="237" t="s">
        <v>2226</v>
      </c>
      <c r="AB339" s="337" t="s">
        <v>228</v>
      </c>
      <c r="AC339" s="237" t="s">
        <v>228</v>
      </c>
      <c r="AD339" s="562"/>
      <c r="AE339" s="555"/>
      <c r="AF339" s="237"/>
    </row>
    <row r="340" spans="1:32" ht="13.5" customHeight="1">
      <c r="A340" s="235">
        <v>338</v>
      </c>
      <c r="B340" s="237"/>
      <c r="C340" s="255" t="s">
        <v>2227</v>
      </c>
      <c r="D340" s="237" t="s">
        <v>2228</v>
      </c>
      <c r="E340" s="237">
        <v>62</v>
      </c>
      <c r="F340" s="237" t="s">
        <v>75</v>
      </c>
      <c r="G340" s="237" t="s">
        <v>2229</v>
      </c>
      <c r="H340" s="243" t="s">
        <v>27</v>
      </c>
      <c r="I340" s="243"/>
      <c r="J340" s="235" t="s">
        <v>433</v>
      </c>
      <c r="K340" s="240"/>
      <c r="L340" s="243" t="s">
        <v>231</v>
      </c>
      <c r="M340" s="243" t="s">
        <v>32</v>
      </c>
      <c r="N340" s="237"/>
      <c r="O340" s="237"/>
      <c r="P340" s="237"/>
      <c r="Q340" s="245">
        <v>45693</v>
      </c>
      <c r="R340" s="237" t="s">
        <v>309</v>
      </c>
      <c r="S340" s="331" t="s">
        <v>233</v>
      </c>
      <c r="T340" s="237" t="s">
        <v>228</v>
      </c>
      <c r="U340" s="237" t="s">
        <v>234</v>
      </c>
      <c r="V340" s="237" t="s">
        <v>652</v>
      </c>
      <c r="W340" s="245">
        <v>45933</v>
      </c>
      <c r="X340" s="237" t="s">
        <v>2230</v>
      </c>
      <c r="Y340" s="237" t="s">
        <v>237</v>
      </c>
      <c r="Z340" s="237" t="s">
        <v>237</v>
      </c>
      <c r="AA340" s="237" t="s">
        <v>2231</v>
      </c>
      <c r="AB340" s="337" t="s">
        <v>228</v>
      </c>
      <c r="AC340" s="237" t="s">
        <v>228</v>
      </c>
      <c r="AD340" s="562"/>
      <c r="AE340" s="555"/>
      <c r="AF340" s="237"/>
    </row>
    <row r="341" spans="1:32" ht="13.5" customHeight="1">
      <c r="A341" s="235">
        <v>339</v>
      </c>
      <c r="B341" s="237"/>
      <c r="C341" s="255" t="s">
        <v>2232</v>
      </c>
      <c r="D341" s="237" t="s">
        <v>2233</v>
      </c>
      <c r="E341" s="237">
        <v>58</v>
      </c>
      <c r="F341" s="237" t="s">
        <v>60</v>
      </c>
      <c r="G341" s="237" t="s">
        <v>2234</v>
      </c>
      <c r="H341" s="243" t="s">
        <v>27</v>
      </c>
      <c r="I341" s="243"/>
      <c r="J341" s="235" t="s">
        <v>433</v>
      </c>
      <c r="K341" s="240"/>
      <c r="L341" s="243" t="s">
        <v>231</v>
      </c>
      <c r="M341" s="243" t="s">
        <v>32</v>
      </c>
      <c r="N341" s="237"/>
      <c r="O341" s="237"/>
      <c r="P341" s="237"/>
      <c r="Q341" s="245">
        <v>45710</v>
      </c>
      <c r="R341" s="237" t="s">
        <v>309</v>
      </c>
      <c r="S341" s="331" t="s">
        <v>233</v>
      </c>
      <c r="T341" s="237" t="s">
        <v>228</v>
      </c>
      <c r="U341" s="237" t="s">
        <v>234</v>
      </c>
      <c r="V341" s="237" t="s">
        <v>652</v>
      </c>
      <c r="W341" s="245">
        <v>45933</v>
      </c>
      <c r="X341" s="237" t="s">
        <v>2235</v>
      </c>
      <c r="Y341" s="237" t="s">
        <v>237</v>
      </c>
      <c r="Z341" s="237" t="s">
        <v>237</v>
      </c>
      <c r="AA341" s="237" t="s">
        <v>2236</v>
      </c>
      <c r="AB341" s="337" t="s">
        <v>228</v>
      </c>
      <c r="AC341" s="237" t="s">
        <v>228</v>
      </c>
      <c r="AD341" s="562"/>
      <c r="AE341" s="555"/>
      <c r="AF341" s="237"/>
    </row>
    <row r="342" spans="1:32" ht="13.5" customHeight="1">
      <c r="A342" s="235">
        <v>340</v>
      </c>
      <c r="B342" s="237"/>
      <c r="C342" s="255" t="s">
        <v>2237</v>
      </c>
      <c r="D342" s="237" t="s">
        <v>2238</v>
      </c>
      <c r="E342" s="237">
        <v>79</v>
      </c>
      <c r="F342" s="237" t="s">
        <v>75</v>
      </c>
      <c r="G342" s="237" t="s">
        <v>2239</v>
      </c>
      <c r="H342" s="243" t="s">
        <v>27</v>
      </c>
      <c r="I342" s="243"/>
      <c r="K342" s="240"/>
      <c r="L342" s="243" t="s">
        <v>231</v>
      </c>
      <c r="M342" s="243" t="s">
        <v>32</v>
      </c>
      <c r="N342" s="237"/>
      <c r="O342" s="237"/>
      <c r="P342" s="237"/>
      <c r="Q342" s="245">
        <v>45818</v>
      </c>
      <c r="R342" s="237" t="s">
        <v>309</v>
      </c>
      <c r="S342" s="331" t="s">
        <v>233</v>
      </c>
      <c r="T342" s="237" t="s">
        <v>228</v>
      </c>
      <c r="U342" s="237" t="s">
        <v>515</v>
      </c>
      <c r="V342" s="237" t="s">
        <v>473</v>
      </c>
      <c r="W342" s="245">
        <v>45918</v>
      </c>
      <c r="X342" s="237" t="s">
        <v>2240</v>
      </c>
      <c r="Y342" s="237" t="s">
        <v>588</v>
      </c>
      <c r="Z342" s="237" t="s">
        <v>228</v>
      </c>
      <c r="AA342" s="237" t="s">
        <v>2241</v>
      </c>
      <c r="AB342" s="337" t="s">
        <v>228</v>
      </c>
      <c r="AC342" s="237" t="s">
        <v>228</v>
      </c>
      <c r="AD342" s="562"/>
      <c r="AE342" s="555"/>
      <c r="AF342" s="237"/>
    </row>
    <row r="343" spans="1:32" ht="13.5" customHeight="1">
      <c r="A343" s="235">
        <v>341</v>
      </c>
      <c r="B343" s="237"/>
      <c r="C343" s="255" t="s">
        <v>2242</v>
      </c>
      <c r="D343" s="237" t="s">
        <v>2243</v>
      </c>
      <c r="E343" s="237">
        <v>40</v>
      </c>
      <c r="F343" s="237" t="s">
        <v>75</v>
      </c>
      <c r="G343" s="237" t="s">
        <v>2244</v>
      </c>
      <c r="H343" s="243" t="s">
        <v>27</v>
      </c>
      <c r="I343" s="243"/>
      <c r="J343" s="235" t="s">
        <v>433</v>
      </c>
      <c r="K343" s="243" t="s">
        <v>183</v>
      </c>
      <c r="L343" s="243"/>
      <c r="M343" s="243" t="s">
        <v>32</v>
      </c>
      <c r="N343" s="237"/>
      <c r="O343" s="237"/>
      <c r="P343" s="237"/>
      <c r="Q343" s="245">
        <v>45687</v>
      </c>
      <c r="R343" s="237" t="s">
        <v>309</v>
      </c>
      <c r="S343" s="331" t="s">
        <v>233</v>
      </c>
      <c r="T343" s="237" t="s">
        <v>228</v>
      </c>
      <c r="U343" s="237" t="s">
        <v>234</v>
      </c>
      <c r="V343" s="237" t="s">
        <v>652</v>
      </c>
      <c r="W343" s="245">
        <v>45947</v>
      </c>
      <c r="X343" s="237" t="s">
        <v>2245</v>
      </c>
      <c r="Y343" s="237" t="s">
        <v>237</v>
      </c>
      <c r="Z343" s="237" t="s">
        <v>228</v>
      </c>
      <c r="AA343" s="237" t="s">
        <v>2246</v>
      </c>
      <c r="AB343" s="337" t="s">
        <v>228</v>
      </c>
      <c r="AC343" s="237" t="s">
        <v>228</v>
      </c>
      <c r="AD343" s="562"/>
      <c r="AE343" s="555"/>
      <c r="AF343" s="237"/>
    </row>
    <row r="344" spans="1:32" ht="13.5" customHeight="1">
      <c r="A344" s="235">
        <v>342</v>
      </c>
      <c r="B344" s="237"/>
      <c r="C344" s="255" t="s">
        <v>2247</v>
      </c>
      <c r="D344" s="237" t="s">
        <v>2248</v>
      </c>
      <c r="E344" s="237">
        <v>38</v>
      </c>
      <c r="F344" s="237" t="s">
        <v>60</v>
      </c>
      <c r="G344" s="237" t="s">
        <v>2249</v>
      </c>
      <c r="H344" s="243" t="s">
        <v>27</v>
      </c>
      <c r="I344" s="243"/>
      <c r="J344" s="235" t="s">
        <v>2250</v>
      </c>
      <c r="K344" s="243" t="s">
        <v>2059</v>
      </c>
      <c r="L344" s="243"/>
      <c r="M344" s="243" t="s">
        <v>32</v>
      </c>
      <c r="N344" s="237"/>
      <c r="O344" s="237"/>
      <c r="P344" s="237"/>
      <c r="Q344" s="245">
        <v>45686</v>
      </c>
      <c r="R344" s="237" t="s">
        <v>309</v>
      </c>
      <c r="S344" s="331" t="s">
        <v>233</v>
      </c>
      <c r="T344" s="237" t="s">
        <v>228</v>
      </c>
      <c r="U344" s="237" t="s">
        <v>234</v>
      </c>
      <c r="V344" s="237" t="s">
        <v>652</v>
      </c>
      <c r="W344" s="245">
        <v>45947</v>
      </c>
      <c r="X344" s="237" t="s">
        <v>2251</v>
      </c>
      <c r="Y344" s="237" t="s">
        <v>237</v>
      </c>
      <c r="Z344" s="237" t="s">
        <v>228</v>
      </c>
      <c r="AA344" s="237" t="s">
        <v>2252</v>
      </c>
      <c r="AB344" s="337" t="s">
        <v>228</v>
      </c>
      <c r="AC344" s="237" t="s">
        <v>228</v>
      </c>
      <c r="AD344" s="562"/>
      <c r="AE344" s="555"/>
      <c r="AF344" s="237"/>
    </row>
    <row r="345" spans="1:32" ht="13.5" customHeight="1">
      <c r="A345" s="235">
        <v>343</v>
      </c>
      <c r="B345" s="237"/>
      <c r="C345" s="255" t="s">
        <v>2253</v>
      </c>
      <c r="D345" s="237" t="s">
        <v>2254</v>
      </c>
      <c r="E345" s="237">
        <v>42</v>
      </c>
      <c r="F345" s="237" t="s">
        <v>75</v>
      </c>
      <c r="G345" s="237" t="s">
        <v>2255</v>
      </c>
      <c r="H345" s="243" t="s">
        <v>27</v>
      </c>
      <c r="I345" s="243"/>
      <c r="J345" s="235" t="s">
        <v>433</v>
      </c>
      <c r="K345" s="243" t="s">
        <v>183</v>
      </c>
      <c r="L345" s="243"/>
      <c r="M345" s="243" t="s">
        <v>32</v>
      </c>
      <c r="N345" s="237"/>
      <c r="O345" s="237"/>
      <c r="P345" s="237"/>
      <c r="Q345" s="245">
        <v>45677</v>
      </c>
      <c r="R345" s="237" t="s">
        <v>309</v>
      </c>
      <c r="S345" s="331" t="s">
        <v>233</v>
      </c>
      <c r="T345" s="237" t="s">
        <v>228</v>
      </c>
      <c r="U345" s="237" t="s">
        <v>234</v>
      </c>
      <c r="V345" s="237" t="s">
        <v>652</v>
      </c>
      <c r="W345" s="245">
        <v>45947</v>
      </c>
      <c r="X345" s="237" t="s">
        <v>2256</v>
      </c>
      <c r="Y345" s="237" t="s">
        <v>237</v>
      </c>
      <c r="Z345" s="237" t="s">
        <v>228</v>
      </c>
      <c r="AA345" s="237" t="s">
        <v>2257</v>
      </c>
      <c r="AB345" s="337" t="s">
        <v>228</v>
      </c>
      <c r="AC345" s="237" t="s">
        <v>228</v>
      </c>
      <c r="AD345" s="562"/>
      <c r="AE345" s="555"/>
      <c r="AF345" s="237"/>
    </row>
    <row r="346" spans="1:32" ht="13.5" customHeight="1">
      <c r="A346" s="235">
        <v>344</v>
      </c>
      <c r="B346" s="237"/>
      <c r="C346" s="255" t="s">
        <v>2258</v>
      </c>
      <c r="D346" s="237" t="s">
        <v>2259</v>
      </c>
      <c r="E346" s="237">
        <v>72</v>
      </c>
      <c r="F346" s="237" t="s">
        <v>60</v>
      </c>
      <c r="G346" s="237" t="s">
        <v>2260</v>
      </c>
      <c r="H346" s="243" t="s">
        <v>27</v>
      </c>
      <c r="I346" s="243"/>
      <c r="J346" s="235" t="s">
        <v>433</v>
      </c>
      <c r="K346" s="243" t="s">
        <v>2059</v>
      </c>
      <c r="L346" s="243"/>
      <c r="M346" s="243" t="s">
        <v>32</v>
      </c>
      <c r="N346" s="237"/>
      <c r="O346" s="237"/>
      <c r="P346" s="237"/>
      <c r="Q346" s="245">
        <v>45684</v>
      </c>
      <c r="R346" s="237" t="s">
        <v>309</v>
      </c>
      <c r="S346" s="331" t="s">
        <v>233</v>
      </c>
      <c r="T346" s="237" t="s">
        <v>228</v>
      </c>
      <c r="U346" s="237" t="s">
        <v>234</v>
      </c>
      <c r="V346" s="237" t="s">
        <v>652</v>
      </c>
      <c r="W346" s="245">
        <v>45947</v>
      </c>
      <c r="X346" s="237" t="s">
        <v>2261</v>
      </c>
      <c r="Y346" s="237" t="s">
        <v>237</v>
      </c>
      <c r="Z346" s="237" t="s">
        <v>228</v>
      </c>
      <c r="AA346" s="237" t="s">
        <v>2262</v>
      </c>
      <c r="AB346" s="337" t="s">
        <v>228</v>
      </c>
      <c r="AC346" s="237" t="s">
        <v>228</v>
      </c>
      <c r="AD346" s="562"/>
      <c r="AE346" s="555"/>
      <c r="AF346" s="237"/>
    </row>
    <row r="347" spans="1:32" ht="13.5" customHeight="1">
      <c r="A347" s="235">
        <v>345</v>
      </c>
      <c r="B347" s="237"/>
      <c r="C347" s="255" t="s">
        <v>2263</v>
      </c>
      <c r="D347" s="237" t="s">
        <v>2264</v>
      </c>
      <c r="E347" s="237">
        <v>42</v>
      </c>
      <c r="F347" s="237" t="s">
        <v>75</v>
      </c>
      <c r="G347" s="237" t="s">
        <v>2265</v>
      </c>
      <c r="H347" s="243" t="s">
        <v>27</v>
      </c>
      <c r="I347" s="243"/>
      <c r="J347" s="235" t="s">
        <v>433</v>
      </c>
      <c r="K347" s="243" t="s">
        <v>183</v>
      </c>
      <c r="L347" s="243"/>
      <c r="M347" s="243" t="s">
        <v>2266</v>
      </c>
      <c r="N347" s="237"/>
      <c r="O347" s="237"/>
      <c r="P347" s="237"/>
      <c r="Q347" s="245">
        <v>45687</v>
      </c>
      <c r="R347" s="237" t="s">
        <v>309</v>
      </c>
      <c r="S347" s="331" t="s">
        <v>233</v>
      </c>
      <c r="T347" s="237" t="s">
        <v>228</v>
      </c>
      <c r="U347" s="237" t="s">
        <v>234</v>
      </c>
      <c r="V347" s="237" t="s">
        <v>652</v>
      </c>
      <c r="W347" s="245">
        <v>45947</v>
      </c>
      <c r="X347" s="237" t="s">
        <v>2267</v>
      </c>
      <c r="Y347" s="237" t="s">
        <v>237</v>
      </c>
      <c r="Z347" s="237" t="s">
        <v>228</v>
      </c>
      <c r="AA347" s="237" t="s">
        <v>2268</v>
      </c>
      <c r="AB347" s="337" t="s">
        <v>228</v>
      </c>
      <c r="AC347" s="237" t="s">
        <v>228</v>
      </c>
      <c r="AD347" s="562"/>
      <c r="AE347" s="555"/>
      <c r="AF347" s="237"/>
    </row>
    <row r="348" spans="1:32" ht="13.5" customHeight="1">
      <c r="A348" s="235">
        <v>346</v>
      </c>
      <c r="B348" s="237"/>
      <c r="C348" s="255" t="s">
        <v>2269</v>
      </c>
      <c r="D348" s="237" t="s">
        <v>2270</v>
      </c>
      <c r="E348" s="237">
        <v>45</v>
      </c>
      <c r="F348" s="237" t="s">
        <v>60</v>
      </c>
      <c r="G348" s="237" t="s">
        <v>2271</v>
      </c>
      <c r="H348" s="243" t="s">
        <v>27</v>
      </c>
      <c r="I348" s="243"/>
      <c r="J348" s="235" t="s">
        <v>433</v>
      </c>
      <c r="K348" s="243" t="s">
        <v>183</v>
      </c>
      <c r="L348" s="243"/>
      <c r="M348" s="243" t="s">
        <v>32</v>
      </c>
      <c r="N348" s="237"/>
      <c r="O348" s="237"/>
      <c r="P348" s="237"/>
      <c r="Q348" s="245">
        <v>45678</v>
      </c>
      <c r="R348" s="237" t="s">
        <v>309</v>
      </c>
      <c r="S348" s="331" t="s">
        <v>233</v>
      </c>
      <c r="T348" s="237" t="s">
        <v>228</v>
      </c>
      <c r="U348" s="237" t="s">
        <v>234</v>
      </c>
      <c r="V348" s="237" t="s">
        <v>652</v>
      </c>
      <c r="W348" s="245">
        <v>45947</v>
      </c>
      <c r="X348" s="237" t="s">
        <v>2272</v>
      </c>
      <c r="Y348" s="237" t="s">
        <v>237</v>
      </c>
      <c r="Z348" s="237" t="s">
        <v>228</v>
      </c>
      <c r="AA348" s="237" t="s">
        <v>2273</v>
      </c>
      <c r="AB348" s="337" t="s">
        <v>228</v>
      </c>
      <c r="AC348" s="237" t="s">
        <v>228</v>
      </c>
      <c r="AD348" s="562"/>
      <c r="AE348" s="555"/>
      <c r="AF348" s="237"/>
    </row>
    <row r="349" spans="1:32" ht="13.5" customHeight="1">
      <c r="A349" s="235">
        <v>347</v>
      </c>
      <c r="B349" s="237"/>
      <c r="C349" s="255" t="s">
        <v>2274</v>
      </c>
      <c r="D349" s="237" t="s">
        <v>2275</v>
      </c>
      <c r="E349" s="237">
        <v>33</v>
      </c>
      <c r="F349" s="237" t="s">
        <v>75</v>
      </c>
      <c r="G349" s="237" t="s">
        <v>2276</v>
      </c>
      <c r="H349" s="243" t="s">
        <v>27</v>
      </c>
      <c r="I349" s="243"/>
      <c r="J349" s="235" t="s">
        <v>433</v>
      </c>
      <c r="K349" s="243" t="s">
        <v>2059</v>
      </c>
      <c r="L349" s="243"/>
      <c r="M349" s="243" t="s">
        <v>32</v>
      </c>
      <c r="N349" s="237"/>
      <c r="O349" s="237"/>
      <c r="P349" s="237"/>
      <c r="Q349" s="245">
        <v>45691</v>
      </c>
      <c r="R349" s="237" t="s">
        <v>309</v>
      </c>
      <c r="S349" s="331" t="s">
        <v>233</v>
      </c>
      <c r="T349" s="237" t="s">
        <v>228</v>
      </c>
      <c r="U349" s="237" t="s">
        <v>234</v>
      </c>
      <c r="V349" s="237" t="s">
        <v>652</v>
      </c>
      <c r="W349" s="245">
        <v>45947</v>
      </c>
      <c r="X349" s="237" t="s">
        <v>2277</v>
      </c>
      <c r="Y349" s="237" t="s">
        <v>237</v>
      </c>
      <c r="Z349" s="237" t="s">
        <v>228</v>
      </c>
      <c r="AA349" s="237" t="s">
        <v>2278</v>
      </c>
      <c r="AB349" s="337" t="s">
        <v>228</v>
      </c>
      <c r="AC349" s="237" t="s">
        <v>228</v>
      </c>
      <c r="AD349" s="562"/>
      <c r="AE349" s="555"/>
      <c r="AF349" s="237"/>
    </row>
    <row r="350" spans="1:32" ht="13.5" customHeight="1">
      <c r="A350" s="235">
        <v>348</v>
      </c>
      <c r="B350" s="237"/>
      <c r="C350" s="255" t="s">
        <v>2279</v>
      </c>
      <c r="D350" s="237" t="s">
        <v>2280</v>
      </c>
      <c r="E350" s="237">
        <v>62</v>
      </c>
      <c r="F350" s="237" t="s">
        <v>75</v>
      </c>
      <c r="G350" s="237" t="s">
        <v>2281</v>
      </c>
      <c r="H350" s="243" t="s">
        <v>27</v>
      </c>
      <c r="I350" s="243"/>
      <c r="J350" s="235" t="s">
        <v>433</v>
      </c>
      <c r="K350" s="243" t="s">
        <v>2059</v>
      </c>
      <c r="L350" s="243"/>
      <c r="M350" s="243" t="s">
        <v>32</v>
      </c>
      <c r="N350" s="237"/>
      <c r="O350" s="237"/>
      <c r="P350" s="237"/>
      <c r="Q350" s="245">
        <v>45681</v>
      </c>
      <c r="R350" s="237" t="s">
        <v>309</v>
      </c>
      <c r="S350" s="331" t="s">
        <v>233</v>
      </c>
      <c r="T350" s="237" t="s">
        <v>228</v>
      </c>
      <c r="U350" s="237" t="s">
        <v>234</v>
      </c>
      <c r="V350" s="237" t="s">
        <v>652</v>
      </c>
      <c r="W350" s="245">
        <v>45947</v>
      </c>
      <c r="X350" s="237" t="s">
        <v>2282</v>
      </c>
      <c r="Y350" s="237" t="s">
        <v>237</v>
      </c>
      <c r="Z350" s="237" t="s">
        <v>228</v>
      </c>
      <c r="AA350" s="237" t="s">
        <v>2283</v>
      </c>
      <c r="AB350" s="337" t="s">
        <v>228</v>
      </c>
      <c r="AC350" s="237" t="s">
        <v>228</v>
      </c>
      <c r="AD350" s="562"/>
      <c r="AE350" s="555"/>
      <c r="AF350" s="237"/>
    </row>
    <row r="351" spans="1:32" ht="13.5" customHeight="1">
      <c r="A351" s="235">
        <v>349</v>
      </c>
      <c r="B351" s="237">
        <v>315</v>
      </c>
      <c r="C351" s="255" t="s">
        <v>2284</v>
      </c>
      <c r="D351" s="237" t="s">
        <v>2285</v>
      </c>
      <c r="E351" s="237">
        <v>32</v>
      </c>
      <c r="F351" s="237" t="s">
        <v>75</v>
      </c>
      <c r="G351" s="237" t="s">
        <v>2286</v>
      </c>
      <c r="H351" s="243" t="s">
        <v>27</v>
      </c>
      <c r="I351" s="243"/>
      <c r="K351" s="240"/>
      <c r="L351" s="243" t="s">
        <v>231</v>
      </c>
      <c r="M351" s="243" t="s">
        <v>2287</v>
      </c>
      <c r="N351" s="237"/>
      <c r="O351" s="237"/>
      <c r="P351" s="237"/>
      <c r="Q351" s="245">
        <v>45632</v>
      </c>
      <c r="R351" s="237" t="s">
        <v>309</v>
      </c>
      <c r="S351" s="331" t="s">
        <v>233</v>
      </c>
      <c r="T351" s="237">
        <v>8.5</v>
      </c>
      <c r="U351" s="237" t="s">
        <v>234</v>
      </c>
      <c r="V351" s="237" t="s">
        <v>235</v>
      </c>
      <c r="W351" s="245">
        <v>45677</v>
      </c>
      <c r="X351" s="237" t="s">
        <v>2288</v>
      </c>
      <c r="Y351" s="237" t="s">
        <v>237</v>
      </c>
      <c r="Z351" s="237" t="s">
        <v>237</v>
      </c>
      <c r="AA351" s="237" t="s">
        <v>2289</v>
      </c>
      <c r="AB351" s="337" t="s">
        <v>228</v>
      </c>
      <c r="AC351" s="237" t="s">
        <v>228</v>
      </c>
      <c r="AD351" s="562"/>
      <c r="AE351" s="555"/>
      <c r="AF351" s="237"/>
    </row>
    <row r="352" spans="1:32" ht="13.5" customHeight="1">
      <c r="A352" s="235">
        <v>350</v>
      </c>
      <c r="B352" s="237"/>
      <c r="C352" s="255" t="s">
        <v>2290</v>
      </c>
      <c r="D352" s="237" t="s">
        <v>2291</v>
      </c>
      <c r="E352" s="237">
        <v>36</v>
      </c>
      <c r="F352" s="237" t="s">
        <v>60</v>
      </c>
      <c r="G352" s="237" t="s">
        <v>2292</v>
      </c>
      <c r="H352" s="243" t="s">
        <v>27</v>
      </c>
      <c r="I352" s="243"/>
      <c r="J352" s="235" t="s">
        <v>433</v>
      </c>
      <c r="K352" s="240"/>
      <c r="L352" s="243" t="s">
        <v>231</v>
      </c>
      <c r="M352" s="243" t="s">
        <v>32</v>
      </c>
      <c r="N352" s="237"/>
      <c r="O352" s="237"/>
      <c r="P352" s="237"/>
      <c r="Q352" s="245">
        <v>45828</v>
      </c>
      <c r="R352" s="237" t="s">
        <v>309</v>
      </c>
      <c r="S352" s="331" t="s">
        <v>233</v>
      </c>
      <c r="T352" s="237" t="s">
        <v>228</v>
      </c>
      <c r="U352" s="237" t="s">
        <v>234</v>
      </c>
      <c r="V352" s="237" t="s">
        <v>473</v>
      </c>
      <c r="W352" s="245">
        <v>45918</v>
      </c>
      <c r="X352" s="237" t="s">
        <v>2293</v>
      </c>
      <c r="Y352" s="237" t="s">
        <v>588</v>
      </c>
      <c r="Z352" s="237" t="s">
        <v>228</v>
      </c>
      <c r="AA352" s="237" t="s">
        <v>2294</v>
      </c>
      <c r="AB352" s="337" t="s">
        <v>228</v>
      </c>
      <c r="AC352" s="237" t="s">
        <v>228</v>
      </c>
      <c r="AD352" s="562"/>
      <c r="AE352" s="555"/>
      <c r="AF352" s="237"/>
    </row>
    <row r="353" spans="1:32" ht="13.5" customHeight="1">
      <c r="A353" s="235">
        <v>351</v>
      </c>
      <c r="B353" s="237"/>
      <c r="C353" s="255" t="s">
        <v>2295</v>
      </c>
      <c r="D353" s="237" t="s">
        <v>2296</v>
      </c>
      <c r="E353" s="237">
        <v>48</v>
      </c>
      <c r="F353" s="237" t="s">
        <v>75</v>
      </c>
      <c r="G353" s="237" t="s">
        <v>2297</v>
      </c>
      <c r="H353" s="243" t="s">
        <v>15</v>
      </c>
      <c r="I353" s="243" t="s">
        <v>2298</v>
      </c>
      <c r="K353" s="240" t="s">
        <v>145</v>
      </c>
      <c r="L353" s="243" t="s">
        <v>2299</v>
      </c>
      <c r="M353" s="243" t="s">
        <v>231</v>
      </c>
      <c r="N353" s="237"/>
      <c r="O353" s="237"/>
      <c r="P353" s="237"/>
      <c r="Q353" s="245">
        <v>45673</v>
      </c>
      <c r="R353" s="237" t="s">
        <v>309</v>
      </c>
      <c r="S353" s="331" t="s">
        <v>233</v>
      </c>
      <c r="T353" s="237" t="s">
        <v>228</v>
      </c>
      <c r="U353" s="237" t="s">
        <v>234</v>
      </c>
      <c r="V353" s="237" t="s">
        <v>652</v>
      </c>
      <c r="W353" s="245">
        <v>45971</v>
      </c>
      <c r="X353" s="237" t="s">
        <v>2300</v>
      </c>
      <c r="Y353" s="237" t="s">
        <v>588</v>
      </c>
      <c r="Z353" s="237" t="s">
        <v>228</v>
      </c>
      <c r="AA353" s="237" t="s">
        <v>2301</v>
      </c>
      <c r="AB353" s="337" t="s">
        <v>228</v>
      </c>
      <c r="AC353" s="237" t="s">
        <v>228</v>
      </c>
      <c r="AD353" s="562"/>
      <c r="AE353" s="555"/>
      <c r="AF353" s="237"/>
    </row>
    <row r="354" spans="1:32" ht="13.5" customHeight="1">
      <c r="A354" s="235">
        <v>352</v>
      </c>
      <c r="B354" s="237"/>
      <c r="C354" s="255" t="s">
        <v>2302</v>
      </c>
      <c r="D354" s="237" t="s">
        <v>2303</v>
      </c>
      <c r="E354" s="237">
        <v>61</v>
      </c>
      <c r="F354" s="237" t="s">
        <v>60</v>
      </c>
      <c r="G354" s="237" t="s">
        <v>2304</v>
      </c>
      <c r="H354" s="243" t="s">
        <v>15</v>
      </c>
      <c r="I354" s="243" t="s">
        <v>2298</v>
      </c>
      <c r="K354" s="240" t="s">
        <v>146</v>
      </c>
      <c r="L354" s="243" t="s">
        <v>162</v>
      </c>
      <c r="M354" s="243" t="s">
        <v>231</v>
      </c>
      <c r="N354" s="237"/>
      <c r="O354" s="237"/>
      <c r="P354" s="237"/>
      <c r="Q354" s="245">
        <v>45673</v>
      </c>
      <c r="R354" s="237" t="s">
        <v>309</v>
      </c>
      <c r="S354" s="331" t="s">
        <v>233</v>
      </c>
      <c r="T354" s="237" t="s">
        <v>228</v>
      </c>
      <c r="U354" s="237" t="s">
        <v>234</v>
      </c>
      <c r="V354" s="237" t="s">
        <v>652</v>
      </c>
      <c r="W354" s="245">
        <v>45971</v>
      </c>
      <c r="X354" s="237" t="s">
        <v>2305</v>
      </c>
      <c r="Y354" s="237" t="s">
        <v>588</v>
      </c>
      <c r="Z354" s="237" t="s">
        <v>228</v>
      </c>
      <c r="AA354" s="237" t="s">
        <v>2306</v>
      </c>
      <c r="AB354" s="337" t="s">
        <v>228</v>
      </c>
      <c r="AC354" s="237" t="s">
        <v>228</v>
      </c>
      <c r="AD354" s="562"/>
      <c r="AE354" s="555"/>
      <c r="AF354" s="237"/>
    </row>
    <row r="355" spans="1:32" ht="13.5" customHeight="1">
      <c r="A355" s="235">
        <v>353</v>
      </c>
      <c r="B355" s="237"/>
      <c r="C355" s="255" t="s">
        <v>2307</v>
      </c>
      <c r="D355" s="237" t="s">
        <v>2308</v>
      </c>
      <c r="E355" s="237">
        <v>39</v>
      </c>
      <c r="F355" s="237" t="s">
        <v>60</v>
      </c>
      <c r="G355" s="237" t="s">
        <v>2309</v>
      </c>
      <c r="H355" s="243" t="s">
        <v>188</v>
      </c>
      <c r="I355" s="243"/>
      <c r="K355" s="240"/>
      <c r="L355" s="243" t="s">
        <v>231</v>
      </c>
      <c r="M355" s="243" t="s">
        <v>231</v>
      </c>
      <c r="N355" s="237"/>
      <c r="O355" s="237"/>
      <c r="P355" s="237"/>
      <c r="Q355" s="245">
        <v>45673</v>
      </c>
      <c r="R355" s="237" t="s">
        <v>309</v>
      </c>
      <c r="S355" s="331" t="s">
        <v>233</v>
      </c>
      <c r="T355" s="237" t="s">
        <v>228</v>
      </c>
      <c r="U355" s="237" t="s">
        <v>234</v>
      </c>
      <c r="V355" s="237" t="s">
        <v>652</v>
      </c>
      <c r="W355" s="245">
        <v>45986</v>
      </c>
      <c r="X355" s="237">
        <v>0</v>
      </c>
      <c r="Y355" s="237">
        <v>0</v>
      </c>
      <c r="Z355" s="237" t="s">
        <v>237</v>
      </c>
      <c r="AA355" s="237" t="s">
        <v>2310</v>
      </c>
      <c r="AB355" s="337" t="s">
        <v>228</v>
      </c>
      <c r="AC355" s="237" t="s">
        <v>228</v>
      </c>
      <c r="AD355" s="562"/>
      <c r="AE355" s="555"/>
      <c r="AF355" s="237"/>
    </row>
    <row r="356" spans="1:32" ht="13.5" customHeight="1">
      <c r="A356" s="235">
        <v>354</v>
      </c>
      <c r="B356" s="237"/>
      <c r="C356" s="255" t="s">
        <v>2311</v>
      </c>
      <c r="D356" s="237" t="s">
        <v>2312</v>
      </c>
      <c r="E356" s="237">
        <v>76</v>
      </c>
      <c r="F356" s="237" t="s">
        <v>75</v>
      </c>
      <c r="G356" s="237" t="s">
        <v>2313</v>
      </c>
      <c r="H356" s="243" t="s">
        <v>188</v>
      </c>
      <c r="I356" s="243"/>
      <c r="K356" s="240"/>
      <c r="L356" s="243" t="s">
        <v>231</v>
      </c>
      <c r="M356" s="243" t="s">
        <v>231</v>
      </c>
      <c r="N356" s="237"/>
      <c r="O356" s="237"/>
      <c r="P356" s="237"/>
      <c r="Q356" s="245">
        <v>45673</v>
      </c>
      <c r="R356" s="237" t="s">
        <v>309</v>
      </c>
      <c r="S356" s="331" t="s">
        <v>233</v>
      </c>
      <c r="T356" s="237" t="s">
        <v>228</v>
      </c>
      <c r="U356" s="237" t="s">
        <v>234</v>
      </c>
      <c r="V356" s="237" t="s">
        <v>652</v>
      </c>
      <c r="W356" s="245">
        <v>45986</v>
      </c>
      <c r="X356" s="237">
        <v>0</v>
      </c>
      <c r="Y356" s="237">
        <v>0</v>
      </c>
      <c r="Z356" s="237" t="s">
        <v>237</v>
      </c>
      <c r="AA356" s="237" t="s">
        <v>2314</v>
      </c>
      <c r="AB356" s="337" t="s">
        <v>228</v>
      </c>
      <c r="AC356" s="237" t="s">
        <v>228</v>
      </c>
      <c r="AD356" s="562"/>
      <c r="AE356" s="555"/>
      <c r="AF356" s="237"/>
    </row>
    <row r="357" spans="1:32" ht="13.5" customHeight="1">
      <c r="A357" s="235">
        <v>355</v>
      </c>
      <c r="B357" s="237"/>
      <c r="C357" s="255" t="s">
        <v>2315</v>
      </c>
      <c r="D357" s="237" t="s">
        <v>2316</v>
      </c>
      <c r="E357" s="237">
        <v>40</v>
      </c>
      <c r="F357" s="237" t="s">
        <v>75</v>
      </c>
      <c r="G357" s="237" t="s">
        <v>2317</v>
      </c>
      <c r="H357" s="243" t="s">
        <v>188</v>
      </c>
      <c r="I357" s="243"/>
      <c r="K357" s="240"/>
      <c r="L357" s="243" t="s">
        <v>231</v>
      </c>
      <c r="M357" s="243" t="s">
        <v>231</v>
      </c>
      <c r="N357" s="237"/>
      <c r="O357" s="237"/>
      <c r="P357" s="237"/>
      <c r="Q357" s="245">
        <v>45673</v>
      </c>
      <c r="R357" s="237" t="s">
        <v>309</v>
      </c>
      <c r="S357" s="331" t="s">
        <v>233</v>
      </c>
      <c r="T357" s="237" t="s">
        <v>228</v>
      </c>
      <c r="U357" s="237" t="s">
        <v>234</v>
      </c>
      <c r="V357" s="237" t="s">
        <v>652</v>
      </c>
      <c r="W357" s="245">
        <v>45986</v>
      </c>
      <c r="X357" s="237">
        <v>0</v>
      </c>
      <c r="Y357" s="237">
        <v>0</v>
      </c>
      <c r="Z357" s="237" t="s">
        <v>237</v>
      </c>
      <c r="AA357" s="237" t="s">
        <v>2318</v>
      </c>
      <c r="AB357" s="337" t="s">
        <v>228</v>
      </c>
      <c r="AC357" s="237" t="s">
        <v>228</v>
      </c>
      <c r="AD357" s="562"/>
      <c r="AE357" s="555"/>
      <c r="AF357" s="237"/>
    </row>
    <row r="358" spans="1:32" ht="13.5" customHeight="1">
      <c r="A358" s="235">
        <v>356</v>
      </c>
      <c r="B358" s="237"/>
      <c r="C358" s="255" t="s">
        <v>2319</v>
      </c>
      <c r="D358" s="237" t="s">
        <v>2320</v>
      </c>
      <c r="E358" s="237">
        <v>64</v>
      </c>
      <c r="F358" s="237" t="s">
        <v>60</v>
      </c>
      <c r="G358" s="237" t="s">
        <v>2321</v>
      </c>
      <c r="H358" s="243" t="s">
        <v>188</v>
      </c>
      <c r="I358" s="243"/>
      <c r="K358" s="240"/>
      <c r="L358" s="243" t="s">
        <v>231</v>
      </c>
      <c r="M358" s="243" t="s">
        <v>231</v>
      </c>
      <c r="N358" s="237"/>
      <c r="O358" s="237"/>
      <c r="P358" s="237"/>
      <c r="Q358" s="245">
        <v>45673</v>
      </c>
      <c r="R358" s="237" t="s">
        <v>309</v>
      </c>
      <c r="S358" s="331" t="s">
        <v>233</v>
      </c>
      <c r="T358" s="237" t="s">
        <v>228</v>
      </c>
      <c r="U358" s="237" t="s">
        <v>234</v>
      </c>
      <c r="V358" s="237" t="s">
        <v>652</v>
      </c>
      <c r="W358" s="245">
        <v>45986</v>
      </c>
      <c r="X358" s="237">
        <v>0</v>
      </c>
      <c r="Y358" s="237">
        <v>0</v>
      </c>
      <c r="Z358" s="237" t="s">
        <v>228</v>
      </c>
      <c r="AA358" s="237" t="s">
        <v>2322</v>
      </c>
      <c r="AB358" s="337" t="s">
        <v>228</v>
      </c>
      <c r="AC358" s="237" t="s">
        <v>228</v>
      </c>
      <c r="AD358" s="562"/>
      <c r="AE358" s="555"/>
      <c r="AF358" s="237"/>
    </row>
    <row r="359" spans="1:32" ht="13.5" customHeight="1">
      <c r="A359" s="235">
        <v>357</v>
      </c>
      <c r="B359" s="237"/>
      <c r="C359" s="255" t="s">
        <v>2323</v>
      </c>
      <c r="D359" s="237" t="s">
        <v>2324</v>
      </c>
      <c r="E359" s="237">
        <v>47</v>
      </c>
      <c r="F359" s="237" t="s">
        <v>60</v>
      </c>
      <c r="G359" s="237" t="s">
        <v>2325</v>
      </c>
      <c r="H359" s="243" t="s">
        <v>188</v>
      </c>
      <c r="I359" s="243"/>
      <c r="K359" s="240"/>
      <c r="L359" s="243" t="s">
        <v>231</v>
      </c>
      <c r="M359" s="243" t="s">
        <v>231</v>
      </c>
      <c r="N359" s="237"/>
      <c r="O359" s="237"/>
      <c r="P359" s="237"/>
      <c r="Q359" s="245">
        <v>45673</v>
      </c>
      <c r="R359" s="237" t="s">
        <v>309</v>
      </c>
      <c r="S359" s="331" t="s">
        <v>233</v>
      </c>
      <c r="T359" s="237" t="s">
        <v>228</v>
      </c>
      <c r="U359" s="237" t="s">
        <v>234</v>
      </c>
      <c r="V359" s="237" t="s">
        <v>652</v>
      </c>
      <c r="W359" s="245">
        <v>45986</v>
      </c>
      <c r="X359" s="237">
        <v>0</v>
      </c>
      <c r="Y359" s="237">
        <v>0</v>
      </c>
      <c r="Z359" s="237" t="s">
        <v>228</v>
      </c>
      <c r="AA359" s="237" t="s">
        <v>2326</v>
      </c>
      <c r="AB359" s="337" t="s">
        <v>228</v>
      </c>
      <c r="AC359" s="237" t="s">
        <v>228</v>
      </c>
      <c r="AD359" s="562"/>
      <c r="AE359" s="555"/>
      <c r="AF359" s="237"/>
    </row>
    <row r="360" spans="1:32" ht="13.5" customHeight="1">
      <c r="A360" s="235">
        <v>358</v>
      </c>
      <c r="B360" s="237"/>
      <c r="C360" s="255" t="s">
        <v>2327</v>
      </c>
      <c r="D360" s="237" t="s">
        <v>2328</v>
      </c>
      <c r="E360" s="237">
        <v>46</v>
      </c>
      <c r="F360" s="237" t="s">
        <v>75</v>
      </c>
      <c r="G360" s="237" t="s">
        <v>2329</v>
      </c>
      <c r="H360" s="243" t="s">
        <v>188</v>
      </c>
      <c r="I360" s="243"/>
      <c r="K360" s="240"/>
      <c r="L360" s="243" t="s">
        <v>231</v>
      </c>
      <c r="M360" s="243" t="s">
        <v>231</v>
      </c>
      <c r="N360" s="237"/>
      <c r="O360" s="237"/>
      <c r="P360" s="237"/>
      <c r="Q360" s="245">
        <v>45678</v>
      </c>
      <c r="R360" s="237" t="s">
        <v>309</v>
      </c>
      <c r="S360" s="331" t="s">
        <v>233</v>
      </c>
      <c r="T360" s="237" t="s">
        <v>228</v>
      </c>
      <c r="U360" s="237" t="s">
        <v>234</v>
      </c>
      <c r="V360" s="237" t="s">
        <v>652</v>
      </c>
      <c r="W360" s="245">
        <v>45986</v>
      </c>
      <c r="X360" s="237">
        <v>0</v>
      </c>
      <c r="Y360" s="237">
        <v>0</v>
      </c>
      <c r="Z360" s="237" t="s">
        <v>228</v>
      </c>
      <c r="AA360" s="237" t="s">
        <v>2330</v>
      </c>
      <c r="AB360" s="337" t="s">
        <v>228</v>
      </c>
      <c r="AC360" s="237" t="s">
        <v>228</v>
      </c>
      <c r="AD360" s="562"/>
      <c r="AE360" s="555"/>
      <c r="AF360" s="237"/>
    </row>
    <row r="361" spans="1:32" ht="13.5" customHeight="1">
      <c r="A361" s="235">
        <v>359</v>
      </c>
      <c r="B361" s="237"/>
      <c r="C361" s="255" t="s">
        <v>2331</v>
      </c>
      <c r="D361" s="237" t="s">
        <v>2332</v>
      </c>
      <c r="E361" s="237">
        <v>40</v>
      </c>
      <c r="F361" s="237" t="s">
        <v>75</v>
      </c>
      <c r="G361" s="237" t="s">
        <v>2333</v>
      </c>
      <c r="H361" s="243" t="s">
        <v>188</v>
      </c>
      <c r="I361" s="243"/>
      <c r="K361" s="240"/>
      <c r="L361" s="243" t="s">
        <v>231</v>
      </c>
      <c r="M361" s="243" t="s">
        <v>231</v>
      </c>
      <c r="N361" s="237"/>
      <c r="O361" s="237"/>
      <c r="P361" s="237"/>
      <c r="Q361" s="245">
        <v>45678</v>
      </c>
      <c r="R361" s="237" t="s">
        <v>309</v>
      </c>
      <c r="S361" s="331" t="s">
        <v>233</v>
      </c>
      <c r="T361" s="237" t="s">
        <v>228</v>
      </c>
      <c r="U361" s="237" t="s">
        <v>234</v>
      </c>
      <c r="V361" s="237" t="s">
        <v>652</v>
      </c>
      <c r="W361" s="245">
        <v>45986</v>
      </c>
      <c r="X361" s="237">
        <v>0</v>
      </c>
      <c r="Y361" s="237">
        <v>0</v>
      </c>
      <c r="Z361" s="237" t="s">
        <v>228</v>
      </c>
      <c r="AA361" s="237" t="s">
        <v>2334</v>
      </c>
      <c r="AB361" s="337" t="s">
        <v>228</v>
      </c>
      <c r="AC361" s="237" t="s">
        <v>228</v>
      </c>
      <c r="AD361" s="562"/>
      <c r="AE361" s="555"/>
      <c r="AF361" s="237"/>
    </row>
    <row r="362" spans="1:32" ht="13.5" customHeight="1">
      <c r="A362" s="235">
        <v>360</v>
      </c>
      <c r="B362" s="237"/>
      <c r="C362" s="255" t="s">
        <v>2335</v>
      </c>
      <c r="D362" s="237" t="s">
        <v>2336</v>
      </c>
      <c r="E362" s="237">
        <v>72</v>
      </c>
      <c r="F362" s="237" t="s">
        <v>75</v>
      </c>
      <c r="G362" s="237" t="s">
        <v>2337</v>
      </c>
      <c r="H362" s="243" t="s">
        <v>188</v>
      </c>
      <c r="I362" s="243"/>
      <c r="K362" s="240"/>
      <c r="L362" s="243" t="s">
        <v>231</v>
      </c>
      <c r="M362" s="243" t="s">
        <v>231</v>
      </c>
      <c r="N362" s="237"/>
      <c r="O362" s="237"/>
      <c r="P362" s="237"/>
      <c r="Q362" s="245">
        <v>45678</v>
      </c>
      <c r="R362" s="237" t="s">
        <v>309</v>
      </c>
      <c r="S362" s="331" t="s">
        <v>233</v>
      </c>
      <c r="T362" s="237" t="s">
        <v>228</v>
      </c>
      <c r="U362" s="237" t="s">
        <v>234</v>
      </c>
      <c r="V362" s="237" t="s">
        <v>652</v>
      </c>
      <c r="W362" s="245">
        <v>45986</v>
      </c>
      <c r="X362" s="237">
        <v>0</v>
      </c>
      <c r="Y362" s="237">
        <v>0</v>
      </c>
      <c r="Z362" s="237" t="s">
        <v>228</v>
      </c>
      <c r="AA362" s="237" t="s">
        <v>2338</v>
      </c>
      <c r="AB362" s="337" t="s">
        <v>228</v>
      </c>
      <c r="AC362" s="237" t="s">
        <v>228</v>
      </c>
      <c r="AD362" s="562"/>
      <c r="AE362" s="555"/>
      <c r="AF362" s="237"/>
    </row>
    <row r="363" spans="1:32" ht="13.5" customHeight="1">
      <c r="A363" s="235">
        <v>361</v>
      </c>
      <c r="B363" s="237" t="s">
        <v>2339</v>
      </c>
      <c r="C363" s="255" t="s">
        <v>2340</v>
      </c>
      <c r="D363" s="237" t="s">
        <v>2341</v>
      </c>
      <c r="E363" s="237">
        <v>28</v>
      </c>
      <c r="F363" s="237" t="s">
        <v>75</v>
      </c>
      <c r="G363" s="237" t="s">
        <v>2342</v>
      </c>
      <c r="H363" s="243" t="s">
        <v>188</v>
      </c>
      <c r="I363" s="243"/>
      <c r="K363" s="240"/>
      <c r="L363" s="243" t="s">
        <v>231</v>
      </c>
      <c r="M363" s="246" t="s">
        <v>228</v>
      </c>
      <c r="N363" s="237"/>
      <c r="O363" s="237"/>
      <c r="P363" s="237"/>
      <c r="Q363" s="245">
        <v>45678</v>
      </c>
      <c r="R363" s="237" t="s">
        <v>309</v>
      </c>
      <c r="S363" s="331" t="s">
        <v>233</v>
      </c>
      <c r="T363" s="237" t="s">
        <v>228</v>
      </c>
      <c r="U363" s="237" t="s">
        <v>234</v>
      </c>
      <c r="V363" s="237" t="s">
        <v>652</v>
      </c>
      <c r="W363" s="245">
        <v>45986</v>
      </c>
      <c r="X363" s="237">
        <v>0</v>
      </c>
      <c r="Y363" s="237">
        <v>0</v>
      </c>
      <c r="Z363" s="237" t="s">
        <v>228</v>
      </c>
      <c r="AA363" s="237" t="s">
        <v>2343</v>
      </c>
      <c r="AB363" s="337" t="s">
        <v>228</v>
      </c>
      <c r="AC363" s="237" t="s">
        <v>228</v>
      </c>
      <c r="AD363" s="562"/>
      <c r="AE363" s="555"/>
      <c r="AF363" s="237"/>
    </row>
    <row r="364" spans="1:32" ht="13.5" customHeight="1">
      <c r="A364" s="235">
        <v>362</v>
      </c>
      <c r="B364" s="237"/>
      <c r="C364" s="255" t="s">
        <v>2344</v>
      </c>
      <c r="D364" s="237" t="s">
        <v>2345</v>
      </c>
      <c r="E364" s="237">
        <v>69</v>
      </c>
      <c r="F364" s="237" t="s">
        <v>60</v>
      </c>
      <c r="G364" s="237" t="s">
        <v>2346</v>
      </c>
      <c r="H364" s="243" t="s">
        <v>188</v>
      </c>
      <c r="I364" s="243"/>
      <c r="K364" s="240"/>
      <c r="L364" s="243" t="s">
        <v>231</v>
      </c>
      <c r="M364" s="243" t="s">
        <v>231</v>
      </c>
      <c r="N364" s="237"/>
      <c r="O364" s="237"/>
      <c r="P364" s="237"/>
      <c r="Q364" s="245">
        <v>45680</v>
      </c>
      <c r="R364" s="237" t="s">
        <v>309</v>
      </c>
      <c r="S364" s="331" t="s">
        <v>233</v>
      </c>
      <c r="T364" s="237" t="s">
        <v>228</v>
      </c>
      <c r="U364" s="237" t="s">
        <v>234</v>
      </c>
      <c r="V364" s="237" t="s">
        <v>652</v>
      </c>
      <c r="W364" s="245">
        <v>45986</v>
      </c>
      <c r="X364" s="237">
        <v>0</v>
      </c>
      <c r="Y364" s="237">
        <v>0</v>
      </c>
      <c r="Z364" s="237" t="s">
        <v>228</v>
      </c>
      <c r="AA364" s="237" t="s">
        <v>2347</v>
      </c>
      <c r="AB364" s="337" t="s">
        <v>228</v>
      </c>
      <c r="AC364" s="237" t="s">
        <v>228</v>
      </c>
      <c r="AD364" s="562"/>
      <c r="AE364" s="555"/>
      <c r="AF364" s="237"/>
    </row>
    <row r="365" spans="1:32" ht="13.5" customHeight="1">
      <c r="A365" s="235">
        <v>363</v>
      </c>
      <c r="B365" s="237"/>
      <c r="C365" s="255" t="s">
        <v>2348</v>
      </c>
      <c r="D365" s="237" t="s">
        <v>2349</v>
      </c>
      <c r="E365" s="237">
        <v>64</v>
      </c>
      <c r="F365" s="237" t="s">
        <v>75</v>
      </c>
      <c r="G365" s="237" t="s">
        <v>2350</v>
      </c>
      <c r="H365" s="243" t="s">
        <v>188</v>
      </c>
      <c r="I365" s="243"/>
      <c r="K365" s="240"/>
      <c r="L365" s="243" t="s">
        <v>231</v>
      </c>
      <c r="M365" s="243" t="s">
        <v>231</v>
      </c>
      <c r="N365" s="237"/>
      <c r="O365" s="237"/>
      <c r="P365" s="237"/>
      <c r="Q365" s="245">
        <v>45680</v>
      </c>
      <c r="R365" s="237" t="s">
        <v>309</v>
      </c>
      <c r="S365" s="331" t="s">
        <v>233</v>
      </c>
      <c r="T365" s="237" t="s">
        <v>228</v>
      </c>
      <c r="U365" s="237" t="s">
        <v>234</v>
      </c>
      <c r="V365" s="237" t="s">
        <v>652</v>
      </c>
      <c r="W365" s="245">
        <v>45986</v>
      </c>
      <c r="X365" s="237">
        <v>0</v>
      </c>
      <c r="Y365" s="237">
        <v>0</v>
      </c>
      <c r="Z365" s="237" t="s">
        <v>228</v>
      </c>
      <c r="AA365" s="237" t="s">
        <v>2351</v>
      </c>
      <c r="AB365" s="337" t="s">
        <v>228</v>
      </c>
      <c r="AC365" s="237" t="s">
        <v>228</v>
      </c>
      <c r="AD365" s="562"/>
      <c r="AE365" s="555"/>
      <c r="AF365" s="237"/>
    </row>
    <row r="366" spans="1:32" ht="13.5" customHeight="1">
      <c r="A366" s="235">
        <v>364</v>
      </c>
      <c r="B366" s="237"/>
      <c r="C366" s="255" t="s">
        <v>2352</v>
      </c>
      <c r="D366" s="237" t="s">
        <v>2353</v>
      </c>
      <c r="E366" s="237">
        <v>40</v>
      </c>
      <c r="F366" s="237" t="s">
        <v>60</v>
      </c>
      <c r="G366" s="237" t="s">
        <v>2354</v>
      </c>
      <c r="H366" s="243" t="s">
        <v>188</v>
      </c>
      <c r="I366" s="243"/>
      <c r="K366" s="240"/>
      <c r="L366" s="243" t="s">
        <v>231</v>
      </c>
      <c r="M366" s="243" t="s">
        <v>231</v>
      </c>
      <c r="N366" s="237"/>
      <c r="O366" s="237"/>
      <c r="P366" s="237"/>
      <c r="Q366" s="245">
        <v>45680</v>
      </c>
      <c r="R366" s="237" t="s">
        <v>309</v>
      </c>
      <c r="S366" s="331" t="s">
        <v>233</v>
      </c>
      <c r="T366" s="237" t="s">
        <v>228</v>
      </c>
      <c r="U366" s="237" t="s">
        <v>234</v>
      </c>
      <c r="V366" s="237" t="s">
        <v>652</v>
      </c>
      <c r="W366" s="245">
        <v>45986</v>
      </c>
      <c r="X366" s="237">
        <v>0</v>
      </c>
      <c r="Y366" s="237">
        <v>0</v>
      </c>
      <c r="Z366" s="237" t="s">
        <v>228</v>
      </c>
      <c r="AA366" s="237" t="s">
        <v>2355</v>
      </c>
      <c r="AB366" s="337" t="s">
        <v>228</v>
      </c>
      <c r="AC366" s="237" t="s">
        <v>228</v>
      </c>
      <c r="AD366" s="562"/>
      <c r="AE366" s="555"/>
      <c r="AF366" s="237"/>
    </row>
    <row r="367" spans="1:32" ht="13.5" customHeight="1">
      <c r="A367" s="235">
        <v>365</v>
      </c>
      <c r="B367" s="237"/>
      <c r="C367" s="255" t="s">
        <v>2356</v>
      </c>
      <c r="D367" s="237" t="s">
        <v>2357</v>
      </c>
      <c r="E367" s="237">
        <v>38</v>
      </c>
      <c r="F367" s="237" t="s">
        <v>75</v>
      </c>
      <c r="G367" s="237" t="s">
        <v>2358</v>
      </c>
      <c r="H367" s="243" t="s">
        <v>188</v>
      </c>
      <c r="I367" s="243"/>
      <c r="K367" s="240"/>
      <c r="L367" s="243" t="s">
        <v>231</v>
      </c>
      <c r="M367" s="243" t="s">
        <v>231</v>
      </c>
      <c r="N367" s="237"/>
      <c r="O367" s="237"/>
      <c r="P367" s="237"/>
      <c r="Q367" s="245">
        <v>45680</v>
      </c>
      <c r="R367" s="237" t="s">
        <v>309</v>
      </c>
      <c r="S367" s="331" t="s">
        <v>233</v>
      </c>
      <c r="T367" s="237" t="s">
        <v>228</v>
      </c>
      <c r="U367" s="237" t="s">
        <v>234</v>
      </c>
      <c r="V367" s="237" t="s">
        <v>652</v>
      </c>
      <c r="W367" s="245">
        <v>45986</v>
      </c>
      <c r="X367" s="237">
        <v>0</v>
      </c>
      <c r="Y367" s="237">
        <v>0</v>
      </c>
      <c r="Z367" s="237" t="s">
        <v>228</v>
      </c>
      <c r="AA367" s="237" t="s">
        <v>2359</v>
      </c>
      <c r="AB367" s="337" t="s">
        <v>228</v>
      </c>
      <c r="AC367" s="237" t="s">
        <v>228</v>
      </c>
      <c r="AD367" s="562"/>
      <c r="AE367" s="555"/>
      <c r="AF367" s="237"/>
    </row>
    <row r="368" spans="1:32" ht="13.5" customHeight="1">
      <c r="A368" s="235">
        <v>366</v>
      </c>
      <c r="B368" s="237"/>
      <c r="C368" s="255" t="s">
        <v>2360</v>
      </c>
      <c r="D368" s="237" t="s">
        <v>2361</v>
      </c>
      <c r="E368" s="237">
        <v>41</v>
      </c>
      <c r="F368" s="237" t="s">
        <v>60</v>
      </c>
      <c r="G368" s="237" t="s">
        <v>2362</v>
      </c>
      <c r="H368" s="243" t="s">
        <v>188</v>
      </c>
      <c r="I368" s="243"/>
      <c r="K368" s="240"/>
      <c r="L368" s="243" t="s">
        <v>231</v>
      </c>
      <c r="M368" s="243" t="s">
        <v>231</v>
      </c>
      <c r="N368" s="237"/>
      <c r="O368" s="237"/>
      <c r="P368" s="237"/>
      <c r="Q368" s="245">
        <v>45680</v>
      </c>
      <c r="R368" s="237" t="s">
        <v>309</v>
      </c>
      <c r="S368" s="331" t="s">
        <v>233</v>
      </c>
      <c r="T368" s="237" t="s">
        <v>228</v>
      </c>
      <c r="U368" s="237" t="s">
        <v>234</v>
      </c>
      <c r="V368" s="237" t="s">
        <v>652</v>
      </c>
      <c r="W368" s="245">
        <v>45986</v>
      </c>
      <c r="X368" s="237">
        <v>0</v>
      </c>
      <c r="Y368" s="237">
        <v>0</v>
      </c>
      <c r="Z368" s="237" t="s">
        <v>228</v>
      </c>
      <c r="AA368" s="237" t="s">
        <v>2363</v>
      </c>
      <c r="AB368" s="337" t="s">
        <v>228</v>
      </c>
      <c r="AC368" s="237" t="s">
        <v>228</v>
      </c>
      <c r="AD368" s="562"/>
      <c r="AE368" s="555"/>
      <c r="AF368" s="237"/>
    </row>
    <row r="369" spans="1:32" ht="13.5" customHeight="1">
      <c r="A369" s="235">
        <v>367</v>
      </c>
      <c r="B369" s="237"/>
      <c r="C369" s="255" t="s">
        <v>2364</v>
      </c>
      <c r="D369" s="237" t="s">
        <v>2365</v>
      </c>
      <c r="E369" s="237">
        <v>42</v>
      </c>
      <c r="F369" s="237" t="s">
        <v>2366</v>
      </c>
      <c r="G369" s="237" t="s">
        <v>2367</v>
      </c>
      <c r="H369" s="243" t="s">
        <v>188</v>
      </c>
      <c r="I369" s="243"/>
      <c r="K369" s="240"/>
      <c r="L369" s="243" t="s">
        <v>231</v>
      </c>
      <c r="M369" s="243" t="s">
        <v>231</v>
      </c>
      <c r="N369" s="237"/>
      <c r="O369" s="237"/>
      <c r="P369" s="237"/>
      <c r="Q369" s="245">
        <v>45680</v>
      </c>
      <c r="R369" s="237" t="s">
        <v>309</v>
      </c>
      <c r="S369" s="331" t="s">
        <v>233</v>
      </c>
      <c r="T369" s="237" t="s">
        <v>228</v>
      </c>
      <c r="U369" s="237" t="s">
        <v>234</v>
      </c>
      <c r="V369" s="237" t="s">
        <v>652</v>
      </c>
      <c r="W369" s="245">
        <v>45986</v>
      </c>
      <c r="X369" s="237">
        <v>0</v>
      </c>
      <c r="Y369" s="237">
        <v>0</v>
      </c>
      <c r="Z369" s="237" t="s">
        <v>228</v>
      </c>
      <c r="AA369" s="237" t="s">
        <v>2368</v>
      </c>
      <c r="AB369" s="337" t="s">
        <v>228</v>
      </c>
      <c r="AC369" s="237" t="s">
        <v>228</v>
      </c>
      <c r="AD369" s="562"/>
      <c r="AE369" s="555"/>
      <c r="AF369" s="237"/>
    </row>
    <row r="370" spans="1:32" ht="13.5" customHeight="1">
      <c r="A370" s="235">
        <v>368</v>
      </c>
      <c r="B370" s="237"/>
      <c r="C370" s="255" t="s">
        <v>2369</v>
      </c>
      <c r="D370" s="237" t="s">
        <v>2370</v>
      </c>
      <c r="E370" s="237">
        <v>44</v>
      </c>
      <c r="F370" s="237" t="s">
        <v>60</v>
      </c>
      <c r="G370" s="237" t="s">
        <v>2371</v>
      </c>
      <c r="H370" s="243" t="s">
        <v>188</v>
      </c>
      <c r="I370" s="243"/>
      <c r="K370" s="240"/>
      <c r="L370" s="243" t="s">
        <v>231</v>
      </c>
      <c r="M370" s="243" t="s">
        <v>231</v>
      </c>
      <c r="N370" s="237"/>
      <c r="O370" s="237"/>
      <c r="P370" s="237"/>
      <c r="Q370" s="245">
        <v>45680</v>
      </c>
      <c r="R370" s="237" t="s">
        <v>309</v>
      </c>
      <c r="S370" s="331" t="s">
        <v>233</v>
      </c>
      <c r="T370" s="237" t="s">
        <v>228</v>
      </c>
      <c r="U370" s="237" t="s">
        <v>234</v>
      </c>
      <c r="V370" s="237" t="s">
        <v>652</v>
      </c>
      <c r="W370" s="245">
        <v>45986</v>
      </c>
      <c r="X370" s="237">
        <v>0</v>
      </c>
      <c r="Y370" s="237">
        <v>0</v>
      </c>
      <c r="Z370" s="237" t="s">
        <v>237</v>
      </c>
      <c r="AA370" s="237" t="s">
        <v>2372</v>
      </c>
      <c r="AB370" s="337" t="s">
        <v>228</v>
      </c>
      <c r="AC370" s="237" t="s">
        <v>228</v>
      </c>
      <c r="AD370" s="562"/>
      <c r="AE370" s="555"/>
      <c r="AF370" s="237"/>
    </row>
    <row r="371" spans="1:32" ht="13.5" customHeight="1">
      <c r="A371" s="235">
        <v>369</v>
      </c>
      <c r="B371" s="237"/>
      <c r="C371" s="255" t="s">
        <v>2373</v>
      </c>
      <c r="D371" s="237" t="s">
        <v>2374</v>
      </c>
      <c r="E371" s="237">
        <v>40</v>
      </c>
      <c r="F371" s="237" t="s">
        <v>60</v>
      </c>
      <c r="G371" s="237" t="s">
        <v>2375</v>
      </c>
      <c r="H371" s="243" t="s">
        <v>188</v>
      </c>
      <c r="I371" s="243"/>
      <c r="K371" s="240"/>
      <c r="L371" s="243" t="s">
        <v>231</v>
      </c>
      <c r="M371" s="243" t="s">
        <v>231</v>
      </c>
      <c r="N371" s="237"/>
      <c r="O371" s="237"/>
      <c r="P371" s="237"/>
      <c r="Q371" s="245">
        <v>45680</v>
      </c>
      <c r="R371" s="237" t="s">
        <v>309</v>
      </c>
      <c r="S371" s="331" t="s">
        <v>233</v>
      </c>
      <c r="T371" s="237" t="s">
        <v>228</v>
      </c>
      <c r="U371" s="237" t="s">
        <v>234</v>
      </c>
      <c r="V371" s="237" t="s">
        <v>652</v>
      </c>
      <c r="W371" s="245">
        <v>45986</v>
      </c>
      <c r="X371" s="237">
        <v>0</v>
      </c>
      <c r="Y371" s="237">
        <v>0</v>
      </c>
      <c r="Z371" s="237" t="s">
        <v>237</v>
      </c>
      <c r="AA371" s="237" t="s">
        <v>2376</v>
      </c>
      <c r="AB371" s="337" t="s">
        <v>228</v>
      </c>
      <c r="AC371" s="237" t="s">
        <v>228</v>
      </c>
      <c r="AD371" s="562"/>
      <c r="AE371" s="555"/>
      <c r="AF371" s="237"/>
    </row>
    <row r="372" spans="1:32" ht="13.5" customHeight="1">
      <c r="A372" s="235">
        <v>370</v>
      </c>
      <c r="B372" s="237"/>
      <c r="C372" s="255" t="s">
        <v>2377</v>
      </c>
      <c r="D372" s="237" t="s">
        <v>2378</v>
      </c>
      <c r="E372" s="237">
        <v>33</v>
      </c>
      <c r="F372" s="237" t="s">
        <v>75</v>
      </c>
      <c r="G372" s="237" t="s">
        <v>2379</v>
      </c>
      <c r="H372" s="243" t="s">
        <v>188</v>
      </c>
      <c r="I372" s="243"/>
      <c r="K372" s="240"/>
      <c r="L372" s="243" t="s">
        <v>231</v>
      </c>
      <c r="M372" s="243" t="s">
        <v>231</v>
      </c>
      <c r="N372" s="237"/>
      <c r="O372" s="237"/>
      <c r="P372" s="237"/>
      <c r="Q372" s="245">
        <v>45680</v>
      </c>
      <c r="R372" s="237" t="s">
        <v>309</v>
      </c>
      <c r="S372" s="331" t="s">
        <v>233</v>
      </c>
      <c r="T372" s="237" t="s">
        <v>228</v>
      </c>
      <c r="U372" s="237" t="s">
        <v>234</v>
      </c>
      <c r="V372" s="237" t="s">
        <v>652</v>
      </c>
      <c r="W372" s="245">
        <v>45986</v>
      </c>
      <c r="X372" s="237">
        <v>0</v>
      </c>
      <c r="Y372" s="237">
        <v>0</v>
      </c>
      <c r="Z372" s="237" t="s">
        <v>228</v>
      </c>
      <c r="AA372" s="237" t="s">
        <v>2380</v>
      </c>
      <c r="AB372" s="337" t="s">
        <v>228</v>
      </c>
      <c r="AC372" s="237" t="s">
        <v>228</v>
      </c>
      <c r="AD372" s="562"/>
      <c r="AE372" s="555"/>
      <c r="AF372" s="237"/>
    </row>
    <row r="373" spans="1:32" ht="13.5" customHeight="1">
      <c r="A373" s="235">
        <v>371</v>
      </c>
      <c r="B373" s="237"/>
      <c r="C373" s="255" t="s">
        <v>2381</v>
      </c>
      <c r="D373" s="237" t="s">
        <v>2382</v>
      </c>
      <c r="E373" s="237">
        <v>48</v>
      </c>
      <c r="F373" s="237" t="s">
        <v>75</v>
      </c>
      <c r="G373" s="237" t="s">
        <v>2383</v>
      </c>
      <c r="H373" s="243" t="s">
        <v>188</v>
      </c>
      <c r="I373" s="243"/>
      <c r="K373" s="240"/>
      <c r="L373" s="243" t="s">
        <v>231</v>
      </c>
      <c r="M373" s="243" t="s">
        <v>231</v>
      </c>
      <c r="N373" s="237"/>
      <c r="O373" s="237"/>
      <c r="P373" s="237"/>
      <c r="Q373" s="245">
        <v>45680</v>
      </c>
      <c r="R373" s="237" t="s">
        <v>309</v>
      </c>
      <c r="S373" s="331" t="s">
        <v>233</v>
      </c>
      <c r="T373" s="237" t="s">
        <v>228</v>
      </c>
      <c r="U373" s="237" t="s">
        <v>234</v>
      </c>
      <c r="V373" s="237" t="s">
        <v>652</v>
      </c>
      <c r="W373" s="245">
        <v>45986</v>
      </c>
      <c r="X373" s="237">
        <v>0</v>
      </c>
      <c r="Y373" s="237">
        <v>0</v>
      </c>
      <c r="Z373" s="237" t="s">
        <v>228</v>
      </c>
      <c r="AA373" s="237" t="s">
        <v>2384</v>
      </c>
      <c r="AB373" s="337" t="s">
        <v>228</v>
      </c>
      <c r="AC373" s="237" t="s">
        <v>228</v>
      </c>
      <c r="AD373" s="562"/>
      <c r="AE373" s="555"/>
      <c r="AF373" s="237"/>
    </row>
    <row r="374" spans="1:32" ht="13.5" customHeight="1">
      <c r="A374" s="235">
        <v>372</v>
      </c>
      <c r="B374" s="237"/>
      <c r="C374" s="255" t="s">
        <v>2385</v>
      </c>
      <c r="D374" s="237" t="s">
        <v>2386</v>
      </c>
      <c r="E374" s="237">
        <v>55</v>
      </c>
      <c r="F374" s="237" t="s">
        <v>75</v>
      </c>
      <c r="G374" s="237" t="s">
        <v>2387</v>
      </c>
      <c r="H374" s="243" t="s">
        <v>188</v>
      </c>
      <c r="I374" s="243"/>
      <c r="K374" s="240"/>
      <c r="L374" s="243" t="s">
        <v>231</v>
      </c>
      <c r="M374" s="243" t="s">
        <v>231</v>
      </c>
      <c r="N374" s="237"/>
      <c r="O374" s="237"/>
      <c r="P374" s="237"/>
      <c r="Q374" s="245">
        <v>45680</v>
      </c>
      <c r="R374" s="237" t="s">
        <v>309</v>
      </c>
      <c r="S374" s="331" t="s">
        <v>233</v>
      </c>
      <c r="T374" s="237" t="s">
        <v>228</v>
      </c>
      <c r="U374" s="237" t="s">
        <v>234</v>
      </c>
      <c r="V374" s="237" t="s">
        <v>652</v>
      </c>
      <c r="W374" s="245">
        <v>45986</v>
      </c>
      <c r="X374" s="237">
        <v>0</v>
      </c>
      <c r="Y374" s="237">
        <v>0</v>
      </c>
      <c r="Z374" s="237" t="s">
        <v>237</v>
      </c>
      <c r="AA374" s="237" t="s">
        <v>2388</v>
      </c>
      <c r="AB374" s="337" t="s">
        <v>228</v>
      </c>
      <c r="AC374" s="237" t="s">
        <v>228</v>
      </c>
      <c r="AD374" s="562"/>
      <c r="AE374" s="555"/>
      <c r="AF374" s="237"/>
    </row>
    <row r="375" spans="1:32" ht="13.5" customHeight="1">
      <c r="A375" s="235">
        <v>373</v>
      </c>
      <c r="B375" s="237"/>
      <c r="C375" s="255" t="s">
        <v>2389</v>
      </c>
      <c r="D375" s="237" t="s">
        <v>2390</v>
      </c>
      <c r="E375" s="237">
        <v>45</v>
      </c>
      <c r="F375" s="237" t="s">
        <v>75</v>
      </c>
      <c r="G375" s="237" t="s">
        <v>2391</v>
      </c>
      <c r="H375" s="243" t="s">
        <v>188</v>
      </c>
      <c r="I375" s="243"/>
      <c r="K375" s="240"/>
      <c r="L375" s="243" t="s">
        <v>231</v>
      </c>
      <c r="M375" s="243" t="s">
        <v>231</v>
      </c>
      <c r="N375" s="237"/>
      <c r="O375" s="237"/>
      <c r="P375" s="237"/>
      <c r="Q375" s="245">
        <v>45680</v>
      </c>
      <c r="R375" s="237" t="s">
        <v>309</v>
      </c>
      <c r="S375" s="331" t="s">
        <v>233</v>
      </c>
      <c r="T375" s="237" t="s">
        <v>228</v>
      </c>
      <c r="U375" s="237" t="s">
        <v>234</v>
      </c>
      <c r="V375" s="237" t="s">
        <v>652</v>
      </c>
      <c r="W375" s="245">
        <v>45986</v>
      </c>
      <c r="X375" s="237">
        <v>0</v>
      </c>
      <c r="Y375" s="237">
        <v>0</v>
      </c>
      <c r="Z375" s="237" t="s">
        <v>237</v>
      </c>
      <c r="AA375" s="237" t="s">
        <v>2392</v>
      </c>
      <c r="AB375" s="337" t="s">
        <v>228</v>
      </c>
      <c r="AC375" s="237" t="s">
        <v>228</v>
      </c>
      <c r="AD375" s="562"/>
      <c r="AE375" s="555"/>
      <c r="AF375" s="237"/>
    </row>
    <row r="376" spans="1:32" ht="13.5" customHeight="1">
      <c r="A376" s="235">
        <v>374</v>
      </c>
      <c r="B376" s="237"/>
      <c r="C376" s="255" t="s">
        <v>2393</v>
      </c>
      <c r="D376" s="237" t="s">
        <v>2394</v>
      </c>
      <c r="E376" s="237">
        <v>44</v>
      </c>
      <c r="F376" s="237" t="s">
        <v>60</v>
      </c>
      <c r="G376" s="237" t="s">
        <v>2395</v>
      </c>
      <c r="H376" s="243" t="s">
        <v>188</v>
      </c>
      <c r="I376" s="243"/>
      <c r="K376" s="240"/>
      <c r="L376" s="243" t="s">
        <v>231</v>
      </c>
      <c r="M376" s="243" t="s">
        <v>231</v>
      </c>
      <c r="N376" s="237"/>
      <c r="O376" s="237"/>
      <c r="P376" s="237"/>
      <c r="Q376" s="245">
        <v>45680</v>
      </c>
      <c r="R376" s="237" t="s">
        <v>309</v>
      </c>
      <c r="S376" s="331" t="s">
        <v>233</v>
      </c>
      <c r="T376" s="237" t="s">
        <v>228</v>
      </c>
      <c r="U376" s="237" t="s">
        <v>234</v>
      </c>
      <c r="V376" s="237" t="s">
        <v>652</v>
      </c>
      <c r="W376" s="245">
        <v>45986</v>
      </c>
      <c r="X376" s="237">
        <v>0</v>
      </c>
      <c r="Y376" s="237">
        <v>0</v>
      </c>
      <c r="Z376" s="237" t="s">
        <v>228</v>
      </c>
      <c r="AA376" s="237" t="s">
        <v>2396</v>
      </c>
      <c r="AB376" s="337" t="s">
        <v>228</v>
      </c>
      <c r="AC376" s="237" t="s">
        <v>228</v>
      </c>
      <c r="AD376" s="562"/>
      <c r="AE376" s="555"/>
      <c r="AF376" s="237"/>
    </row>
    <row r="377" spans="1:32" ht="13.5" customHeight="1">
      <c r="A377" s="235">
        <v>375</v>
      </c>
      <c r="B377" s="237"/>
      <c r="C377" s="255" t="s">
        <v>2397</v>
      </c>
      <c r="D377" s="237" t="s">
        <v>2398</v>
      </c>
      <c r="E377" s="237">
        <v>51</v>
      </c>
      <c r="F377" s="237" t="s">
        <v>75</v>
      </c>
      <c r="G377" s="237" t="s">
        <v>2399</v>
      </c>
      <c r="H377" s="243" t="s">
        <v>188</v>
      </c>
      <c r="I377" s="243"/>
      <c r="K377" s="240"/>
      <c r="L377" s="243" t="s">
        <v>231</v>
      </c>
      <c r="M377" s="243" t="s">
        <v>231</v>
      </c>
      <c r="N377" s="237"/>
      <c r="O377" s="237"/>
      <c r="P377" s="237"/>
      <c r="Q377" s="245">
        <v>45680</v>
      </c>
      <c r="R377" s="237" t="s">
        <v>309</v>
      </c>
      <c r="S377" s="331" t="s">
        <v>233</v>
      </c>
      <c r="T377" s="237" t="s">
        <v>228</v>
      </c>
      <c r="U377" s="237" t="s">
        <v>234</v>
      </c>
      <c r="V377" s="237" t="s">
        <v>652</v>
      </c>
      <c r="W377" s="245">
        <v>45986</v>
      </c>
      <c r="X377" s="237">
        <v>0</v>
      </c>
      <c r="Y377" s="237">
        <v>0</v>
      </c>
      <c r="Z377" s="237" t="s">
        <v>228</v>
      </c>
      <c r="AA377" s="237" t="s">
        <v>2400</v>
      </c>
      <c r="AB377" s="337" t="s">
        <v>228</v>
      </c>
      <c r="AC377" s="237" t="s">
        <v>228</v>
      </c>
      <c r="AD377" s="562"/>
      <c r="AE377" s="555"/>
      <c r="AF377" s="237"/>
    </row>
    <row r="378" spans="1:32" ht="13.5" customHeight="1">
      <c r="A378" s="235">
        <v>376</v>
      </c>
      <c r="B378" s="237" t="s">
        <v>2401</v>
      </c>
      <c r="C378" s="255" t="s">
        <v>2402</v>
      </c>
      <c r="D378" s="237" t="s">
        <v>2403</v>
      </c>
      <c r="E378" s="237">
        <v>21</v>
      </c>
      <c r="F378" s="237" t="s">
        <v>60</v>
      </c>
      <c r="G378" s="237" t="s">
        <v>2404</v>
      </c>
      <c r="H378" s="243" t="s">
        <v>188</v>
      </c>
      <c r="I378" s="243"/>
      <c r="K378" s="240"/>
      <c r="L378" s="243" t="s">
        <v>231</v>
      </c>
      <c r="M378" s="246" t="s">
        <v>228</v>
      </c>
      <c r="N378" s="237"/>
      <c r="O378" s="237"/>
      <c r="P378" s="237"/>
      <c r="Q378" s="245">
        <v>45685</v>
      </c>
      <c r="R378" s="237" t="s">
        <v>309</v>
      </c>
      <c r="S378" s="331" t="s">
        <v>233</v>
      </c>
      <c r="T378" s="237" t="s">
        <v>228</v>
      </c>
      <c r="U378" s="237" t="s">
        <v>234</v>
      </c>
      <c r="V378" s="237" t="s">
        <v>652</v>
      </c>
      <c r="W378" s="245">
        <v>45986</v>
      </c>
      <c r="X378" s="237">
        <v>0</v>
      </c>
      <c r="Y378" s="237">
        <v>0</v>
      </c>
      <c r="Z378" s="237" t="s">
        <v>228</v>
      </c>
      <c r="AA378" s="237" t="s">
        <v>2405</v>
      </c>
      <c r="AB378" s="337" t="s">
        <v>228</v>
      </c>
      <c r="AC378" s="237" t="s">
        <v>228</v>
      </c>
      <c r="AD378" s="562"/>
      <c r="AE378" s="555"/>
      <c r="AF378" s="237"/>
    </row>
    <row r="379" spans="1:32" ht="13.5" customHeight="1">
      <c r="A379" s="235">
        <v>377</v>
      </c>
      <c r="B379" s="237"/>
      <c r="C379" s="255" t="s">
        <v>2406</v>
      </c>
      <c r="D379" s="237" t="s">
        <v>2407</v>
      </c>
      <c r="E379" s="237">
        <v>41</v>
      </c>
      <c r="F379" s="237" t="s">
        <v>75</v>
      </c>
      <c r="G379" s="237" t="s">
        <v>2408</v>
      </c>
      <c r="H379" s="243" t="s">
        <v>188</v>
      </c>
      <c r="I379" s="243"/>
      <c r="K379" s="240"/>
      <c r="L379" s="243" t="s">
        <v>231</v>
      </c>
      <c r="M379" s="243" t="s">
        <v>231</v>
      </c>
      <c r="N379" s="237"/>
      <c r="O379" s="237"/>
      <c r="P379" s="237"/>
      <c r="Q379" s="245">
        <v>45685</v>
      </c>
      <c r="R379" s="237" t="s">
        <v>309</v>
      </c>
      <c r="S379" s="331" t="s">
        <v>233</v>
      </c>
      <c r="T379" s="237" t="s">
        <v>228</v>
      </c>
      <c r="U379" s="237" t="s">
        <v>234</v>
      </c>
      <c r="V379" s="237" t="s">
        <v>652</v>
      </c>
      <c r="W379" s="245">
        <v>45986</v>
      </c>
      <c r="X379" s="237">
        <v>0</v>
      </c>
      <c r="Y379" s="237">
        <v>0</v>
      </c>
      <c r="Z379" s="237" t="s">
        <v>228</v>
      </c>
      <c r="AA379" s="237" t="s">
        <v>2409</v>
      </c>
      <c r="AB379" s="337" t="s">
        <v>228</v>
      </c>
      <c r="AC379" s="237" t="s">
        <v>228</v>
      </c>
      <c r="AD379" s="562"/>
      <c r="AE379" s="555"/>
      <c r="AF379" s="237"/>
    </row>
    <row r="380" spans="1:32" ht="13.5" customHeight="1">
      <c r="A380" s="235">
        <v>378</v>
      </c>
      <c r="B380" s="237" t="s">
        <v>2410</v>
      </c>
      <c r="C380" s="255" t="s">
        <v>2411</v>
      </c>
      <c r="D380" s="237" t="s">
        <v>2412</v>
      </c>
      <c r="E380" s="237">
        <v>22</v>
      </c>
      <c r="F380" s="237" t="s">
        <v>60</v>
      </c>
      <c r="G380" s="237" t="s">
        <v>2413</v>
      </c>
      <c r="H380" s="243" t="s">
        <v>188</v>
      </c>
      <c r="I380" s="243"/>
      <c r="K380" s="240"/>
      <c r="L380" s="243" t="s">
        <v>231</v>
      </c>
      <c r="M380" s="246" t="s">
        <v>228</v>
      </c>
      <c r="N380" s="237"/>
      <c r="O380" s="237"/>
      <c r="P380" s="237"/>
      <c r="Q380" s="245">
        <v>45685</v>
      </c>
      <c r="R380" s="237" t="s">
        <v>309</v>
      </c>
      <c r="S380" s="331" t="s">
        <v>233</v>
      </c>
      <c r="T380" s="237" t="s">
        <v>228</v>
      </c>
      <c r="U380" s="237" t="s">
        <v>234</v>
      </c>
      <c r="V380" s="237" t="s">
        <v>652</v>
      </c>
      <c r="W380" s="245">
        <v>45986</v>
      </c>
      <c r="X380" s="237">
        <v>0</v>
      </c>
      <c r="Y380" s="237">
        <v>0</v>
      </c>
      <c r="Z380" s="237" t="s">
        <v>228</v>
      </c>
      <c r="AA380" s="237" t="s">
        <v>2414</v>
      </c>
      <c r="AB380" s="337" t="s">
        <v>228</v>
      </c>
      <c r="AC380" s="237" t="s">
        <v>228</v>
      </c>
      <c r="AD380" s="562"/>
      <c r="AE380" s="555"/>
      <c r="AF380" s="237"/>
    </row>
    <row r="381" spans="1:32" ht="13.5" customHeight="1">
      <c r="A381" s="235">
        <v>379</v>
      </c>
      <c r="B381" s="237" t="s">
        <v>2415</v>
      </c>
      <c r="C381" s="255" t="s">
        <v>2416</v>
      </c>
      <c r="D381" s="237" t="s">
        <v>2417</v>
      </c>
      <c r="E381" s="237">
        <v>19</v>
      </c>
      <c r="F381" s="237" t="s">
        <v>60</v>
      </c>
      <c r="G381" s="237" t="s">
        <v>2418</v>
      </c>
      <c r="H381" s="243" t="s">
        <v>188</v>
      </c>
      <c r="I381" s="243"/>
      <c r="K381" s="240"/>
      <c r="L381" s="243" t="s">
        <v>231</v>
      </c>
      <c r="M381" s="246" t="s">
        <v>228</v>
      </c>
      <c r="N381" s="237"/>
      <c r="O381" s="237"/>
      <c r="P381" s="237"/>
      <c r="Q381" s="245">
        <v>45685</v>
      </c>
      <c r="R381" s="237" t="s">
        <v>309</v>
      </c>
      <c r="S381" s="331" t="s">
        <v>233</v>
      </c>
      <c r="T381" s="237" t="s">
        <v>228</v>
      </c>
      <c r="U381" s="237" t="s">
        <v>234</v>
      </c>
      <c r="V381" s="237" t="s">
        <v>652</v>
      </c>
      <c r="W381" s="245">
        <v>45986</v>
      </c>
      <c r="X381" s="237">
        <v>0</v>
      </c>
      <c r="Y381" s="237">
        <v>0</v>
      </c>
      <c r="Z381" s="237" t="s">
        <v>228</v>
      </c>
      <c r="AA381" s="237" t="s">
        <v>2419</v>
      </c>
      <c r="AB381" s="337" t="s">
        <v>228</v>
      </c>
      <c r="AC381" s="237" t="s">
        <v>228</v>
      </c>
      <c r="AD381" s="562"/>
      <c r="AE381" s="555"/>
      <c r="AF381" s="237"/>
    </row>
    <row r="382" spans="1:32" ht="13.5" customHeight="1">
      <c r="A382" s="235">
        <v>380</v>
      </c>
      <c r="B382" s="237"/>
      <c r="C382" s="255" t="s">
        <v>2420</v>
      </c>
      <c r="D382" s="237" t="s">
        <v>2421</v>
      </c>
      <c r="E382" s="237">
        <v>52</v>
      </c>
      <c r="F382" s="237" t="s">
        <v>75</v>
      </c>
      <c r="G382" s="237" t="s">
        <v>2422</v>
      </c>
      <c r="H382" s="243" t="s">
        <v>188</v>
      </c>
      <c r="I382" s="243"/>
      <c r="K382" s="240"/>
      <c r="L382" s="243" t="s">
        <v>231</v>
      </c>
      <c r="M382" s="243" t="s">
        <v>231</v>
      </c>
      <c r="N382" s="237"/>
      <c r="O382" s="237"/>
      <c r="P382" s="237"/>
      <c r="Q382" s="245">
        <v>45685</v>
      </c>
      <c r="R382" s="237" t="s">
        <v>309</v>
      </c>
      <c r="S382" s="331" t="s">
        <v>233</v>
      </c>
      <c r="T382" s="237" t="s">
        <v>228</v>
      </c>
      <c r="U382" s="237" t="s">
        <v>234</v>
      </c>
      <c r="V382" s="237" t="s">
        <v>652</v>
      </c>
      <c r="W382" s="245">
        <v>45986</v>
      </c>
      <c r="X382" s="237">
        <v>0</v>
      </c>
      <c r="Y382" s="237">
        <v>0</v>
      </c>
      <c r="Z382" s="237" t="s">
        <v>228</v>
      </c>
      <c r="AA382" s="237" t="s">
        <v>2423</v>
      </c>
      <c r="AB382" s="337" t="s">
        <v>228</v>
      </c>
      <c r="AC382" s="237" t="s">
        <v>228</v>
      </c>
      <c r="AD382" s="562"/>
      <c r="AE382" s="555"/>
      <c r="AF382" s="237"/>
    </row>
    <row r="383" spans="1:32" ht="13.5" customHeight="1">
      <c r="A383" s="235">
        <v>381</v>
      </c>
      <c r="B383" s="237"/>
      <c r="C383" s="255" t="s">
        <v>2424</v>
      </c>
      <c r="D383" s="237" t="s">
        <v>2425</v>
      </c>
      <c r="E383" s="237">
        <v>61</v>
      </c>
      <c r="F383" s="237" t="s">
        <v>75</v>
      </c>
      <c r="G383" s="237" t="s">
        <v>2426</v>
      </c>
      <c r="H383" s="243" t="s">
        <v>188</v>
      </c>
      <c r="I383" s="243"/>
      <c r="K383" s="240"/>
      <c r="L383" s="243" t="s">
        <v>231</v>
      </c>
      <c r="M383" s="243" t="s">
        <v>231</v>
      </c>
      <c r="N383" s="237"/>
      <c r="O383" s="237"/>
      <c r="P383" s="237"/>
      <c r="Q383" s="245">
        <v>45685</v>
      </c>
      <c r="R383" s="237" t="s">
        <v>309</v>
      </c>
      <c r="S383" s="331" t="s">
        <v>233</v>
      </c>
      <c r="T383" s="237" t="s">
        <v>228</v>
      </c>
      <c r="U383" s="237" t="s">
        <v>234</v>
      </c>
      <c r="V383" s="237" t="s">
        <v>652</v>
      </c>
      <c r="W383" s="245">
        <v>45986</v>
      </c>
      <c r="X383" s="237">
        <v>0</v>
      </c>
      <c r="Y383" s="237">
        <v>0</v>
      </c>
      <c r="Z383" s="237" t="s">
        <v>228</v>
      </c>
      <c r="AA383" s="237" t="s">
        <v>2427</v>
      </c>
      <c r="AB383" s="337" t="s">
        <v>228</v>
      </c>
      <c r="AC383" s="237" t="s">
        <v>228</v>
      </c>
      <c r="AD383" s="562"/>
      <c r="AE383" s="555"/>
      <c r="AF383" s="237"/>
    </row>
    <row r="384" spans="1:32" ht="13.5" customHeight="1">
      <c r="A384" s="235">
        <v>382</v>
      </c>
      <c r="B384" s="237"/>
      <c r="C384" s="255" t="s">
        <v>2428</v>
      </c>
      <c r="D384" s="237" t="s">
        <v>2429</v>
      </c>
      <c r="E384" s="237">
        <v>38</v>
      </c>
      <c r="F384" s="237" t="s">
        <v>60</v>
      </c>
      <c r="G384" s="237" t="s">
        <v>2430</v>
      </c>
      <c r="H384" s="243" t="s">
        <v>188</v>
      </c>
      <c r="I384" s="243"/>
      <c r="K384" s="240"/>
      <c r="L384" s="243" t="s">
        <v>231</v>
      </c>
      <c r="M384" s="243" t="s">
        <v>231</v>
      </c>
      <c r="N384" s="237"/>
      <c r="O384" s="237"/>
      <c r="P384" s="237"/>
      <c r="Q384" s="245">
        <v>45685</v>
      </c>
      <c r="R384" s="237" t="s">
        <v>309</v>
      </c>
      <c r="S384" s="331" t="s">
        <v>233</v>
      </c>
      <c r="T384" s="237" t="s">
        <v>228</v>
      </c>
      <c r="U384" s="237" t="s">
        <v>234</v>
      </c>
      <c r="V384" s="237" t="s">
        <v>652</v>
      </c>
      <c r="W384" s="245">
        <v>45986</v>
      </c>
      <c r="X384" s="237">
        <v>0</v>
      </c>
      <c r="Y384" s="237">
        <v>0</v>
      </c>
      <c r="Z384" s="237" t="s">
        <v>228</v>
      </c>
      <c r="AA384" s="237" t="s">
        <v>2431</v>
      </c>
      <c r="AB384" s="337" t="s">
        <v>228</v>
      </c>
      <c r="AC384" s="237" t="s">
        <v>228</v>
      </c>
      <c r="AD384" s="562"/>
      <c r="AE384" s="555"/>
      <c r="AF384" s="237"/>
    </row>
    <row r="385" spans="1:32" ht="13.5" customHeight="1">
      <c r="A385" s="235">
        <v>383</v>
      </c>
      <c r="B385" s="237"/>
      <c r="C385" s="255" t="s">
        <v>2432</v>
      </c>
      <c r="D385" s="237" t="s">
        <v>2433</v>
      </c>
      <c r="E385" s="237">
        <v>32</v>
      </c>
      <c r="F385" s="237" t="s">
        <v>60</v>
      </c>
      <c r="G385" s="237" t="s">
        <v>2434</v>
      </c>
      <c r="H385" s="243" t="s">
        <v>188</v>
      </c>
      <c r="I385" s="243"/>
      <c r="K385" s="240"/>
      <c r="L385" s="243" t="s">
        <v>231</v>
      </c>
      <c r="M385" s="243" t="s">
        <v>231</v>
      </c>
      <c r="N385" s="237"/>
      <c r="O385" s="237"/>
      <c r="P385" s="237"/>
      <c r="Q385" s="245">
        <v>45694</v>
      </c>
      <c r="R385" s="237" t="s">
        <v>309</v>
      </c>
      <c r="S385" s="331" t="s">
        <v>233</v>
      </c>
      <c r="T385" s="237" t="s">
        <v>228</v>
      </c>
      <c r="U385" s="237" t="s">
        <v>234</v>
      </c>
      <c r="V385" s="237" t="s">
        <v>652</v>
      </c>
      <c r="W385" s="245">
        <v>45971</v>
      </c>
      <c r="X385" s="237" t="s">
        <v>2435</v>
      </c>
      <c r="Y385" s="237" t="s">
        <v>588</v>
      </c>
      <c r="Z385" s="237" t="s">
        <v>228</v>
      </c>
      <c r="AA385" s="237" t="s">
        <v>2436</v>
      </c>
      <c r="AB385" s="337" t="s">
        <v>228</v>
      </c>
      <c r="AC385" s="237" t="s">
        <v>228</v>
      </c>
      <c r="AD385" s="562"/>
      <c r="AE385" s="555"/>
      <c r="AF385" s="237"/>
    </row>
    <row r="386" spans="1:32" ht="13.5" customHeight="1">
      <c r="A386" s="235">
        <v>384</v>
      </c>
      <c r="B386" s="237"/>
      <c r="C386" s="255" t="s">
        <v>2437</v>
      </c>
      <c r="D386" s="237" t="s">
        <v>2438</v>
      </c>
      <c r="E386" s="237">
        <v>32</v>
      </c>
      <c r="F386" s="237" t="s">
        <v>75</v>
      </c>
      <c r="G386" s="237" t="s">
        <v>2439</v>
      </c>
      <c r="H386" s="243" t="s">
        <v>188</v>
      </c>
      <c r="I386" s="243"/>
      <c r="K386" s="240"/>
      <c r="L386" s="243" t="s">
        <v>231</v>
      </c>
      <c r="M386" s="243" t="s">
        <v>231</v>
      </c>
      <c r="N386" s="237"/>
      <c r="O386" s="237"/>
      <c r="P386" s="237"/>
      <c r="Q386" s="245">
        <v>45694</v>
      </c>
      <c r="R386" s="237" t="s">
        <v>309</v>
      </c>
      <c r="S386" s="331" t="s">
        <v>233</v>
      </c>
      <c r="T386" s="237" t="s">
        <v>228</v>
      </c>
      <c r="U386" s="237" t="s">
        <v>234</v>
      </c>
      <c r="V386" s="237" t="s">
        <v>652</v>
      </c>
      <c r="W386" s="245">
        <v>45971</v>
      </c>
      <c r="X386" s="237" t="s">
        <v>2440</v>
      </c>
      <c r="Y386" s="237" t="s">
        <v>588</v>
      </c>
      <c r="Z386" s="237" t="s">
        <v>237</v>
      </c>
      <c r="AA386" s="237" t="s">
        <v>2441</v>
      </c>
      <c r="AB386" s="337" t="s">
        <v>228</v>
      </c>
      <c r="AC386" s="237" t="s">
        <v>228</v>
      </c>
      <c r="AD386" s="562"/>
      <c r="AE386" s="555"/>
      <c r="AF386" s="237"/>
    </row>
    <row r="387" spans="1:32" ht="13.5" customHeight="1">
      <c r="A387" s="235">
        <v>385</v>
      </c>
      <c r="B387" s="237"/>
      <c r="C387" s="255" t="s">
        <v>2442</v>
      </c>
      <c r="D387" s="237" t="s">
        <v>2443</v>
      </c>
      <c r="E387" s="237">
        <v>67</v>
      </c>
      <c r="F387" s="237" t="s">
        <v>75</v>
      </c>
      <c r="G387" s="237" t="s">
        <v>2444</v>
      </c>
      <c r="H387" s="243" t="s">
        <v>188</v>
      </c>
      <c r="I387" s="243"/>
      <c r="K387" s="240"/>
      <c r="L387" s="243" t="s">
        <v>231</v>
      </c>
      <c r="M387" s="243" t="s">
        <v>231</v>
      </c>
      <c r="N387" s="237"/>
      <c r="O387" s="237"/>
      <c r="P387" s="237"/>
      <c r="Q387" s="245">
        <v>45694</v>
      </c>
      <c r="R387" s="237" t="s">
        <v>309</v>
      </c>
      <c r="S387" s="331" t="s">
        <v>233</v>
      </c>
      <c r="T387" s="237" t="s">
        <v>228</v>
      </c>
      <c r="U387" s="237" t="s">
        <v>234</v>
      </c>
      <c r="V387" s="237" t="s">
        <v>652</v>
      </c>
      <c r="W387" s="245">
        <v>45971</v>
      </c>
      <c r="X387" s="237" t="s">
        <v>2445</v>
      </c>
      <c r="Y387" s="237" t="s">
        <v>588</v>
      </c>
      <c r="Z387" s="237" t="s">
        <v>237</v>
      </c>
      <c r="AA387" s="237" t="s">
        <v>2446</v>
      </c>
      <c r="AB387" s="337" t="s">
        <v>228</v>
      </c>
      <c r="AC387" s="237" t="s">
        <v>228</v>
      </c>
      <c r="AD387" s="562"/>
      <c r="AE387" s="555"/>
      <c r="AF387" s="237"/>
    </row>
    <row r="388" spans="1:32" ht="13.5" customHeight="1">
      <c r="A388" s="235">
        <v>386</v>
      </c>
      <c r="B388" s="237"/>
      <c r="C388" s="255" t="s">
        <v>2447</v>
      </c>
      <c r="D388" s="237" t="s">
        <v>2448</v>
      </c>
      <c r="E388" s="237">
        <v>69</v>
      </c>
      <c r="F388" s="237" t="s">
        <v>60</v>
      </c>
      <c r="G388" s="237" t="s">
        <v>2449</v>
      </c>
      <c r="H388" s="243" t="s">
        <v>188</v>
      </c>
      <c r="I388" s="243"/>
      <c r="K388" s="240"/>
      <c r="L388" s="243" t="s">
        <v>231</v>
      </c>
      <c r="M388" s="243" t="s">
        <v>231</v>
      </c>
      <c r="N388" s="237"/>
      <c r="O388" s="237"/>
      <c r="P388" s="237"/>
      <c r="Q388" s="245">
        <v>45694</v>
      </c>
      <c r="R388" s="237" t="s">
        <v>309</v>
      </c>
      <c r="S388" s="331" t="s">
        <v>233</v>
      </c>
      <c r="T388" s="237" t="s">
        <v>228</v>
      </c>
      <c r="U388" s="237" t="s">
        <v>234</v>
      </c>
      <c r="V388" s="237" t="s">
        <v>652</v>
      </c>
      <c r="W388" s="245">
        <v>45971</v>
      </c>
      <c r="X388" s="237" t="s">
        <v>2450</v>
      </c>
      <c r="Y388" s="237" t="s">
        <v>588</v>
      </c>
      <c r="Z388" s="237" t="s">
        <v>237</v>
      </c>
      <c r="AA388" s="237" t="s">
        <v>2451</v>
      </c>
      <c r="AB388" s="337" t="s">
        <v>228</v>
      </c>
      <c r="AC388" s="237" t="s">
        <v>228</v>
      </c>
      <c r="AD388" s="562"/>
      <c r="AE388" s="555"/>
      <c r="AF388" s="237"/>
    </row>
    <row r="389" spans="1:32" ht="13.5" customHeight="1">
      <c r="A389" s="235">
        <v>387</v>
      </c>
      <c r="B389" s="237" t="s">
        <v>2452</v>
      </c>
      <c r="C389" s="255" t="s">
        <v>2453</v>
      </c>
      <c r="D389" s="237" t="s">
        <v>2454</v>
      </c>
      <c r="E389" s="237">
        <v>24</v>
      </c>
      <c r="F389" s="237" t="s">
        <v>75</v>
      </c>
      <c r="G389" s="237" t="s">
        <v>2455</v>
      </c>
      <c r="H389" s="243" t="s">
        <v>188</v>
      </c>
      <c r="I389" s="243"/>
      <c r="K389" s="240"/>
      <c r="L389" s="243" t="s">
        <v>231</v>
      </c>
      <c r="M389" s="246" t="s">
        <v>228</v>
      </c>
      <c r="N389" s="237"/>
      <c r="O389" s="237"/>
      <c r="P389" s="237"/>
      <c r="Q389" s="245">
        <v>45695</v>
      </c>
      <c r="R389" s="237" t="s">
        <v>309</v>
      </c>
      <c r="S389" s="331" t="s">
        <v>233</v>
      </c>
      <c r="T389" s="237" t="s">
        <v>228</v>
      </c>
      <c r="U389" s="237" t="s">
        <v>234</v>
      </c>
      <c r="V389" s="237" t="s">
        <v>652</v>
      </c>
      <c r="W389" s="245">
        <v>45971</v>
      </c>
      <c r="X389" s="237" t="s">
        <v>2456</v>
      </c>
      <c r="Y389" s="237" t="s">
        <v>588</v>
      </c>
      <c r="Z389" s="237" t="s">
        <v>237</v>
      </c>
      <c r="AA389" s="237" t="s">
        <v>2457</v>
      </c>
      <c r="AB389" s="337" t="s">
        <v>228</v>
      </c>
      <c r="AC389" s="237" t="s">
        <v>228</v>
      </c>
      <c r="AD389" s="562"/>
      <c r="AE389" s="555"/>
      <c r="AF389" s="237"/>
    </row>
    <row r="390" spans="1:32" ht="13.5" customHeight="1">
      <c r="A390" s="235">
        <v>388</v>
      </c>
      <c r="B390" s="237"/>
      <c r="C390" s="255" t="s">
        <v>2458</v>
      </c>
      <c r="D390" s="237" t="s">
        <v>2459</v>
      </c>
      <c r="E390" s="237">
        <v>23</v>
      </c>
      <c r="F390" s="237" t="s">
        <v>75</v>
      </c>
      <c r="G390" s="237" t="s">
        <v>2460</v>
      </c>
      <c r="H390" s="243" t="s">
        <v>188</v>
      </c>
      <c r="I390" s="243"/>
      <c r="K390" s="240"/>
      <c r="L390" s="243" t="s">
        <v>231</v>
      </c>
      <c r="M390" s="243" t="s">
        <v>231</v>
      </c>
      <c r="N390" s="237"/>
      <c r="O390" s="237"/>
      <c r="P390" s="237"/>
      <c r="Q390" s="245">
        <v>45695</v>
      </c>
      <c r="R390" s="237" t="s">
        <v>309</v>
      </c>
      <c r="S390" s="331" t="s">
        <v>233</v>
      </c>
      <c r="T390" s="237" t="s">
        <v>228</v>
      </c>
      <c r="U390" s="237" t="s">
        <v>234</v>
      </c>
      <c r="V390" s="237" t="s">
        <v>652</v>
      </c>
      <c r="W390" s="245">
        <v>45971</v>
      </c>
      <c r="X390" s="237" t="s">
        <v>2461</v>
      </c>
      <c r="Y390" s="237" t="s">
        <v>588</v>
      </c>
      <c r="Z390" s="237" t="s">
        <v>237</v>
      </c>
      <c r="AA390" s="237" t="s">
        <v>2462</v>
      </c>
      <c r="AB390" s="337" t="s">
        <v>228</v>
      </c>
      <c r="AC390" s="237" t="s">
        <v>228</v>
      </c>
      <c r="AD390" s="562"/>
      <c r="AE390" s="555"/>
      <c r="AF390" s="237"/>
    </row>
    <row r="391" spans="1:32" ht="13.5" customHeight="1">
      <c r="A391" s="235">
        <v>389</v>
      </c>
      <c r="B391" s="237"/>
      <c r="C391" s="255" t="s">
        <v>2463</v>
      </c>
      <c r="D391" s="237" t="s">
        <v>2464</v>
      </c>
      <c r="E391" s="237">
        <v>23</v>
      </c>
      <c r="F391" s="237" t="s">
        <v>75</v>
      </c>
      <c r="G391" s="237" t="s">
        <v>2465</v>
      </c>
      <c r="H391" s="243" t="s">
        <v>188</v>
      </c>
      <c r="I391" s="243"/>
      <c r="K391" s="240"/>
      <c r="L391" s="243" t="s">
        <v>231</v>
      </c>
      <c r="M391" s="243" t="s">
        <v>231</v>
      </c>
      <c r="N391" s="237"/>
      <c r="O391" s="237"/>
      <c r="P391" s="237"/>
      <c r="Q391" s="245">
        <v>45695</v>
      </c>
      <c r="R391" s="237" t="s">
        <v>309</v>
      </c>
      <c r="S391" s="331" t="s">
        <v>233</v>
      </c>
      <c r="T391" s="237" t="s">
        <v>228</v>
      </c>
      <c r="U391" s="237" t="s">
        <v>234</v>
      </c>
      <c r="V391" s="237" t="s">
        <v>652</v>
      </c>
      <c r="W391" s="245">
        <v>45971</v>
      </c>
      <c r="X391" s="237" t="s">
        <v>2466</v>
      </c>
      <c r="Y391" s="237" t="s">
        <v>588</v>
      </c>
      <c r="Z391" s="237" t="s">
        <v>237</v>
      </c>
      <c r="AA391" s="237" t="s">
        <v>2467</v>
      </c>
      <c r="AB391" s="337" t="s">
        <v>228</v>
      </c>
      <c r="AC391" s="237" t="s">
        <v>228</v>
      </c>
      <c r="AD391" s="562"/>
      <c r="AE391" s="555"/>
      <c r="AF391" s="237"/>
    </row>
    <row r="392" spans="1:32" ht="13.5" customHeight="1">
      <c r="A392" s="235">
        <v>390</v>
      </c>
      <c r="B392" s="237"/>
      <c r="C392" s="255" t="s">
        <v>2468</v>
      </c>
      <c r="D392" s="237" t="s">
        <v>2469</v>
      </c>
      <c r="E392" s="237">
        <v>24</v>
      </c>
      <c r="F392" s="237" t="s">
        <v>60</v>
      </c>
      <c r="G392" s="237" t="s">
        <v>2470</v>
      </c>
      <c r="H392" s="243" t="s">
        <v>188</v>
      </c>
      <c r="I392" s="243"/>
      <c r="K392" s="240"/>
      <c r="L392" s="243" t="s">
        <v>231</v>
      </c>
      <c r="M392" s="243" t="s">
        <v>231</v>
      </c>
      <c r="N392" s="237"/>
      <c r="O392" s="237"/>
      <c r="P392" s="237"/>
      <c r="Q392" s="245">
        <v>45695</v>
      </c>
      <c r="R392" s="237" t="s">
        <v>309</v>
      </c>
      <c r="S392" s="331" t="s">
        <v>233</v>
      </c>
      <c r="T392" s="237" t="s">
        <v>228</v>
      </c>
      <c r="U392" s="237" t="s">
        <v>234</v>
      </c>
      <c r="V392" s="237" t="s">
        <v>652</v>
      </c>
      <c r="W392" s="245">
        <v>45971</v>
      </c>
      <c r="X392" s="237" t="s">
        <v>2471</v>
      </c>
      <c r="Y392" s="237" t="s">
        <v>588</v>
      </c>
      <c r="Z392" s="237" t="s">
        <v>237</v>
      </c>
      <c r="AA392" s="237" t="s">
        <v>2472</v>
      </c>
      <c r="AB392" s="337" t="s">
        <v>228</v>
      </c>
      <c r="AC392" s="237" t="s">
        <v>228</v>
      </c>
      <c r="AD392" s="562"/>
      <c r="AE392" s="555"/>
      <c r="AF392" s="237"/>
    </row>
    <row r="393" spans="1:32" ht="13.5" customHeight="1">
      <c r="A393" s="235">
        <v>391</v>
      </c>
      <c r="B393" s="237"/>
      <c r="C393" s="255" t="s">
        <v>2473</v>
      </c>
      <c r="D393" s="237" t="s">
        <v>2474</v>
      </c>
      <c r="E393" s="237">
        <v>23</v>
      </c>
      <c r="F393" s="237" t="s">
        <v>75</v>
      </c>
      <c r="G393" s="237" t="s">
        <v>2475</v>
      </c>
      <c r="H393" s="243" t="s">
        <v>188</v>
      </c>
      <c r="I393" s="243"/>
      <c r="K393" s="240"/>
      <c r="L393" s="243" t="s">
        <v>231</v>
      </c>
      <c r="M393" s="243" t="s">
        <v>231</v>
      </c>
      <c r="N393" s="237"/>
      <c r="O393" s="237"/>
      <c r="P393" s="237"/>
      <c r="Q393" s="245">
        <v>45695</v>
      </c>
      <c r="R393" s="237" t="s">
        <v>309</v>
      </c>
      <c r="S393" s="331" t="s">
        <v>233</v>
      </c>
      <c r="T393" s="237" t="s">
        <v>228</v>
      </c>
      <c r="U393" s="237" t="s">
        <v>234</v>
      </c>
      <c r="V393" s="237" t="s">
        <v>652</v>
      </c>
      <c r="W393" s="245">
        <v>45986</v>
      </c>
      <c r="X393" s="237">
        <v>0</v>
      </c>
      <c r="Y393" s="237">
        <v>0</v>
      </c>
      <c r="Z393" s="237" t="s">
        <v>228</v>
      </c>
      <c r="AA393" s="237" t="s">
        <v>2476</v>
      </c>
      <c r="AB393" s="337" t="s">
        <v>228</v>
      </c>
      <c r="AC393" s="237" t="s">
        <v>228</v>
      </c>
      <c r="AD393" s="562"/>
      <c r="AE393" s="555"/>
      <c r="AF393" s="237"/>
    </row>
    <row r="394" spans="1:32" ht="13.5" customHeight="1">
      <c r="A394" s="235">
        <v>392</v>
      </c>
      <c r="B394" s="237"/>
      <c r="C394" s="255" t="s">
        <v>2477</v>
      </c>
      <c r="D394" s="237" t="s">
        <v>2478</v>
      </c>
      <c r="E394" s="237">
        <v>40</v>
      </c>
      <c r="F394" s="237" t="s">
        <v>75</v>
      </c>
      <c r="G394" s="237" t="s">
        <v>2479</v>
      </c>
      <c r="H394" s="243" t="s">
        <v>188</v>
      </c>
      <c r="I394" s="243"/>
      <c r="K394" s="240"/>
      <c r="L394" s="243" t="s">
        <v>231</v>
      </c>
      <c r="M394" s="243" t="s">
        <v>231</v>
      </c>
      <c r="N394" s="237"/>
      <c r="O394" s="237"/>
      <c r="P394" s="237"/>
      <c r="Q394" s="245">
        <v>45696</v>
      </c>
      <c r="R394" s="237" t="s">
        <v>309</v>
      </c>
      <c r="S394" s="331" t="s">
        <v>233</v>
      </c>
      <c r="T394" s="237" t="s">
        <v>228</v>
      </c>
      <c r="U394" s="237" t="s">
        <v>234</v>
      </c>
      <c r="V394" s="237" t="s">
        <v>652</v>
      </c>
      <c r="W394" s="245">
        <v>45986</v>
      </c>
      <c r="X394" s="237">
        <v>0</v>
      </c>
      <c r="Y394" s="237">
        <v>0</v>
      </c>
      <c r="Z394" s="237" t="s">
        <v>228</v>
      </c>
      <c r="AA394" s="237" t="s">
        <v>2480</v>
      </c>
      <c r="AB394" s="337" t="s">
        <v>228</v>
      </c>
      <c r="AC394" s="237" t="s">
        <v>228</v>
      </c>
      <c r="AD394" s="562"/>
      <c r="AE394" s="555"/>
      <c r="AF394" s="237"/>
    </row>
    <row r="395" spans="1:32" ht="13.5" customHeight="1">
      <c r="A395" s="235">
        <v>393</v>
      </c>
      <c r="B395" s="237"/>
      <c r="C395" s="255" t="s">
        <v>2481</v>
      </c>
      <c r="D395" s="237" t="s">
        <v>2482</v>
      </c>
      <c r="E395" s="237">
        <v>45</v>
      </c>
      <c r="F395" s="237" t="s">
        <v>60</v>
      </c>
      <c r="G395" s="237" t="s">
        <v>2483</v>
      </c>
      <c r="H395" s="243" t="s">
        <v>188</v>
      </c>
      <c r="I395" s="243"/>
      <c r="K395" s="240"/>
      <c r="L395" s="243" t="s">
        <v>231</v>
      </c>
      <c r="M395" s="243" t="s">
        <v>231</v>
      </c>
      <c r="N395" s="237"/>
      <c r="O395" s="237"/>
      <c r="P395" s="237"/>
      <c r="Q395" s="245">
        <v>45696</v>
      </c>
      <c r="R395" s="237" t="s">
        <v>309</v>
      </c>
      <c r="S395" s="331" t="s">
        <v>233</v>
      </c>
      <c r="T395" s="237" t="s">
        <v>228</v>
      </c>
      <c r="U395" s="237" t="s">
        <v>234</v>
      </c>
      <c r="V395" s="237" t="s">
        <v>652</v>
      </c>
      <c r="W395" s="245">
        <v>45986</v>
      </c>
      <c r="X395" s="237">
        <v>0</v>
      </c>
      <c r="Y395" s="237">
        <v>0</v>
      </c>
      <c r="Z395" s="237" t="s">
        <v>228</v>
      </c>
      <c r="AA395" s="237" t="s">
        <v>2484</v>
      </c>
      <c r="AB395" s="337" t="s">
        <v>228</v>
      </c>
      <c r="AC395" s="237" t="s">
        <v>228</v>
      </c>
      <c r="AD395" s="562"/>
      <c r="AE395" s="555"/>
      <c r="AF395" s="237"/>
    </row>
    <row r="396" spans="1:32" ht="13.5" customHeight="1">
      <c r="A396" s="235">
        <v>394</v>
      </c>
      <c r="B396" s="237"/>
      <c r="C396" s="255" t="s">
        <v>2485</v>
      </c>
      <c r="D396" s="237" t="s">
        <v>2486</v>
      </c>
      <c r="E396" s="237">
        <v>41</v>
      </c>
      <c r="F396" s="237" t="s">
        <v>75</v>
      </c>
      <c r="G396" s="237" t="s">
        <v>2487</v>
      </c>
      <c r="H396" s="243" t="s">
        <v>188</v>
      </c>
      <c r="I396" s="243"/>
      <c r="K396" s="240"/>
      <c r="L396" s="243" t="s">
        <v>231</v>
      </c>
      <c r="M396" s="243" t="s">
        <v>231</v>
      </c>
      <c r="N396" s="237"/>
      <c r="O396" s="237"/>
      <c r="P396" s="237"/>
      <c r="Q396" s="245">
        <v>45696</v>
      </c>
      <c r="R396" s="237" t="s">
        <v>309</v>
      </c>
      <c r="S396" s="331" t="s">
        <v>233</v>
      </c>
      <c r="T396" s="237" t="s">
        <v>228</v>
      </c>
      <c r="U396" s="237" t="s">
        <v>234</v>
      </c>
      <c r="V396" s="237" t="s">
        <v>652</v>
      </c>
      <c r="W396" s="245">
        <v>45986</v>
      </c>
      <c r="X396" s="237">
        <v>0</v>
      </c>
      <c r="Y396" s="237">
        <v>0</v>
      </c>
      <c r="Z396" s="237" t="s">
        <v>228</v>
      </c>
      <c r="AA396" s="237" t="s">
        <v>2488</v>
      </c>
      <c r="AB396" s="337" t="s">
        <v>228</v>
      </c>
      <c r="AC396" s="237" t="s">
        <v>228</v>
      </c>
      <c r="AD396" s="562"/>
      <c r="AE396" s="555"/>
      <c r="AF396" s="237"/>
    </row>
    <row r="397" spans="1:32" ht="13.5" customHeight="1">
      <c r="A397" s="235">
        <v>395</v>
      </c>
      <c r="B397" s="237"/>
      <c r="C397" s="255" t="s">
        <v>2489</v>
      </c>
      <c r="D397" s="237" t="s">
        <v>2490</v>
      </c>
      <c r="E397" s="237">
        <v>62</v>
      </c>
      <c r="F397" s="237" t="s">
        <v>75</v>
      </c>
      <c r="G397" s="237" t="s">
        <v>2491</v>
      </c>
      <c r="H397" s="243" t="s">
        <v>188</v>
      </c>
      <c r="I397" s="243"/>
      <c r="K397" s="240"/>
      <c r="L397" s="243" t="s">
        <v>231</v>
      </c>
      <c r="M397" s="243" t="s">
        <v>231</v>
      </c>
      <c r="N397" s="237"/>
      <c r="O397" s="237"/>
      <c r="P397" s="237"/>
      <c r="Q397" s="245">
        <v>45696</v>
      </c>
      <c r="R397" s="237" t="s">
        <v>309</v>
      </c>
      <c r="S397" s="331" t="s">
        <v>233</v>
      </c>
      <c r="T397" s="237" t="s">
        <v>228</v>
      </c>
      <c r="U397" s="237" t="s">
        <v>234</v>
      </c>
      <c r="V397" s="237" t="s">
        <v>652</v>
      </c>
      <c r="W397" s="245">
        <v>45986</v>
      </c>
      <c r="X397" s="237">
        <v>0</v>
      </c>
      <c r="Y397" s="237">
        <v>0</v>
      </c>
      <c r="Z397" s="237" t="s">
        <v>228</v>
      </c>
      <c r="AA397" s="237" t="s">
        <v>2492</v>
      </c>
      <c r="AB397" s="337" t="s">
        <v>228</v>
      </c>
      <c r="AC397" s="237" t="s">
        <v>228</v>
      </c>
      <c r="AD397" s="562"/>
      <c r="AE397" s="555"/>
      <c r="AF397" s="237"/>
    </row>
    <row r="398" spans="1:32" ht="13.5" customHeight="1">
      <c r="A398" s="235">
        <v>396</v>
      </c>
      <c r="B398" s="237"/>
      <c r="C398" s="255" t="s">
        <v>2493</v>
      </c>
      <c r="D398" s="237" t="s">
        <v>2494</v>
      </c>
      <c r="E398" s="237">
        <v>45</v>
      </c>
      <c r="F398" s="237" t="s">
        <v>60</v>
      </c>
      <c r="G398" s="237" t="s">
        <v>2495</v>
      </c>
      <c r="H398" s="243" t="s">
        <v>188</v>
      </c>
      <c r="I398" s="243"/>
      <c r="K398" s="240"/>
      <c r="L398" s="243" t="s">
        <v>231</v>
      </c>
      <c r="M398" s="243" t="s">
        <v>231</v>
      </c>
      <c r="N398" s="237"/>
      <c r="O398" s="237"/>
      <c r="P398" s="237"/>
      <c r="Q398" s="245">
        <v>45696</v>
      </c>
      <c r="R398" s="237" t="s">
        <v>309</v>
      </c>
      <c r="S398" s="331" t="s">
        <v>233</v>
      </c>
      <c r="T398" s="237" t="s">
        <v>228</v>
      </c>
      <c r="U398" s="237" t="s">
        <v>234</v>
      </c>
      <c r="V398" s="237" t="s">
        <v>652</v>
      </c>
      <c r="W398" s="245">
        <v>45986</v>
      </c>
      <c r="X398" s="237">
        <v>0</v>
      </c>
      <c r="Y398" s="237">
        <v>0</v>
      </c>
      <c r="Z398" s="237" t="s">
        <v>228</v>
      </c>
      <c r="AA398" s="237" t="s">
        <v>2496</v>
      </c>
      <c r="AB398" s="337" t="s">
        <v>228</v>
      </c>
      <c r="AC398" s="237" t="s">
        <v>228</v>
      </c>
      <c r="AD398" s="562"/>
      <c r="AE398" s="555"/>
      <c r="AF398" s="237"/>
    </row>
    <row r="399" spans="1:32" ht="13.5" customHeight="1">
      <c r="A399" s="235">
        <v>397</v>
      </c>
      <c r="B399" s="237"/>
      <c r="C399" s="255" t="s">
        <v>2497</v>
      </c>
      <c r="D399" s="237" t="s">
        <v>2498</v>
      </c>
      <c r="E399" s="237">
        <v>43</v>
      </c>
      <c r="F399" s="237" t="s">
        <v>60</v>
      </c>
      <c r="G399" s="237" t="s">
        <v>2499</v>
      </c>
      <c r="H399" s="243" t="s">
        <v>188</v>
      </c>
      <c r="I399" s="243"/>
      <c r="K399" s="240"/>
      <c r="L399" s="243" t="s">
        <v>231</v>
      </c>
      <c r="M399" s="243" t="s">
        <v>231</v>
      </c>
      <c r="N399" s="237"/>
      <c r="O399" s="237"/>
      <c r="P399" s="237"/>
      <c r="Q399" s="245">
        <v>45696</v>
      </c>
      <c r="R399" s="237" t="s">
        <v>309</v>
      </c>
      <c r="S399" s="331" t="s">
        <v>233</v>
      </c>
      <c r="T399" s="237" t="s">
        <v>228</v>
      </c>
      <c r="U399" s="237" t="s">
        <v>234</v>
      </c>
      <c r="V399" s="237" t="s">
        <v>652</v>
      </c>
      <c r="W399" s="245">
        <v>45986</v>
      </c>
      <c r="X399" s="237">
        <v>0</v>
      </c>
      <c r="Y399" s="237">
        <v>0</v>
      </c>
      <c r="Z399" s="237" t="s">
        <v>228</v>
      </c>
      <c r="AA399" s="237" t="s">
        <v>2500</v>
      </c>
      <c r="AB399" s="337" t="s">
        <v>228</v>
      </c>
      <c r="AC399" s="237" t="s">
        <v>228</v>
      </c>
      <c r="AD399" s="562"/>
      <c r="AE399" s="555"/>
      <c r="AF399" s="237"/>
    </row>
    <row r="400" spans="1:32" ht="13.5" customHeight="1">
      <c r="A400" s="235">
        <v>398</v>
      </c>
      <c r="B400" s="237"/>
      <c r="C400" s="255" t="s">
        <v>2501</v>
      </c>
      <c r="D400" s="237" t="s">
        <v>2502</v>
      </c>
      <c r="E400" s="237">
        <v>42</v>
      </c>
      <c r="F400" s="237" t="s">
        <v>60</v>
      </c>
      <c r="G400" s="237" t="s">
        <v>2503</v>
      </c>
      <c r="H400" s="243" t="s">
        <v>188</v>
      </c>
      <c r="I400" s="243"/>
      <c r="K400" s="240"/>
      <c r="L400" s="243" t="s">
        <v>231</v>
      </c>
      <c r="M400" s="243" t="s">
        <v>231</v>
      </c>
      <c r="N400" s="237"/>
      <c r="O400" s="237"/>
      <c r="P400" s="237"/>
      <c r="Q400" s="245">
        <v>45696</v>
      </c>
      <c r="R400" s="237" t="s">
        <v>309</v>
      </c>
      <c r="S400" s="331" t="s">
        <v>233</v>
      </c>
      <c r="T400" s="237" t="s">
        <v>228</v>
      </c>
      <c r="U400" s="237" t="s">
        <v>234</v>
      </c>
      <c r="V400" s="237" t="s">
        <v>652</v>
      </c>
      <c r="W400" s="245">
        <v>45986</v>
      </c>
      <c r="X400" s="237">
        <v>0</v>
      </c>
      <c r="Y400" s="237">
        <v>0</v>
      </c>
      <c r="Z400" s="237" t="s">
        <v>228</v>
      </c>
      <c r="AA400" s="237" t="s">
        <v>2504</v>
      </c>
      <c r="AB400" s="337" t="s">
        <v>228</v>
      </c>
      <c r="AC400" s="237" t="s">
        <v>228</v>
      </c>
      <c r="AD400" s="562"/>
      <c r="AE400" s="555"/>
      <c r="AF400" s="237"/>
    </row>
    <row r="401" spans="1:32" ht="13.5" customHeight="1">
      <c r="A401" s="235">
        <v>399</v>
      </c>
      <c r="B401" s="237"/>
      <c r="C401" s="255" t="s">
        <v>2505</v>
      </c>
      <c r="D401" s="237" t="s">
        <v>2506</v>
      </c>
      <c r="E401" s="237">
        <v>34</v>
      </c>
      <c r="F401" s="237" t="s">
        <v>75</v>
      </c>
      <c r="G401" s="237" t="s">
        <v>2507</v>
      </c>
      <c r="H401" s="243" t="s">
        <v>188</v>
      </c>
      <c r="I401" s="243"/>
      <c r="K401" s="240"/>
      <c r="L401" s="243" t="s">
        <v>231</v>
      </c>
      <c r="M401" s="243" t="s">
        <v>231</v>
      </c>
      <c r="N401" s="237"/>
      <c r="O401" s="237"/>
      <c r="P401" s="237"/>
      <c r="Q401" s="245">
        <v>45696</v>
      </c>
      <c r="R401" s="237" t="s">
        <v>309</v>
      </c>
      <c r="S401" s="331" t="s">
        <v>233</v>
      </c>
      <c r="T401" s="237" t="s">
        <v>228</v>
      </c>
      <c r="U401" s="237" t="s">
        <v>234</v>
      </c>
      <c r="V401" s="237" t="s">
        <v>652</v>
      </c>
      <c r="W401" s="245">
        <v>45986</v>
      </c>
      <c r="X401" s="237">
        <v>0</v>
      </c>
      <c r="Y401" s="237">
        <v>0</v>
      </c>
      <c r="Z401" s="237" t="s">
        <v>228</v>
      </c>
      <c r="AA401" s="237" t="s">
        <v>2508</v>
      </c>
      <c r="AB401" s="337" t="s">
        <v>228</v>
      </c>
      <c r="AC401" s="237" t="s">
        <v>228</v>
      </c>
      <c r="AD401" s="562"/>
      <c r="AE401" s="555"/>
      <c r="AF401" s="237"/>
    </row>
    <row r="402" spans="1:32" ht="13.5" customHeight="1">
      <c r="A402" s="235">
        <v>400</v>
      </c>
      <c r="B402" s="237"/>
      <c r="C402" s="255" t="s">
        <v>2509</v>
      </c>
      <c r="D402" s="237" t="s">
        <v>2510</v>
      </c>
      <c r="E402" s="237">
        <v>21</v>
      </c>
      <c r="F402" s="237" t="s">
        <v>60</v>
      </c>
      <c r="G402" s="237" t="s">
        <v>2511</v>
      </c>
      <c r="H402" s="243" t="s">
        <v>188</v>
      </c>
      <c r="I402" s="243"/>
      <c r="K402" s="240"/>
      <c r="L402" s="243" t="s">
        <v>231</v>
      </c>
      <c r="M402" s="243" t="s">
        <v>231</v>
      </c>
      <c r="N402" s="237"/>
      <c r="O402" s="237"/>
      <c r="P402" s="237"/>
      <c r="Q402" s="245">
        <v>45697</v>
      </c>
      <c r="R402" s="237" t="s">
        <v>309</v>
      </c>
      <c r="S402" s="331" t="s">
        <v>233</v>
      </c>
      <c r="T402" s="237" t="s">
        <v>228</v>
      </c>
      <c r="U402" s="237" t="s">
        <v>234</v>
      </c>
      <c r="V402" s="237" t="s">
        <v>652</v>
      </c>
      <c r="W402" s="245">
        <v>45986</v>
      </c>
      <c r="X402" s="237">
        <v>0</v>
      </c>
      <c r="Y402" s="237">
        <v>0</v>
      </c>
      <c r="Z402" s="237" t="s">
        <v>228</v>
      </c>
      <c r="AA402" s="237" t="s">
        <v>2512</v>
      </c>
      <c r="AB402" s="337" t="s">
        <v>228</v>
      </c>
      <c r="AC402" s="237" t="s">
        <v>228</v>
      </c>
      <c r="AD402" s="562"/>
      <c r="AE402" s="555"/>
      <c r="AF402" s="237"/>
    </row>
    <row r="403" spans="1:32" ht="13.5" customHeight="1">
      <c r="A403" s="235">
        <v>401</v>
      </c>
      <c r="B403" s="237"/>
      <c r="C403" s="255" t="s">
        <v>2513</v>
      </c>
      <c r="D403" s="237" t="s">
        <v>2514</v>
      </c>
      <c r="E403" s="237">
        <v>53</v>
      </c>
      <c r="F403" s="237" t="s">
        <v>75</v>
      </c>
      <c r="G403" s="237" t="s">
        <v>2515</v>
      </c>
      <c r="H403" s="243" t="s">
        <v>188</v>
      </c>
      <c r="I403" s="243"/>
      <c r="K403" s="240"/>
      <c r="L403" s="243" t="s">
        <v>231</v>
      </c>
      <c r="M403" s="243" t="s">
        <v>231</v>
      </c>
      <c r="N403" s="237"/>
      <c r="O403" s="237"/>
      <c r="P403" s="237"/>
      <c r="Q403" s="245">
        <v>45697</v>
      </c>
      <c r="R403" s="237" t="s">
        <v>309</v>
      </c>
      <c r="S403" s="331" t="s">
        <v>233</v>
      </c>
      <c r="T403" s="237" t="s">
        <v>228</v>
      </c>
      <c r="U403" s="237" t="s">
        <v>234</v>
      </c>
      <c r="V403" s="237" t="s">
        <v>652</v>
      </c>
      <c r="W403" s="245">
        <v>45986</v>
      </c>
      <c r="X403" s="237">
        <v>0</v>
      </c>
      <c r="Y403" s="237">
        <v>0</v>
      </c>
      <c r="Z403" s="237" t="s">
        <v>228</v>
      </c>
      <c r="AA403" s="237" t="s">
        <v>2516</v>
      </c>
      <c r="AB403" s="337" t="s">
        <v>228</v>
      </c>
      <c r="AC403" s="237" t="s">
        <v>228</v>
      </c>
      <c r="AD403" s="562"/>
      <c r="AE403" s="555"/>
      <c r="AF403" s="237"/>
    </row>
    <row r="404" spans="1:32" ht="13.5" customHeight="1">
      <c r="A404" s="235">
        <v>402</v>
      </c>
      <c r="B404" s="237"/>
      <c r="C404" s="255" t="s">
        <v>2517</v>
      </c>
      <c r="D404" s="237" t="s">
        <v>2518</v>
      </c>
      <c r="E404" s="237">
        <v>47</v>
      </c>
      <c r="F404" s="237" t="s">
        <v>75</v>
      </c>
      <c r="G404" s="237" t="s">
        <v>2519</v>
      </c>
      <c r="H404" s="243" t="s">
        <v>188</v>
      </c>
      <c r="I404" s="243"/>
      <c r="K404" s="240"/>
      <c r="L404" s="243" t="s">
        <v>231</v>
      </c>
      <c r="M404" s="243" t="s">
        <v>231</v>
      </c>
      <c r="N404" s="237"/>
      <c r="O404" s="237"/>
      <c r="P404" s="237"/>
      <c r="Q404" s="245">
        <v>45697</v>
      </c>
      <c r="R404" s="237" t="s">
        <v>309</v>
      </c>
      <c r="S404" s="331" t="s">
        <v>233</v>
      </c>
      <c r="T404" s="237" t="s">
        <v>228</v>
      </c>
      <c r="U404" s="237" t="s">
        <v>234</v>
      </c>
      <c r="V404" s="237" t="s">
        <v>652</v>
      </c>
      <c r="W404" s="245">
        <v>45986</v>
      </c>
      <c r="X404" s="237">
        <v>0</v>
      </c>
      <c r="Y404" s="237">
        <v>0</v>
      </c>
      <c r="Z404" s="237" t="s">
        <v>228</v>
      </c>
      <c r="AA404" s="237" t="s">
        <v>2520</v>
      </c>
      <c r="AB404" s="337" t="s">
        <v>228</v>
      </c>
      <c r="AC404" s="237" t="s">
        <v>228</v>
      </c>
      <c r="AD404" s="562"/>
      <c r="AE404" s="555"/>
      <c r="AF404" s="237"/>
    </row>
    <row r="405" spans="1:32" ht="13.5" customHeight="1">
      <c r="A405" s="235">
        <v>403</v>
      </c>
      <c r="B405" s="237"/>
      <c r="C405" s="255" t="s">
        <v>2521</v>
      </c>
      <c r="D405" s="237" t="s">
        <v>2522</v>
      </c>
      <c r="E405" s="237">
        <v>33</v>
      </c>
      <c r="F405" s="237" t="s">
        <v>75</v>
      </c>
      <c r="G405" s="237" t="s">
        <v>2523</v>
      </c>
      <c r="H405" s="243" t="s">
        <v>188</v>
      </c>
      <c r="I405" s="243"/>
      <c r="K405" s="240"/>
      <c r="L405" s="243" t="s">
        <v>231</v>
      </c>
      <c r="M405" s="243" t="s">
        <v>231</v>
      </c>
      <c r="N405" s="237"/>
      <c r="O405" s="237"/>
      <c r="P405" s="237"/>
      <c r="Q405" s="245">
        <v>45700</v>
      </c>
      <c r="R405" s="237" t="s">
        <v>309</v>
      </c>
      <c r="S405" s="331" t="s">
        <v>233</v>
      </c>
      <c r="T405" s="237" t="s">
        <v>228</v>
      </c>
      <c r="U405" s="237" t="s">
        <v>234</v>
      </c>
      <c r="V405" s="237" t="s">
        <v>652</v>
      </c>
      <c r="W405" s="245">
        <v>45986</v>
      </c>
      <c r="X405" s="237">
        <v>0</v>
      </c>
      <c r="Y405" s="237">
        <v>0</v>
      </c>
      <c r="Z405" s="237" t="s">
        <v>228</v>
      </c>
      <c r="AA405" s="237" t="s">
        <v>2524</v>
      </c>
      <c r="AB405" s="337" t="s">
        <v>228</v>
      </c>
      <c r="AC405" s="237" t="s">
        <v>228</v>
      </c>
      <c r="AD405" s="562"/>
      <c r="AE405" s="555"/>
      <c r="AF405" s="237"/>
    </row>
    <row r="406" spans="1:32" ht="13.5" customHeight="1">
      <c r="A406" s="235">
        <v>404</v>
      </c>
      <c r="B406" s="237"/>
      <c r="C406" s="255" t="s">
        <v>2525</v>
      </c>
      <c r="D406" s="237" t="s">
        <v>2526</v>
      </c>
      <c r="E406" s="237">
        <v>63</v>
      </c>
      <c r="F406" s="237" t="s">
        <v>60</v>
      </c>
      <c r="G406" s="237" t="s">
        <v>2527</v>
      </c>
      <c r="H406" s="243" t="s">
        <v>188</v>
      </c>
      <c r="I406" s="243"/>
      <c r="K406" s="240"/>
      <c r="L406" s="243" t="s">
        <v>231</v>
      </c>
      <c r="M406" s="243" t="s">
        <v>231</v>
      </c>
      <c r="N406" s="237"/>
      <c r="O406" s="237"/>
      <c r="P406" s="237"/>
      <c r="Q406" s="245">
        <v>45700</v>
      </c>
      <c r="R406" s="237" t="s">
        <v>309</v>
      </c>
      <c r="S406" s="331" t="s">
        <v>233</v>
      </c>
      <c r="T406" s="237" t="s">
        <v>228</v>
      </c>
      <c r="U406" s="237" t="s">
        <v>234</v>
      </c>
      <c r="V406" s="237" t="s">
        <v>652</v>
      </c>
      <c r="W406" s="245">
        <v>45986</v>
      </c>
      <c r="X406" s="237">
        <v>0</v>
      </c>
      <c r="Y406" s="237">
        <v>0</v>
      </c>
      <c r="Z406" s="237" t="s">
        <v>228</v>
      </c>
      <c r="AA406" s="237" t="s">
        <v>2528</v>
      </c>
      <c r="AB406" s="337" t="s">
        <v>228</v>
      </c>
      <c r="AC406" s="237" t="s">
        <v>228</v>
      </c>
      <c r="AD406" s="562"/>
      <c r="AE406" s="555"/>
      <c r="AF406" s="237"/>
    </row>
    <row r="407" spans="1:32" ht="13.5" customHeight="1">
      <c r="A407" s="235">
        <v>405</v>
      </c>
      <c r="B407" s="237"/>
      <c r="C407" s="255" t="s">
        <v>2529</v>
      </c>
      <c r="D407" s="237" t="s">
        <v>2530</v>
      </c>
      <c r="E407" s="237">
        <v>53</v>
      </c>
      <c r="F407" s="237" t="s">
        <v>60</v>
      </c>
      <c r="G407" s="237" t="s">
        <v>2531</v>
      </c>
      <c r="H407" s="243" t="s">
        <v>188</v>
      </c>
      <c r="I407" s="243"/>
      <c r="K407" s="240"/>
      <c r="L407" s="243" t="s">
        <v>231</v>
      </c>
      <c r="M407" s="243" t="s">
        <v>231</v>
      </c>
      <c r="N407" s="237"/>
      <c r="O407" s="237"/>
      <c r="P407" s="237"/>
      <c r="Q407" s="245">
        <v>45700</v>
      </c>
      <c r="R407" s="237" t="s">
        <v>309</v>
      </c>
      <c r="S407" s="331" t="s">
        <v>233</v>
      </c>
      <c r="T407" s="237" t="s">
        <v>228</v>
      </c>
      <c r="U407" s="237" t="s">
        <v>234</v>
      </c>
      <c r="V407" s="237" t="s">
        <v>652</v>
      </c>
      <c r="W407" s="245">
        <v>45986</v>
      </c>
      <c r="X407" s="237">
        <v>0</v>
      </c>
      <c r="Y407" s="237">
        <v>0</v>
      </c>
      <c r="Z407" s="237" t="s">
        <v>228</v>
      </c>
      <c r="AA407" s="237" t="s">
        <v>2532</v>
      </c>
      <c r="AB407" s="337" t="s">
        <v>228</v>
      </c>
      <c r="AC407" s="237" t="s">
        <v>228</v>
      </c>
      <c r="AD407" s="562"/>
      <c r="AE407" s="555"/>
      <c r="AF407" s="237"/>
    </row>
    <row r="408" spans="1:32" ht="13.5" customHeight="1">
      <c r="A408" s="235">
        <v>406</v>
      </c>
      <c r="B408" s="237"/>
      <c r="C408" s="255" t="s">
        <v>2533</v>
      </c>
      <c r="D408" s="237" t="s">
        <v>2534</v>
      </c>
      <c r="E408" s="237">
        <v>29</v>
      </c>
      <c r="F408" s="237" t="s">
        <v>75</v>
      </c>
      <c r="G408" s="237" t="s">
        <v>2535</v>
      </c>
      <c r="H408" s="243" t="s">
        <v>188</v>
      </c>
      <c r="I408" s="243"/>
      <c r="K408" s="240"/>
      <c r="L408" s="243" t="s">
        <v>231</v>
      </c>
      <c r="M408" s="243" t="s">
        <v>231</v>
      </c>
      <c r="N408" s="237"/>
      <c r="O408" s="237"/>
      <c r="P408" s="237"/>
      <c r="Q408" s="245">
        <v>45701</v>
      </c>
      <c r="R408" s="237" t="s">
        <v>309</v>
      </c>
      <c r="S408" s="331" t="s">
        <v>233</v>
      </c>
      <c r="T408" s="237" t="s">
        <v>228</v>
      </c>
      <c r="U408" s="237" t="s">
        <v>234</v>
      </c>
      <c r="V408" s="237" t="s">
        <v>652</v>
      </c>
      <c r="W408" s="245">
        <v>45986</v>
      </c>
      <c r="X408" s="237">
        <v>0</v>
      </c>
      <c r="Y408" s="237">
        <v>0</v>
      </c>
      <c r="Z408" s="237" t="s">
        <v>228</v>
      </c>
      <c r="AA408" s="237" t="s">
        <v>2536</v>
      </c>
      <c r="AB408" s="337" t="s">
        <v>228</v>
      </c>
      <c r="AC408" s="237" t="s">
        <v>228</v>
      </c>
      <c r="AD408" s="562"/>
      <c r="AE408" s="555"/>
      <c r="AF408" s="237"/>
    </row>
    <row r="409" spans="1:32" ht="13.5" customHeight="1">
      <c r="A409" s="235">
        <v>407</v>
      </c>
      <c r="B409" s="237"/>
      <c r="C409" s="255" t="s">
        <v>2537</v>
      </c>
      <c r="D409" s="237" t="s">
        <v>2538</v>
      </c>
      <c r="E409" s="237">
        <v>41</v>
      </c>
      <c r="F409" s="237" t="s">
        <v>75</v>
      </c>
      <c r="G409" s="237" t="s">
        <v>2539</v>
      </c>
      <c r="H409" s="243" t="s">
        <v>188</v>
      </c>
      <c r="I409" s="243"/>
      <c r="K409" s="240"/>
      <c r="L409" s="243" t="s">
        <v>231</v>
      </c>
      <c r="M409" s="243" t="s">
        <v>231</v>
      </c>
      <c r="N409" s="237"/>
      <c r="O409" s="237"/>
      <c r="P409" s="237"/>
      <c r="Q409" s="245">
        <v>45702</v>
      </c>
      <c r="R409" s="237" t="s">
        <v>309</v>
      </c>
      <c r="S409" s="331" t="s">
        <v>233</v>
      </c>
      <c r="T409" s="237" t="s">
        <v>228</v>
      </c>
      <c r="U409" s="237" t="s">
        <v>234</v>
      </c>
      <c r="V409" s="237" t="s">
        <v>652</v>
      </c>
      <c r="W409" s="245">
        <v>45986</v>
      </c>
      <c r="X409" s="237">
        <v>0</v>
      </c>
      <c r="Y409" s="237">
        <v>0</v>
      </c>
      <c r="Z409" s="237" t="s">
        <v>228</v>
      </c>
      <c r="AA409" s="237" t="s">
        <v>2540</v>
      </c>
      <c r="AB409" s="337" t="s">
        <v>228</v>
      </c>
      <c r="AC409" s="237" t="s">
        <v>228</v>
      </c>
      <c r="AD409" s="562"/>
      <c r="AE409" s="555"/>
      <c r="AF409" s="237"/>
    </row>
    <row r="410" spans="1:32" ht="13.5" customHeight="1">
      <c r="A410" s="235">
        <v>408</v>
      </c>
      <c r="B410" s="237"/>
      <c r="C410" s="255" t="s">
        <v>2541</v>
      </c>
      <c r="D410" s="237" t="s">
        <v>2542</v>
      </c>
      <c r="E410" s="237">
        <v>54</v>
      </c>
      <c r="F410" s="237" t="s">
        <v>75</v>
      </c>
      <c r="G410" s="237" t="s">
        <v>2543</v>
      </c>
      <c r="H410" s="243" t="s">
        <v>188</v>
      </c>
      <c r="I410" s="243"/>
      <c r="K410" s="240"/>
      <c r="L410" s="243" t="s">
        <v>231</v>
      </c>
      <c r="M410" s="243" t="s">
        <v>231</v>
      </c>
      <c r="N410" s="237"/>
      <c r="O410" s="237"/>
      <c r="P410" s="237"/>
      <c r="Q410" s="245">
        <v>45702</v>
      </c>
      <c r="R410" s="237" t="s">
        <v>309</v>
      </c>
      <c r="S410" s="331" t="s">
        <v>233</v>
      </c>
      <c r="T410" s="237" t="s">
        <v>228</v>
      </c>
      <c r="U410" s="237" t="s">
        <v>234</v>
      </c>
      <c r="V410" s="237" t="s">
        <v>652</v>
      </c>
      <c r="W410" s="245">
        <v>45986</v>
      </c>
      <c r="X410" s="237">
        <v>0</v>
      </c>
      <c r="Y410" s="237">
        <v>0</v>
      </c>
      <c r="Z410" s="237" t="s">
        <v>228</v>
      </c>
      <c r="AA410" s="237" t="s">
        <v>2544</v>
      </c>
      <c r="AB410" s="337" t="s">
        <v>228</v>
      </c>
      <c r="AC410" s="237" t="s">
        <v>228</v>
      </c>
      <c r="AD410" s="562"/>
      <c r="AE410" s="555"/>
      <c r="AF410" s="237"/>
    </row>
    <row r="411" spans="1:32" ht="13.5" customHeight="1">
      <c r="A411" s="235">
        <v>409</v>
      </c>
      <c r="B411" s="237"/>
      <c r="C411" s="255" t="s">
        <v>2545</v>
      </c>
      <c r="D411" s="237" t="s">
        <v>2546</v>
      </c>
      <c r="E411" s="237">
        <v>34</v>
      </c>
      <c r="F411" s="237" t="s">
        <v>75</v>
      </c>
      <c r="G411" s="237" t="s">
        <v>2547</v>
      </c>
      <c r="H411" s="243" t="s">
        <v>188</v>
      </c>
      <c r="I411" s="243"/>
      <c r="K411" s="240"/>
      <c r="L411" s="243" t="s">
        <v>231</v>
      </c>
      <c r="M411" s="243" t="s">
        <v>231</v>
      </c>
      <c r="N411" s="237"/>
      <c r="O411" s="237"/>
      <c r="P411" s="237"/>
      <c r="Q411" s="245">
        <v>45702</v>
      </c>
      <c r="R411" s="237" t="s">
        <v>309</v>
      </c>
      <c r="S411" s="331" t="s">
        <v>233</v>
      </c>
      <c r="T411" s="237" t="s">
        <v>228</v>
      </c>
      <c r="U411" s="237" t="s">
        <v>234</v>
      </c>
      <c r="V411" s="237" t="s">
        <v>652</v>
      </c>
      <c r="W411" s="245">
        <v>45986</v>
      </c>
      <c r="X411" s="237">
        <v>0</v>
      </c>
      <c r="Y411" s="237">
        <v>0</v>
      </c>
      <c r="Z411" s="237" t="s">
        <v>228</v>
      </c>
      <c r="AA411" s="237" t="s">
        <v>2548</v>
      </c>
      <c r="AB411" s="337" t="s">
        <v>228</v>
      </c>
      <c r="AC411" s="237" t="s">
        <v>228</v>
      </c>
      <c r="AD411" s="562"/>
      <c r="AE411" s="555"/>
      <c r="AF411" s="237"/>
    </row>
    <row r="412" spans="1:32" ht="13.5" customHeight="1">
      <c r="A412" s="235">
        <v>410</v>
      </c>
      <c r="B412" s="237"/>
      <c r="C412" s="255" t="s">
        <v>2549</v>
      </c>
      <c r="D412" s="237" t="s">
        <v>2550</v>
      </c>
      <c r="E412" s="237">
        <v>38</v>
      </c>
      <c r="F412" s="237" t="s">
        <v>75</v>
      </c>
      <c r="G412" s="237" t="s">
        <v>2551</v>
      </c>
      <c r="H412" s="243" t="s">
        <v>188</v>
      </c>
      <c r="I412" s="243"/>
      <c r="K412" s="240"/>
      <c r="L412" s="243" t="s">
        <v>231</v>
      </c>
      <c r="M412" s="243" t="s">
        <v>231</v>
      </c>
      <c r="N412" s="237"/>
      <c r="O412" s="237"/>
      <c r="P412" s="237"/>
      <c r="Q412" s="245">
        <v>45702</v>
      </c>
      <c r="R412" s="237" t="s">
        <v>309</v>
      </c>
      <c r="S412" s="331" t="s">
        <v>233</v>
      </c>
      <c r="T412" s="237" t="s">
        <v>228</v>
      </c>
      <c r="U412" s="237" t="s">
        <v>234</v>
      </c>
      <c r="V412" s="237" t="s">
        <v>652</v>
      </c>
      <c r="W412" s="245">
        <v>45986</v>
      </c>
      <c r="X412" s="237">
        <v>0</v>
      </c>
      <c r="Y412" s="237">
        <v>0</v>
      </c>
      <c r="Z412" s="237" t="s">
        <v>228</v>
      </c>
      <c r="AA412" s="237" t="s">
        <v>2552</v>
      </c>
      <c r="AB412" s="337" t="s">
        <v>228</v>
      </c>
      <c r="AC412" s="237" t="s">
        <v>228</v>
      </c>
      <c r="AD412" s="562"/>
      <c r="AE412" s="555"/>
      <c r="AF412" s="237"/>
    </row>
    <row r="413" spans="1:32" ht="13.5" customHeight="1">
      <c r="A413" s="235">
        <v>411</v>
      </c>
      <c r="B413" s="237"/>
      <c r="C413" s="255" t="s">
        <v>2553</v>
      </c>
      <c r="D413" s="237" t="s">
        <v>2554</v>
      </c>
      <c r="E413" s="237">
        <v>35</v>
      </c>
      <c r="F413" s="237" t="s">
        <v>75</v>
      </c>
      <c r="G413" s="237" t="s">
        <v>2555</v>
      </c>
      <c r="H413" s="243" t="s">
        <v>188</v>
      </c>
      <c r="I413" s="243"/>
      <c r="K413" s="240"/>
      <c r="L413" s="243" t="s">
        <v>231</v>
      </c>
      <c r="M413" s="243" t="s">
        <v>231</v>
      </c>
      <c r="N413" s="237"/>
      <c r="O413" s="237"/>
      <c r="P413" s="237"/>
      <c r="Q413" s="245">
        <v>45702</v>
      </c>
      <c r="R413" s="237" t="s">
        <v>309</v>
      </c>
      <c r="S413" s="331" t="s">
        <v>233</v>
      </c>
      <c r="T413" s="237" t="s">
        <v>228</v>
      </c>
      <c r="U413" s="237" t="s">
        <v>234</v>
      </c>
      <c r="V413" s="237" t="s">
        <v>652</v>
      </c>
      <c r="W413" s="245">
        <v>45986</v>
      </c>
      <c r="X413" s="237">
        <v>0</v>
      </c>
      <c r="Y413" s="237">
        <v>0</v>
      </c>
      <c r="Z413" s="237" t="s">
        <v>228</v>
      </c>
      <c r="AA413" s="237" t="s">
        <v>2556</v>
      </c>
      <c r="AB413" s="337" t="s">
        <v>228</v>
      </c>
      <c r="AC413" s="237" t="s">
        <v>228</v>
      </c>
      <c r="AD413" s="562"/>
      <c r="AE413" s="555"/>
      <c r="AF413" s="237"/>
    </row>
    <row r="414" spans="1:32" ht="13.5" customHeight="1">
      <c r="A414" s="235">
        <v>412</v>
      </c>
      <c r="B414" s="237"/>
      <c r="C414" s="255" t="s">
        <v>2557</v>
      </c>
      <c r="D414" s="237" t="s">
        <v>2558</v>
      </c>
      <c r="E414" s="237">
        <v>53</v>
      </c>
      <c r="F414" s="237" t="s">
        <v>75</v>
      </c>
      <c r="G414" s="237" t="s">
        <v>2559</v>
      </c>
      <c r="H414" s="243" t="s">
        <v>188</v>
      </c>
      <c r="I414" s="243"/>
      <c r="K414" s="240"/>
      <c r="L414" s="243" t="s">
        <v>231</v>
      </c>
      <c r="M414" s="243" t="s">
        <v>231</v>
      </c>
      <c r="N414" s="237"/>
      <c r="O414" s="237"/>
      <c r="P414" s="237"/>
      <c r="Q414" s="245">
        <v>45708</v>
      </c>
      <c r="R414" s="237" t="s">
        <v>309</v>
      </c>
      <c r="S414" s="331" t="s">
        <v>233</v>
      </c>
      <c r="T414" s="237" t="s">
        <v>228</v>
      </c>
      <c r="U414" s="237" t="s">
        <v>234</v>
      </c>
      <c r="V414" s="237" t="s">
        <v>652</v>
      </c>
      <c r="W414" s="245">
        <v>45986</v>
      </c>
      <c r="X414" s="237">
        <v>0</v>
      </c>
      <c r="Y414" s="237">
        <v>0</v>
      </c>
      <c r="Z414" s="237" t="s">
        <v>228</v>
      </c>
      <c r="AA414" s="237" t="s">
        <v>2560</v>
      </c>
      <c r="AB414" s="337" t="s">
        <v>228</v>
      </c>
      <c r="AC414" s="237" t="s">
        <v>228</v>
      </c>
      <c r="AD414" s="562"/>
      <c r="AE414" s="555"/>
      <c r="AF414" s="237"/>
    </row>
    <row r="415" spans="1:32" ht="13.5" customHeight="1">
      <c r="A415" s="235">
        <v>413</v>
      </c>
      <c r="B415" s="237"/>
      <c r="C415" s="255" t="s">
        <v>2561</v>
      </c>
      <c r="D415" s="237" t="s">
        <v>2562</v>
      </c>
      <c r="E415" s="237">
        <v>45</v>
      </c>
      <c r="F415" s="237" t="s">
        <v>75</v>
      </c>
      <c r="G415" s="237" t="s">
        <v>2563</v>
      </c>
      <c r="H415" s="243" t="s">
        <v>15</v>
      </c>
      <c r="I415" s="243" t="s">
        <v>2298</v>
      </c>
      <c r="K415" s="240" t="s">
        <v>98</v>
      </c>
      <c r="L415" s="243" t="s">
        <v>460</v>
      </c>
      <c r="M415" s="243" t="s">
        <v>231</v>
      </c>
      <c r="N415" s="237"/>
      <c r="O415" s="237"/>
      <c r="P415" s="237"/>
      <c r="Q415" s="245">
        <v>45708</v>
      </c>
      <c r="R415" s="237" t="s">
        <v>309</v>
      </c>
      <c r="S415" s="331" t="s">
        <v>233</v>
      </c>
      <c r="T415" s="237" t="s">
        <v>228</v>
      </c>
      <c r="U415" s="237" t="s">
        <v>234</v>
      </c>
      <c r="V415" s="237" t="s">
        <v>652</v>
      </c>
      <c r="W415" s="245">
        <v>45971</v>
      </c>
      <c r="X415" s="237" t="s">
        <v>2564</v>
      </c>
      <c r="Y415" s="237" t="s">
        <v>588</v>
      </c>
      <c r="Z415" s="237" t="s">
        <v>237</v>
      </c>
      <c r="AA415" s="237" t="s">
        <v>2565</v>
      </c>
      <c r="AB415" s="337" t="s">
        <v>228</v>
      </c>
      <c r="AC415" s="237" t="s">
        <v>228</v>
      </c>
      <c r="AD415" s="562"/>
      <c r="AE415" s="555"/>
      <c r="AF415" s="237"/>
    </row>
    <row r="416" spans="1:32" ht="13.5" customHeight="1">
      <c r="A416" s="235">
        <v>414</v>
      </c>
      <c r="B416" s="237"/>
      <c r="C416" s="255" t="s">
        <v>2566</v>
      </c>
      <c r="D416" s="237" t="s">
        <v>2567</v>
      </c>
      <c r="E416" s="237">
        <v>36</v>
      </c>
      <c r="F416" s="237" t="s">
        <v>75</v>
      </c>
      <c r="G416" s="237" t="s">
        <v>2568</v>
      </c>
      <c r="H416" s="243" t="s">
        <v>188</v>
      </c>
      <c r="I416" s="243"/>
      <c r="K416" s="240"/>
      <c r="L416" s="243" t="s">
        <v>231</v>
      </c>
      <c r="M416" s="243" t="s">
        <v>231</v>
      </c>
      <c r="N416" s="237"/>
      <c r="O416" s="237"/>
      <c r="P416" s="237"/>
      <c r="Q416" s="245">
        <v>45708</v>
      </c>
      <c r="R416" s="237" t="s">
        <v>309</v>
      </c>
      <c r="S416" s="331" t="s">
        <v>233</v>
      </c>
      <c r="T416" s="237" t="s">
        <v>228</v>
      </c>
      <c r="U416" s="237" t="s">
        <v>234</v>
      </c>
      <c r="V416" s="237" t="s">
        <v>652</v>
      </c>
      <c r="W416" s="245">
        <v>45986</v>
      </c>
      <c r="X416" s="237">
        <v>0</v>
      </c>
      <c r="Y416" s="237">
        <v>0</v>
      </c>
      <c r="Z416" s="237" t="s">
        <v>228</v>
      </c>
      <c r="AA416" s="237" t="s">
        <v>2569</v>
      </c>
      <c r="AB416" s="337" t="s">
        <v>228</v>
      </c>
      <c r="AC416" s="237" t="s">
        <v>228</v>
      </c>
      <c r="AD416" s="562"/>
      <c r="AE416" s="555"/>
      <c r="AF416" s="237"/>
    </row>
    <row r="417" spans="1:32" ht="13.5" customHeight="1">
      <c r="A417" s="235">
        <v>415</v>
      </c>
      <c r="B417" s="237"/>
      <c r="C417" s="255" t="s">
        <v>2570</v>
      </c>
      <c r="D417" s="237" t="s">
        <v>2571</v>
      </c>
      <c r="E417" s="237">
        <v>45</v>
      </c>
      <c r="F417" s="237" t="s">
        <v>75</v>
      </c>
      <c r="G417" s="237" t="s">
        <v>2572</v>
      </c>
      <c r="H417" s="243" t="s">
        <v>188</v>
      </c>
      <c r="I417" s="243"/>
      <c r="K417" s="240"/>
      <c r="L417" s="243" t="s">
        <v>231</v>
      </c>
      <c r="M417" s="243" t="s">
        <v>231</v>
      </c>
      <c r="N417" s="237"/>
      <c r="O417" s="237"/>
      <c r="P417" s="237"/>
      <c r="Q417" s="245">
        <v>45708</v>
      </c>
      <c r="R417" s="237" t="s">
        <v>309</v>
      </c>
      <c r="S417" s="331" t="s">
        <v>233</v>
      </c>
      <c r="T417" s="237" t="s">
        <v>228</v>
      </c>
      <c r="U417" s="237" t="s">
        <v>234</v>
      </c>
      <c r="V417" s="237" t="s">
        <v>652</v>
      </c>
      <c r="W417" s="245">
        <v>45986</v>
      </c>
      <c r="X417" s="237">
        <v>0</v>
      </c>
      <c r="Y417" s="237">
        <v>0</v>
      </c>
      <c r="Z417" s="237" t="s">
        <v>228</v>
      </c>
      <c r="AA417" s="237" t="s">
        <v>2573</v>
      </c>
      <c r="AB417" s="337" t="s">
        <v>228</v>
      </c>
      <c r="AC417" s="237" t="s">
        <v>228</v>
      </c>
      <c r="AD417" s="562"/>
      <c r="AE417" s="555"/>
      <c r="AF417" s="237"/>
    </row>
    <row r="418" spans="1:32" ht="13.5" customHeight="1">
      <c r="A418" s="235">
        <v>416</v>
      </c>
      <c r="B418" s="237"/>
      <c r="C418" s="255" t="s">
        <v>2574</v>
      </c>
      <c r="D418" s="237" t="s">
        <v>2575</v>
      </c>
      <c r="E418" s="237">
        <v>72</v>
      </c>
      <c r="F418" s="237" t="s">
        <v>60</v>
      </c>
      <c r="G418" s="237" t="s">
        <v>2576</v>
      </c>
      <c r="H418" s="243" t="s">
        <v>188</v>
      </c>
      <c r="I418" s="243"/>
      <c r="K418" s="240"/>
      <c r="L418" s="243" t="s">
        <v>231</v>
      </c>
      <c r="M418" s="243" t="s">
        <v>231</v>
      </c>
      <c r="N418" s="237"/>
      <c r="O418" s="237"/>
      <c r="P418" s="237"/>
      <c r="Q418" s="245">
        <v>45708</v>
      </c>
      <c r="R418" s="237" t="s">
        <v>309</v>
      </c>
      <c r="S418" s="331" t="s">
        <v>233</v>
      </c>
      <c r="T418" s="237" t="s">
        <v>228</v>
      </c>
      <c r="U418" s="237" t="s">
        <v>234</v>
      </c>
      <c r="V418" s="237" t="s">
        <v>652</v>
      </c>
      <c r="W418" s="245">
        <v>45986</v>
      </c>
      <c r="X418" s="237">
        <v>0</v>
      </c>
      <c r="Y418" s="237">
        <v>0</v>
      </c>
      <c r="Z418" s="237" t="s">
        <v>228</v>
      </c>
      <c r="AA418" s="237" t="s">
        <v>2577</v>
      </c>
      <c r="AB418" s="337" t="s">
        <v>228</v>
      </c>
      <c r="AC418" s="237" t="s">
        <v>228</v>
      </c>
      <c r="AD418" s="562"/>
      <c r="AE418" s="555"/>
      <c r="AF418" s="237"/>
    </row>
    <row r="419" spans="1:32" ht="13.5" customHeight="1">
      <c r="A419" s="235">
        <v>417</v>
      </c>
      <c r="B419" s="237"/>
      <c r="C419" s="255" t="s">
        <v>2578</v>
      </c>
      <c r="D419" s="237" t="s">
        <v>2579</v>
      </c>
      <c r="E419" s="237">
        <v>57</v>
      </c>
      <c r="F419" s="237" t="s">
        <v>75</v>
      </c>
      <c r="G419" s="237" t="s">
        <v>2580</v>
      </c>
      <c r="H419" s="243" t="s">
        <v>188</v>
      </c>
      <c r="I419" s="243"/>
      <c r="K419" s="240"/>
      <c r="L419" s="243" t="s">
        <v>231</v>
      </c>
      <c r="M419" s="243" t="s">
        <v>231</v>
      </c>
      <c r="N419" s="237"/>
      <c r="O419" s="237"/>
      <c r="P419" s="237"/>
      <c r="Q419" s="245">
        <v>45712</v>
      </c>
      <c r="R419" s="237" t="s">
        <v>309</v>
      </c>
      <c r="S419" s="331" t="s">
        <v>233</v>
      </c>
      <c r="T419" s="237" t="s">
        <v>228</v>
      </c>
      <c r="U419" s="237" t="s">
        <v>234</v>
      </c>
      <c r="V419" s="237" t="s">
        <v>652</v>
      </c>
      <c r="W419" s="245">
        <v>45986</v>
      </c>
      <c r="X419" s="237">
        <v>0</v>
      </c>
      <c r="Y419" s="237">
        <v>0</v>
      </c>
      <c r="Z419" s="237" t="s">
        <v>228</v>
      </c>
      <c r="AA419" s="237" t="s">
        <v>2581</v>
      </c>
      <c r="AB419" s="337" t="s">
        <v>228</v>
      </c>
      <c r="AC419" s="237" t="s">
        <v>228</v>
      </c>
      <c r="AD419" s="562"/>
      <c r="AE419" s="555"/>
      <c r="AF419" s="237"/>
    </row>
    <row r="420" spans="1:32" ht="13.5" customHeight="1">
      <c r="A420" s="235">
        <v>418</v>
      </c>
      <c r="B420" s="237"/>
      <c r="C420" s="255" t="s">
        <v>2582</v>
      </c>
      <c r="D420" s="237" t="s">
        <v>2583</v>
      </c>
      <c r="E420" s="237">
        <v>50</v>
      </c>
      <c r="F420" s="237" t="s">
        <v>60</v>
      </c>
      <c r="G420" s="237" t="s">
        <v>2584</v>
      </c>
      <c r="H420" s="243" t="s">
        <v>188</v>
      </c>
      <c r="I420" s="243"/>
      <c r="K420" s="240"/>
      <c r="L420" s="243" t="s">
        <v>231</v>
      </c>
      <c r="M420" s="243" t="s">
        <v>231</v>
      </c>
      <c r="N420" s="237"/>
      <c r="O420" s="237"/>
      <c r="P420" s="237"/>
      <c r="Q420" s="245">
        <v>45713</v>
      </c>
      <c r="R420" s="237" t="s">
        <v>309</v>
      </c>
      <c r="S420" s="331" t="s">
        <v>233</v>
      </c>
      <c r="T420" s="237" t="s">
        <v>228</v>
      </c>
      <c r="U420" s="237" t="s">
        <v>234</v>
      </c>
      <c r="V420" s="237" t="s">
        <v>652</v>
      </c>
      <c r="W420" s="245">
        <v>45986</v>
      </c>
      <c r="X420" s="237">
        <v>0</v>
      </c>
      <c r="Y420" s="237">
        <v>0</v>
      </c>
      <c r="Z420" s="237" t="s">
        <v>228</v>
      </c>
      <c r="AA420" s="237" t="s">
        <v>2585</v>
      </c>
      <c r="AB420" s="337" t="s">
        <v>228</v>
      </c>
      <c r="AC420" s="237" t="s">
        <v>228</v>
      </c>
      <c r="AD420" s="562"/>
      <c r="AE420" s="555"/>
      <c r="AF420" s="237"/>
    </row>
    <row r="421" spans="1:32" ht="13.5" customHeight="1">
      <c r="A421" s="235">
        <v>419</v>
      </c>
      <c r="B421" s="237"/>
      <c r="C421" s="255" t="s">
        <v>2586</v>
      </c>
      <c r="D421" s="237" t="s">
        <v>2587</v>
      </c>
      <c r="E421" s="237">
        <v>61</v>
      </c>
      <c r="F421" s="237" t="s">
        <v>75</v>
      </c>
      <c r="G421" s="237" t="s">
        <v>2588</v>
      </c>
      <c r="H421" s="243" t="s">
        <v>188</v>
      </c>
      <c r="I421" s="243"/>
      <c r="K421" s="240"/>
      <c r="L421" s="243" t="s">
        <v>231</v>
      </c>
      <c r="M421" s="243" t="s">
        <v>231</v>
      </c>
      <c r="N421" s="237"/>
      <c r="O421" s="237"/>
      <c r="P421" s="237"/>
      <c r="Q421" s="245">
        <v>45713</v>
      </c>
      <c r="R421" s="237" t="s">
        <v>309</v>
      </c>
      <c r="S421" s="331" t="s">
        <v>233</v>
      </c>
      <c r="T421" s="237" t="s">
        <v>228</v>
      </c>
      <c r="U421" s="237" t="s">
        <v>234</v>
      </c>
      <c r="V421" s="237" t="s">
        <v>652</v>
      </c>
      <c r="W421" s="245">
        <v>45986</v>
      </c>
      <c r="X421" s="237">
        <v>0</v>
      </c>
      <c r="Y421" s="237">
        <v>0</v>
      </c>
      <c r="Z421" s="237" t="s">
        <v>228</v>
      </c>
      <c r="AA421" s="237" t="s">
        <v>2589</v>
      </c>
      <c r="AB421" s="337" t="s">
        <v>228</v>
      </c>
      <c r="AC421" s="237" t="s">
        <v>228</v>
      </c>
      <c r="AD421" s="562"/>
      <c r="AE421" s="555"/>
      <c r="AF421" s="237"/>
    </row>
    <row r="422" spans="1:32" ht="13.5" customHeight="1">
      <c r="A422" s="235">
        <v>420</v>
      </c>
      <c r="B422" s="237"/>
      <c r="C422" s="255" t="s">
        <v>2590</v>
      </c>
      <c r="D422" s="237" t="s">
        <v>2591</v>
      </c>
      <c r="E422" s="237">
        <v>68</v>
      </c>
      <c r="F422" s="237" t="s">
        <v>60</v>
      </c>
      <c r="G422" s="237" t="s">
        <v>2592</v>
      </c>
      <c r="H422" s="243" t="s">
        <v>188</v>
      </c>
      <c r="I422" s="243"/>
      <c r="K422" s="240"/>
      <c r="L422" s="243" t="s">
        <v>231</v>
      </c>
      <c r="M422" s="243" t="s">
        <v>231</v>
      </c>
      <c r="N422" s="237"/>
      <c r="O422" s="237"/>
      <c r="P422" s="237"/>
      <c r="Q422" s="245">
        <v>45713</v>
      </c>
      <c r="R422" s="237" t="s">
        <v>309</v>
      </c>
      <c r="S422" s="331" t="s">
        <v>233</v>
      </c>
      <c r="T422" s="237" t="s">
        <v>228</v>
      </c>
      <c r="U422" s="237" t="s">
        <v>234</v>
      </c>
      <c r="V422" s="237" t="s">
        <v>652</v>
      </c>
      <c r="W422" s="245">
        <v>45986</v>
      </c>
      <c r="X422" s="237">
        <v>0</v>
      </c>
      <c r="Y422" s="237">
        <v>0</v>
      </c>
      <c r="Z422" s="237" t="s">
        <v>228</v>
      </c>
      <c r="AA422" s="237" t="s">
        <v>2593</v>
      </c>
      <c r="AB422" s="337" t="s">
        <v>228</v>
      </c>
      <c r="AC422" s="237" t="s">
        <v>228</v>
      </c>
      <c r="AD422" s="562"/>
      <c r="AE422" s="555"/>
      <c r="AF422" s="237"/>
    </row>
    <row r="423" spans="1:32" ht="13.5" customHeight="1">
      <c r="A423" s="235">
        <v>421</v>
      </c>
      <c r="B423" s="237"/>
      <c r="C423" s="255" t="s">
        <v>2594</v>
      </c>
      <c r="D423" s="237" t="s">
        <v>2595</v>
      </c>
      <c r="E423" s="237">
        <v>24</v>
      </c>
      <c r="F423" s="237" t="s">
        <v>75</v>
      </c>
      <c r="G423" s="237" t="s">
        <v>2596</v>
      </c>
      <c r="H423" s="243" t="s">
        <v>188</v>
      </c>
      <c r="I423" s="243"/>
      <c r="K423" s="240"/>
      <c r="L423" s="243" t="s">
        <v>231</v>
      </c>
      <c r="M423" s="243" t="s">
        <v>231</v>
      </c>
      <c r="N423" s="237"/>
      <c r="O423" s="237"/>
      <c r="P423" s="237"/>
      <c r="Q423" s="245">
        <v>45715</v>
      </c>
      <c r="R423" s="237" t="s">
        <v>309</v>
      </c>
      <c r="S423" s="331" t="s">
        <v>233</v>
      </c>
      <c r="T423" s="237" t="s">
        <v>228</v>
      </c>
      <c r="U423" s="237" t="s">
        <v>234</v>
      </c>
      <c r="V423" s="237" t="s">
        <v>652</v>
      </c>
      <c r="W423" s="245">
        <v>45986</v>
      </c>
      <c r="X423" s="237">
        <v>0</v>
      </c>
      <c r="Y423" s="237">
        <v>0</v>
      </c>
      <c r="Z423" s="237" t="s">
        <v>228</v>
      </c>
      <c r="AA423" s="237" t="s">
        <v>2597</v>
      </c>
      <c r="AB423" s="337" t="s">
        <v>228</v>
      </c>
      <c r="AC423" s="237" t="s">
        <v>228</v>
      </c>
      <c r="AD423" s="562"/>
      <c r="AE423" s="555"/>
      <c r="AF423" s="237"/>
    </row>
    <row r="424" spans="1:32" ht="13.5" customHeight="1">
      <c r="A424" s="235">
        <v>422</v>
      </c>
      <c r="B424" s="237" t="s">
        <v>2598</v>
      </c>
      <c r="C424" s="255" t="s">
        <v>2599</v>
      </c>
      <c r="D424" s="237" t="s">
        <v>2600</v>
      </c>
      <c r="E424" s="237">
        <v>23</v>
      </c>
      <c r="F424" s="237" t="s">
        <v>60</v>
      </c>
      <c r="G424" s="237" t="s">
        <v>2601</v>
      </c>
      <c r="H424" s="243" t="s">
        <v>188</v>
      </c>
      <c r="I424" s="243"/>
      <c r="K424" s="240"/>
      <c r="L424" s="243" t="s">
        <v>231</v>
      </c>
      <c r="M424" s="246" t="s">
        <v>228</v>
      </c>
      <c r="N424" s="237"/>
      <c r="O424" s="237"/>
      <c r="P424" s="237"/>
      <c r="Q424" s="245">
        <v>45715</v>
      </c>
      <c r="R424" s="237" t="s">
        <v>309</v>
      </c>
      <c r="S424" s="331" t="s">
        <v>233</v>
      </c>
      <c r="T424" s="237" t="s">
        <v>228</v>
      </c>
      <c r="U424" s="237" t="s">
        <v>234</v>
      </c>
      <c r="V424" s="237" t="s">
        <v>652</v>
      </c>
      <c r="W424" s="245">
        <v>45986</v>
      </c>
      <c r="X424" s="237">
        <v>0</v>
      </c>
      <c r="Y424" s="237">
        <v>0</v>
      </c>
      <c r="Z424" s="237" t="s">
        <v>228</v>
      </c>
      <c r="AA424" s="237" t="s">
        <v>2602</v>
      </c>
      <c r="AB424" s="337" t="s">
        <v>228</v>
      </c>
      <c r="AC424" s="237" t="s">
        <v>228</v>
      </c>
      <c r="AD424" s="562"/>
      <c r="AE424" s="555"/>
      <c r="AF424" s="237"/>
    </row>
    <row r="425" spans="1:32" ht="13.5" customHeight="1">
      <c r="A425" s="235">
        <v>423</v>
      </c>
      <c r="B425" s="237"/>
      <c r="C425" s="255" t="s">
        <v>2603</v>
      </c>
      <c r="D425" s="237" t="s">
        <v>2604</v>
      </c>
      <c r="E425" s="237">
        <v>52</v>
      </c>
      <c r="F425" s="237" t="s">
        <v>75</v>
      </c>
      <c r="G425" s="237" t="s">
        <v>2605</v>
      </c>
      <c r="H425" s="243" t="s">
        <v>15</v>
      </c>
      <c r="I425" s="243"/>
      <c r="K425" s="240" t="s">
        <v>97</v>
      </c>
      <c r="L425" s="243" t="s">
        <v>1922</v>
      </c>
      <c r="M425" s="243" t="s">
        <v>231</v>
      </c>
      <c r="N425" s="237"/>
      <c r="O425" s="237"/>
      <c r="P425" s="237"/>
      <c r="Q425" s="245">
        <v>45720</v>
      </c>
      <c r="R425" s="237" t="s">
        <v>309</v>
      </c>
      <c r="S425" s="331" t="s">
        <v>233</v>
      </c>
      <c r="T425" s="237" t="s">
        <v>228</v>
      </c>
      <c r="U425" s="237" t="s">
        <v>234</v>
      </c>
      <c r="V425" s="237" t="s">
        <v>652</v>
      </c>
      <c r="W425" s="245">
        <v>45986</v>
      </c>
      <c r="X425" s="237">
        <v>0</v>
      </c>
      <c r="Y425" s="237">
        <v>0</v>
      </c>
      <c r="Z425" s="237" t="s">
        <v>228</v>
      </c>
      <c r="AA425" s="237" t="s">
        <v>2606</v>
      </c>
      <c r="AB425" s="337" t="s">
        <v>228</v>
      </c>
      <c r="AC425" s="237" t="s">
        <v>228</v>
      </c>
      <c r="AD425" s="562"/>
      <c r="AE425" s="555"/>
      <c r="AF425" s="237"/>
    </row>
    <row r="426" spans="1:32" ht="13.5" customHeight="1">
      <c r="A426" s="235">
        <v>424</v>
      </c>
      <c r="B426" s="237"/>
      <c r="C426" s="255" t="s">
        <v>2607</v>
      </c>
      <c r="D426" s="237" t="s">
        <v>2608</v>
      </c>
      <c r="E426" s="237">
        <v>38</v>
      </c>
      <c r="F426" s="237" t="s">
        <v>75</v>
      </c>
      <c r="G426" s="237" t="s">
        <v>2609</v>
      </c>
      <c r="H426" s="243" t="s">
        <v>188</v>
      </c>
      <c r="I426" s="243"/>
      <c r="K426" s="240"/>
      <c r="L426" s="243" t="s">
        <v>231</v>
      </c>
      <c r="M426" s="243" t="s">
        <v>231</v>
      </c>
      <c r="N426" s="237"/>
      <c r="O426" s="237"/>
      <c r="P426" s="237"/>
      <c r="Q426" s="245">
        <v>45777</v>
      </c>
      <c r="R426" s="237" t="s">
        <v>309</v>
      </c>
      <c r="S426" s="331" t="s">
        <v>233</v>
      </c>
      <c r="T426" s="237" t="s">
        <v>228</v>
      </c>
      <c r="U426" s="237" t="s">
        <v>234</v>
      </c>
      <c r="V426" s="237" t="s">
        <v>652</v>
      </c>
      <c r="W426" s="245">
        <v>45986</v>
      </c>
      <c r="X426" s="237">
        <v>0</v>
      </c>
      <c r="Y426" s="237">
        <v>0</v>
      </c>
      <c r="Z426" s="237" t="s">
        <v>228</v>
      </c>
      <c r="AA426" s="237" t="s">
        <v>2610</v>
      </c>
      <c r="AB426" s="337" t="s">
        <v>228</v>
      </c>
      <c r="AC426" s="237" t="s">
        <v>228</v>
      </c>
      <c r="AD426" s="562"/>
      <c r="AE426" s="555"/>
      <c r="AF426" s="237"/>
    </row>
    <row r="427" spans="1:32" ht="13.5" customHeight="1">
      <c r="A427" s="235">
        <v>425</v>
      </c>
      <c r="B427" s="237"/>
      <c r="C427" s="255" t="s">
        <v>2611</v>
      </c>
      <c r="D427" s="237" t="s">
        <v>2612</v>
      </c>
      <c r="E427" s="237">
        <v>50</v>
      </c>
      <c r="F427" s="237" t="s">
        <v>60</v>
      </c>
      <c r="G427" s="237" t="s">
        <v>2613</v>
      </c>
      <c r="H427" s="243" t="s">
        <v>188</v>
      </c>
      <c r="I427" s="243"/>
      <c r="K427" s="240"/>
      <c r="L427" s="243" t="s">
        <v>231</v>
      </c>
      <c r="M427" s="243" t="s">
        <v>231</v>
      </c>
      <c r="N427" s="237"/>
      <c r="O427" s="237"/>
      <c r="P427" s="237"/>
      <c r="Q427" s="245">
        <v>45777</v>
      </c>
      <c r="R427" s="237" t="s">
        <v>309</v>
      </c>
      <c r="S427" s="331" t="s">
        <v>233</v>
      </c>
      <c r="T427" s="237" t="s">
        <v>228</v>
      </c>
      <c r="U427" s="237" t="s">
        <v>234</v>
      </c>
      <c r="V427" s="237" t="s">
        <v>652</v>
      </c>
      <c r="W427" s="245">
        <v>45986</v>
      </c>
      <c r="X427" s="237">
        <v>0</v>
      </c>
      <c r="Y427" s="237">
        <v>0</v>
      </c>
      <c r="Z427" s="237" t="s">
        <v>228</v>
      </c>
      <c r="AA427" s="237" t="s">
        <v>2614</v>
      </c>
      <c r="AB427" s="337" t="s">
        <v>228</v>
      </c>
      <c r="AC427" s="237" t="s">
        <v>228</v>
      </c>
      <c r="AD427" s="562"/>
      <c r="AE427" s="555"/>
      <c r="AF427" s="237"/>
    </row>
    <row r="428" spans="1:32" ht="13.5" customHeight="1">
      <c r="A428" s="235">
        <v>426</v>
      </c>
      <c r="B428" s="237"/>
      <c r="C428" s="255" t="s">
        <v>2615</v>
      </c>
      <c r="D428" s="237" t="s">
        <v>2616</v>
      </c>
      <c r="E428" s="237">
        <v>21</v>
      </c>
      <c r="F428" s="237" t="s">
        <v>75</v>
      </c>
      <c r="G428" s="237" t="s">
        <v>2617</v>
      </c>
      <c r="H428" s="243" t="s">
        <v>188</v>
      </c>
      <c r="I428" s="243"/>
      <c r="K428" s="240"/>
      <c r="L428" s="243" t="s">
        <v>231</v>
      </c>
      <c r="M428" s="243" t="s">
        <v>231</v>
      </c>
      <c r="N428" s="237"/>
      <c r="O428" s="237"/>
      <c r="P428" s="237"/>
      <c r="Q428" s="245">
        <v>45779</v>
      </c>
      <c r="R428" s="237" t="s">
        <v>309</v>
      </c>
      <c r="S428" s="331" t="s">
        <v>233</v>
      </c>
      <c r="T428" s="237" t="s">
        <v>228</v>
      </c>
      <c r="U428" s="237" t="s">
        <v>234</v>
      </c>
      <c r="V428" s="237" t="s">
        <v>652</v>
      </c>
      <c r="W428" s="245">
        <v>45986</v>
      </c>
      <c r="X428" s="237">
        <v>0</v>
      </c>
      <c r="Y428" s="237">
        <v>0</v>
      </c>
      <c r="Z428" s="237" t="s">
        <v>228</v>
      </c>
      <c r="AA428" s="237" t="s">
        <v>2618</v>
      </c>
      <c r="AB428" s="337" t="s">
        <v>228</v>
      </c>
      <c r="AC428" s="237" t="s">
        <v>228</v>
      </c>
      <c r="AD428" s="562"/>
      <c r="AE428" s="555"/>
      <c r="AF428" s="237"/>
    </row>
    <row r="429" spans="1:32" ht="13.5" customHeight="1">
      <c r="A429" s="235">
        <v>427</v>
      </c>
      <c r="B429" s="237"/>
      <c r="C429" s="255" t="s">
        <v>2619</v>
      </c>
      <c r="D429" s="237" t="s">
        <v>2620</v>
      </c>
      <c r="E429" s="237">
        <v>46</v>
      </c>
      <c r="F429" s="237" t="s">
        <v>75</v>
      </c>
      <c r="G429" s="237" t="s">
        <v>2621</v>
      </c>
      <c r="H429" s="243" t="s">
        <v>188</v>
      </c>
      <c r="I429" s="243"/>
      <c r="K429" s="240"/>
      <c r="L429" s="243" t="s">
        <v>231</v>
      </c>
      <c r="M429" s="243" t="s">
        <v>231</v>
      </c>
      <c r="N429" s="237"/>
      <c r="O429" s="237"/>
      <c r="P429" s="237"/>
      <c r="Q429" s="245">
        <v>45779</v>
      </c>
      <c r="R429" s="237" t="s">
        <v>309</v>
      </c>
      <c r="S429" s="331" t="s">
        <v>233</v>
      </c>
      <c r="T429" s="237" t="s">
        <v>228</v>
      </c>
      <c r="U429" s="237" t="s">
        <v>234</v>
      </c>
      <c r="V429" s="237" t="s">
        <v>652</v>
      </c>
      <c r="W429" s="245">
        <v>45986</v>
      </c>
      <c r="X429" s="237">
        <v>0</v>
      </c>
      <c r="Y429" s="237">
        <v>0</v>
      </c>
      <c r="Z429" s="237" t="s">
        <v>228</v>
      </c>
      <c r="AA429" s="237" t="s">
        <v>2622</v>
      </c>
      <c r="AB429" s="337" t="s">
        <v>228</v>
      </c>
      <c r="AC429" s="237" t="s">
        <v>228</v>
      </c>
      <c r="AD429" s="562"/>
      <c r="AE429" s="555"/>
      <c r="AF429" s="237"/>
    </row>
    <row r="430" spans="1:32" ht="13.5" customHeight="1">
      <c r="A430" s="235">
        <v>428</v>
      </c>
      <c r="B430" s="237"/>
      <c r="C430" s="255" t="s">
        <v>2623</v>
      </c>
      <c r="D430" s="237" t="s">
        <v>2624</v>
      </c>
      <c r="E430" s="237">
        <v>47</v>
      </c>
      <c r="F430" s="237" t="s">
        <v>75</v>
      </c>
      <c r="G430" s="237" t="s">
        <v>2625</v>
      </c>
      <c r="H430" s="243" t="s">
        <v>188</v>
      </c>
      <c r="I430" s="243"/>
      <c r="K430" s="240"/>
      <c r="L430" s="243" t="s">
        <v>231</v>
      </c>
      <c r="M430" s="243" t="s">
        <v>231</v>
      </c>
      <c r="N430" s="237"/>
      <c r="O430" s="237"/>
      <c r="P430" s="237"/>
      <c r="Q430" s="245">
        <v>45782</v>
      </c>
      <c r="R430" s="237" t="s">
        <v>309</v>
      </c>
      <c r="S430" s="331" t="s">
        <v>233</v>
      </c>
      <c r="T430" s="237" t="s">
        <v>228</v>
      </c>
      <c r="U430" s="237" t="s">
        <v>234</v>
      </c>
      <c r="V430" s="237" t="s">
        <v>652</v>
      </c>
      <c r="W430" s="245">
        <v>45986</v>
      </c>
      <c r="X430" s="237">
        <v>0</v>
      </c>
      <c r="Y430" s="237">
        <v>0</v>
      </c>
      <c r="Z430" s="237" t="s">
        <v>228</v>
      </c>
      <c r="AA430" s="237" t="s">
        <v>2626</v>
      </c>
      <c r="AB430" s="337" t="s">
        <v>228</v>
      </c>
      <c r="AC430" s="237" t="s">
        <v>228</v>
      </c>
      <c r="AD430" s="562"/>
      <c r="AE430" s="555"/>
      <c r="AF430" s="237"/>
    </row>
    <row r="431" spans="1:32" ht="13.5" customHeight="1">
      <c r="A431" s="235">
        <v>429</v>
      </c>
      <c r="B431" s="237"/>
      <c r="C431" s="255" t="s">
        <v>2627</v>
      </c>
      <c r="D431" s="237" t="s">
        <v>2628</v>
      </c>
      <c r="E431" s="237">
        <v>43</v>
      </c>
      <c r="F431" s="237" t="s">
        <v>60</v>
      </c>
      <c r="G431" s="237" t="s">
        <v>2629</v>
      </c>
      <c r="H431" s="243" t="s">
        <v>188</v>
      </c>
      <c r="I431" s="243"/>
      <c r="K431" s="240"/>
      <c r="L431" s="243" t="s">
        <v>231</v>
      </c>
      <c r="M431" s="243" t="s">
        <v>231</v>
      </c>
      <c r="N431" s="237"/>
      <c r="O431" s="237"/>
      <c r="P431" s="237"/>
      <c r="Q431" s="245">
        <v>45790</v>
      </c>
      <c r="R431" s="237" t="s">
        <v>309</v>
      </c>
      <c r="S431" s="331" t="s">
        <v>233</v>
      </c>
      <c r="T431" s="237" t="s">
        <v>228</v>
      </c>
      <c r="U431" s="237" t="s">
        <v>234</v>
      </c>
      <c r="V431" s="237" t="s">
        <v>652</v>
      </c>
      <c r="W431" s="245">
        <v>45986</v>
      </c>
      <c r="X431" s="237">
        <v>0</v>
      </c>
      <c r="Y431" s="237">
        <v>0</v>
      </c>
      <c r="Z431" s="237" t="s">
        <v>228</v>
      </c>
      <c r="AA431" s="237" t="s">
        <v>2630</v>
      </c>
      <c r="AB431" s="337" t="s">
        <v>228</v>
      </c>
      <c r="AC431" s="237" t="s">
        <v>228</v>
      </c>
      <c r="AD431" s="562"/>
      <c r="AE431" s="555"/>
      <c r="AF431" s="237"/>
    </row>
    <row r="432" spans="1:32" ht="13.5" customHeight="1">
      <c r="A432" s="235">
        <v>430</v>
      </c>
      <c r="B432" s="237"/>
      <c r="C432" s="255" t="s">
        <v>2631</v>
      </c>
      <c r="D432" s="237" t="s">
        <v>2632</v>
      </c>
      <c r="E432" s="237">
        <v>45</v>
      </c>
      <c r="F432" s="237" t="s">
        <v>75</v>
      </c>
      <c r="G432" s="237" t="s">
        <v>2633</v>
      </c>
      <c r="H432" s="243" t="s">
        <v>188</v>
      </c>
      <c r="I432" s="243"/>
      <c r="K432" s="240"/>
      <c r="L432" s="243" t="s">
        <v>231</v>
      </c>
      <c r="M432" s="243" t="s">
        <v>231</v>
      </c>
      <c r="N432" s="237"/>
      <c r="O432" s="237"/>
      <c r="P432" s="237"/>
      <c r="Q432" s="245">
        <v>45790</v>
      </c>
      <c r="R432" s="237" t="s">
        <v>309</v>
      </c>
      <c r="S432" s="331" t="s">
        <v>233</v>
      </c>
      <c r="T432" s="237" t="s">
        <v>228</v>
      </c>
      <c r="U432" s="237" t="s">
        <v>234</v>
      </c>
      <c r="V432" s="237" t="s">
        <v>652</v>
      </c>
      <c r="W432" s="245">
        <v>45986</v>
      </c>
      <c r="X432" s="237">
        <v>0</v>
      </c>
      <c r="Y432" s="237">
        <v>0</v>
      </c>
      <c r="Z432" s="237" t="s">
        <v>228</v>
      </c>
      <c r="AA432" s="237" t="s">
        <v>2634</v>
      </c>
      <c r="AB432" s="337" t="s">
        <v>228</v>
      </c>
      <c r="AC432" s="237" t="s">
        <v>228</v>
      </c>
      <c r="AD432" s="562"/>
      <c r="AE432" s="555"/>
      <c r="AF432" s="237"/>
    </row>
    <row r="433" spans="1:32" ht="13.5" customHeight="1">
      <c r="A433" s="235">
        <v>431</v>
      </c>
      <c r="B433" s="237"/>
      <c r="C433" s="255" t="s">
        <v>2635</v>
      </c>
      <c r="D433" s="237" t="s">
        <v>2636</v>
      </c>
      <c r="E433" s="237">
        <v>36</v>
      </c>
      <c r="F433" s="237" t="s">
        <v>75</v>
      </c>
      <c r="G433" s="237" t="s">
        <v>2637</v>
      </c>
      <c r="H433" s="243" t="s">
        <v>188</v>
      </c>
      <c r="I433" s="243"/>
      <c r="K433" s="240"/>
      <c r="L433" s="243" t="s">
        <v>231</v>
      </c>
      <c r="M433" s="243" t="s">
        <v>231</v>
      </c>
      <c r="N433" s="237"/>
      <c r="O433" s="237"/>
      <c r="P433" s="237"/>
      <c r="Q433" s="245">
        <v>45794</v>
      </c>
      <c r="R433" s="237" t="s">
        <v>309</v>
      </c>
      <c r="S433" s="331" t="s">
        <v>233</v>
      </c>
      <c r="T433" s="237" t="s">
        <v>228</v>
      </c>
      <c r="U433" s="237" t="s">
        <v>234</v>
      </c>
      <c r="V433" s="237" t="s">
        <v>652</v>
      </c>
      <c r="W433" s="245">
        <v>45986</v>
      </c>
      <c r="X433" s="237">
        <v>0</v>
      </c>
      <c r="Y433" s="237">
        <v>0</v>
      </c>
      <c r="Z433" s="237" t="s">
        <v>228</v>
      </c>
      <c r="AA433" s="237" t="s">
        <v>2638</v>
      </c>
      <c r="AB433" s="337" t="s">
        <v>228</v>
      </c>
      <c r="AC433" s="237" t="s">
        <v>228</v>
      </c>
      <c r="AD433" s="562"/>
      <c r="AE433" s="555"/>
      <c r="AF433" s="237"/>
    </row>
    <row r="434" spans="1:32" ht="13.5" customHeight="1">
      <c r="A434" s="235">
        <v>432</v>
      </c>
      <c r="B434" s="237" t="s">
        <v>2639</v>
      </c>
      <c r="C434" s="255" t="s">
        <v>2640</v>
      </c>
      <c r="D434" s="237" t="s">
        <v>2641</v>
      </c>
      <c r="E434" s="237">
        <v>29</v>
      </c>
      <c r="F434" s="237" t="s">
        <v>75</v>
      </c>
      <c r="G434" s="237" t="s">
        <v>2642</v>
      </c>
      <c r="H434" s="243" t="s">
        <v>188</v>
      </c>
      <c r="I434" s="243"/>
      <c r="K434" s="240"/>
      <c r="L434" s="243" t="s">
        <v>231</v>
      </c>
      <c r="M434" s="246" t="s">
        <v>228</v>
      </c>
      <c r="N434" s="237"/>
      <c r="O434" s="237"/>
      <c r="P434" s="237"/>
      <c r="Q434" s="245">
        <v>45794</v>
      </c>
      <c r="R434" s="237" t="s">
        <v>309</v>
      </c>
      <c r="S434" s="331" t="s">
        <v>233</v>
      </c>
      <c r="T434" s="237" t="s">
        <v>228</v>
      </c>
      <c r="U434" s="237" t="s">
        <v>234</v>
      </c>
      <c r="V434" s="237" t="s">
        <v>652</v>
      </c>
      <c r="W434" s="245">
        <v>45986</v>
      </c>
      <c r="X434" s="237">
        <v>0</v>
      </c>
      <c r="Y434" s="237">
        <v>0</v>
      </c>
      <c r="Z434" s="237" t="s">
        <v>228</v>
      </c>
      <c r="AA434" s="237" t="s">
        <v>2643</v>
      </c>
      <c r="AB434" s="337" t="s">
        <v>228</v>
      </c>
      <c r="AC434" s="237" t="s">
        <v>228</v>
      </c>
      <c r="AD434" s="562"/>
      <c r="AE434" s="555"/>
      <c r="AF434" s="237"/>
    </row>
    <row r="435" spans="1:32" ht="13.5" customHeight="1">
      <c r="A435" s="235">
        <v>433</v>
      </c>
      <c r="B435" s="237"/>
      <c r="C435" s="255" t="s">
        <v>2644</v>
      </c>
      <c r="D435" s="237" t="s">
        <v>2645</v>
      </c>
      <c r="E435" s="237">
        <v>31</v>
      </c>
      <c r="F435" s="237" t="s">
        <v>75</v>
      </c>
      <c r="G435" s="237" t="s">
        <v>2646</v>
      </c>
      <c r="H435" s="243" t="s">
        <v>188</v>
      </c>
      <c r="I435" s="243"/>
      <c r="K435" s="240"/>
      <c r="L435" s="243" t="s">
        <v>231</v>
      </c>
      <c r="M435" s="243" t="s">
        <v>231</v>
      </c>
      <c r="N435" s="237"/>
      <c r="O435" s="237"/>
      <c r="P435" s="237"/>
      <c r="Q435" s="245">
        <v>45794</v>
      </c>
      <c r="R435" s="237" t="s">
        <v>309</v>
      </c>
      <c r="S435" s="331" t="s">
        <v>233</v>
      </c>
      <c r="T435" s="237" t="s">
        <v>228</v>
      </c>
      <c r="U435" s="237" t="s">
        <v>234</v>
      </c>
      <c r="V435" s="237" t="s">
        <v>652</v>
      </c>
      <c r="W435" s="245">
        <v>45986</v>
      </c>
      <c r="X435" s="237">
        <v>0</v>
      </c>
      <c r="Y435" s="237">
        <v>0</v>
      </c>
      <c r="Z435" s="237" t="s">
        <v>228</v>
      </c>
      <c r="AA435" s="237" t="s">
        <v>2647</v>
      </c>
      <c r="AB435" s="337" t="s">
        <v>228</v>
      </c>
      <c r="AC435" s="237" t="s">
        <v>228</v>
      </c>
      <c r="AD435" s="562"/>
      <c r="AE435" s="555"/>
      <c r="AF435" s="237"/>
    </row>
    <row r="436" spans="1:32" ht="13.5" customHeight="1">
      <c r="A436" s="235">
        <v>434</v>
      </c>
      <c r="B436" s="237"/>
      <c r="C436" s="255" t="s">
        <v>2648</v>
      </c>
      <c r="D436" s="237" t="s">
        <v>2649</v>
      </c>
      <c r="E436" s="237">
        <v>54</v>
      </c>
      <c r="F436" s="237" t="s">
        <v>75</v>
      </c>
      <c r="G436" s="237" t="s">
        <v>2650</v>
      </c>
      <c r="H436" s="243" t="s">
        <v>188</v>
      </c>
      <c r="I436" s="243"/>
      <c r="K436" s="240"/>
      <c r="L436" s="243" t="s">
        <v>231</v>
      </c>
      <c r="M436" s="243" t="s">
        <v>231</v>
      </c>
      <c r="N436" s="237"/>
      <c r="O436" s="237"/>
      <c r="P436" s="237"/>
      <c r="Q436" s="245">
        <v>45794</v>
      </c>
      <c r="R436" s="237" t="s">
        <v>309</v>
      </c>
      <c r="S436" s="331" t="s">
        <v>233</v>
      </c>
      <c r="T436" s="237" t="s">
        <v>228</v>
      </c>
      <c r="U436" s="237" t="s">
        <v>234</v>
      </c>
      <c r="V436" s="237" t="s">
        <v>652</v>
      </c>
      <c r="W436" s="245">
        <v>45986</v>
      </c>
      <c r="X436" s="237">
        <v>0</v>
      </c>
      <c r="Y436" s="237">
        <v>0</v>
      </c>
      <c r="Z436" s="237" t="s">
        <v>228</v>
      </c>
      <c r="AA436" s="237" t="s">
        <v>2651</v>
      </c>
      <c r="AB436" s="337" t="s">
        <v>228</v>
      </c>
      <c r="AC436" s="237" t="s">
        <v>228</v>
      </c>
      <c r="AD436" s="562"/>
      <c r="AE436" s="555"/>
      <c r="AF436" s="237"/>
    </row>
    <row r="437" spans="1:32" ht="13.5" customHeight="1">
      <c r="A437" s="235">
        <v>435</v>
      </c>
      <c r="B437" s="237"/>
      <c r="C437" s="255" t="s">
        <v>2652</v>
      </c>
      <c r="D437" s="237" t="s">
        <v>2653</v>
      </c>
      <c r="E437" s="237">
        <v>35</v>
      </c>
      <c r="F437" s="237" t="s">
        <v>75</v>
      </c>
      <c r="G437" s="237" t="s">
        <v>2654</v>
      </c>
      <c r="H437" s="243" t="s">
        <v>188</v>
      </c>
      <c r="I437" s="243"/>
      <c r="K437" s="240"/>
      <c r="L437" s="243" t="s">
        <v>231</v>
      </c>
      <c r="M437" s="243" t="s">
        <v>231</v>
      </c>
      <c r="N437" s="237"/>
      <c r="O437" s="237"/>
      <c r="P437" s="237"/>
      <c r="Q437" s="245">
        <v>45794</v>
      </c>
      <c r="R437" s="237" t="s">
        <v>309</v>
      </c>
      <c r="S437" s="331" t="s">
        <v>233</v>
      </c>
      <c r="T437" s="237" t="s">
        <v>228</v>
      </c>
      <c r="U437" s="237" t="s">
        <v>234</v>
      </c>
      <c r="V437" s="237" t="s">
        <v>652</v>
      </c>
      <c r="W437" s="245">
        <v>45986</v>
      </c>
      <c r="X437" s="237">
        <v>0</v>
      </c>
      <c r="Y437" s="237">
        <v>0</v>
      </c>
      <c r="Z437" s="237" t="s">
        <v>228</v>
      </c>
      <c r="AA437" s="237" t="s">
        <v>2655</v>
      </c>
      <c r="AB437" s="337" t="s">
        <v>228</v>
      </c>
      <c r="AC437" s="237" t="s">
        <v>228</v>
      </c>
      <c r="AD437" s="562"/>
      <c r="AE437" s="555"/>
      <c r="AF437" s="237"/>
    </row>
    <row r="438" spans="1:32" ht="13.5" customHeight="1">
      <c r="A438" s="235">
        <v>436</v>
      </c>
      <c r="B438" s="237"/>
      <c r="C438" s="255" t="s">
        <v>2656</v>
      </c>
      <c r="D438" s="237" t="s">
        <v>2657</v>
      </c>
      <c r="E438" s="237">
        <v>66</v>
      </c>
      <c r="F438" s="237" t="s">
        <v>60</v>
      </c>
      <c r="G438" s="237" t="s">
        <v>2658</v>
      </c>
      <c r="H438" s="243" t="s">
        <v>188</v>
      </c>
      <c r="I438" s="243"/>
      <c r="K438" s="240"/>
      <c r="L438" s="243" t="s">
        <v>231</v>
      </c>
      <c r="M438" s="243" t="s">
        <v>231</v>
      </c>
      <c r="N438" s="237"/>
      <c r="O438" s="237"/>
      <c r="P438" s="237"/>
      <c r="Q438" s="245">
        <v>45794</v>
      </c>
      <c r="R438" s="237" t="s">
        <v>309</v>
      </c>
      <c r="S438" s="331" t="s">
        <v>233</v>
      </c>
      <c r="T438" s="237" t="s">
        <v>228</v>
      </c>
      <c r="U438" s="237" t="s">
        <v>234</v>
      </c>
      <c r="V438" s="237" t="s">
        <v>652</v>
      </c>
      <c r="W438" s="245">
        <v>45986</v>
      </c>
      <c r="X438" s="237">
        <v>0</v>
      </c>
      <c r="Y438" s="237">
        <v>0</v>
      </c>
      <c r="Z438" s="237" t="s">
        <v>228</v>
      </c>
      <c r="AA438" s="237" t="s">
        <v>2659</v>
      </c>
      <c r="AB438" s="337" t="s">
        <v>228</v>
      </c>
      <c r="AC438" s="237" t="s">
        <v>228</v>
      </c>
      <c r="AD438" s="562"/>
      <c r="AE438" s="555"/>
      <c r="AF438" s="237"/>
    </row>
    <row r="439" spans="1:32" ht="13.5" customHeight="1">
      <c r="A439" s="235">
        <v>437</v>
      </c>
      <c r="B439" s="237"/>
      <c r="C439" s="255" t="s">
        <v>2660</v>
      </c>
      <c r="D439" s="237" t="s">
        <v>2661</v>
      </c>
      <c r="E439" s="237">
        <v>64</v>
      </c>
      <c r="F439" s="237" t="s">
        <v>75</v>
      </c>
      <c r="G439" s="237" t="s">
        <v>2662</v>
      </c>
      <c r="H439" s="243" t="s">
        <v>188</v>
      </c>
      <c r="I439" s="243"/>
      <c r="K439" s="240"/>
      <c r="L439" s="243" t="s">
        <v>231</v>
      </c>
      <c r="M439" s="243" t="s">
        <v>231</v>
      </c>
      <c r="N439" s="237"/>
      <c r="O439" s="237"/>
      <c r="P439" s="237"/>
      <c r="Q439" s="245">
        <v>45794</v>
      </c>
      <c r="R439" s="237" t="s">
        <v>309</v>
      </c>
      <c r="S439" s="331" t="s">
        <v>233</v>
      </c>
      <c r="T439" s="237" t="s">
        <v>228</v>
      </c>
      <c r="U439" s="237" t="s">
        <v>234</v>
      </c>
      <c r="V439" s="237" t="s">
        <v>652</v>
      </c>
      <c r="W439" s="245">
        <v>45986</v>
      </c>
      <c r="X439" s="237">
        <v>0</v>
      </c>
      <c r="Y439" s="237">
        <v>0</v>
      </c>
      <c r="Z439" s="237" t="s">
        <v>228</v>
      </c>
      <c r="AA439" s="237" t="s">
        <v>2663</v>
      </c>
      <c r="AB439" s="337" t="s">
        <v>228</v>
      </c>
      <c r="AC439" s="237" t="s">
        <v>228</v>
      </c>
      <c r="AD439" s="562"/>
      <c r="AE439" s="555"/>
      <c r="AF439" s="237"/>
    </row>
    <row r="440" spans="1:32" ht="13.5" customHeight="1">
      <c r="A440" s="235">
        <v>438</v>
      </c>
      <c r="B440" s="237"/>
      <c r="C440" s="255" t="s">
        <v>2664</v>
      </c>
      <c r="D440" s="237" t="s">
        <v>2665</v>
      </c>
      <c r="E440" s="237">
        <v>29</v>
      </c>
      <c r="F440" s="237" t="s">
        <v>60</v>
      </c>
      <c r="G440" s="237" t="s">
        <v>2666</v>
      </c>
      <c r="H440" s="243" t="s">
        <v>27</v>
      </c>
      <c r="I440" s="243"/>
      <c r="J440" s="235" t="s">
        <v>433</v>
      </c>
      <c r="K440" s="240"/>
      <c r="L440" s="243" t="s">
        <v>231</v>
      </c>
      <c r="M440" s="243" t="s">
        <v>231</v>
      </c>
      <c r="N440" s="237"/>
      <c r="O440" s="237"/>
      <c r="P440" s="237"/>
      <c r="Q440" s="245">
        <v>45876</v>
      </c>
      <c r="R440" s="237" t="s">
        <v>309</v>
      </c>
      <c r="S440" s="331" t="s">
        <v>233</v>
      </c>
      <c r="T440" s="237" t="s">
        <v>228</v>
      </c>
      <c r="U440" s="237" t="s">
        <v>234</v>
      </c>
      <c r="V440" s="237" t="s">
        <v>652</v>
      </c>
      <c r="W440" s="245">
        <v>45986</v>
      </c>
      <c r="X440" s="237">
        <v>0</v>
      </c>
      <c r="Y440" s="237">
        <v>0</v>
      </c>
      <c r="Z440" s="237" t="s">
        <v>228</v>
      </c>
      <c r="AA440" s="237" t="s">
        <v>2667</v>
      </c>
      <c r="AB440" s="337" t="s">
        <v>228</v>
      </c>
      <c r="AC440" s="237" t="s">
        <v>228</v>
      </c>
      <c r="AD440" s="562"/>
      <c r="AE440" s="555"/>
      <c r="AF440" s="237"/>
    </row>
    <row r="441" spans="1:32" ht="13.5" customHeight="1">
      <c r="A441" s="235">
        <v>439</v>
      </c>
      <c r="B441" s="237"/>
      <c r="C441" s="255" t="s">
        <v>2668</v>
      </c>
      <c r="D441" s="237" t="s">
        <v>2669</v>
      </c>
      <c r="E441" s="237">
        <v>43</v>
      </c>
      <c r="F441" s="237" t="s">
        <v>75</v>
      </c>
      <c r="G441" s="237" t="s">
        <v>2670</v>
      </c>
      <c r="H441" s="243" t="s">
        <v>15</v>
      </c>
      <c r="I441" s="243"/>
      <c r="K441" s="240" t="s">
        <v>154</v>
      </c>
      <c r="L441" s="243" t="s">
        <v>87</v>
      </c>
      <c r="M441" s="246" t="s">
        <v>228</v>
      </c>
      <c r="N441" s="237"/>
      <c r="O441" s="237"/>
      <c r="P441" s="237"/>
      <c r="Q441" s="245">
        <v>45878</v>
      </c>
      <c r="R441" s="237" t="s">
        <v>309</v>
      </c>
      <c r="S441" s="331" t="s">
        <v>233</v>
      </c>
      <c r="T441" s="237" t="s">
        <v>228</v>
      </c>
      <c r="U441" s="237" t="s">
        <v>234</v>
      </c>
      <c r="V441" s="237" t="s">
        <v>652</v>
      </c>
      <c r="W441" s="245">
        <v>45986</v>
      </c>
      <c r="X441" s="237">
        <v>0</v>
      </c>
      <c r="Y441" s="237">
        <v>0</v>
      </c>
      <c r="Z441" s="237" t="s">
        <v>228</v>
      </c>
      <c r="AA441" s="237" t="s">
        <v>2671</v>
      </c>
      <c r="AB441" s="337" t="s">
        <v>237</v>
      </c>
      <c r="AC441" s="102" t="s">
        <v>353</v>
      </c>
      <c r="AD441" s="562" t="s">
        <v>2672</v>
      </c>
      <c r="AE441" s="550" t="s">
        <v>2673</v>
      </c>
      <c r="AF441" s="237"/>
    </row>
    <row r="442" spans="1:32" ht="13.5" customHeight="1">
      <c r="A442" s="235">
        <v>440</v>
      </c>
      <c r="B442" s="237"/>
      <c r="C442" s="255" t="s">
        <v>2674</v>
      </c>
      <c r="D442" s="237" t="s">
        <v>2675</v>
      </c>
      <c r="E442" s="237">
        <v>41</v>
      </c>
      <c r="F442" s="237" t="s">
        <v>75</v>
      </c>
      <c r="G442" s="237" t="s">
        <v>2676</v>
      </c>
      <c r="H442" s="243" t="s">
        <v>27</v>
      </c>
      <c r="I442" s="243"/>
      <c r="J442" s="235" t="s">
        <v>433</v>
      </c>
      <c r="K442" s="240"/>
      <c r="L442" s="243" t="s">
        <v>231</v>
      </c>
      <c r="M442" s="243" t="s">
        <v>528</v>
      </c>
      <c r="N442" s="237"/>
      <c r="O442" s="237"/>
      <c r="P442" s="237"/>
      <c r="Q442" s="245">
        <v>45880</v>
      </c>
      <c r="R442" s="237" t="s">
        <v>309</v>
      </c>
      <c r="S442" s="331" t="s">
        <v>233</v>
      </c>
      <c r="T442" s="237" t="s">
        <v>228</v>
      </c>
      <c r="U442" s="237" t="s">
        <v>234</v>
      </c>
      <c r="V442" s="237" t="s">
        <v>652</v>
      </c>
      <c r="W442" s="245">
        <v>45986</v>
      </c>
      <c r="X442" s="237">
        <v>0</v>
      </c>
      <c r="Y442" s="237">
        <v>0</v>
      </c>
      <c r="Z442" s="237" t="s">
        <v>228</v>
      </c>
      <c r="AA442" s="237" t="s">
        <v>2677</v>
      </c>
      <c r="AB442" s="337" t="s">
        <v>228</v>
      </c>
      <c r="AC442" s="237" t="s">
        <v>228</v>
      </c>
      <c r="AD442" s="562"/>
      <c r="AE442" s="555"/>
      <c r="AF442" s="237"/>
    </row>
    <row r="443" spans="1:32" ht="13.5" customHeight="1">
      <c r="A443" s="235">
        <v>441</v>
      </c>
      <c r="B443" s="237"/>
      <c r="C443" s="255" t="s">
        <v>2678</v>
      </c>
      <c r="D443" s="237" t="s">
        <v>2679</v>
      </c>
      <c r="E443" s="237">
        <v>28</v>
      </c>
      <c r="F443" s="237" t="s">
        <v>75</v>
      </c>
      <c r="G443" s="237" t="s">
        <v>2680</v>
      </c>
      <c r="H443" s="243" t="s">
        <v>27</v>
      </c>
      <c r="I443" s="243"/>
      <c r="J443" s="235" t="s">
        <v>433</v>
      </c>
      <c r="K443" s="240"/>
      <c r="L443" s="243" t="s">
        <v>231</v>
      </c>
      <c r="M443" s="243" t="s">
        <v>2681</v>
      </c>
      <c r="N443" s="237"/>
      <c r="O443" s="237"/>
      <c r="P443" s="237"/>
      <c r="Q443" s="245">
        <v>45881</v>
      </c>
      <c r="R443" s="237" t="s">
        <v>309</v>
      </c>
      <c r="S443" s="331" t="s">
        <v>233</v>
      </c>
      <c r="T443" s="237" t="s">
        <v>228</v>
      </c>
      <c r="U443" s="237" t="s">
        <v>234</v>
      </c>
      <c r="V443" s="237" t="s">
        <v>652</v>
      </c>
      <c r="W443" s="245">
        <v>45986</v>
      </c>
      <c r="X443" s="237">
        <v>0</v>
      </c>
      <c r="Y443" s="237">
        <v>0</v>
      </c>
      <c r="Z443" s="237" t="s">
        <v>228</v>
      </c>
      <c r="AA443" s="237" t="s">
        <v>2682</v>
      </c>
      <c r="AB443" s="337" t="s">
        <v>228</v>
      </c>
      <c r="AC443" s="237" t="s">
        <v>228</v>
      </c>
      <c r="AD443" s="562"/>
      <c r="AE443" s="555"/>
      <c r="AF443" s="237"/>
    </row>
    <row r="444" spans="1:32" ht="13.5" customHeight="1">
      <c r="A444" s="235">
        <v>442</v>
      </c>
      <c r="B444" s="237"/>
      <c r="C444" s="255" t="s">
        <v>2683</v>
      </c>
      <c r="D444" s="237" t="s">
        <v>2684</v>
      </c>
      <c r="E444" s="237">
        <v>80</v>
      </c>
      <c r="F444" s="237" t="s">
        <v>60</v>
      </c>
      <c r="G444" s="237" t="s">
        <v>2685</v>
      </c>
      <c r="H444" s="243" t="s">
        <v>27</v>
      </c>
      <c r="I444" s="243"/>
      <c r="J444" s="235" t="s">
        <v>433</v>
      </c>
      <c r="K444" s="240"/>
      <c r="L444" s="243" t="s">
        <v>231</v>
      </c>
      <c r="M444" s="243" t="s">
        <v>1110</v>
      </c>
      <c r="N444" s="237"/>
      <c r="O444" s="237"/>
      <c r="P444" s="237"/>
      <c r="Q444" s="245">
        <v>45882</v>
      </c>
      <c r="R444" s="237" t="s">
        <v>309</v>
      </c>
      <c r="S444" s="331" t="s">
        <v>233</v>
      </c>
      <c r="T444" s="237" t="s">
        <v>228</v>
      </c>
      <c r="U444" s="237" t="s">
        <v>234</v>
      </c>
      <c r="V444" s="237" t="s">
        <v>652</v>
      </c>
      <c r="W444" s="245">
        <v>45986</v>
      </c>
      <c r="X444" s="237">
        <v>0</v>
      </c>
      <c r="Y444" s="237">
        <v>0</v>
      </c>
      <c r="Z444" s="237" t="s">
        <v>228</v>
      </c>
      <c r="AA444" s="237" t="s">
        <v>2686</v>
      </c>
      <c r="AB444" s="337" t="s">
        <v>228</v>
      </c>
      <c r="AC444" s="237" t="s">
        <v>228</v>
      </c>
      <c r="AD444" s="562"/>
      <c r="AE444" s="555"/>
      <c r="AF444" s="237"/>
    </row>
    <row r="445" spans="1:32" ht="13.5" customHeight="1">
      <c r="A445" s="235">
        <v>443</v>
      </c>
      <c r="B445" s="237"/>
      <c r="C445" s="255" t="s">
        <v>2687</v>
      </c>
      <c r="D445" s="237" t="s">
        <v>2688</v>
      </c>
      <c r="E445" s="237">
        <v>48</v>
      </c>
      <c r="F445" s="237" t="s">
        <v>75</v>
      </c>
      <c r="G445" s="237" t="s">
        <v>2689</v>
      </c>
      <c r="H445" s="243" t="s">
        <v>27</v>
      </c>
      <c r="I445" s="243"/>
      <c r="J445" s="235" t="s">
        <v>433</v>
      </c>
      <c r="K445" s="240"/>
      <c r="L445" s="243" t="s">
        <v>231</v>
      </c>
      <c r="M445" s="243" t="s">
        <v>231</v>
      </c>
      <c r="N445" s="237"/>
      <c r="O445" s="237"/>
      <c r="P445" s="237"/>
      <c r="Q445" s="245">
        <v>45882</v>
      </c>
      <c r="R445" s="237" t="s">
        <v>309</v>
      </c>
      <c r="S445" s="331" t="s">
        <v>233</v>
      </c>
      <c r="T445" s="237" t="s">
        <v>228</v>
      </c>
      <c r="U445" s="237" t="s">
        <v>234</v>
      </c>
      <c r="V445" s="237" t="s">
        <v>652</v>
      </c>
      <c r="W445" s="245">
        <v>45986</v>
      </c>
      <c r="X445" s="237">
        <v>0</v>
      </c>
      <c r="Y445" s="237">
        <v>0</v>
      </c>
      <c r="Z445" s="237" t="s">
        <v>228</v>
      </c>
      <c r="AA445" s="237" t="s">
        <v>2690</v>
      </c>
      <c r="AB445" s="337" t="s">
        <v>228</v>
      </c>
      <c r="AC445" s="237" t="s">
        <v>228</v>
      </c>
      <c r="AD445" s="562"/>
      <c r="AE445" s="555"/>
      <c r="AF445" s="237"/>
    </row>
    <row r="446" spans="1:32" ht="13.5" customHeight="1">
      <c r="A446" s="235">
        <v>444</v>
      </c>
      <c r="B446" s="237"/>
      <c r="C446" s="255" t="s">
        <v>2691</v>
      </c>
      <c r="D446" s="237" t="s">
        <v>2692</v>
      </c>
      <c r="E446" s="237">
        <v>24</v>
      </c>
      <c r="F446" s="237" t="s">
        <v>60</v>
      </c>
      <c r="G446" s="237" t="s">
        <v>2693</v>
      </c>
      <c r="H446" s="243" t="s">
        <v>188</v>
      </c>
      <c r="I446" s="243"/>
      <c r="K446" s="240"/>
      <c r="L446" s="243" t="s">
        <v>231</v>
      </c>
      <c r="M446" s="243" t="s">
        <v>231</v>
      </c>
      <c r="N446" s="237"/>
      <c r="O446" s="237"/>
      <c r="P446" s="237"/>
      <c r="Q446" s="245">
        <v>45901</v>
      </c>
      <c r="R446" s="237" t="s">
        <v>309</v>
      </c>
      <c r="S446" s="331" t="s">
        <v>233</v>
      </c>
      <c r="T446" s="237" t="s">
        <v>228</v>
      </c>
      <c r="U446" s="237" t="s">
        <v>234</v>
      </c>
      <c r="V446" s="237" t="s">
        <v>652</v>
      </c>
      <c r="W446" s="245">
        <v>45986</v>
      </c>
      <c r="X446" s="237">
        <v>0</v>
      </c>
      <c r="Y446" s="237">
        <v>0</v>
      </c>
      <c r="Z446" s="237" t="s">
        <v>228</v>
      </c>
      <c r="AA446" s="237" t="s">
        <v>2694</v>
      </c>
      <c r="AB446" s="337" t="s">
        <v>228</v>
      </c>
      <c r="AC446" s="237" t="s">
        <v>228</v>
      </c>
      <c r="AD446" s="562"/>
      <c r="AE446" s="555"/>
      <c r="AF446" s="237"/>
    </row>
    <row r="447" spans="1:32" ht="13.5" customHeight="1">
      <c r="A447" s="235">
        <v>445</v>
      </c>
      <c r="B447" s="237"/>
      <c r="C447" s="255" t="s">
        <v>2695</v>
      </c>
      <c r="D447" s="237" t="s">
        <v>2696</v>
      </c>
      <c r="E447" s="237">
        <v>25</v>
      </c>
      <c r="F447" s="237" t="s">
        <v>60</v>
      </c>
      <c r="G447" s="237" t="s">
        <v>2697</v>
      </c>
      <c r="H447" s="243" t="s">
        <v>188</v>
      </c>
      <c r="I447" s="243"/>
      <c r="K447" s="240"/>
      <c r="L447" s="243" t="s">
        <v>231</v>
      </c>
      <c r="M447" s="243" t="s">
        <v>231</v>
      </c>
      <c r="N447" s="237"/>
      <c r="O447" s="237"/>
      <c r="P447" s="237"/>
      <c r="Q447" s="245">
        <v>45901</v>
      </c>
      <c r="R447" s="237" t="s">
        <v>309</v>
      </c>
      <c r="S447" s="331" t="s">
        <v>233</v>
      </c>
      <c r="T447" s="237" t="s">
        <v>228</v>
      </c>
      <c r="U447" s="237" t="s">
        <v>234</v>
      </c>
      <c r="V447" s="237" t="s">
        <v>652</v>
      </c>
      <c r="W447" s="245">
        <v>45986</v>
      </c>
      <c r="X447" s="237">
        <v>0</v>
      </c>
      <c r="Y447" s="237">
        <v>0</v>
      </c>
      <c r="Z447" s="237" t="s">
        <v>228</v>
      </c>
      <c r="AA447" s="237" t="s">
        <v>2698</v>
      </c>
      <c r="AB447" s="337" t="s">
        <v>228</v>
      </c>
      <c r="AC447" s="237" t="s">
        <v>228</v>
      </c>
      <c r="AD447" s="562"/>
      <c r="AE447" s="555"/>
      <c r="AF447" s="237"/>
    </row>
    <row r="448" spans="1:32" ht="13.5" customHeight="1">
      <c r="A448" s="235">
        <v>446</v>
      </c>
      <c r="B448" s="237"/>
      <c r="C448" s="255" t="s">
        <v>2699</v>
      </c>
      <c r="D448" s="237" t="s">
        <v>2700</v>
      </c>
      <c r="E448" s="237">
        <v>25</v>
      </c>
      <c r="F448" s="237" t="s">
        <v>75</v>
      </c>
      <c r="G448" s="237" t="s">
        <v>2701</v>
      </c>
      <c r="H448" s="243" t="s">
        <v>15</v>
      </c>
      <c r="I448" s="243"/>
      <c r="K448" s="240" t="s">
        <v>146</v>
      </c>
      <c r="L448" s="243" t="s">
        <v>162</v>
      </c>
      <c r="M448" s="243" t="s">
        <v>231</v>
      </c>
      <c r="N448" s="237"/>
      <c r="O448" s="237"/>
      <c r="P448" s="237"/>
      <c r="Q448" s="245">
        <v>45905</v>
      </c>
      <c r="R448" s="237" t="s">
        <v>309</v>
      </c>
      <c r="S448" s="331" t="s">
        <v>233</v>
      </c>
      <c r="T448" s="237" t="s">
        <v>228</v>
      </c>
      <c r="U448" s="237" t="s">
        <v>234</v>
      </c>
      <c r="V448" s="237" t="s">
        <v>652</v>
      </c>
      <c r="W448" s="245">
        <v>45986</v>
      </c>
      <c r="X448" s="237">
        <v>0</v>
      </c>
      <c r="Y448" s="237">
        <v>0</v>
      </c>
      <c r="Z448" s="237" t="s">
        <v>228</v>
      </c>
      <c r="AA448" s="237" t="s">
        <v>2702</v>
      </c>
      <c r="AB448" s="337" t="s">
        <v>228</v>
      </c>
      <c r="AC448" s="237" t="s">
        <v>228</v>
      </c>
      <c r="AD448" s="562"/>
      <c r="AE448" s="555"/>
      <c r="AF448" s="237"/>
    </row>
    <row r="449" spans="1:130" ht="13.5" customHeight="1">
      <c r="A449" s="235">
        <v>447</v>
      </c>
      <c r="B449" s="237"/>
      <c r="C449" s="255" t="s">
        <v>2703</v>
      </c>
      <c r="D449" s="237" t="s">
        <v>2704</v>
      </c>
      <c r="E449" s="237">
        <v>58</v>
      </c>
      <c r="F449" s="237" t="s">
        <v>60</v>
      </c>
      <c r="G449" s="237" t="s">
        <v>2705</v>
      </c>
      <c r="H449" s="243" t="s">
        <v>188</v>
      </c>
      <c r="I449" s="243"/>
      <c r="K449" s="240"/>
      <c r="L449" s="243" t="s">
        <v>231</v>
      </c>
      <c r="M449" s="243" t="s">
        <v>231</v>
      </c>
      <c r="N449" s="237"/>
      <c r="O449" s="237"/>
      <c r="P449" s="237"/>
      <c r="Q449" s="245">
        <v>45907</v>
      </c>
      <c r="R449" s="237" t="s">
        <v>309</v>
      </c>
      <c r="S449" s="331" t="s">
        <v>233</v>
      </c>
      <c r="T449" s="237" t="s">
        <v>228</v>
      </c>
      <c r="U449" s="237" t="s">
        <v>234</v>
      </c>
      <c r="V449" s="237" t="s">
        <v>652</v>
      </c>
      <c r="W449" s="245">
        <v>45986</v>
      </c>
      <c r="X449" s="237">
        <v>0</v>
      </c>
      <c r="Y449" s="237">
        <v>0</v>
      </c>
      <c r="Z449" s="237" t="s">
        <v>228</v>
      </c>
      <c r="AA449" s="237" t="s">
        <v>2706</v>
      </c>
      <c r="AB449" s="337" t="s">
        <v>228</v>
      </c>
      <c r="AC449" s="237" t="s">
        <v>228</v>
      </c>
      <c r="AD449" s="562"/>
      <c r="AE449" s="555"/>
      <c r="AF449" s="237"/>
    </row>
    <row r="450" spans="1:130" s="306" customFormat="1" ht="13.5" customHeight="1">
      <c r="A450" s="306">
        <v>448</v>
      </c>
      <c r="B450" s="264"/>
      <c r="C450" s="307" t="s">
        <v>2707</v>
      </c>
      <c r="D450" s="264" t="s">
        <v>2708</v>
      </c>
      <c r="E450" s="264">
        <v>47</v>
      </c>
      <c r="F450" s="264" t="s">
        <v>75</v>
      </c>
      <c r="G450" s="264" t="s">
        <v>2709</v>
      </c>
      <c r="H450" s="289" t="s">
        <v>3</v>
      </c>
      <c r="I450" s="289" t="s">
        <v>2710</v>
      </c>
      <c r="K450" s="290" t="s">
        <v>2711</v>
      </c>
      <c r="L450" s="596" t="s">
        <v>926</v>
      </c>
      <c r="M450" s="289" t="s">
        <v>426</v>
      </c>
      <c r="N450" s="264" t="s">
        <v>2712</v>
      </c>
      <c r="O450" s="264"/>
      <c r="P450" s="264"/>
      <c r="Q450" s="314">
        <v>45916</v>
      </c>
      <c r="R450" s="264" t="s">
        <v>309</v>
      </c>
      <c r="S450" s="366" t="s">
        <v>233</v>
      </c>
      <c r="T450" s="264" t="s">
        <v>228</v>
      </c>
      <c r="U450" s="264" t="s">
        <v>234</v>
      </c>
      <c r="V450" s="264" t="s">
        <v>652</v>
      </c>
      <c r="W450" s="314">
        <v>45986</v>
      </c>
      <c r="X450" s="264">
        <v>0</v>
      </c>
      <c r="Y450" s="264">
        <v>0</v>
      </c>
      <c r="Z450" s="264" t="s">
        <v>228</v>
      </c>
      <c r="AA450" s="264" t="s">
        <v>2713</v>
      </c>
      <c r="AB450" s="364" t="s">
        <v>228</v>
      </c>
      <c r="AC450" s="264" t="s">
        <v>228</v>
      </c>
      <c r="AD450" s="565"/>
      <c r="AE450" s="557"/>
      <c r="AF450" s="264"/>
      <c r="AG450" s="309"/>
      <c r="AH450" s="309"/>
      <c r="AI450" s="309"/>
      <c r="AJ450" s="309"/>
      <c r="AK450" s="309"/>
      <c r="AL450" s="309"/>
      <c r="AM450" s="309"/>
      <c r="AN450" s="309"/>
      <c r="AO450" s="309"/>
      <c r="AP450" s="309"/>
      <c r="AQ450" s="309"/>
      <c r="AR450" s="309"/>
      <c r="AS450" s="309"/>
      <c r="AT450" s="309"/>
      <c r="AU450" s="309"/>
      <c r="AV450" s="309"/>
      <c r="AW450" s="309"/>
      <c r="AX450" s="309"/>
      <c r="AY450" s="309"/>
      <c r="AZ450" s="309"/>
      <c r="BA450" s="309"/>
      <c r="BB450" s="309"/>
      <c r="BC450" s="309"/>
      <c r="BD450" s="309"/>
      <c r="BE450" s="309"/>
      <c r="BF450" s="309"/>
      <c r="BG450" s="309"/>
      <c r="BH450" s="309"/>
      <c r="BI450" s="309"/>
      <c r="BJ450" s="309"/>
      <c r="BK450" s="309"/>
      <c r="BL450" s="309"/>
      <c r="BM450" s="309"/>
      <c r="BN450" s="309"/>
      <c r="BO450" s="309"/>
      <c r="BP450" s="309"/>
      <c r="BQ450" s="309"/>
      <c r="BR450" s="309"/>
      <c r="BS450" s="309"/>
      <c r="BT450" s="309"/>
      <c r="BU450" s="309"/>
      <c r="BV450" s="309"/>
      <c r="BW450" s="309"/>
      <c r="BX450" s="309"/>
      <c r="BY450" s="309"/>
      <c r="BZ450" s="309"/>
      <c r="CA450" s="309"/>
      <c r="CB450" s="309"/>
      <c r="CC450" s="309"/>
      <c r="CD450" s="309"/>
      <c r="CE450" s="309"/>
      <c r="CF450" s="309"/>
      <c r="CG450" s="309"/>
      <c r="CH450" s="309"/>
      <c r="CI450" s="309"/>
      <c r="CJ450" s="309"/>
      <c r="CK450" s="309"/>
      <c r="CL450" s="309"/>
      <c r="CM450" s="309"/>
      <c r="CN450" s="309"/>
      <c r="CO450" s="309"/>
      <c r="CP450" s="309"/>
      <c r="CQ450" s="309"/>
      <c r="CR450" s="309"/>
      <c r="CS450" s="309"/>
      <c r="CT450" s="309"/>
      <c r="CU450" s="309"/>
      <c r="CV450" s="309"/>
      <c r="CW450" s="309"/>
      <c r="CX450" s="309"/>
      <c r="CY450" s="309"/>
      <c r="CZ450" s="309"/>
      <c r="DA450" s="309"/>
      <c r="DB450" s="309"/>
      <c r="DC450" s="309"/>
      <c r="DD450" s="309"/>
      <c r="DE450" s="309"/>
      <c r="DF450" s="309"/>
      <c r="DG450" s="309"/>
      <c r="DH450" s="309"/>
      <c r="DI450" s="309"/>
      <c r="DJ450" s="309"/>
      <c r="DK450" s="309"/>
      <c r="DL450" s="309"/>
      <c r="DM450" s="309"/>
      <c r="DN450" s="309"/>
      <c r="DO450" s="309"/>
      <c r="DP450" s="309"/>
      <c r="DQ450" s="309"/>
      <c r="DR450" s="309"/>
      <c r="DS450" s="309"/>
      <c r="DT450" s="309"/>
      <c r="DU450" s="309"/>
      <c r="DV450" s="309"/>
      <c r="DW450" s="309"/>
      <c r="DX450" s="309"/>
      <c r="DY450" s="309"/>
      <c r="DZ450" s="310"/>
    </row>
    <row r="451" spans="1:130" ht="13.5" customHeight="1">
      <c r="A451" s="235">
        <v>449</v>
      </c>
      <c r="B451" s="237"/>
      <c r="C451" s="255" t="s">
        <v>2714</v>
      </c>
      <c r="D451" s="237" t="s">
        <v>2715</v>
      </c>
      <c r="E451" s="237">
        <v>70</v>
      </c>
      <c r="F451" s="237" t="s">
        <v>60</v>
      </c>
      <c r="G451" s="237" t="s">
        <v>2716</v>
      </c>
      <c r="H451" s="243" t="s">
        <v>4</v>
      </c>
      <c r="I451" s="243"/>
      <c r="K451" s="243" t="s">
        <v>137</v>
      </c>
      <c r="L451" s="243" t="s">
        <v>1642</v>
      </c>
      <c r="M451" s="243" t="s">
        <v>528</v>
      </c>
      <c r="N451" s="237"/>
      <c r="O451" s="237"/>
      <c r="P451" s="237"/>
      <c r="Q451" s="245">
        <v>45916</v>
      </c>
      <c r="R451" s="237" t="s">
        <v>309</v>
      </c>
      <c r="S451" s="331" t="s">
        <v>233</v>
      </c>
      <c r="T451" s="237" t="s">
        <v>228</v>
      </c>
      <c r="U451" s="237" t="s">
        <v>234</v>
      </c>
      <c r="V451" s="237" t="s">
        <v>652</v>
      </c>
      <c r="W451" s="245">
        <v>45986</v>
      </c>
      <c r="X451" s="237">
        <v>0</v>
      </c>
      <c r="Y451" s="237">
        <v>0</v>
      </c>
      <c r="Z451" s="237" t="s">
        <v>228</v>
      </c>
      <c r="AA451" s="237" t="s">
        <v>2717</v>
      </c>
      <c r="AB451" s="337" t="s">
        <v>228</v>
      </c>
      <c r="AC451" s="237" t="s">
        <v>228</v>
      </c>
      <c r="AD451" s="562"/>
      <c r="AE451" s="555"/>
      <c r="AF451" s="237"/>
    </row>
    <row r="452" spans="1:130" s="306" customFormat="1" ht="13.5" customHeight="1">
      <c r="A452" s="306">
        <v>450</v>
      </c>
      <c r="B452" s="264"/>
      <c r="C452" s="307" t="s">
        <v>2718</v>
      </c>
      <c r="D452" s="264" t="s">
        <v>2719</v>
      </c>
      <c r="E452" s="264">
        <v>44</v>
      </c>
      <c r="F452" s="264" t="s">
        <v>60</v>
      </c>
      <c r="G452" s="264" t="s">
        <v>2720</v>
      </c>
      <c r="H452" s="289" t="s">
        <v>27</v>
      </c>
      <c r="I452" s="289"/>
      <c r="J452" s="306" t="s">
        <v>433</v>
      </c>
      <c r="K452" s="290" t="s">
        <v>2721</v>
      </c>
      <c r="L452" s="583"/>
      <c r="M452" s="289" t="s">
        <v>2722</v>
      </c>
      <c r="N452" s="264"/>
      <c r="O452" s="264"/>
      <c r="P452" s="264"/>
      <c r="Q452" s="314">
        <v>45919</v>
      </c>
      <c r="R452" s="264" t="s">
        <v>309</v>
      </c>
      <c r="S452" s="366" t="s">
        <v>233</v>
      </c>
      <c r="T452" s="264" t="s">
        <v>228</v>
      </c>
      <c r="U452" s="264" t="s">
        <v>234</v>
      </c>
      <c r="V452" s="264" t="s">
        <v>652</v>
      </c>
      <c r="W452" s="314">
        <v>45971</v>
      </c>
      <c r="X452" s="264" t="s">
        <v>1836</v>
      </c>
      <c r="Y452" s="264" t="s">
        <v>588</v>
      </c>
      <c r="Z452" s="264" t="s">
        <v>237</v>
      </c>
      <c r="AA452" s="264" t="s">
        <v>2723</v>
      </c>
      <c r="AB452" s="364" t="s">
        <v>228</v>
      </c>
      <c r="AC452" s="264" t="s">
        <v>228</v>
      </c>
      <c r="AD452" s="565"/>
      <c r="AE452" s="557"/>
      <c r="AF452" s="264"/>
      <c r="AG452" s="309"/>
      <c r="AH452" s="309"/>
      <c r="AI452" s="309"/>
      <c r="AJ452" s="309"/>
      <c r="AK452" s="309"/>
      <c r="AL452" s="309"/>
      <c r="AM452" s="309"/>
      <c r="AN452" s="309"/>
      <c r="AO452" s="309"/>
      <c r="AP452" s="309"/>
      <c r="AQ452" s="309"/>
      <c r="AR452" s="309"/>
      <c r="AS452" s="309"/>
      <c r="AT452" s="309"/>
      <c r="AU452" s="309"/>
      <c r="AV452" s="309"/>
      <c r="AW452" s="309"/>
      <c r="AX452" s="309"/>
      <c r="AY452" s="309"/>
      <c r="AZ452" s="309"/>
      <c r="BA452" s="309"/>
      <c r="BB452" s="309"/>
      <c r="BC452" s="309"/>
      <c r="BD452" s="309"/>
      <c r="BE452" s="309"/>
      <c r="BF452" s="309"/>
      <c r="BG452" s="309"/>
      <c r="BH452" s="309"/>
      <c r="BI452" s="309"/>
      <c r="BJ452" s="309"/>
      <c r="BK452" s="309"/>
      <c r="BL452" s="309"/>
      <c r="BM452" s="309"/>
      <c r="BN452" s="309"/>
      <c r="BO452" s="309"/>
      <c r="BP452" s="309"/>
      <c r="BQ452" s="309"/>
      <c r="BR452" s="309"/>
      <c r="BS452" s="309"/>
      <c r="BT452" s="309"/>
      <c r="BU452" s="309"/>
      <c r="BV452" s="309"/>
      <c r="BW452" s="309"/>
      <c r="BX452" s="309"/>
      <c r="BY452" s="309"/>
      <c r="BZ452" s="309"/>
      <c r="CA452" s="309"/>
      <c r="CB452" s="309"/>
      <c r="CC452" s="309"/>
      <c r="CD452" s="309"/>
      <c r="CE452" s="309"/>
      <c r="CF452" s="309"/>
      <c r="CG452" s="309"/>
      <c r="CH452" s="309"/>
      <c r="CI452" s="309"/>
      <c r="CJ452" s="309"/>
      <c r="CK452" s="309"/>
      <c r="CL452" s="309"/>
      <c r="CM452" s="309"/>
      <c r="CN452" s="309"/>
      <c r="CO452" s="309"/>
      <c r="CP452" s="309"/>
      <c r="CQ452" s="309"/>
      <c r="CR452" s="309"/>
      <c r="CS452" s="309"/>
      <c r="CT452" s="309"/>
      <c r="CU452" s="309"/>
      <c r="CV452" s="309"/>
      <c r="CW452" s="309"/>
      <c r="CX452" s="309"/>
      <c r="CY452" s="309"/>
      <c r="CZ452" s="309"/>
      <c r="DA452" s="309"/>
      <c r="DB452" s="309"/>
      <c r="DC452" s="309"/>
      <c r="DD452" s="309"/>
      <c r="DE452" s="309"/>
      <c r="DF452" s="309"/>
      <c r="DG452" s="309"/>
      <c r="DH452" s="309"/>
      <c r="DI452" s="309"/>
      <c r="DJ452" s="309"/>
      <c r="DK452" s="309"/>
      <c r="DL452" s="309"/>
      <c r="DM452" s="309"/>
      <c r="DN452" s="309"/>
      <c r="DO452" s="309"/>
      <c r="DP452" s="309"/>
      <c r="DQ452" s="309"/>
      <c r="DR452" s="309"/>
      <c r="DS452" s="309"/>
      <c r="DT452" s="309"/>
      <c r="DU452" s="309"/>
      <c r="DV452" s="309"/>
      <c r="DW452" s="309"/>
      <c r="DX452" s="309"/>
      <c r="DY452" s="309"/>
      <c r="DZ452" s="310"/>
    </row>
    <row r="453" spans="1:130" ht="13.5" customHeight="1">
      <c r="A453" s="235">
        <v>451</v>
      </c>
      <c r="B453" s="237"/>
      <c r="C453" s="255" t="s">
        <v>2724</v>
      </c>
      <c r="D453" s="237" t="s">
        <v>2725</v>
      </c>
      <c r="E453" s="237">
        <v>57</v>
      </c>
      <c r="F453" s="237" t="s">
        <v>75</v>
      </c>
      <c r="G453" s="237" t="s">
        <v>2726</v>
      </c>
      <c r="H453" s="243" t="s">
        <v>188</v>
      </c>
      <c r="I453" s="243"/>
      <c r="K453" s="240"/>
      <c r="L453" s="243" t="s">
        <v>231</v>
      </c>
      <c r="M453" s="243" t="s">
        <v>231</v>
      </c>
      <c r="N453" s="237"/>
      <c r="O453" s="237"/>
      <c r="P453" s="237"/>
      <c r="Q453" s="245">
        <v>45921</v>
      </c>
      <c r="R453" s="237" t="s">
        <v>309</v>
      </c>
      <c r="S453" s="331" t="s">
        <v>233</v>
      </c>
      <c r="T453" s="237" t="s">
        <v>228</v>
      </c>
      <c r="U453" s="237" t="s">
        <v>234</v>
      </c>
      <c r="V453" s="237" t="s">
        <v>652</v>
      </c>
      <c r="W453" s="245">
        <v>45971</v>
      </c>
      <c r="X453" s="237" t="s">
        <v>2727</v>
      </c>
      <c r="Y453" s="237" t="s">
        <v>588</v>
      </c>
      <c r="Z453" s="237" t="s">
        <v>237</v>
      </c>
      <c r="AA453" s="237" t="s">
        <v>2728</v>
      </c>
      <c r="AB453" s="337" t="s">
        <v>228</v>
      </c>
      <c r="AC453" s="237" t="s">
        <v>228</v>
      </c>
      <c r="AD453" s="562"/>
      <c r="AE453" s="555"/>
      <c r="AF453" s="237"/>
    </row>
    <row r="454" spans="1:130" ht="13.5" customHeight="1">
      <c r="A454" s="235">
        <v>452</v>
      </c>
      <c r="B454" s="237"/>
      <c r="C454" s="255" t="s">
        <v>2729</v>
      </c>
      <c r="D454" s="237" t="s">
        <v>2730</v>
      </c>
      <c r="E454" s="237">
        <v>64</v>
      </c>
      <c r="F454" s="237" t="s">
        <v>60</v>
      </c>
      <c r="G454" s="237" t="s">
        <v>2731</v>
      </c>
      <c r="H454" s="243" t="s">
        <v>188</v>
      </c>
      <c r="I454" s="243"/>
      <c r="K454" s="240"/>
      <c r="L454" s="243" t="s">
        <v>231</v>
      </c>
      <c r="M454" s="243" t="s">
        <v>231</v>
      </c>
      <c r="N454" s="237"/>
      <c r="O454" s="237"/>
      <c r="P454" s="237"/>
      <c r="Q454" s="245">
        <v>45921</v>
      </c>
      <c r="R454" s="237" t="s">
        <v>309</v>
      </c>
      <c r="S454" s="331" t="s">
        <v>233</v>
      </c>
      <c r="T454" s="237" t="s">
        <v>228</v>
      </c>
      <c r="U454" s="237" t="s">
        <v>234</v>
      </c>
      <c r="V454" s="237" t="s">
        <v>652</v>
      </c>
      <c r="W454" s="245">
        <v>45971</v>
      </c>
      <c r="X454" s="237" t="s">
        <v>2732</v>
      </c>
      <c r="Y454" s="237" t="s">
        <v>588</v>
      </c>
      <c r="Z454" s="237" t="s">
        <v>237</v>
      </c>
      <c r="AA454" s="237" t="s">
        <v>2733</v>
      </c>
      <c r="AB454" s="337" t="s">
        <v>228</v>
      </c>
      <c r="AC454" s="237" t="s">
        <v>228</v>
      </c>
      <c r="AD454" s="562"/>
      <c r="AE454" s="555"/>
      <c r="AF454" s="237"/>
    </row>
    <row r="455" spans="1:130" ht="13.5" customHeight="1">
      <c r="A455" s="235">
        <v>453</v>
      </c>
      <c r="B455" s="237"/>
      <c r="C455" s="255" t="s">
        <v>2734</v>
      </c>
      <c r="D455" s="237" t="s">
        <v>2735</v>
      </c>
      <c r="E455" s="237">
        <v>49</v>
      </c>
      <c r="F455" s="237" t="s">
        <v>60</v>
      </c>
      <c r="G455" s="237" t="s">
        <v>2736</v>
      </c>
      <c r="H455" s="243" t="s">
        <v>5</v>
      </c>
      <c r="I455" s="243"/>
      <c r="K455" s="240" t="s">
        <v>2737</v>
      </c>
      <c r="L455" s="243" t="s">
        <v>67</v>
      </c>
      <c r="M455" s="243" t="s">
        <v>231</v>
      </c>
      <c r="N455" s="237"/>
      <c r="O455" s="237"/>
      <c r="P455" s="237"/>
      <c r="Q455" s="245">
        <v>45924</v>
      </c>
      <c r="R455" s="237" t="s">
        <v>309</v>
      </c>
      <c r="S455" s="331" t="s">
        <v>233</v>
      </c>
      <c r="T455" s="237" t="s">
        <v>228</v>
      </c>
      <c r="U455" s="237" t="s">
        <v>234</v>
      </c>
      <c r="V455" s="237" t="s">
        <v>652</v>
      </c>
      <c r="W455" s="245">
        <v>45986</v>
      </c>
      <c r="X455" s="237">
        <v>0</v>
      </c>
      <c r="Y455" s="237">
        <v>0</v>
      </c>
      <c r="Z455" s="237" t="s">
        <v>228</v>
      </c>
      <c r="AA455" s="237" t="s">
        <v>2738</v>
      </c>
      <c r="AB455" s="337" t="s">
        <v>228</v>
      </c>
      <c r="AC455" s="237" t="s">
        <v>228</v>
      </c>
      <c r="AD455" s="562"/>
      <c r="AE455" s="555"/>
      <c r="AF455" s="237"/>
    </row>
    <row r="456" spans="1:130" ht="13.5" customHeight="1">
      <c r="A456" s="235">
        <v>454</v>
      </c>
      <c r="B456" s="237"/>
      <c r="C456" s="255" t="s">
        <v>2739</v>
      </c>
      <c r="D456" s="237" t="s">
        <v>2740</v>
      </c>
      <c r="E456" s="237">
        <v>73</v>
      </c>
      <c r="F456" s="237" t="s">
        <v>60</v>
      </c>
      <c r="G456" s="237" t="s">
        <v>2741</v>
      </c>
      <c r="H456" s="243" t="s">
        <v>188</v>
      </c>
      <c r="I456" s="243"/>
      <c r="K456" s="240"/>
      <c r="L456" s="243" t="s">
        <v>231</v>
      </c>
      <c r="M456" s="243" t="s">
        <v>231</v>
      </c>
      <c r="N456" s="237"/>
      <c r="O456" s="237"/>
      <c r="P456" s="237"/>
      <c r="Q456" s="245">
        <v>45924</v>
      </c>
      <c r="R456" s="237" t="s">
        <v>309</v>
      </c>
      <c r="S456" s="331" t="s">
        <v>233</v>
      </c>
      <c r="T456" s="237" t="s">
        <v>228</v>
      </c>
      <c r="U456" s="237" t="s">
        <v>234</v>
      </c>
      <c r="V456" s="237" t="s">
        <v>652</v>
      </c>
      <c r="W456" s="245">
        <v>45971</v>
      </c>
      <c r="X456" s="237" t="s">
        <v>2742</v>
      </c>
      <c r="Y456" s="237" t="s">
        <v>588</v>
      </c>
      <c r="Z456" s="237" t="s">
        <v>237</v>
      </c>
      <c r="AA456" s="237" t="s">
        <v>2743</v>
      </c>
      <c r="AB456" s="337" t="s">
        <v>228</v>
      </c>
      <c r="AC456" s="237" t="s">
        <v>228</v>
      </c>
      <c r="AD456" s="562"/>
      <c r="AE456" s="555"/>
      <c r="AF456" s="237"/>
    </row>
    <row r="457" spans="1:130" ht="13.5" customHeight="1">
      <c r="A457" s="235">
        <v>455</v>
      </c>
      <c r="B457" s="237"/>
      <c r="C457" s="255" t="s">
        <v>2744</v>
      </c>
      <c r="D457" s="237" t="s">
        <v>2745</v>
      </c>
      <c r="E457" s="237">
        <v>37</v>
      </c>
      <c r="F457" s="237" t="s">
        <v>75</v>
      </c>
      <c r="G457" s="237" t="s">
        <v>2746</v>
      </c>
      <c r="H457" s="243" t="s">
        <v>188</v>
      </c>
      <c r="I457" s="243"/>
      <c r="K457" s="240"/>
      <c r="L457" s="243" t="s">
        <v>231</v>
      </c>
      <c r="M457" s="243" t="s">
        <v>231</v>
      </c>
      <c r="N457" s="237"/>
      <c r="O457" s="237"/>
      <c r="P457" s="237"/>
      <c r="Q457" s="245">
        <v>45926</v>
      </c>
      <c r="R457" s="237" t="s">
        <v>309</v>
      </c>
      <c r="S457" s="331" t="s">
        <v>233</v>
      </c>
      <c r="T457" s="237" t="s">
        <v>228</v>
      </c>
      <c r="U457" s="237" t="s">
        <v>234</v>
      </c>
      <c r="V457" s="237" t="s">
        <v>652</v>
      </c>
      <c r="W457" s="245">
        <v>45986</v>
      </c>
      <c r="X457" s="237">
        <v>0</v>
      </c>
      <c r="Y457" s="237">
        <v>0</v>
      </c>
      <c r="Z457" s="237" t="s">
        <v>228</v>
      </c>
      <c r="AA457" s="237" t="s">
        <v>2747</v>
      </c>
      <c r="AB457" s="337" t="s">
        <v>228</v>
      </c>
      <c r="AC457" s="237" t="s">
        <v>228</v>
      </c>
      <c r="AD457" s="562"/>
      <c r="AE457" s="555"/>
      <c r="AF457" s="237"/>
    </row>
    <row r="458" spans="1:130" ht="13.5" customHeight="1">
      <c r="A458" s="235">
        <v>456</v>
      </c>
      <c r="B458" s="237"/>
      <c r="C458" s="255" t="s">
        <v>2748</v>
      </c>
      <c r="D458" s="237" t="s">
        <v>2749</v>
      </c>
      <c r="E458" s="237">
        <v>71</v>
      </c>
      <c r="F458" s="237" t="s">
        <v>60</v>
      </c>
      <c r="G458" s="237" t="s">
        <v>2750</v>
      </c>
      <c r="H458" s="243" t="s">
        <v>188</v>
      </c>
      <c r="I458" s="243"/>
      <c r="K458" s="240"/>
      <c r="L458" s="243" t="s">
        <v>231</v>
      </c>
      <c r="M458" s="243" t="s">
        <v>231</v>
      </c>
      <c r="N458" s="237"/>
      <c r="O458" s="237"/>
      <c r="P458" s="237"/>
      <c r="Q458" s="245">
        <v>45926</v>
      </c>
      <c r="R458" s="237" t="s">
        <v>309</v>
      </c>
      <c r="S458" s="331" t="s">
        <v>233</v>
      </c>
      <c r="T458" s="237" t="s">
        <v>228</v>
      </c>
      <c r="U458" s="237" t="s">
        <v>234</v>
      </c>
      <c r="V458" s="237" t="s">
        <v>652</v>
      </c>
      <c r="W458" s="245">
        <v>45986</v>
      </c>
      <c r="X458" s="237">
        <v>0</v>
      </c>
      <c r="Y458" s="237">
        <v>0</v>
      </c>
      <c r="Z458" s="237" t="s">
        <v>228</v>
      </c>
      <c r="AA458" s="237" t="s">
        <v>2751</v>
      </c>
      <c r="AB458" s="337" t="s">
        <v>228</v>
      </c>
      <c r="AC458" s="237" t="s">
        <v>228</v>
      </c>
      <c r="AD458" s="562"/>
      <c r="AE458" s="555"/>
      <c r="AF458" s="237"/>
    </row>
    <row r="459" spans="1:130" ht="13.5" customHeight="1">
      <c r="A459" s="235">
        <v>457</v>
      </c>
      <c r="B459" s="237"/>
      <c r="C459" s="255" t="s">
        <v>2752</v>
      </c>
      <c r="D459" s="237" t="s">
        <v>2753</v>
      </c>
      <c r="E459" s="237">
        <v>59</v>
      </c>
      <c r="F459" s="237" t="s">
        <v>60</v>
      </c>
      <c r="G459" s="237" t="s">
        <v>2754</v>
      </c>
      <c r="H459" s="243" t="s">
        <v>188</v>
      </c>
      <c r="I459" s="243"/>
      <c r="K459" s="240"/>
      <c r="L459" s="243" t="s">
        <v>231</v>
      </c>
      <c r="M459" s="243" t="s">
        <v>231</v>
      </c>
      <c r="N459" s="237"/>
      <c r="O459" s="237"/>
      <c r="P459" s="237"/>
      <c r="Q459" s="245">
        <v>45926</v>
      </c>
      <c r="R459" s="237" t="s">
        <v>309</v>
      </c>
      <c r="S459" s="331" t="s">
        <v>233</v>
      </c>
      <c r="T459" s="237" t="s">
        <v>228</v>
      </c>
      <c r="U459" s="237" t="s">
        <v>234</v>
      </c>
      <c r="V459" s="237" t="s">
        <v>652</v>
      </c>
      <c r="W459" s="245">
        <v>45986</v>
      </c>
      <c r="X459" s="237">
        <v>0</v>
      </c>
      <c r="Y459" s="237">
        <v>0</v>
      </c>
      <c r="Z459" s="237" t="s">
        <v>228</v>
      </c>
      <c r="AA459" s="237" t="s">
        <v>2755</v>
      </c>
      <c r="AB459" s="337" t="s">
        <v>228</v>
      </c>
      <c r="AC459" s="237" t="s">
        <v>228</v>
      </c>
      <c r="AD459" s="562"/>
      <c r="AE459" s="555"/>
      <c r="AF459" s="237"/>
    </row>
    <row r="460" spans="1:130" ht="13.5" customHeight="1">
      <c r="A460" s="235">
        <v>458</v>
      </c>
      <c r="B460" s="237"/>
      <c r="C460" s="255" t="s">
        <v>2756</v>
      </c>
      <c r="D460" s="237" t="s">
        <v>2757</v>
      </c>
      <c r="E460" s="237">
        <v>79</v>
      </c>
      <c r="F460" s="237" t="s">
        <v>60</v>
      </c>
      <c r="G460" s="237" t="s">
        <v>2758</v>
      </c>
      <c r="H460" s="243" t="s">
        <v>188</v>
      </c>
      <c r="I460" s="243"/>
      <c r="K460" s="240"/>
      <c r="L460" s="243" t="s">
        <v>231</v>
      </c>
      <c r="M460" s="243" t="s">
        <v>231</v>
      </c>
      <c r="N460" s="237"/>
      <c r="O460" s="237"/>
      <c r="P460" s="237"/>
      <c r="Q460" s="245">
        <v>45927</v>
      </c>
      <c r="R460" s="237" t="s">
        <v>309</v>
      </c>
      <c r="S460" s="331" t="s">
        <v>233</v>
      </c>
      <c r="T460" s="237" t="s">
        <v>228</v>
      </c>
      <c r="U460" s="237" t="s">
        <v>234</v>
      </c>
      <c r="V460" s="237" t="s">
        <v>652</v>
      </c>
      <c r="W460" s="245">
        <v>45986</v>
      </c>
      <c r="X460" s="237">
        <v>0</v>
      </c>
      <c r="Y460" s="237">
        <v>0</v>
      </c>
      <c r="Z460" s="237" t="s">
        <v>228</v>
      </c>
      <c r="AA460" s="237" t="s">
        <v>2759</v>
      </c>
      <c r="AB460" s="337" t="s">
        <v>228</v>
      </c>
      <c r="AC460" s="237" t="s">
        <v>228</v>
      </c>
      <c r="AD460" s="562"/>
      <c r="AE460" s="555"/>
      <c r="AF460" s="237"/>
    </row>
    <row r="461" spans="1:130" ht="13.5" customHeight="1">
      <c r="A461" s="235">
        <v>459</v>
      </c>
      <c r="B461" s="237"/>
      <c r="C461" s="255" t="s">
        <v>2760</v>
      </c>
      <c r="D461" s="237" t="s">
        <v>2761</v>
      </c>
      <c r="E461" s="237">
        <v>84</v>
      </c>
      <c r="F461" s="237" t="s">
        <v>60</v>
      </c>
      <c r="G461" s="237" t="s">
        <v>2762</v>
      </c>
      <c r="H461" s="243" t="s">
        <v>188</v>
      </c>
      <c r="I461" s="243"/>
      <c r="K461" s="240"/>
      <c r="L461" s="243" t="s">
        <v>231</v>
      </c>
      <c r="M461" s="243" t="s">
        <v>231</v>
      </c>
      <c r="N461" s="237"/>
      <c r="O461" s="237"/>
      <c r="P461" s="237"/>
      <c r="Q461" s="245">
        <v>45929</v>
      </c>
      <c r="R461" s="237" t="s">
        <v>309</v>
      </c>
      <c r="S461" s="331" t="s">
        <v>233</v>
      </c>
      <c r="T461" s="237" t="s">
        <v>228</v>
      </c>
      <c r="U461" s="237" t="s">
        <v>234</v>
      </c>
      <c r="V461" s="237" t="s">
        <v>652</v>
      </c>
      <c r="W461" s="245">
        <v>45986</v>
      </c>
      <c r="X461" s="237">
        <v>0</v>
      </c>
      <c r="Y461" s="237">
        <v>0</v>
      </c>
      <c r="Z461" s="237" t="s">
        <v>228</v>
      </c>
      <c r="AA461" s="237" t="s">
        <v>2763</v>
      </c>
      <c r="AB461" s="337" t="s">
        <v>228</v>
      </c>
      <c r="AC461" s="237" t="s">
        <v>228</v>
      </c>
      <c r="AD461" s="562"/>
      <c r="AE461" s="555"/>
      <c r="AF461" s="237"/>
    </row>
    <row r="462" spans="1:130" s="306" customFormat="1" ht="13.5" customHeight="1">
      <c r="A462" s="306">
        <v>460</v>
      </c>
      <c r="B462" s="264"/>
      <c r="C462" s="307" t="s">
        <v>2764</v>
      </c>
      <c r="D462" s="264" t="s">
        <v>2765</v>
      </c>
      <c r="E462" s="264">
        <v>78</v>
      </c>
      <c r="F462" s="264" t="s">
        <v>60</v>
      </c>
      <c r="G462" s="264" t="s">
        <v>2766</v>
      </c>
      <c r="H462" s="289" t="s">
        <v>4</v>
      </c>
      <c r="I462" s="289"/>
      <c r="K462" s="289" t="s">
        <v>138</v>
      </c>
      <c r="L462" s="289" t="s">
        <v>1642</v>
      </c>
      <c r="M462" s="289" t="s">
        <v>2767</v>
      </c>
      <c r="N462" s="264"/>
      <c r="O462" s="264"/>
      <c r="P462" s="264"/>
      <c r="Q462" s="314">
        <v>45929</v>
      </c>
      <c r="R462" s="264" t="s">
        <v>309</v>
      </c>
      <c r="S462" s="366" t="s">
        <v>233</v>
      </c>
      <c r="T462" s="264" t="s">
        <v>228</v>
      </c>
      <c r="U462" s="264" t="s">
        <v>234</v>
      </c>
      <c r="V462" s="264" t="s">
        <v>652</v>
      </c>
      <c r="W462" s="314">
        <v>45986</v>
      </c>
      <c r="X462" s="264">
        <v>0</v>
      </c>
      <c r="Y462" s="264">
        <v>0</v>
      </c>
      <c r="Z462" s="264" t="s">
        <v>228</v>
      </c>
      <c r="AA462" s="264" t="s">
        <v>2768</v>
      </c>
      <c r="AB462" s="364" t="s">
        <v>228</v>
      </c>
      <c r="AC462" s="264" t="s">
        <v>228</v>
      </c>
      <c r="AD462" s="565"/>
      <c r="AE462" s="557"/>
      <c r="AF462" s="264"/>
      <c r="AG462" s="309"/>
      <c r="AH462" s="309"/>
      <c r="AI462" s="309"/>
      <c r="AJ462" s="309"/>
      <c r="AK462" s="309"/>
      <c r="AL462" s="309"/>
      <c r="AM462" s="309"/>
      <c r="AN462" s="309"/>
      <c r="AO462" s="309"/>
      <c r="AP462" s="309"/>
      <c r="AQ462" s="309"/>
      <c r="AR462" s="309"/>
      <c r="AS462" s="309"/>
      <c r="AT462" s="309"/>
      <c r="AU462" s="309"/>
      <c r="AV462" s="309"/>
      <c r="AW462" s="309"/>
      <c r="AX462" s="309"/>
      <c r="AY462" s="309"/>
      <c r="AZ462" s="309"/>
      <c r="BA462" s="309"/>
      <c r="BB462" s="309"/>
      <c r="BC462" s="309"/>
      <c r="BD462" s="309"/>
      <c r="BE462" s="309"/>
      <c r="BF462" s="309"/>
      <c r="BG462" s="309"/>
      <c r="BH462" s="309"/>
      <c r="BI462" s="309"/>
      <c r="BJ462" s="309"/>
      <c r="BK462" s="309"/>
      <c r="BL462" s="309"/>
      <c r="BM462" s="309"/>
      <c r="BN462" s="309"/>
      <c r="BO462" s="309"/>
      <c r="BP462" s="309"/>
      <c r="BQ462" s="309"/>
      <c r="BR462" s="309"/>
      <c r="BS462" s="309"/>
      <c r="BT462" s="309"/>
      <c r="BU462" s="309"/>
      <c r="BV462" s="309"/>
      <c r="BW462" s="309"/>
      <c r="BX462" s="309"/>
      <c r="BY462" s="309"/>
      <c r="BZ462" s="309"/>
      <c r="CA462" s="309"/>
      <c r="CB462" s="309"/>
      <c r="CC462" s="309"/>
      <c r="CD462" s="309"/>
      <c r="CE462" s="309"/>
      <c r="CF462" s="309"/>
      <c r="CG462" s="309"/>
      <c r="CH462" s="309"/>
      <c r="CI462" s="309"/>
      <c r="CJ462" s="309"/>
      <c r="CK462" s="309"/>
      <c r="CL462" s="309"/>
      <c r="CM462" s="309"/>
      <c r="CN462" s="309"/>
      <c r="CO462" s="309"/>
      <c r="CP462" s="309"/>
      <c r="CQ462" s="309"/>
      <c r="CR462" s="309"/>
      <c r="CS462" s="309"/>
      <c r="CT462" s="309"/>
      <c r="CU462" s="309"/>
      <c r="CV462" s="309"/>
      <c r="CW462" s="309"/>
      <c r="CX462" s="309"/>
      <c r="CY462" s="309"/>
      <c r="CZ462" s="309"/>
      <c r="DA462" s="309"/>
      <c r="DB462" s="309"/>
      <c r="DC462" s="309"/>
      <c r="DD462" s="309"/>
      <c r="DE462" s="309"/>
      <c r="DF462" s="309"/>
      <c r="DG462" s="309"/>
      <c r="DH462" s="309"/>
      <c r="DI462" s="309"/>
      <c r="DJ462" s="309"/>
      <c r="DK462" s="309"/>
      <c r="DL462" s="309"/>
      <c r="DM462" s="309"/>
      <c r="DN462" s="309"/>
      <c r="DO462" s="309"/>
      <c r="DP462" s="309"/>
      <c r="DQ462" s="309"/>
      <c r="DR462" s="309"/>
      <c r="DS462" s="309"/>
      <c r="DT462" s="309"/>
      <c r="DU462" s="309"/>
      <c r="DV462" s="309"/>
      <c r="DW462" s="309"/>
      <c r="DX462" s="309"/>
      <c r="DY462" s="309"/>
      <c r="DZ462" s="310"/>
    </row>
    <row r="463" spans="1:130" ht="13.5" customHeight="1">
      <c r="A463" s="235">
        <v>461</v>
      </c>
      <c r="B463" s="237"/>
      <c r="C463" s="255" t="s">
        <v>2769</v>
      </c>
      <c r="D463" s="237" t="s">
        <v>2770</v>
      </c>
      <c r="E463" s="237">
        <v>43</v>
      </c>
      <c r="F463" s="237" t="s">
        <v>60</v>
      </c>
      <c r="G463" s="237" t="s">
        <v>2771</v>
      </c>
      <c r="H463" s="243" t="s">
        <v>27</v>
      </c>
      <c r="I463" s="243"/>
      <c r="J463" s="235" t="s">
        <v>2250</v>
      </c>
      <c r="K463" s="240"/>
      <c r="L463" s="243" t="s">
        <v>231</v>
      </c>
      <c r="M463" s="243" t="s">
        <v>231</v>
      </c>
      <c r="N463" s="237"/>
      <c r="O463" s="237"/>
      <c r="P463" s="237"/>
      <c r="Q463" s="245">
        <v>45930</v>
      </c>
      <c r="R463" s="237" t="s">
        <v>309</v>
      </c>
      <c r="S463" s="331" t="s">
        <v>233</v>
      </c>
      <c r="T463" s="237" t="s">
        <v>228</v>
      </c>
      <c r="U463" s="237" t="s">
        <v>234</v>
      </c>
      <c r="V463" s="237" t="s">
        <v>652</v>
      </c>
      <c r="W463" s="245">
        <v>45986</v>
      </c>
      <c r="X463" s="237">
        <v>0</v>
      </c>
      <c r="Y463" s="237">
        <v>0</v>
      </c>
      <c r="Z463" s="237" t="s">
        <v>228</v>
      </c>
      <c r="AA463" s="237" t="s">
        <v>2772</v>
      </c>
      <c r="AB463" s="337" t="s">
        <v>228</v>
      </c>
      <c r="AC463" s="237" t="s">
        <v>228</v>
      </c>
      <c r="AD463" s="562"/>
      <c r="AE463" s="555"/>
      <c r="AF463" s="237"/>
    </row>
    <row r="464" spans="1:130" ht="13.5" customHeight="1">
      <c r="A464" s="235">
        <v>462</v>
      </c>
      <c r="B464" s="237"/>
      <c r="C464" s="255" t="s">
        <v>2773</v>
      </c>
      <c r="D464" s="237" t="s">
        <v>2774</v>
      </c>
      <c r="E464" s="237">
        <v>51</v>
      </c>
      <c r="F464" s="237" t="s">
        <v>75</v>
      </c>
      <c r="G464" s="237" t="s">
        <v>2766</v>
      </c>
      <c r="H464" s="243" t="s">
        <v>27</v>
      </c>
      <c r="I464" s="243"/>
      <c r="J464" s="235" t="s">
        <v>433</v>
      </c>
      <c r="K464" s="240"/>
      <c r="L464" s="243" t="s">
        <v>231</v>
      </c>
      <c r="M464" s="243" t="s">
        <v>231</v>
      </c>
      <c r="N464" s="237"/>
      <c r="O464" s="237"/>
      <c r="P464" s="237"/>
      <c r="Q464" s="245">
        <v>45930</v>
      </c>
      <c r="R464" s="237" t="s">
        <v>309</v>
      </c>
      <c r="S464" s="331" t="s">
        <v>233</v>
      </c>
      <c r="T464" s="237" t="s">
        <v>228</v>
      </c>
      <c r="U464" s="237" t="s">
        <v>234</v>
      </c>
      <c r="V464" s="237" t="s">
        <v>652</v>
      </c>
      <c r="W464" s="245">
        <v>45986</v>
      </c>
      <c r="X464" s="237">
        <v>0</v>
      </c>
      <c r="Y464" s="237">
        <v>0</v>
      </c>
      <c r="Z464" s="237" t="s">
        <v>228</v>
      </c>
      <c r="AA464" s="237" t="s">
        <v>2775</v>
      </c>
      <c r="AB464" s="337" t="s">
        <v>228</v>
      </c>
      <c r="AC464" s="237" t="s">
        <v>228</v>
      </c>
      <c r="AD464" s="562"/>
      <c r="AE464" s="555"/>
      <c r="AF464" s="237"/>
    </row>
    <row r="465" spans="1:32" ht="13.5" customHeight="1">
      <c r="A465" s="235">
        <v>463</v>
      </c>
      <c r="B465" s="237"/>
      <c r="C465" s="255" t="s">
        <v>2776</v>
      </c>
      <c r="D465" s="237" t="s">
        <v>2777</v>
      </c>
      <c r="E465" s="237">
        <v>67</v>
      </c>
      <c r="F465" s="237" t="s">
        <v>75</v>
      </c>
      <c r="G465" s="237" t="s">
        <v>2778</v>
      </c>
      <c r="H465" s="243" t="s">
        <v>27</v>
      </c>
      <c r="I465" s="243"/>
      <c r="J465" s="235" t="s">
        <v>433</v>
      </c>
      <c r="K465" s="240"/>
      <c r="L465" s="243" t="s">
        <v>231</v>
      </c>
      <c r="M465" s="243" t="s">
        <v>231</v>
      </c>
      <c r="N465" s="237"/>
      <c r="O465" s="237"/>
      <c r="P465" s="237"/>
      <c r="Q465" s="245">
        <v>45930</v>
      </c>
      <c r="R465" s="237" t="s">
        <v>309</v>
      </c>
      <c r="S465" s="331" t="s">
        <v>233</v>
      </c>
      <c r="T465" s="237" t="s">
        <v>228</v>
      </c>
      <c r="U465" s="237" t="s">
        <v>234</v>
      </c>
      <c r="V465" s="237" t="s">
        <v>652</v>
      </c>
      <c r="W465" s="245">
        <v>45986</v>
      </c>
      <c r="X465" s="237">
        <v>0</v>
      </c>
      <c r="Y465" s="237">
        <v>0</v>
      </c>
      <c r="Z465" s="237" t="s">
        <v>228</v>
      </c>
      <c r="AA465" s="237" t="s">
        <v>2779</v>
      </c>
      <c r="AB465" s="337" t="s">
        <v>237</v>
      </c>
      <c r="AC465" s="237" t="s">
        <v>228</v>
      </c>
      <c r="AD465" s="562"/>
      <c r="AE465" s="555"/>
      <c r="AF465" s="237"/>
    </row>
    <row r="466" spans="1:32" ht="13.5" customHeight="1">
      <c r="A466" s="235">
        <v>464</v>
      </c>
      <c r="B466" s="237"/>
      <c r="C466" s="255" t="s">
        <v>2780</v>
      </c>
      <c r="D466" s="237" t="s">
        <v>2781</v>
      </c>
      <c r="E466" s="237">
        <v>47</v>
      </c>
      <c r="F466" s="237" t="s">
        <v>75</v>
      </c>
      <c r="G466" s="267" t="s">
        <v>2782</v>
      </c>
      <c r="H466" s="243" t="s">
        <v>188</v>
      </c>
      <c r="I466" s="243" t="s">
        <v>2783</v>
      </c>
      <c r="K466" s="240"/>
      <c r="L466" s="243" t="s">
        <v>231</v>
      </c>
      <c r="M466" s="243" t="s">
        <v>2784</v>
      </c>
      <c r="N466" s="237"/>
      <c r="O466" s="237"/>
      <c r="P466" s="237"/>
      <c r="Q466" s="245">
        <v>45958</v>
      </c>
      <c r="R466" s="237" t="s">
        <v>309</v>
      </c>
      <c r="S466" s="331" t="s">
        <v>233</v>
      </c>
      <c r="T466" s="237" t="s">
        <v>228</v>
      </c>
      <c r="U466" s="237" t="s">
        <v>234</v>
      </c>
      <c r="V466" s="237" t="s">
        <v>652</v>
      </c>
      <c r="W466" s="245">
        <v>45971</v>
      </c>
      <c r="X466" s="237" t="s">
        <v>2785</v>
      </c>
      <c r="Y466" s="237" t="s">
        <v>237</v>
      </c>
      <c r="Z466" s="237" t="s">
        <v>237</v>
      </c>
      <c r="AA466" s="237" t="s">
        <v>2786</v>
      </c>
      <c r="AB466" s="337" t="s">
        <v>237</v>
      </c>
      <c r="AC466" s="55" t="s">
        <v>353</v>
      </c>
      <c r="AD466" s="563">
        <v>46143</v>
      </c>
      <c r="AE466" s="555"/>
      <c r="AF466" s="237"/>
    </row>
    <row r="467" spans="1:32" ht="13.5" customHeight="1">
      <c r="A467" s="235">
        <v>465</v>
      </c>
      <c r="B467" s="237"/>
      <c r="C467" s="255" t="s">
        <v>2787</v>
      </c>
      <c r="D467" s="237" t="s">
        <v>2788</v>
      </c>
      <c r="E467" s="237">
        <v>59</v>
      </c>
      <c r="F467" s="237" t="s">
        <v>60</v>
      </c>
      <c r="G467" s="237" t="s">
        <v>2789</v>
      </c>
      <c r="H467" s="243" t="s">
        <v>4</v>
      </c>
      <c r="I467" s="249" t="s">
        <v>2790</v>
      </c>
      <c r="K467" s="240" t="s">
        <v>2791</v>
      </c>
      <c r="L467" s="243" t="s">
        <v>66</v>
      </c>
      <c r="M467" s="243" t="s">
        <v>231</v>
      </c>
      <c r="N467" s="237"/>
      <c r="O467" s="237"/>
      <c r="P467" s="237"/>
      <c r="Q467" s="245">
        <v>45964</v>
      </c>
      <c r="R467" s="237" t="s">
        <v>309</v>
      </c>
      <c r="S467" s="331" t="s">
        <v>233</v>
      </c>
      <c r="T467" s="237" t="s">
        <v>228</v>
      </c>
      <c r="U467" s="237" t="s">
        <v>234</v>
      </c>
      <c r="V467" s="237" t="s">
        <v>652</v>
      </c>
      <c r="W467" s="245">
        <v>45986</v>
      </c>
      <c r="X467" s="237">
        <v>0</v>
      </c>
      <c r="Y467" s="237" t="s">
        <v>237</v>
      </c>
      <c r="Z467" s="237" t="s">
        <v>237</v>
      </c>
      <c r="AA467" s="237" t="s">
        <v>2792</v>
      </c>
      <c r="AB467" s="337" t="s">
        <v>228</v>
      </c>
      <c r="AC467" s="237" t="s">
        <v>228</v>
      </c>
      <c r="AD467" s="562"/>
      <c r="AE467" s="555"/>
      <c r="AF467" s="237"/>
    </row>
    <row r="468" spans="1:32" ht="13.5" customHeight="1">
      <c r="A468" s="235">
        <v>466</v>
      </c>
      <c r="B468" s="237"/>
      <c r="C468" s="243" t="s">
        <v>2793</v>
      </c>
      <c r="D468" s="237" t="s">
        <v>2794</v>
      </c>
      <c r="E468" s="237">
        <v>68</v>
      </c>
      <c r="F468" s="237" t="s">
        <v>75</v>
      </c>
      <c r="G468" s="237" t="s">
        <v>2795</v>
      </c>
      <c r="H468" s="243" t="s">
        <v>3</v>
      </c>
      <c r="I468" s="243"/>
      <c r="J468" s="240" t="s">
        <v>886</v>
      </c>
      <c r="K468" s="240" t="s">
        <v>1318</v>
      </c>
      <c r="L468" s="243" t="s">
        <v>41</v>
      </c>
      <c r="M468" s="243" t="s">
        <v>231</v>
      </c>
      <c r="N468" s="237"/>
      <c r="O468" s="237"/>
      <c r="P468" s="237"/>
      <c r="Q468" s="245">
        <v>44930</v>
      </c>
      <c r="R468" s="237" t="s">
        <v>309</v>
      </c>
      <c r="S468" s="331" t="s">
        <v>233</v>
      </c>
      <c r="T468" s="237" t="s">
        <v>228</v>
      </c>
      <c r="U468" s="237" t="s">
        <v>234</v>
      </c>
      <c r="V468" s="237" t="s">
        <v>652</v>
      </c>
      <c r="W468" s="245">
        <v>45986</v>
      </c>
      <c r="X468" s="237">
        <v>0</v>
      </c>
      <c r="Y468" s="237">
        <v>0</v>
      </c>
      <c r="Z468" s="237" t="s">
        <v>228</v>
      </c>
      <c r="AA468" s="237" t="s">
        <v>2796</v>
      </c>
      <c r="AB468" s="337" t="s">
        <v>228</v>
      </c>
      <c r="AC468" s="237" t="s">
        <v>228</v>
      </c>
      <c r="AD468" s="562"/>
      <c r="AE468" s="550"/>
      <c r="AF468" s="237"/>
    </row>
    <row r="469" spans="1:32" ht="13.5" customHeight="1">
      <c r="A469" s="235">
        <v>467</v>
      </c>
      <c r="B469" s="237"/>
      <c r="C469" s="243" t="s">
        <v>2797</v>
      </c>
      <c r="D469" s="237" t="s">
        <v>2798</v>
      </c>
      <c r="E469" s="237">
        <v>65</v>
      </c>
      <c r="F469" s="237" t="s">
        <v>60</v>
      </c>
      <c r="G469" s="237" t="s">
        <v>2799</v>
      </c>
      <c r="H469" s="243" t="s">
        <v>4</v>
      </c>
      <c r="I469" s="243"/>
      <c r="J469" s="240" t="s">
        <v>886</v>
      </c>
      <c r="K469" s="240" t="s">
        <v>2800</v>
      </c>
      <c r="L469" s="243" t="s">
        <v>22</v>
      </c>
      <c r="M469" s="243" t="s">
        <v>231</v>
      </c>
      <c r="N469" s="237"/>
      <c r="O469" s="237"/>
      <c r="P469" s="237"/>
      <c r="Q469" s="245">
        <v>44931</v>
      </c>
      <c r="R469" s="237" t="s">
        <v>309</v>
      </c>
      <c r="S469" s="331" t="s">
        <v>233</v>
      </c>
      <c r="T469" s="237" t="s">
        <v>228</v>
      </c>
      <c r="U469" s="237" t="s">
        <v>234</v>
      </c>
      <c r="V469" s="237" t="s">
        <v>652</v>
      </c>
      <c r="W469" s="245">
        <v>45986</v>
      </c>
      <c r="X469" s="237">
        <v>0</v>
      </c>
      <c r="Y469" s="237">
        <v>0</v>
      </c>
      <c r="Z469" s="237" t="s">
        <v>228</v>
      </c>
      <c r="AA469" s="237" t="s">
        <v>2801</v>
      </c>
      <c r="AB469" s="337" t="s">
        <v>228</v>
      </c>
      <c r="AC469" s="237" t="s">
        <v>228</v>
      </c>
      <c r="AD469" s="562"/>
      <c r="AE469" s="550"/>
      <c r="AF469" s="237"/>
    </row>
    <row r="470" spans="1:32" ht="13.5" customHeight="1">
      <c r="A470" s="235">
        <v>468</v>
      </c>
      <c r="B470" s="237"/>
      <c r="C470" s="243" t="s">
        <v>2802</v>
      </c>
      <c r="D470" s="237" t="s">
        <v>2803</v>
      </c>
      <c r="E470" s="237">
        <v>58</v>
      </c>
      <c r="F470" s="237" t="s">
        <v>60</v>
      </c>
      <c r="G470" s="237" t="s">
        <v>2804</v>
      </c>
      <c r="H470" s="243" t="s">
        <v>3</v>
      </c>
      <c r="I470" s="243"/>
      <c r="J470" s="240" t="s">
        <v>886</v>
      </c>
      <c r="K470" s="240" t="s">
        <v>903</v>
      </c>
      <c r="L470" s="243" t="s">
        <v>45</v>
      </c>
      <c r="M470" s="243" t="s">
        <v>231</v>
      </c>
      <c r="N470" s="237"/>
      <c r="O470" s="237"/>
      <c r="P470" s="237"/>
      <c r="Q470" s="245">
        <v>44932</v>
      </c>
      <c r="R470" s="237" t="s">
        <v>309</v>
      </c>
      <c r="S470" s="331" t="s">
        <v>233</v>
      </c>
      <c r="T470" s="237" t="s">
        <v>228</v>
      </c>
      <c r="U470" s="237" t="s">
        <v>234</v>
      </c>
      <c r="V470" s="237" t="s">
        <v>652</v>
      </c>
      <c r="W470" s="245">
        <v>45986</v>
      </c>
      <c r="X470" s="237">
        <v>0</v>
      </c>
      <c r="Y470" s="237">
        <v>0</v>
      </c>
      <c r="Z470" s="237" t="s">
        <v>228</v>
      </c>
      <c r="AA470" s="237" t="s">
        <v>2805</v>
      </c>
      <c r="AB470" s="337" t="s">
        <v>228</v>
      </c>
      <c r="AC470" s="237" t="s">
        <v>228</v>
      </c>
      <c r="AD470" s="562"/>
      <c r="AE470" s="550"/>
      <c r="AF470" s="237"/>
    </row>
    <row r="471" spans="1:32" ht="13.5" customHeight="1">
      <c r="A471" s="235">
        <v>469</v>
      </c>
      <c r="B471" s="237"/>
      <c r="C471" s="243" t="s">
        <v>2806</v>
      </c>
      <c r="D471" s="237" t="s">
        <v>2807</v>
      </c>
      <c r="E471" s="237">
        <v>36</v>
      </c>
      <c r="F471" s="237" t="s">
        <v>75</v>
      </c>
      <c r="G471" s="237" t="s">
        <v>2808</v>
      </c>
      <c r="H471" s="243" t="s">
        <v>3</v>
      </c>
      <c r="I471" s="243"/>
      <c r="J471" s="240" t="s">
        <v>886</v>
      </c>
      <c r="K471" s="240" t="s">
        <v>2809</v>
      </c>
      <c r="L471" s="243" t="s">
        <v>22</v>
      </c>
      <c r="M471" s="243" t="s">
        <v>231</v>
      </c>
      <c r="N471" s="237"/>
      <c r="O471" s="237"/>
      <c r="P471" s="237"/>
      <c r="Q471" s="245">
        <v>44938</v>
      </c>
      <c r="R471" s="237" t="s">
        <v>309</v>
      </c>
      <c r="S471" s="331" t="s">
        <v>233</v>
      </c>
      <c r="T471" s="237" t="s">
        <v>228</v>
      </c>
      <c r="U471" s="237" t="s">
        <v>234</v>
      </c>
      <c r="V471" s="237" t="s">
        <v>652</v>
      </c>
      <c r="W471" s="245">
        <v>45986</v>
      </c>
      <c r="X471" s="237">
        <v>0</v>
      </c>
      <c r="Y471" s="237">
        <v>0</v>
      </c>
      <c r="Z471" s="237" t="s">
        <v>228</v>
      </c>
      <c r="AA471" s="237" t="s">
        <v>2810</v>
      </c>
      <c r="AB471" s="337" t="s">
        <v>228</v>
      </c>
      <c r="AC471" s="237" t="s">
        <v>228</v>
      </c>
      <c r="AD471" s="562"/>
      <c r="AE471" s="550"/>
      <c r="AF471" s="237"/>
    </row>
    <row r="472" spans="1:32" ht="13.5" customHeight="1">
      <c r="A472" s="235">
        <v>470</v>
      </c>
      <c r="B472" s="237">
        <v>211</v>
      </c>
      <c r="C472" s="255" t="s">
        <v>2811</v>
      </c>
      <c r="D472" s="237" t="s">
        <v>2812</v>
      </c>
      <c r="E472" s="237">
        <v>59</v>
      </c>
      <c r="F472" s="237" t="s">
        <v>60</v>
      </c>
      <c r="G472" s="237" t="s">
        <v>2813</v>
      </c>
      <c r="H472" s="243" t="s">
        <v>3</v>
      </c>
      <c r="I472" s="243"/>
      <c r="J472" s="240" t="s">
        <v>886</v>
      </c>
      <c r="K472" s="240" t="s">
        <v>2814</v>
      </c>
      <c r="L472" s="243" t="s">
        <v>1117</v>
      </c>
      <c r="M472" s="246" t="s">
        <v>228</v>
      </c>
      <c r="N472" s="237"/>
      <c r="O472" s="237"/>
      <c r="P472" s="237"/>
      <c r="Q472" s="245">
        <v>45645</v>
      </c>
      <c r="R472" s="237" t="s">
        <v>232</v>
      </c>
      <c r="S472" s="331" t="s">
        <v>233</v>
      </c>
      <c r="T472" s="237" t="s">
        <v>228</v>
      </c>
      <c r="U472" s="237" t="s">
        <v>234</v>
      </c>
      <c r="V472" s="237" t="s">
        <v>473</v>
      </c>
      <c r="W472" s="245">
        <v>45768</v>
      </c>
      <c r="X472" s="237" t="s">
        <v>2815</v>
      </c>
      <c r="Y472" s="237" t="s">
        <v>237</v>
      </c>
      <c r="Z472" s="237" t="s">
        <v>237</v>
      </c>
      <c r="AA472" s="237" t="s">
        <v>2816</v>
      </c>
      <c r="AB472" s="337" t="s">
        <v>228</v>
      </c>
      <c r="AC472" s="237" t="s">
        <v>228</v>
      </c>
      <c r="AD472" s="562"/>
      <c r="AE472" s="555"/>
      <c r="AF472" s="237"/>
    </row>
    <row r="473" spans="1:32" ht="13.5" customHeight="1">
      <c r="A473" s="235">
        <v>471</v>
      </c>
      <c r="B473" s="235">
        <v>0</v>
      </c>
      <c r="C473" s="243" t="s">
        <v>2817</v>
      </c>
      <c r="D473" s="235" t="s">
        <v>2818</v>
      </c>
      <c r="E473" s="235">
        <v>65</v>
      </c>
      <c r="F473" s="235" t="s">
        <v>60</v>
      </c>
      <c r="G473" s="235" t="s">
        <v>2819</v>
      </c>
      <c r="H473" s="243" t="s">
        <v>3</v>
      </c>
      <c r="I473" s="243"/>
      <c r="J473" s="240" t="s">
        <v>886</v>
      </c>
      <c r="K473" s="240" t="s">
        <v>903</v>
      </c>
      <c r="L473" s="243" t="s">
        <v>45</v>
      </c>
      <c r="M473" s="246" t="s">
        <v>228</v>
      </c>
      <c r="N473" s="237"/>
      <c r="O473" s="237"/>
      <c r="P473" s="237"/>
      <c r="Q473" s="245">
        <v>45659</v>
      </c>
      <c r="R473" s="237" t="s">
        <v>309</v>
      </c>
      <c r="S473" s="331" t="s">
        <v>233</v>
      </c>
      <c r="T473" s="237" t="s">
        <v>228</v>
      </c>
      <c r="U473" s="237" t="s">
        <v>234</v>
      </c>
      <c r="V473" s="237" t="s">
        <v>228</v>
      </c>
      <c r="W473" s="237" t="s">
        <v>228</v>
      </c>
      <c r="X473" s="237" t="s">
        <v>228</v>
      </c>
      <c r="Y473" s="237" t="s">
        <v>228</v>
      </c>
      <c r="Z473" s="237" t="s">
        <v>228</v>
      </c>
      <c r="AA473" s="237" t="s">
        <v>2820</v>
      </c>
      <c r="AB473" s="337" t="s">
        <v>228</v>
      </c>
      <c r="AC473" s="237" t="s">
        <v>228</v>
      </c>
      <c r="AD473" s="562"/>
      <c r="AE473" s="550"/>
      <c r="AF473" s="237"/>
    </row>
    <row r="474" spans="1:32" ht="13.5" customHeight="1">
      <c r="A474" s="235">
        <v>472</v>
      </c>
      <c r="B474" s="235">
        <v>0</v>
      </c>
      <c r="C474" s="243" t="s">
        <v>2821</v>
      </c>
      <c r="D474" s="235" t="s">
        <v>2822</v>
      </c>
      <c r="E474" s="235">
        <v>63</v>
      </c>
      <c r="F474" s="235" t="s">
        <v>75</v>
      </c>
      <c r="G474" s="235" t="s">
        <v>2823</v>
      </c>
      <c r="H474" s="243" t="s">
        <v>3</v>
      </c>
      <c r="I474" s="243"/>
      <c r="J474" s="240" t="s">
        <v>886</v>
      </c>
      <c r="K474" s="240" t="s">
        <v>2824</v>
      </c>
      <c r="L474" s="243" t="s">
        <v>1102</v>
      </c>
      <c r="M474" s="246" t="s">
        <v>228</v>
      </c>
      <c r="N474" s="237"/>
      <c r="O474" s="237"/>
      <c r="P474" s="237"/>
      <c r="Q474" s="245">
        <v>45660</v>
      </c>
      <c r="R474" s="237" t="s">
        <v>309</v>
      </c>
      <c r="S474" s="331" t="s">
        <v>233</v>
      </c>
      <c r="T474" s="237" t="s">
        <v>228</v>
      </c>
      <c r="U474" s="237" t="s">
        <v>234</v>
      </c>
      <c r="V474" s="237" t="s">
        <v>228</v>
      </c>
      <c r="W474" s="237" t="s">
        <v>228</v>
      </c>
      <c r="X474" s="237" t="s">
        <v>228</v>
      </c>
      <c r="Y474" s="237" t="s">
        <v>228</v>
      </c>
      <c r="Z474" s="237" t="s">
        <v>228</v>
      </c>
      <c r="AA474" s="237" t="s">
        <v>2825</v>
      </c>
      <c r="AB474" s="337" t="s">
        <v>228</v>
      </c>
      <c r="AC474" s="237" t="s">
        <v>228</v>
      </c>
      <c r="AD474" s="562"/>
      <c r="AE474" s="550"/>
      <c r="AF474" s="237"/>
    </row>
    <row r="475" spans="1:32" ht="13.5" customHeight="1">
      <c r="A475" s="235">
        <v>473</v>
      </c>
      <c r="B475" s="235">
        <v>0</v>
      </c>
      <c r="C475" s="243" t="s">
        <v>2826</v>
      </c>
      <c r="D475" s="235" t="s">
        <v>2827</v>
      </c>
      <c r="E475" s="235">
        <v>32</v>
      </c>
      <c r="F475" s="235" t="s">
        <v>75</v>
      </c>
      <c r="G475" s="235" t="s">
        <v>2828</v>
      </c>
      <c r="H475" s="243" t="s">
        <v>3</v>
      </c>
      <c r="I475" s="243"/>
      <c r="J475" s="240" t="s">
        <v>886</v>
      </c>
      <c r="K475" s="240" t="s">
        <v>2829</v>
      </c>
      <c r="L475" s="288" t="s">
        <v>926</v>
      </c>
      <c r="M475" s="246" t="s">
        <v>228</v>
      </c>
      <c r="N475" s="237"/>
      <c r="O475" s="237"/>
      <c r="P475" s="237"/>
      <c r="Q475" s="245">
        <v>45660</v>
      </c>
      <c r="R475" s="237" t="s">
        <v>309</v>
      </c>
      <c r="S475" s="331" t="s">
        <v>233</v>
      </c>
      <c r="T475" s="237" t="s">
        <v>228</v>
      </c>
      <c r="U475" s="237" t="s">
        <v>234</v>
      </c>
      <c r="V475" s="237" t="s">
        <v>228</v>
      </c>
      <c r="W475" s="237" t="s">
        <v>228</v>
      </c>
      <c r="X475" s="237" t="s">
        <v>228</v>
      </c>
      <c r="Y475" s="237" t="s">
        <v>228</v>
      </c>
      <c r="Z475" s="237" t="s">
        <v>228</v>
      </c>
      <c r="AA475" s="237" t="s">
        <v>2830</v>
      </c>
      <c r="AB475" s="337" t="s">
        <v>228</v>
      </c>
      <c r="AC475" s="237" t="s">
        <v>228</v>
      </c>
      <c r="AD475" s="562"/>
      <c r="AE475" s="550"/>
      <c r="AF475" s="237"/>
    </row>
    <row r="476" spans="1:32" ht="13.5" customHeight="1">
      <c r="A476" s="235">
        <v>474</v>
      </c>
      <c r="B476" s="235">
        <v>0</v>
      </c>
      <c r="C476" s="243" t="s">
        <v>2831</v>
      </c>
      <c r="D476" s="235" t="s">
        <v>2832</v>
      </c>
      <c r="E476" s="235">
        <v>74</v>
      </c>
      <c r="F476" s="235" t="s">
        <v>60</v>
      </c>
      <c r="G476" s="235" t="s">
        <v>2833</v>
      </c>
      <c r="H476" s="243" t="s">
        <v>3</v>
      </c>
      <c r="I476" s="243"/>
      <c r="J476" s="240" t="s">
        <v>886</v>
      </c>
      <c r="K476" s="240" t="s">
        <v>1038</v>
      </c>
      <c r="L476" s="243" t="s">
        <v>1642</v>
      </c>
      <c r="M476" s="246" t="s">
        <v>228</v>
      </c>
      <c r="N476" s="237"/>
      <c r="O476" s="237"/>
      <c r="P476" s="237"/>
      <c r="Q476" s="245">
        <v>45660</v>
      </c>
      <c r="R476" s="237" t="s">
        <v>309</v>
      </c>
      <c r="S476" s="331" t="s">
        <v>233</v>
      </c>
      <c r="T476" s="237" t="s">
        <v>228</v>
      </c>
      <c r="U476" s="237" t="s">
        <v>234</v>
      </c>
      <c r="V476" s="237" t="s">
        <v>228</v>
      </c>
      <c r="W476" s="237" t="s">
        <v>228</v>
      </c>
      <c r="X476" s="237" t="s">
        <v>228</v>
      </c>
      <c r="Y476" s="237" t="s">
        <v>228</v>
      </c>
      <c r="Z476" s="237" t="s">
        <v>228</v>
      </c>
      <c r="AA476" s="237" t="s">
        <v>2834</v>
      </c>
      <c r="AB476" s="337" t="s">
        <v>228</v>
      </c>
      <c r="AC476" s="237" t="s">
        <v>228</v>
      </c>
      <c r="AD476" s="562"/>
      <c r="AE476" s="550"/>
      <c r="AF476" s="237"/>
    </row>
    <row r="477" spans="1:32" ht="13.5" customHeight="1">
      <c r="A477" s="235">
        <v>475</v>
      </c>
      <c r="B477" s="235">
        <v>0</v>
      </c>
      <c r="C477" s="243" t="s">
        <v>2835</v>
      </c>
      <c r="D477" s="235" t="s">
        <v>2836</v>
      </c>
      <c r="E477" s="235">
        <v>52</v>
      </c>
      <c r="F477" s="235" t="s">
        <v>75</v>
      </c>
      <c r="G477" s="235" t="s">
        <v>2837</v>
      </c>
      <c r="H477" s="243" t="s">
        <v>3</v>
      </c>
      <c r="I477" s="243"/>
      <c r="J477" s="240" t="s">
        <v>886</v>
      </c>
      <c r="K477" s="240" t="s">
        <v>1720</v>
      </c>
      <c r="L477" s="243" t="s">
        <v>16</v>
      </c>
      <c r="M477" s="246" t="s">
        <v>228</v>
      </c>
      <c r="N477" s="237"/>
      <c r="O477" s="237"/>
      <c r="P477" s="237"/>
      <c r="Q477" s="245">
        <v>45660</v>
      </c>
      <c r="R477" s="237" t="s">
        <v>309</v>
      </c>
      <c r="S477" s="331" t="s">
        <v>233</v>
      </c>
      <c r="T477" s="237" t="s">
        <v>228</v>
      </c>
      <c r="U477" s="237" t="s">
        <v>234</v>
      </c>
      <c r="V477" s="237" t="s">
        <v>228</v>
      </c>
      <c r="W477" s="237" t="s">
        <v>228</v>
      </c>
      <c r="X477" s="237" t="s">
        <v>228</v>
      </c>
      <c r="Y477" s="237" t="s">
        <v>228</v>
      </c>
      <c r="Z477" s="237" t="s">
        <v>228</v>
      </c>
      <c r="AA477" s="237" t="s">
        <v>2838</v>
      </c>
      <c r="AB477" s="337" t="s">
        <v>228</v>
      </c>
      <c r="AC477" s="237" t="s">
        <v>228</v>
      </c>
      <c r="AD477" s="562"/>
      <c r="AE477" s="550"/>
      <c r="AF477" s="237"/>
    </row>
    <row r="478" spans="1:32" ht="13.5" customHeight="1">
      <c r="A478" s="235">
        <v>476</v>
      </c>
      <c r="B478" s="235">
        <v>362</v>
      </c>
      <c r="C478" s="243" t="s">
        <v>2839</v>
      </c>
      <c r="D478" s="235" t="s">
        <v>2840</v>
      </c>
      <c r="E478" s="235">
        <v>57</v>
      </c>
      <c r="F478" s="235" t="s">
        <v>60</v>
      </c>
      <c r="G478" s="235" t="s">
        <v>2841</v>
      </c>
      <c r="H478" s="243" t="s">
        <v>27</v>
      </c>
      <c r="I478" s="243"/>
      <c r="J478" s="235" t="s">
        <v>433</v>
      </c>
      <c r="K478" s="240"/>
      <c r="L478" s="243" t="s">
        <v>231</v>
      </c>
      <c r="M478" s="243" t="s">
        <v>32</v>
      </c>
      <c r="N478" s="237"/>
      <c r="O478" s="237"/>
      <c r="P478" s="237"/>
      <c r="Q478" s="245">
        <v>45650</v>
      </c>
      <c r="R478" s="237" t="s">
        <v>309</v>
      </c>
      <c r="S478" s="331" t="s">
        <v>233</v>
      </c>
      <c r="T478" s="237">
        <v>8.5</v>
      </c>
      <c r="U478" s="237" t="s">
        <v>234</v>
      </c>
      <c r="V478" s="237" t="s">
        <v>235</v>
      </c>
      <c r="W478" s="237">
        <v>45692</v>
      </c>
      <c r="X478" s="237" t="s">
        <v>2842</v>
      </c>
      <c r="Y478" s="237" t="s">
        <v>237</v>
      </c>
      <c r="Z478" s="237" t="s">
        <v>228</v>
      </c>
      <c r="AA478" s="237" t="s">
        <v>2843</v>
      </c>
      <c r="AB478" s="337" t="s">
        <v>228</v>
      </c>
      <c r="AC478" s="237" t="s">
        <v>228</v>
      </c>
      <c r="AD478" s="562"/>
      <c r="AE478" s="550"/>
      <c r="AF478" s="237"/>
    </row>
    <row r="479" spans="1:32" ht="13.5" customHeight="1">
      <c r="A479" s="235">
        <v>477</v>
      </c>
      <c r="B479" s="235">
        <v>155</v>
      </c>
      <c r="C479" s="255" t="s">
        <v>2844</v>
      </c>
      <c r="D479" s="235" t="s">
        <v>2845</v>
      </c>
      <c r="E479" s="235">
        <v>40</v>
      </c>
      <c r="F479" s="235" t="s">
        <v>60</v>
      </c>
      <c r="G479" s="235" t="s">
        <v>2846</v>
      </c>
      <c r="H479" s="243" t="s">
        <v>188</v>
      </c>
      <c r="I479" s="243"/>
      <c r="K479" s="240"/>
      <c r="L479" s="243" t="s">
        <v>231</v>
      </c>
      <c r="M479" s="246" t="s">
        <v>228</v>
      </c>
      <c r="N479" s="237" t="s">
        <v>2847</v>
      </c>
      <c r="O479" s="237" t="s">
        <v>228</v>
      </c>
      <c r="P479" s="237" t="s">
        <v>231</v>
      </c>
      <c r="Q479" s="245">
        <v>45090</v>
      </c>
      <c r="R479" s="237" t="s">
        <v>309</v>
      </c>
      <c r="S479" s="331" t="s">
        <v>233</v>
      </c>
      <c r="T479" s="237" t="s">
        <v>228</v>
      </c>
      <c r="U479" s="237" t="s">
        <v>234</v>
      </c>
      <c r="V479" s="237" t="s">
        <v>228</v>
      </c>
      <c r="W479" s="237" t="s">
        <v>228</v>
      </c>
      <c r="X479" s="237" t="s">
        <v>228</v>
      </c>
      <c r="Y479" s="237" t="s">
        <v>228</v>
      </c>
      <c r="Z479" s="237" t="s">
        <v>228</v>
      </c>
      <c r="AA479" s="237" t="s">
        <v>2848</v>
      </c>
      <c r="AB479" s="337" t="s">
        <v>228</v>
      </c>
      <c r="AC479" s="237" t="s">
        <v>228</v>
      </c>
      <c r="AD479" s="562"/>
      <c r="AE479" s="555"/>
      <c r="AF479" s="237"/>
    </row>
    <row r="480" spans="1:32" ht="13.5" customHeight="1">
      <c r="A480" s="235">
        <v>478</v>
      </c>
      <c r="B480" s="235" t="s">
        <v>2849</v>
      </c>
      <c r="C480" s="255" t="s">
        <v>2850</v>
      </c>
      <c r="D480" s="235" t="s">
        <v>2851</v>
      </c>
      <c r="E480" s="235">
        <v>23</v>
      </c>
      <c r="F480" s="235" t="s">
        <v>60</v>
      </c>
      <c r="G480" s="235" t="s">
        <v>2852</v>
      </c>
      <c r="H480" s="243" t="s">
        <v>188</v>
      </c>
      <c r="I480" s="243"/>
      <c r="K480" s="240"/>
      <c r="L480" s="243" t="s">
        <v>231</v>
      </c>
      <c r="M480" s="246" t="s">
        <v>228</v>
      </c>
      <c r="N480" s="237"/>
      <c r="O480" s="237"/>
      <c r="P480" s="237"/>
      <c r="Q480" s="245">
        <v>45456</v>
      </c>
      <c r="R480" s="237" t="s">
        <v>309</v>
      </c>
      <c r="S480" s="331" t="s">
        <v>233</v>
      </c>
      <c r="T480" s="237" t="s">
        <v>228</v>
      </c>
      <c r="U480" s="237" t="s">
        <v>234</v>
      </c>
      <c r="V480" s="237" t="s">
        <v>228</v>
      </c>
      <c r="W480" s="237" t="s">
        <v>228</v>
      </c>
      <c r="X480" s="237" t="s">
        <v>228</v>
      </c>
      <c r="Y480" s="237" t="s">
        <v>228</v>
      </c>
      <c r="Z480" s="237" t="s">
        <v>228</v>
      </c>
      <c r="AA480" s="237" t="s">
        <v>2853</v>
      </c>
      <c r="AB480" s="337" t="s">
        <v>228</v>
      </c>
      <c r="AC480" s="237" t="s">
        <v>228</v>
      </c>
      <c r="AD480" s="562"/>
      <c r="AE480" s="555"/>
      <c r="AF480" s="237"/>
    </row>
    <row r="481" spans="1:32" ht="13.5" customHeight="1">
      <c r="A481" s="235">
        <v>479</v>
      </c>
      <c r="B481" s="235" t="s">
        <v>2854</v>
      </c>
      <c r="C481" s="255" t="s">
        <v>2855</v>
      </c>
      <c r="D481" s="235" t="s">
        <v>2856</v>
      </c>
      <c r="E481" s="235">
        <v>21</v>
      </c>
      <c r="F481" s="235" t="s">
        <v>60</v>
      </c>
      <c r="G481" s="235" t="s">
        <v>2857</v>
      </c>
      <c r="H481" s="243" t="s">
        <v>188</v>
      </c>
      <c r="I481" s="243"/>
      <c r="K481" s="240"/>
      <c r="L481" s="243" t="s">
        <v>231</v>
      </c>
      <c r="M481" s="246" t="s">
        <v>228</v>
      </c>
      <c r="N481" s="237"/>
      <c r="O481" s="237"/>
      <c r="P481" s="237"/>
      <c r="Q481" s="245">
        <v>45456</v>
      </c>
      <c r="R481" s="237" t="s">
        <v>309</v>
      </c>
      <c r="S481" s="331" t="s">
        <v>233</v>
      </c>
      <c r="T481" s="237" t="s">
        <v>228</v>
      </c>
      <c r="U481" s="237" t="s">
        <v>234</v>
      </c>
      <c r="V481" s="237" t="s">
        <v>228</v>
      </c>
      <c r="W481" s="237" t="s">
        <v>228</v>
      </c>
      <c r="X481" s="237" t="s">
        <v>228</v>
      </c>
      <c r="Y481" s="237" t="s">
        <v>228</v>
      </c>
      <c r="Z481" s="237" t="s">
        <v>228</v>
      </c>
      <c r="AA481" s="237" t="s">
        <v>2858</v>
      </c>
      <c r="AB481" s="337" t="s">
        <v>228</v>
      </c>
      <c r="AC481" s="237" t="s">
        <v>228</v>
      </c>
      <c r="AD481" s="562"/>
      <c r="AE481" s="555"/>
      <c r="AF481" s="237"/>
    </row>
    <row r="482" spans="1:32" ht="13.5" customHeight="1">
      <c r="A482" s="235">
        <v>480</v>
      </c>
      <c r="B482" s="235" t="s">
        <v>2859</v>
      </c>
      <c r="C482" s="255" t="s">
        <v>2860</v>
      </c>
      <c r="D482" s="235" t="s">
        <v>2861</v>
      </c>
      <c r="E482" s="235">
        <v>18</v>
      </c>
      <c r="F482" s="235" t="s">
        <v>60</v>
      </c>
      <c r="G482" s="235" t="s">
        <v>2862</v>
      </c>
      <c r="H482" s="243" t="s">
        <v>188</v>
      </c>
      <c r="I482" s="243"/>
      <c r="K482" s="240"/>
      <c r="L482" s="243" t="s">
        <v>231</v>
      </c>
      <c r="M482" s="246" t="s">
        <v>228</v>
      </c>
      <c r="N482" s="237"/>
      <c r="O482" s="237"/>
      <c r="P482" s="237"/>
      <c r="Q482" s="245">
        <v>45456</v>
      </c>
      <c r="R482" s="237" t="s">
        <v>309</v>
      </c>
      <c r="S482" s="331" t="s">
        <v>233</v>
      </c>
      <c r="T482" s="237" t="s">
        <v>228</v>
      </c>
      <c r="U482" s="237" t="s">
        <v>234</v>
      </c>
      <c r="V482" s="237" t="s">
        <v>228</v>
      </c>
      <c r="W482" s="237" t="s">
        <v>228</v>
      </c>
      <c r="X482" s="237" t="s">
        <v>228</v>
      </c>
      <c r="Y482" s="237" t="s">
        <v>228</v>
      </c>
      <c r="Z482" s="237" t="s">
        <v>228</v>
      </c>
      <c r="AA482" s="237" t="s">
        <v>2863</v>
      </c>
      <c r="AB482" s="337" t="s">
        <v>228</v>
      </c>
      <c r="AC482" s="237" t="s">
        <v>228</v>
      </c>
      <c r="AD482" s="562"/>
      <c r="AE482" s="555"/>
      <c r="AF482" s="237"/>
    </row>
    <row r="483" spans="1:32" ht="13.5" customHeight="1">
      <c r="A483" s="235">
        <v>481</v>
      </c>
      <c r="B483" s="235" t="s">
        <v>2864</v>
      </c>
      <c r="C483" s="255" t="s">
        <v>2865</v>
      </c>
      <c r="D483" s="235" t="s">
        <v>2866</v>
      </c>
      <c r="E483" s="235">
        <v>21</v>
      </c>
      <c r="F483" s="235" t="s">
        <v>60</v>
      </c>
      <c r="G483" s="235" t="s">
        <v>2867</v>
      </c>
      <c r="H483" s="243" t="s">
        <v>188</v>
      </c>
      <c r="I483" s="243"/>
      <c r="K483" s="240"/>
      <c r="L483" s="243" t="s">
        <v>231</v>
      </c>
      <c r="M483" s="246" t="s">
        <v>228</v>
      </c>
      <c r="N483" s="237"/>
      <c r="O483" s="237"/>
      <c r="P483" s="237"/>
      <c r="Q483" s="245">
        <v>45456</v>
      </c>
      <c r="R483" s="237" t="s">
        <v>309</v>
      </c>
      <c r="S483" s="331" t="s">
        <v>233</v>
      </c>
      <c r="T483" s="237" t="s">
        <v>228</v>
      </c>
      <c r="U483" s="237" t="s">
        <v>234</v>
      </c>
      <c r="V483" s="237" t="s">
        <v>228</v>
      </c>
      <c r="W483" s="237" t="s">
        <v>228</v>
      </c>
      <c r="X483" s="237" t="s">
        <v>228</v>
      </c>
      <c r="Y483" s="237" t="s">
        <v>228</v>
      </c>
      <c r="Z483" s="237" t="s">
        <v>228</v>
      </c>
      <c r="AA483" s="237" t="s">
        <v>2868</v>
      </c>
      <c r="AB483" s="337" t="s">
        <v>228</v>
      </c>
      <c r="AC483" s="237" t="s">
        <v>228</v>
      </c>
      <c r="AD483" s="562"/>
      <c r="AE483" s="555"/>
      <c r="AF483" s="237"/>
    </row>
    <row r="484" spans="1:32" ht="13.5" customHeight="1">
      <c r="A484" s="235">
        <v>482</v>
      </c>
      <c r="B484" s="235" t="s">
        <v>2869</v>
      </c>
      <c r="C484" s="255" t="s">
        <v>2870</v>
      </c>
      <c r="D484" s="235" t="s">
        <v>2871</v>
      </c>
      <c r="E484" s="235">
        <v>23</v>
      </c>
      <c r="F484" s="235" t="s">
        <v>60</v>
      </c>
      <c r="G484" s="235" t="s">
        <v>2872</v>
      </c>
      <c r="H484" s="243" t="s">
        <v>188</v>
      </c>
      <c r="I484" s="243"/>
      <c r="K484" s="240"/>
      <c r="L484" s="243" t="s">
        <v>231</v>
      </c>
      <c r="M484" s="246" t="s">
        <v>228</v>
      </c>
      <c r="N484" s="237"/>
      <c r="O484" s="237"/>
      <c r="P484" s="237"/>
      <c r="Q484" s="245">
        <v>45456</v>
      </c>
      <c r="R484" s="237" t="s">
        <v>309</v>
      </c>
      <c r="S484" s="331" t="s">
        <v>233</v>
      </c>
      <c r="T484" s="237" t="s">
        <v>228</v>
      </c>
      <c r="U484" s="237" t="s">
        <v>234</v>
      </c>
      <c r="V484" s="237" t="s">
        <v>228</v>
      </c>
      <c r="W484" s="237" t="s">
        <v>228</v>
      </c>
      <c r="X484" s="237" t="s">
        <v>228</v>
      </c>
      <c r="Y484" s="237" t="s">
        <v>228</v>
      </c>
      <c r="Z484" s="237" t="s">
        <v>228</v>
      </c>
      <c r="AA484" s="237" t="s">
        <v>2873</v>
      </c>
      <c r="AB484" s="337" t="s">
        <v>228</v>
      </c>
      <c r="AC484" s="237" t="s">
        <v>228</v>
      </c>
      <c r="AD484" s="562"/>
      <c r="AE484" s="555"/>
      <c r="AF484" s="237"/>
    </row>
    <row r="485" spans="1:32" ht="13.5" customHeight="1">
      <c r="A485" s="235">
        <v>483</v>
      </c>
      <c r="B485" s="235" t="s">
        <v>2874</v>
      </c>
      <c r="C485" s="255" t="s">
        <v>2875</v>
      </c>
      <c r="D485" s="235" t="s">
        <v>2876</v>
      </c>
      <c r="E485" s="235">
        <v>22</v>
      </c>
      <c r="F485" s="235" t="s">
        <v>60</v>
      </c>
      <c r="G485" s="235" t="s">
        <v>2877</v>
      </c>
      <c r="H485" s="243" t="s">
        <v>188</v>
      </c>
      <c r="I485" s="243"/>
      <c r="K485" s="240"/>
      <c r="L485" s="243" t="s">
        <v>231</v>
      </c>
      <c r="M485" s="246" t="s">
        <v>228</v>
      </c>
      <c r="N485" s="237"/>
      <c r="O485" s="237"/>
      <c r="P485" s="237"/>
      <c r="Q485" s="245">
        <v>45456</v>
      </c>
      <c r="R485" s="237" t="s">
        <v>309</v>
      </c>
      <c r="S485" s="331" t="s">
        <v>233</v>
      </c>
      <c r="T485" s="237" t="s">
        <v>228</v>
      </c>
      <c r="U485" s="237" t="s">
        <v>234</v>
      </c>
      <c r="V485" s="237" t="s">
        <v>228</v>
      </c>
      <c r="W485" s="237" t="s">
        <v>228</v>
      </c>
      <c r="X485" s="237" t="s">
        <v>228</v>
      </c>
      <c r="Y485" s="237" t="s">
        <v>228</v>
      </c>
      <c r="Z485" s="237" t="s">
        <v>228</v>
      </c>
      <c r="AA485" s="237" t="s">
        <v>2878</v>
      </c>
      <c r="AB485" s="337" t="s">
        <v>228</v>
      </c>
      <c r="AC485" s="237" t="s">
        <v>228</v>
      </c>
      <c r="AD485" s="562"/>
      <c r="AE485" s="555"/>
      <c r="AF485" s="237"/>
    </row>
    <row r="486" spans="1:32" ht="13.5" customHeight="1">
      <c r="A486" s="235">
        <v>484</v>
      </c>
      <c r="B486" s="235" t="s">
        <v>2879</v>
      </c>
      <c r="C486" s="255" t="s">
        <v>2880</v>
      </c>
      <c r="D486" s="235" t="s">
        <v>2881</v>
      </c>
      <c r="E486" s="235">
        <v>24</v>
      </c>
      <c r="F486" s="235" t="s">
        <v>60</v>
      </c>
      <c r="G486" s="235" t="s">
        <v>2882</v>
      </c>
      <c r="H486" s="243" t="s">
        <v>188</v>
      </c>
      <c r="I486" s="243"/>
      <c r="K486" s="240"/>
      <c r="L486" s="243" t="s">
        <v>231</v>
      </c>
      <c r="M486" s="246" t="s">
        <v>228</v>
      </c>
      <c r="N486" s="237"/>
      <c r="O486" s="237"/>
      <c r="P486" s="237"/>
      <c r="Q486" s="245">
        <v>45456</v>
      </c>
      <c r="R486" s="237" t="s">
        <v>309</v>
      </c>
      <c r="S486" s="331" t="s">
        <v>233</v>
      </c>
      <c r="T486" s="237" t="s">
        <v>228</v>
      </c>
      <c r="U486" s="237" t="s">
        <v>234</v>
      </c>
      <c r="V486" s="237" t="s">
        <v>228</v>
      </c>
      <c r="W486" s="237" t="s">
        <v>228</v>
      </c>
      <c r="X486" s="237" t="s">
        <v>228</v>
      </c>
      <c r="Y486" s="237" t="s">
        <v>228</v>
      </c>
      <c r="Z486" s="237" t="s">
        <v>228</v>
      </c>
      <c r="AA486" s="237" t="s">
        <v>2883</v>
      </c>
      <c r="AB486" s="337" t="s">
        <v>228</v>
      </c>
      <c r="AC486" s="237" t="s">
        <v>228</v>
      </c>
      <c r="AD486" s="562"/>
      <c r="AE486" s="555"/>
      <c r="AF486" s="237"/>
    </row>
    <row r="487" spans="1:32" ht="13.5" customHeight="1">
      <c r="A487" s="235">
        <v>485</v>
      </c>
      <c r="B487" s="235" t="s">
        <v>2884</v>
      </c>
      <c r="C487" s="255" t="s">
        <v>2885</v>
      </c>
      <c r="D487" s="235" t="s">
        <v>2886</v>
      </c>
      <c r="E487" s="235">
        <v>28</v>
      </c>
      <c r="F487" s="235" t="s">
        <v>60</v>
      </c>
      <c r="G487" s="235" t="s">
        <v>2887</v>
      </c>
      <c r="H487" s="243" t="s">
        <v>188</v>
      </c>
      <c r="I487" s="243"/>
      <c r="K487" s="240"/>
      <c r="L487" s="243" t="s">
        <v>231</v>
      </c>
      <c r="M487" s="246" t="s">
        <v>228</v>
      </c>
      <c r="N487" s="237"/>
      <c r="O487" s="237"/>
      <c r="P487" s="237"/>
      <c r="Q487" s="245">
        <v>45461</v>
      </c>
      <c r="R487" s="237" t="s">
        <v>309</v>
      </c>
      <c r="S487" s="331" t="s">
        <v>233</v>
      </c>
      <c r="T487" s="237" t="s">
        <v>228</v>
      </c>
      <c r="U487" s="237" t="s">
        <v>234</v>
      </c>
      <c r="V487" s="237" t="s">
        <v>228</v>
      </c>
      <c r="W487" s="237" t="s">
        <v>228</v>
      </c>
      <c r="X487" s="237" t="s">
        <v>228</v>
      </c>
      <c r="Y487" s="237" t="s">
        <v>228</v>
      </c>
      <c r="Z487" s="237" t="s">
        <v>228</v>
      </c>
      <c r="AA487" s="237" t="s">
        <v>2888</v>
      </c>
      <c r="AB487" s="337" t="s">
        <v>228</v>
      </c>
      <c r="AC487" s="237" t="s">
        <v>228</v>
      </c>
      <c r="AD487" s="562"/>
      <c r="AE487" s="555"/>
      <c r="AF487" s="237"/>
    </row>
    <row r="488" spans="1:32" ht="13.5" customHeight="1">
      <c r="A488" s="235">
        <v>486</v>
      </c>
      <c r="B488" s="235" t="s">
        <v>2889</v>
      </c>
      <c r="C488" s="255" t="s">
        <v>2890</v>
      </c>
      <c r="D488" s="235" t="s">
        <v>2891</v>
      </c>
      <c r="E488" s="235">
        <v>26</v>
      </c>
      <c r="F488" s="235" t="s">
        <v>60</v>
      </c>
      <c r="G488" s="235" t="s">
        <v>2892</v>
      </c>
      <c r="H488" s="243" t="s">
        <v>188</v>
      </c>
      <c r="I488" s="243"/>
      <c r="K488" s="240"/>
      <c r="L488" s="243" t="s">
        <v>231</v>
      </c>
      <c r="M488" s="246" t="s">
        <v>228</v>
      </c>
      <c r="N488" s="237"/>
      <c r="O488" s="237"/>
      <c r="P488" s="237"/>
      <c r="Q488" s="245">
        <v>45461</v>
      </c>
      <c r="R488" s="237" t="s">
        <v>309</v>
      </c>
      <c r="S488" s="331" t="s">
        <v>233</v>
      </c>
      <c r="T488" s="237" t="s">
        <v>228</v>
      </c>
      <c r="U488" s="237" t="s">
        <v>234</v>
      </c>
      <c r="V488" s="237" t="s">
        <v>228</v>
      </c>
      <c r="W488" s="237" t="s">
        <v>228</v>
      </c>
      <c r="X488" s="237" t="s">
        <v>228</v>
      </c>
      <c r="Y488" s="237" t="s">
        <v>228</v>
      </c>
      <c r="Z488" s="237" t="s">
        <v>228</v>
      </c>
      <c r="AA488" s="237" t="s">
        <v>2893</v>
      </c>
      <c r="AB488" s="337" t="s">
        <v>228</v>
      </c>
      <c r="AC488" s="237" t="s">
        <v>228</v>
      </c>
      <c r="AD488" s="562"/>
      <c r="AE488" s="555"/>
      <c r="AF488" s="237"/>
    </row>
    <row r="489" spans="1:32" ht="13.5" customHeight="1">
      <c r="A489" s="235">
        <v>487</v>
      </c>
      <c r="B489" s="235" t="s">
        <v>2894</v>
      </c>
      <c r="C489" s="255" t="s">
        <v>2895</v>
      </c>
      <c r="D489" s="235" t="s">
        <v>2896</v>
      </c>
      <c r="E489" s="235">
        <v>26</v>
      </c>
      <c r="F489" s="235" t="s">
        <v>60</v>
      </c>
      <c r="G489" s="235" t="s">
        <v>2897</v>
      </c>
      <c r="H489" s="243" t="s">
        <v>188</v>
      </c>
      <c r="I489" s="243"/>
      <c r="K489" s="240"/>
      <c r="L489" s="243" t="s">
        <v>231</v>
      </c>
      <c r="M489" s="246" t="s">
        <v>228</v>
      </c>
      <c r="N489" s="237"/>
      <c r="O489" s="237"/>
      <c r="P489" s="237"/>
      <c r="Q489" s="245">
        <v>45461</v>
      </c>
      <c r="R489" s="237" t="s">
        <v>309</v>
      </c>
      <c r="S489" s="331" t="s">
        <v>233</v>
      </c>
      <c r="T489" s="237" t="s">
        <v>228</v>
      </c>
      <c r="U489" s="237" t="s">
        <v>234</v>
      </c>
      <c r="V489" s="237" t="s">
        <v>228</v>
      </c>
      <c r="W489" s="237" t="s">
        <v>228</v>
      </c>
      <c r="X489" s="237" t="s">
        <v>228</v>
      </c>
      <c r="Y489" s="237" t="s">
        <v>228</v>
      </c>
      <c r="Z489" s="237" t="s">
        <v>228</v>
      </c>
      <c r="AA489" s="237" t="s">
        <v>2898</v>
      </c>
      <c r="AB489" s="337" t="s">
        <v>228</v>
      </c>
      <c r="AC489" s="237" t="s">
        <v>228</v>
      </c>
      <c r="AD489" s="562"/>
      <c r="AE489" s="555"/>
      <c r="AF489" s="237"/>
    </row>
    <row r="490" spans="1:32" ht="13.5" customHeight="1">
      <c r="A490" s="235">
        <v>488</v>
      </c>
      <c r="B490" s="235" t="s">
        <v>2899</v>
      </c>
      <c r="C490" s="255" t="s">
        <v>2900</v>
      </c>
      <c r="D490" s="235" t="s">
        <v>2901</v>
      </c>
      <c r="E490" s="235">
        <v>26</v>
      </c>
      <c r="F490" s="235" t="s">
        <v>60</v>
      </c>
      <c r="G490" s="235" t="s">
        <v>2902</v>
      </c>
      <c r="H490" s="243" t="s">
        <v>188</v>
      </c>
      <c r="I490" s="243"/>
      <c r="K490" s="240"/>
      <c r="L490" s="243" t="s">
        <v>231</v>
      </c>
      <c r="M490" s="246" t="s">
        <v>228</v>
      </c>
      <c r="N490" s="237"/>
      <c r="O490" s="237"/>
      <c r="P490" s="237"/>
      <c r="Q490" s="245">
        <v>45461</v>
      </c>
      <c r="R490" s="237" t="s">
        <v>309</v>
      </c>
      <c r="S490" s="331" t="s">
        <v>233</v>
      </c>
      <c r="T490" s="237" t="s">
        <v>228</v>
      </c>
      <c r="U490" s="237" t="s">
        <v>234</v>
      </c>
      <c r="V490" s="237" t="s">
        <v>228</v>
      </c>
      <c r="W490" s="237" t="s">
        <v>228</v>
      </c>
      <c r="X490" s="237" t="s">
        <v>228</v>
      </c>
      <c r="Y490" s="237" t="s">
        <v>228</v>
      </c>
      <c r="Z490" s="237" t="s">
        <v>228</v>
      </c>
      <c r="AA490" s="237" t="s">
        <v>2903</v>
      </c>
      <c r="AB490" s="337" t="s">
        <v>228</v>
      </c>
      <c r="AC490" s="237" t="s">
        <v>228</v>
      </c>
      <c r="AD490" s="562"/>
      <c r="AE490" s="555"/>
      <c r="AF490" s="237"/>
    </row>
    <row r="491" spans="1:32" ht="13.5" customHeight="1">
      <c r="A491" s="235">
        <v>489</v>
      </c>
      <c r="B491" s="235" t="s">
        <v>2904</v>
      </c>
      <c r="C491" s="255" t="s">
        <v>2905</v>
      </c>
      <c r="D491" s="235" t="s">
        <v>2906</v>
      </c>
      <c r="E491" s="235">
        <v>30</v>
      </c>
      <c r="F491" s="235" t="s">
        <v>60</v>
      </c>
      <c r="G491" s="235" t="s">
        <v>2907</v>
      </c>
      <c r="H491" s="243" t="s">
        <v>188</v>
      </c>
      <c r="I491" s="243"/>
      <c r="K491" s="240"/>
      <c r="L491" s="243" t="s">
        <v>231</v>
      </c>
      <c r="M491" s="246" t="s">
        <v>228</v>
      </c>
      <c r="N491" s="237"/>
      <c r="O491" s="237"/>
      <c r="P491" s="237"/>
      <c r="Q491" s="245">
        <v>45461</v>
      </c>
      <c r="R491" s="237" t="s">
        <v>309</v>
      </c>
      <c r="S491" s="331" t="s">
        <v>233</v>
      </c>
      <c r="T491" s="237" t="s">
        <v>228</v>
      </c>
      <c r="U491" s="237" t="s">
        <v>234</v>
      </c>
      <c r="V491" s="237" t="s">
        <v>228</v>
      </c>
      <c r="W491" s="237" t="s">
        <v>228</v>
      </c>
      <c r="X491" s="237" t="s">
        <v>228</v>
      </c>
      <c r="Y491" s="237" t="s">
        <v>228</v>
      </c>
      <c r="Z491" s="237" t="s">
        <v>228</v>
      </c>
      <c r="AA491" s="237" t="s">
        <v>2908</v>
      </c>
      <c r="AB491" s="337" t="s">
        <v>228</v>
      </c>
      <c r="AC491" s="237" t="s">
        <v>228</v>
      </c>
      <c r="AD491" s="562"/>
      <c r="AE491" s="555"/>
      <c r="AF491" s="237"/>
    </row>
    <row r="492" spans="1:32" ht="13.5" customHeight="1">
      <c r="A492" s="235">
        <v>490</v>
      </c>
      <c r="B492" s="235" t="s">
        <v>2909</v>
      </c>
      <c r="C492" s="255" t="s">
        <v>2910</v>
      </c>
      <c r="D492" s="235" t="s">
        <v>2911</v>
      </c>
      <c r="E492" s="235">
        <v>25</v>
      </c>
      <c r="F492" s="235" t="s">
        <v>60</v>
      </c>
      <c r="G492" s="235" t="s">
        <v>2912</v>
      </c>
      <c r="H492" s="243" t="s">
        <v>188</v>
      </c>
      <c r="I492" s="243"/>
      <c r="K492" s="240"/>
      <c r="L492" s="243" t="s">
        <v>231</v>
      </c>
      <c r="M492" s="246" t="s">
        <v>228</v>
      </c>
      <c r="N492" s="237"/>
      <c r="O492" s="237"/>
      <c r="P492" s="237"/>
      <c r="Q492" s="245">
        <v>45461</v>
      </c>
      <c r="R492" s="237" t="s">
        <v>309</v>
      </c>
      <c r="S492" s="331" t="s">
        <v>233</v>
      </c>
      <c r="T492" s="237" t="s">
        <v>228</v>
      </c>
      <c r="U492" s="237" t="s">
        <v>234</v>
      </c>
      <c r="V492" s="237" t="s">
        <v>228</v>
      </c>
      <c r="W492" s="237" t="s">
        <v>228</v>
      </c>
      <c r="X492" s="237" t="s">
        <v>228</v>
      </c>
      <c r="Y492" s="237" t="s">
        <v>228</v>
      </c>
      <c r="Z492" s="237" t="s">
        <v>228</v>
      </c>
      <c r="AA492" s="237" t="s">
        <v>2913</v>
      </c>
      <c r="AB492" s="337" t="s">
        <v>228</v>
      </c>
      <c r="AC492" s="237" t="s">
        <v>228</v>
      </c>
      <c r="AD492" s="562"/>
      <c r="AE492" s="555"/>
      <c r="AF492" s="237"/>
    </row>
    <row r="493" spans="1:32" ht="13.5" customHeight="1">
      <c r="A493" s="235">
        <v>491</v>
      </c>
      <c r="B493" s="235" t="s">
        <v>2914</v>
      </c>
      <c r="C493" s="255" t="s">
        <v>2915</v>
      </c>
      <c r="D493" s="235" t="s">
        <v>2916</v>
      </c>
      <c r="E493" s="235">
        <v>25</v>
      </c>
      <c r="F493" s="235" t="s">
        <v>60</v>
      </c>
      <c r="G493" s="235" t="s">
        <v>2917</v>
      </c>
      <c r="H493" s="243" t="s">
        <v>188</v>
      </c>
      <c r="I493" s="243"/>
      <c r="K493" s="240"/>
      <c r="L493" s="243" t="s">
        <v>231</v>
      </c>
      <c r="M493" s="246" t="s">
        <v>228</v>
      </c>
      <c r="N493" s="237"/>
      <c r="O493" s="237"/>
      <c r="P493" s="237"/>
      <c r="Q493" s="245">
        <v>45462</v>
      </c>
      <c r="R493" s="237" t="s">
        <v>309</v>
      </c>
      <c r="S493" s="331" t="s">
        <v>233</v>
      </c>
      <c r="T493" s="237" t="s">
        <v>228</v>
      </c>
      <c r="U493" s="237" t="s">
        <v>234</v>
      </c>
      <c r="V493" s="237" t="s">
        <v>228</v>
      </c>
      <c r="W493" s="237" t="s">
        <v>228</v>
      </c>
      <c r="X493" s="237" t="s">
        <v>228</v>
      </c>
      <c r="Y493" s="237" t="s">
        <v>228</v>
      </c>
      <c r="Z493" s="237" t="s">
        <v>228</v>
      </c>
      <c r="AA493" s="237" t="s">
        <v>2918</v>
      </c>
      <c r="AB493" s="337" t="s">
        <v>228</v>
      </c>
      <c r="AC493" s="237" t="s">
        <v>228</v>
      </c>
      <c r="AD493" s="562"/>
      <c r="AE493" s="555"/>
      <c r="AF493" s="237"/>
    </row>
    <row r="494" spans="1:32" ht="13.5" customHeight="1">
      <c r="A494" s="235">
        <v>492</v>
      </c>
      <c r="B494" s="235" t="s">
        <v>2919</v>
      </c>
      <c r="C494" s="255" t="s">
        <v>2920</v>
      </c>
      <c r="D494" s="235" t="s">
        <v>2921</v>
      </c>
      <c r="E494" s="235">
        <v>27</v>
      </c>
      <c r="F494" s="235" t="s">
        <v>60</v>
      </c>
      <c r="G494" s="235" t="s">
        <v>2922</v>
      </c>
      <c r="H494" s="243" t="s">
        <v>188</v>
      </c>
      <c r="I494" s="243"/>
      <c r="K494" s="240"/>
      <c r="L494" s="243" t="s">
        <v>231</v>
      </c>
      <c r="M494" s="246" t="s">
        <v>228</v>
      </c>
      <c r="N494" s="237"/>
      <c r="O494" s="237"/>
      <c r="P494" s="237"/>
      <c r="Q494" s="245">
        <v>45462</v>
      </c>
      <c r="R494" s="237" t="s">
        <v>309</v>
      </c>
      <c r="S494" s="331" t="s">
        <v>233</v>
      </c>
      <c r="T494" s="237" t="s">
        <v>228</v>
      </c>
      <c r="U494" s="237" t="s">
        <v>234</v>
      </c>
      <c r="V494" s="237" t="s">
        <v>228</v>
      </c>
      <c r="W494" s="237" t="s">
        <v>228</v>
      </c>
      <c r="X494" s="237" t="s">
        <v>228</v>
      </c>
      <c r="Y494" s="237" t="s">
        <v>228</v>
      </c>
      <c r="Z494" s="237" t="s">
        <v>228</v>
      </c>
      <c r="AA494" s="237" t="s">
        <v>2923</v>
      </c>
      <c r="AB494" s="337" t="s">
        <v>228</v>
      </c>
      <c r="AC494" s="237" t="s">
        <v>228</v>
      </c>
      <c r="AD494" s="562"/>
      <c r="AE494" s="555"/>
      <c r="AF494" s="237"/>
    </row>
    <row r="495" spans="1:32" ht="13.5" customHeight="1">
      <c r="A495" s="235">
        <v>493</v>
      </c>
      <c r="B495" s="235" t="s">
        <v>2924</v>
      </c>
      <c r="C495" s="255" t="s">
        <v>2925</v>
      </c>
      <c r="D495" s="235" t="s">
        <v>2926</v>
      </c>
      <c r="E495" s="235">
        <v>29</v>
      </c>
      <c r="F495" s="235" t="s">
        <v>75</v>
      </c>
      <c r="G495" s="235" t="s">
        <v>2927</v>
      </c>
      <c r="H495" s="243" t="s">
        <v>188</v>
      </c>
      <c r="I495" s="243"/>
      <c r="K495" s="240"/>
      <c r="L495" s="243" t="s">
        <v>231</v>
      </c>
      <c r="M495" s="246" t="s">
        <v>228</v>
      </c>
      <c r="N495" s="237"/>
      <c r="O495" s="237"/>
      <c r="P495" s="237"/>
      <c r="Q495" s="245">
        <v>45464</v>
      </c>
      <c r="R495" s="237" t="s">
        <v>309</v>
      </c>
      <c r="S495" s="331" t="s">
        <v>233</v>
      </c>
      <c r="T495" s="237">
        <v>0</v>
      </c>
      <c r="U495" s="237" t="s">
        <v>234</v>
      </c>
      <c r="V495" s="237" t="s">
        <v>228</v>
      </c>
      <c r="W495" s="237" t="s">
        <v>228</v>
      </c>
      <c r="X495" s="237" t="s">
        <v>228</v>
      </c>
      <c r="Y495" s="237" t="s">
        <v>228</v>
      </c>
      <c r="Z495" s="237" t="s">
        <v>228</v>
      </c>
      <c r="AA495" s="237" t="s">
        <v>2928</v>
      </c>
      <c r="AB495" s="337" t="s">
        <v>228</v>
      </c>
      <c r="AC495" s="237" t="s">
        <v>228</v>
      </c>
      <c r="AD495" s="562"/>
      <c r="AE495" s="555"/>
      <c r="AF495" s="237"/>
    </row>
    <row r="496" spans="1:32" ht="13.5" customHeight="1">
      <c r="A496" s="235">
        <v>494</v>
      </c>
      <c r="B496" s="235" t="s">
        <v>2929</v>
      </c>
      <c r="C496" s="255" t="s">
        <v>2930</v>
      </c>
      <c r="D496" s="235" t="s">
        <v>2931</v>
      </c>
      <c r="E496" s="235">
        <v>27</v>
      </c>
      <c r="F496" s="235" t="s">
        <v>75</v>
      </c>
      <c r="G496" s="235" t="s">
        <v>2932</v>
      </c>
      <c r="H496" s="243" t="s">
        <v>188</v>
      </c>
      <c r="I496" s="243"/>
      <c r="K496" s="240"/>
      <c r="L496" s="243" t="s">
        <v>231</v>
      </c>
      <c r="M496" s="246" t="s">
        <v>228</v>
      </c>
      <c r="N496" s="237"/>
      <c r="O496" s="237"/>
      <c r="P496" s="237"/>
      <c r="Q496" s="245">
        <v>45464</v>
      </c>
      <c r="R496" s="237" t="s">
        <v>309</v>
      </c>
      <c r="S496" s="331" t="s">
        <v>233</v>
      </c>
      <c r="T496" s="237">
        <v>0</v>
      </c>
      <c r="U496" s="237" t="s">
        <v>234</v>
      </c>
      <c r="V496" s="237" t="s">
        <v>228</v>
      </c>
      <c r="W496" s="237" t="s">
        <v>228</v>
      </c>
      <c r="X496" s="237" t="s">
        <v>228</v>
      </c>
      <c r="Y496" s="237" t="s">
        <v>228</v>
      </c>
      <c r="Z496" s="237" t="s">
        <v>228</v>
      </c>
      <c r="AA496" s="237" t="s">
        <v>2933</v>
      </c>
      <c r="AB496" s="337" t="s">
        <v>228</v>
      </c>
      <c r="AC496" s="237" t="s">
        <v>228</v>
      </c>
      <c r="AD496" s="562"/>
      <c r="AE496" s="555"/>
      <c r="AF496" s="237"/>
    </row>
    <row r="497" spans="1:32" ht="13.5" customHeight="1">
      <c r="A497" s="235">
        <v>495</v>
      </c>
      <c r="B497" s="235">
        <v>0</v>
      </c>
      <c r="C497" s="255" t="s">
        <v>2934</v>
      </c>
      <c r="D497" s="235" t="s">
        <v>2935</v>
      </c>
      <c r="E497" s="235">
        <v>32</v>
      </c>
      <c r="F497" s="235" t="s">
        <v>60</v>
      </c>
      <c r="G497" s="235" t="s">
        <v>2936</v>
      </c>
      <c r="H497" s="243" t="s">
        <v>188</v>
      </c>
      <c r="I497" s="243"/>
      <c r="K497" s="240"/>
      <c r="L497" s="243" t="s">
        <v>231</v>
      </c>
      <c r="M497" s="243" t="s">
        <v>231</v>
      </c>
      <c r="N497" s="237"/>
      <c r="O497" s="237"/>
      <c r="P497" s="237"/>
      <c r="Q497" s="245">
        <v>45475</v>
      </c>
      <c r="R497" s="237" t="s">
        <v>309</v>
      </c>
      <c r="S497" s="331" t="s">
        <v>233</v>
      </c>
      <c r="T497" s="237">
        <v>0</v>
      </c>
      <c r="U497" s="237" t="s">
        <v>234</v>
      </c>
      <c r="V497" s="237" t="s">
        <v>652</v>
      </c>
      <c r="W497" s="244">
        <v>46028</v>
      </c>
      <c r="X497" s="237" t="s">
        <v>2937</v>
      </c>
      <c r="Y497" s="237" t="s">
        <v>588</v>
      </c>
      <c r="Z497" s="237" t="s">
        <v>228</v>
      </c>
      <c r="AA497" s="237" t="s">
        <v>2938</v>
      </c>
      <c r="AB497" s="337" t="s">
        <v>228</v>
      </c>
      <c r="AC497" s="237" t="s">
        <v>228</v>
      </c>
      <c r="AD497" s="562"/>
      <c r="AE497" s="555"/>
      <c r="AF497" s="237"/>
    </row>
    <row r="498" spans="1:32" ht="13.5" customHeight="1">
      <c r="A498" s="235">
        <v>496</v>
      </c>
      <c r="B498" s="235">
        <v>0</v>
      </c>
      <c r="C498" s="255" t="s">
        <v>2939</v>
      </c>
      <c r="D498" s="235" t="s">
        <v>2940</v>
      </c>
      <c r="E498" s="235">
        <v>31</v>
      </c>
      <c r="F498" s="235" t="s">
        <v>60</v>
      </c>
      <c r="G498" s="235" t="s">
        <v>2941</v>
      </c>
      <c r="H498" s="243" t="s">
        <v>188</v>
      </c>
      <c r="I498" s="243"/>
      <c r="K498" s="240"/>
      <c r="L498" s="243" t="s">
        <v>231</v>
      </c>
      <c r="M498" s="243" t="s">
        <v>231</v>
      </c>
      <c r="N498" s="237"/>
      <c r="O498" s="237"/>
      <c r="P498" s="237"/>
      <c r="Q498" s="245">
        <v>45474</v>
      </c>
      <c r="R498" s="237" t="s">
        <v>309</v>
      </c>
      <c r="S498" s="331" t="s">
        <v>233</v>
      </c>
      <c r="T498" s="237">
        <v>0</v>
      </c>
      <c r="U498" s="237" t="s">
        <v>234</v>
      </c>
      <c r="V498" s="237" t="s">
        <v>652</v>
      </c>
      <c r="W498" s="244">
        <v>46028</v>
      </c>
      <c r="X498" s="237" t="s">
        <v>2942</v>
      </c>
      <c r="Y498" s="237" t="s">
        <v>588</v>
      </c>
      <c r="Z498" s="237" t="s">
        <v>228</v>
      </c>
      <c r="AA498" s="237" t="s">
        <v>2943</v>
      </c>
      <c r="AB498" s="337" t="s">
        <v>228</v>
      </c>
      <c r="AC498" s="237" t="s">
        <v>228</v>
      </c>
      <c r="AD498" s="562"/>
      <c r="AE498" s="555"/>
      <c r="AF498" s="237"/>
    </row>
    <row r="499" spans="1:32" ht="13.5" customHeight="1">
      <c r="A499" s="235">
        <v>497</v>
      </c>
      <c r="B499" s="235">
        <v>0</v>
      </c>
      <c r="C499" s="255" t="s">
        <v>2944</v>
      </c>
      <c r="D499" s="235" t="s">
        <v>2945</v>
      </c>
      <c r="E499" s="235">
        <v>34</v>
      </c>
      <c r="F499" s="235" t="s">
        <v>60</v>
      </c>
      <c r="G499" s="235" t="s">
        <v>2946</v>
      </c>
      <c r="H499" s="243" t="s">
        <v>188</v>
      </c>
      <c r="I499" s="243"/>
      <c r="K499" s="240"/>
      <c r="L499" s="243" t="s">
        <v>231</v>
      </c>
      <c r="M499" s="243" t="s">
        <v>231</v>
      </c>
      <c r="N499" s="237"/>
      <c r="O499" s="237"/>
      <c r="P499" s="237"/>
      <c r="Q499" s="245">
        <v>45474</v>
      </c>
      <c r="R499" s="237" t="s">
        <v>309</v>
      </c>
      <c r="S499" s="331" t="s">
        <v>233</v>
      </c>
      <c r="T499" s="237">
        <v>0</v>
      </c>
      <c r="U499" s="237" t="s">
        <v>234</v>
      </c>
      <c r="V499" s="237" t="s">
        <v>652</v>
      </c>
      <c r="W499" s="244">
        <v>46028</v>
      </c>
      <c r="X499" s="237" t="s">
        <v>2947</v>
      </c>
      <c r="Y499" s="237" t="s">
        <v>588</v>
      </c>
      <c r="Z499" s="237" t="s">
        <v>228</v>
      </c>
      <c r="AA499" s="237" t="s">
        <v>2948</v>
      </c>
      <c r="AB499" s="337" t="s">
        <v>228</v>
      </c>
      <c r="AC499" s="237" t="s">
        <v>228</v>
      </c>
      <c r="AD499" s="562"/>
      <c r="AE499" s="555"/>
      <c r="AF499" s="237"/>
    </row>
    <row r="500" spans="1:32" ht="13.5" customHeight="1">
      <c r="A500" s="235">
        <v>498</v>
      </c>
      <c r="B500" s="235" t="s">
        <v>2949</v>
      </c>
      <c r="C500" s="255" t="s">
        <v>2950</v>
      </c>
      <c r="D500" s="235" t="s">
        <v>2951</v>
      </c>
      <c r="E500" s="235">
        <v>25</v>
      </c>
      <c r="F500" s="235" t="s">
        <v>75</v>
      </c>
      <c r="G500" s="235" t="s">
        <v>2952</v>
      </c>
      <c r="H500" s="243" t="s">
        <v>188</v>
      </c>
      <c r="I500" s="243"/>
      <c r="K500" s="240"/>
      <c r="L500" s="243" t="s">
        <v>231</v>
      </c>
      <c r="M500" s="246" t="s">
        <v>228</v>
      </c>
      <c r="N500" s="237"/>
      <c r="O500" s="237"/>
      <c r="P500" s="237"/>
      <c r="Q500" s="245">
        <v>45469</v>
      </c>
      <c r="R500" s="237" t="s">
        <v>309</v>
      </c>
      <c r="S500" s="331" t="s">
        <v>233</v>
      </c>
      <c r="T500" s="237" t="s">
        <v>228</v>
      </c>
      <c r="U500" s="237" t="s">
        <v>234</v>
      </c>
      <c r="V500" s="237" t="s">
        <v>228</v>
      </c>
      <c r="W500" s="244" t="s">
        <v>228</v>
      </c>
      <c r="X500" s="237" t="s">
        <v>228</v>
      </c>
      <c r="Y500" s="237" t="s">
        <v>228</v>
      </c>
      <c r="Z500" s="237" t="s">
        <v>228</v>
      </c>
      <c r="AA500" s="237" t="s">
        <v>2953</v>
      </c>
      <c r="AB500" s="337" t="s">
        <v>228</v>
      </c>
      <c r="AC500" s="237" t="s">
        <v>228</v>
      </c>
      <c r="AD500" s="562"/>
      <c r="AE500" s="555"/>
      <c r="AF500" s="237"/>
    </row>
    <row r="501" spans="1:32" ht="13.5" customHeight="1">
      <c r="A501" s="235">
        <v>499</v>
      </c>
      <c r="B501" s="235">
        <v>0</v>
      </c>
      <c r="C501" s="255" t="s">
        <v>2954</v>
      </c>
      <c r="D501" s="235" t="s">
        <v>2955</v>
      </c>
      <c r="E501" s="235">
        <v>33</v>
      </c>
      <c r="F501" s="235" t="s">
        <v>60</v>
      </c>
      <c r="G501" s="235" t="s">
        <v>2956</v>
      </c>
      <c r="H501" s="243" t="s">
        <v>188</v>
      </c>
      <c r="I501" s="243"/>
      <c r="K501" s="240"/>
      <c r="L501" s="243" t="s">
        <v>231</v>
      </c>
      <c r="M501" s="243" t="s">
        <v>231</v>
      </c>
      <c r="N501" s="237"/>
      <c r="O501" s="237"/>
      <c r="P501" s="237"/>
      <c r="Q501" s="245">
        <v>45474</v>
      </c>
      <c r="R501" s="237" t="s">
        <v>309</v>
      </c>
      <c r="S501" s="331" t="s">
        <v>233</v>
      </c>
      <c r="T501" s="237">
        <v>0</v>
      </c>
      <c r="U501" s="237" t="s">
        <v>234</v>
      </c>
      <c r="V501" s="237" t="s">
        <v>652</v>
      </c>
      <c r="W501" s="244">
        <v>46028</v>
      </c>
      <c r="X501" s="237" t="s">
        <v>2957</v>
      </c>
      <c r="Y501" s="237" t="s">
        <v>588</v>
      </c>
      <c r="Z501" s="237" t="s">
        <v>228</v>
      </c>
      <c r="AA501" s="237" t="s">
        <v>2958</v>
      </c>
      <c r="AB501" s="337" t="s">
        <v>228</v>
      </c>
      <c r="AC501" s="237" t="s">
        <v>228</v>
      </c>
      <c r="AD501" s="562"/>
      <c r="AE501" s="555"/>
      <c r="AF501" s="237"/>
    </row>
    <row r="502" spans="1:32" ht="13.5" customHeight="1">
      <c r="A502" s="235">
        <v>500</v>
      </c>
      <c r="B502" s="235">
        <v>0</v>
      </c>
      <c r="C502" s="255" t="s">
        <v>2959</v>
      </c>
      <c r="D502" s="235" t="s">
        <v>2960</v>
      </c>
      <c r="E502" s="235">
        <v>32</v>
      </c>
      <c r="F502" s="235" t="s">
        <v>60</v>
      </c>
      <c r="G502" s="235" t="s">
        <v>2961</v>
      </c>
      <c r="H502" s="243" t="s">
        <v>188</v>
      </c>
      <c r="I502" s="243"/>
      <c r="K502" s="240"/>
      <c r="L502" s="243" t="s">
        <v>231</v>
      </c>
      <c r="M502" s="243" t="s">
        <v>231</v>
      </c>
      <c r="N502" s="237"/>
      <c r="O502" s="237"/>
      <c r="P502" s="237"/>
      <c r="Q502" s="245">
        <v>45475</v>
      </c>
      <c r="R502" s="237" t="s">
        <v>309</v>
      </c>
      <c r="S502" s="331" t="s">
        <v>233</v>
      </c>
      <c r="T502" s="237">
        <v>0</v>
      </c>
      <c r="U502" s="237" t="s">
        <v>234</v>
      </c>
      <c r="V502" s="237" t="s">
        <v>652</v>
      </c>
      <c r="W502" s="244">
        <v>46028</v>
      </c>
      <c r="X502" s="237" t="s">
        <v>2962</v>
      </c>
      <c r="Y502" s="237" t="s">
        <v>588</v>
      </c>
      <c r="Z502" s="237" t="s">
        <v>228</v>
      </c>
      <c r="AA502" s="237" t="s">
        <v>2963</v>
      </c>
      <c r="AB502" s="337" t="s">
        <v>228</v>
      </c>
      <c r="AC502" s="237" t="s">
        <v>228</v>
      </c>
      <c r="AD502" s="562"/>
      <c r="AE502" s="555"/>
      <c r="AF502" s="237"/>
    </row>
    <row r="503" spans="1:32" ht="13.5" customHeight="1">
      <c r="A503" s="235">
        <v>501</v>
      </c>
      <c r="B503" s="235">
        <v>0</v>
      </c>
      <c r="C503" s="255" t="s">
        <v>2964</v>
      </c>
      <c r="D503" s="235" t="s">
        <v>2965</v>
      </c>
      <c r="E503" s="235">
        <v>32</v>
      </c>
      <c r="F503" s="235" t="s">
        <v>60</v>
      </c>
      <c r="G503" s="235" t="s">
        <v>2966</v>
      </c>
      <c r="H503" s="243" t="s">
        <v>188</v>
      </c>
      <c r="I503" s="243"/>
      <c r="K503" s="240"/>
      <c r="L503" s="243" t="s">
        <v>231</v>
      </c>
      <c r="M503" s="243" t="s">
        <v>231</v>
      </c>
      <c r="N503" s="237"/>
      <c r="O503" s="237"/>
      <c r="P503" s="237"/>
      <c r="Q503" s="245">
        <v>45475</v>
      </c>
      <c r="R503" s="237" t="s">
        <v>309</v>
      </c>
      <c r="S503" s="331" t="s">
        <v>233</v>
      </c>
      <c r="T503" s="237">
        <v>0</v>
      </c>
      <c r="U503" s="237" t="s">
        <v>234</v>
      </c>
      <c r="V503" s="237" t="s">
        <v>652</v>
      </c>
      <c r="W503" s="244">
        <v>46028</v>
      </c>
      <c r="X503" s="237" t="s">
        <v>2967</v>
      </c>
      <c r="Y503" s="237" t="s">
        <v>588</v>
      </c>
      <c r="Z503" s="237" t="s">
        <v>228</v>
      </c>
      <c r="AA503" s="237" t="s">
        <v>2968</v>
      </c>
      <c r="AB503" s="337" t="s">
        <v>228</v>
      </c>
      <c r="AC503" s="237" t="s">
        <v>228</v>
      </c>
      <c r="AD503" s="562"/>
      <c r="AE503" s="555"/>
      <c r="AF503" s="237"/>
    </row>
    <row r="504" spans="1:32" ht="13.5" customHeight="1">
      <c r="A504" s="235">
        <v>502</v>
      </c>
      <c r="B504" s="235">
        <v>0</v>
      </c>
      <c r="C504" s="255" t="s">
        <v>2969</v>
      </c>
      <c r="D504" s="235" t="s">
        <v>2970</v>
      </c>
      <c r="E504" s="235">
        <v>35</v>
      </c>
      <c r="F504" s="235" t="s">
        <v>60</v>
      </c>
      <c r="G504" s="235" t="s">
        <v>2971</v>
      </c>
      <c r="H504" s="243" t="s">
        <v>188</v>
      </c>
      <c r="I504" s="243"/>
      <c r="K504" s="240"/>
      <c r="L504" s="243" t="s">
        <v>231</v>
      </c>
      <c r="M504" s="243" t="s">
        <v>231</v>
      </c>
      <c r="N504" s="237"/>
      <c r="O504" s="237"/>
      <c r="P504" s="237"/>
      <c r="Q504" s="245">
        <v>45475</v>
      </c>
      <c r="R504" s="237" t="s">
        <v>309</v>
      </c>
      <c r="S504" s="331" t="s">
        <v>233</v>
      </c>
      <c r="T504" s="237">
        <v>0</v>
      </c>
      <c r="U504" s="237" t="s">
        <v>234</v>
      </c>
      <c r="V504" s="237" t="s">
        <v>652</v>
      </c>
      <c r="W504" s="244">
        <v>46028</v>
      </c>
      <c r="X504" s="237" t="s">
        <v>787</v>
      </c>
      <c r="Y504" s="237" t="s">
        <v>588</v>
      </c>
      <c r="Z504" s="237" t="s">
        <v>228</v>
      </c>
      <c r="AA504" s="237" t="s">
        <v>2972</v>
      </c>
      <c r="AB504" s="337" t="s">
        <v>228</v>
      </c>
      <c r="AC504" s="237" t="s">
        <v>228</v>
      </c>
      <c r="AD504" s="562"/>
      <c r="AE504" s="555"/>
      <c r="AF504" s="237"/>
    </row>
    <row r="505" spans="1:32" ht="13.5" customHeight="1">
      <c r="A505" s="235">
        <v>503</v>
      </c>
      <c r="B505" s="235">
        <v>0</v>
      </c>
      <c r="C505" s="255" t="s">
        <v>2973</v>
      </c>
      <c r="D505" s="235" t="s">
        <v>2974</v>
      </c>
      <c r="E505" s="235">
        <v>31</v>
      </c>
      <c r="F505" s="235" t="s">
        <v>60</v>
      </c>
      <c r="G505" s="235" t="s">
        <v>2975</v>
      </c>
      <c r="H505" s="243" t="s">
        <v>188</v>
      </c>
      <c r="I505" s="243"/>
      <c r="K505" s="240"/>
      <c r="L505" s="243" t="s">
        <v>231</v>
      </c>
      <c r="M505" s="243" t="s">
        <v>231</v>
      </c>
      <c r="N505" s="237"/>
      <c r="O505" s="237"/>
      <c r="P505" s="237"/>
      <c r="Q505" s="245">
        <v>45475</v>
      </c>
      <c r="R505" s="237" t="s">
        <v>309</v>
      </c>
      <c r="S505" s="331" t="s">
        <v>233</v>
      </c>
      <c r="T505" s="237">
        <v>0</v>
      </c>
      <c r="U505" s="237" t="s">
        <v>234</v>
      </c>
      <c r="V505" s="237" t="s">
        <v>652</v>
      </c>
      <c r="W505" s="244">
        <v>46028</v>
      </c>
      <c r="X505" s="237" t="s">
        <v>2976</v>
      </c>
      <c r="Y505" s="237" t="s">
        <v>588</v>
      </c>
      <c r="Z505" s="237" t="s">
        <v>228</v>
      </c>
      <c r="AA505" s="237" t="s">
        <v>2977</v>
      </c>
      <c r="AB505" s="337" t="s">
        <v>228</v>
      </c>
      <c r="AC505" s="237" t="s">
        <v>228</v>
      </c>
      <c r="AD505" s="562"/>
      <c r="AE505" s="555"/>
      <c r="AF505" s="237"/>
    </row>
    <row r="506" spans="1:32" ht="13.5" customHeight="1">
      <c r="A506" s="235">
        <v>504</v>
      </c>
      <c r="B506" s="235">
        <v>0</v>
      </c>
      <c r="C506" s="255" t="s">
        <v>2978</v>
      </c>
      <c r="D506" s="235" t="s">
        <v>2979</v>
      </c>
      <c r="E506" s="235">
        <v>32</v>
      </c>
      <c r="F506" s="235" t="s">
        <v>60</v>
      </c>
      <c r="G506" s="235" t="s">
        <v>2980</v>
      </c>
      <c r="H506" s="243" t="s">
        <v>188</v>
      </c>
      <c r="I506" s="243"/>
      <c r="K506" s="240"/>
      <c r="L506" s="243" t="s">
        <v>231</v>
      </c>
      <c r="M506" s="243" t="s">
        <v>231</v>
      </c>
      <c r="N506" s="237"/>
      <c r="O506" s="237"/>
      <c r="P506" s="237"/>
      <c r="Q506" s="245">
        <v>45475</v>
      </c>
      <c r="R506" s="237" t="s">
        <v>309</v>
      </c>
      <c r="S506" s="331" t="s">
        <v>233</v>
      </c>
      <c r="T506" s="237">
        <v>0</v>
      </c>
      <c r="U506" s="237" t="s">
        <v>234</v>
      </c>
      <c r="V506" s="237" t="s">
        <v>652</v>
      </c>
      <c r="W506" s="244">
        <v>46028</v>
      </c>
      <c r="X506" s="237" t="s">
        <v>2981</v>
      </c>
      <c r="Y506" s="237" t="s">
        <v>588</v>
      </c>
      <c r="Z506" s="237" t="s">
        <v>228</v>
      </c>
      <c r="AA506" s="237" t="s">
        <v>2982</v>
      </c>
      <c r="AB506" s="337" t="s">
        <v>228</v>
      </c>
      <c r="AC506" s="237" t="s">
        <v>228</v>
      </c>
      <c r="AD506" s="562"/>
      <c r="AE506" s="555"/>
      <c r="AF506" s="237"/>
    </row>
    <row r="507" spans="1:32" ht="13.5" customHeight="1">
      <c r="A507" s="235">
        <v>505</v>
      </c>
      <c r="B507" s="235">
        <v>0</v>
      </c>
      <c r="C507" s="255" t="s">
        <v>2983</v>
      </c>
      <c r="D507" s="235" t="s">
        <v>2984</v>
      </c>
      <c r="E507" s="235">
        <v>34</v>
      </c>
      <c r="F507" s="235" t="s">
        <v>60</v>
      </c>
      <c r="G507" s="235" t="s">
        <v>2985</v>
      </c>
      <c r="H507" s="243" t="s">
        <v>188</v>
      </c>
      <c r="I507" s="243"/>
      <c r="K507" s="240"/>
      <c r="L507" s="243" t="s">
        <v>231</v>
      </c>
      <c r="M507" s="243" t="s">
        <v>231</v>
      </c>
      <c r="N507" s="237"/>
      <c r="O507" s="237"/>
      <c r="P507" s="237"/>
      <c r="Q507" s="245">
        <v>45475</v>
      </c>
      <c r="R507" s="237" t="s">
        <v>309</v>
      </c>
      <c r="S507" s="331" t="s">
        <v>233</v>
      </c>
      <c r="T507" s="237">
        <v>0</v>
      </c>
      <c r="U507" s="237" t="s">
        <v>234</v>
      </c>
      <c r="V507" s="237" t="s">
        <v>652</v>
      </c>
      <c r="W507" s="244">
        <v>46028</v>
      </c>
      <c r="X507" s="237" t="s">
        <v>2986</v>
      </c>
      <c r="Y507" s="237" t="s">
        <v>588</v>
      </c>
      <c r="Z507" s="237" t="s">
        <v>228</v>
      </c>
      <c r="AA507" s="237" t="s">
        <v>2987</v>
      </c>
      <c r="AB507" s="337" t="s">
        <v>228</v>
      </c>
      <c r="AC507" s="237" t="s">
        <v>228</v>
      </c>
      <c r="AD507" s="562"/>
      <c r="AE507" s="555"/>
      <c r="AF507" s="237"/>
    </row>
    <row r="508" spans="1:32" ht="13.5" customHeight="1">
      <c r="A508" s="235">
        <v>506</v>
      </c>
      <c r="B508" s="235" t="s">
        <v>2988</v>
      </c>
      <c r="C508" s="255" t="s">
        <v>2989</v>
      </c>
      <c r="D508" s="235" t="s">
        <v>2990</v>
      </c>
      <c r="E508" s="235">
        <v>19</v>
      </c>
      <c r="F508" s="235" t="s">
        <v>60</v>
      </c>
      <c r="G508" s="235" t="s">
        <v>2991</v>
      </c>
      <c r="H508" s="243" t="s">
        <v>188</v>
      </c>
      <c r="I508" s="243"/>
      <c r="K508" s="240"/>
      <c r="L508" s="243" t="s">
        <v>231</v>
      </c>
      <c r="M508" s="246" t="s">
        <v>228</v>
      </c>
      <c r="N508" s="237"/>
      <c r="O508" s="237"/>
      <c r="P508" s="237"/>
      <c r="Q508" s="245">
        <v>45478</v>
      </c>
      <c r="R508" s="237" t="s">
        <v>309</v>
      </c>
      <c r="S508" s="331" t="s">
        <v>233</v>
      </c>
      <c r="T508" s="237" t="s">
        <v>228</v>
      </c>
      <c r="U508" s="237" t="s">
        <v>234</v>
      </c>
      <c r="V508" s="237" t="s">
        <v>228</v>
      </c>
      <c r="W508" s="244" t="s">
        <v>228</v>
      </c>
      <c r="X508" s="237" t="s">
        <v>228</v>
      </c>
      <c r="Y508" s="237" t="s">
        <v>228</v>
      </c>
      <c r="Z508" s="237" t="s">
        <v>228</v>
      </c>
      <c r="AA508" s="237" t="s">
        <v>2992</v>
      </c>
      <c r="AB508" s="337" t="s">
        <v>228</v>
      </c>
      <c r="AC508" s="237" t="s">
        <v>228</v>
      </c>
      <c r="AD508" s="562"/>
      <c r="AE508" s="555"/>
      <c r="AF508" s="237"/>
    </row>
    <row r="509" spans="1:32" ht="13.5" customHeight="1">
      <c r="A509" s="235">
        <v>507</v>
      </c>
      <c r="B509" s="235">
        <v>0</v>
      </c>
      <c r="C509" s="255" t="s">
        <v>2993</v>
      </c>
      <c r="D509" s="235" t="s">
        <v>2994</v>
      </c>
      <c r="E509" s="235">
        <v>50</v>
      </c>
      <c r="F509" s="235" t="s">
        <v>60</v>
      </c>
      <c r="G509" s="235" t="s">
        <v>2995</v>
      </c>
      <c r="H509" s="243" t="s">
        <v>188</v>
      </c>
      <c r="I509" s="243"/>
      <c r="K509" s="240"/>
      <c r="L509" s="243" t="s">
        <v>231</v>
      </c>
      <c r="M509" s="243" t="s">
        <v>231</v>
      </c>
      <c r="N509" s="237"/>
      <c r="O509" s="237"/>
      <c r="P509" s="237"/>
      <c r="Q509" s="245">
        <v>45531</v>
      </c>
      <c r="R509" s="237" t="s">
        <v>309</v>
      </c>
      <c r="S509" s="331" t="s">
        <v>233</v>
      </c>
      <c r="T509" s="237">
        <v>0</v>
      </c>
      <c r="U509" s="237" t="s">
        <v>234</v>
      </c>
      <c r="V509" s="237" t="s">
        <v>652</v>
      </c>
      <c r="W509" s="244">
        <v>46028</v>
      </c>
      <c r="X509" s="237" t="s">
        <v>2996</v>
      </c>
      <c r="Y509" s="237" t="s">
        <v>588</v>
      </c>
      <c r="Z509" s="237" t="s">
        <v>228</v>
      </c>
      <c r="AA509" s="237" t="s">
        <v>2997</v>
      </c>
      <c r="AB509" s="337" t="s">
        <v>228</v>
      </c>
      <c r="AC509" s="237" t="s">
        <v>228</v>
      </c>
      <c r="AD509" s="562"/>
      <c r="AE509" s="555"/>
      <c r="AF509" s="237"/>
    </row>
    <row r="510" spans="1:32" ht="13.5" customHeight="1">
      <c r="A510" s="235">
        <v>508</v>
      </c>
      <c r="B510" s="235">
        <v>0</v>
      </c>
      <c r="C510" s="255" t="s">
        <v>2998</v>
      </c>
      <c r="D510" s="235" t="s">
        <v>2999</v>
      </c>
      <c r="E510" s="235">
        <v>23</v>
      </c>
      <c r="F510" s="235" t="s">
        <v>60</v>
      </c>
      <c r="G510" s="235" t="s">
        <v>3000</v>
      </c>
      <c r="H510" s="243" t="s">
        <v>188</v>
      </c>
      <c r="I510" s="243"/>
      <c r="K510" s="240"/>
      <c r="L510" s="243" t="s">
        <v>231</v>
      </c>
      <c r="M510" s="243" t="s">
        <v>231</v>
      </c>
      <c r="N510" s="237"/>
      <c r="O510" s="237"/>
      <c r="P510" s="237"/>
      <c r="Q510" s="245">
        <v>45479</v>
      </c>
      <c r="R510" s="237" t="s">
        <v>309</v>
      </c>
      <c r="S510" s="331" t="s">
        <v>233</v>
      </c>
      <c r="T510" s="237">
        <v>0</v>
      </c>
      <c r="U510" s="237" t="s">
        <v>234</v>
      </c>
      <c r="V510" s="237" t="s">
        <v>652</v>
      </c>
      <c r="W510" s="244">
        <v>46028</v>
      </c>
      <c r="X510" s="237" t="s">
        <v>3001</v>
      </c>
      <c r="Y510" s="237" t="s">
        <v>588</v>
      </c>
      <c r="Z510" s="237" t="s">
        <v>228</v>
      </c>
      <c r="AA510" s="237" t="s">
        <v>3002</v>
      </c>
      <c r="AB510" s="337" t="s">
        <v>228</v>
      </c>
      <c r="AC510" s="237" t="s">
        <v>228</v>
      </c>
      <c r="AD510" s="562"/>
      <c r="AE510" s="555"/>
      <c r="AF510" s="237"/>
    </row>
    <row r="511" spans="1:32" ht="13.5" customHeight="1">
      <c r="A511" s="235">
        <v>509</v>
      </c>
      <c r="B511" s="235">
        <v>0</v>
      </c>
      <c r="C511" s="255" t="s">
        <v>3003</v>
      </c>
      <c r="D511" s="235" t="s">
        <v>3004</v>
      </c>
      <c r="E511" s="235">
        <v>18</v>
      </c>
      <c r="F511" s="235" t="s">
        <v>60</v>
      </c>
      <c r="G511" s="235" t="s">
        <v>3005</v>
      </c>
      <c r="H511" s="243" t="s">
        <v>188</v>
      </c>
      <c r="I511" s="243"/>
      <c r="K511" s="240"/>
      <c r="L511" s="243" t="s">
        <v>231</v>
      </c>
      <c r="M511" s="243" t="s">
        <v>231</v>
      </c>
      <c r="N511" s="237"/>
      <c r="O511" s="237"/>
      <c r="P511" s="237"/>
      <c r="Q511" s="245">
        <v>45479</v>
      </c>
      <c r="R511" s="237" t="s">
        <v>309</v>
      </c>
      <c r="S511" s="331" t="s">
        <v>233</v>
      </c>
      <c r="T511" s="237">
        <v>0</v>
      </c>
      <c r="U511" s="237" t="s">
        <v>234</v>
      </c>
      <c r="V511" s="237" t="s">
        <v>652</v>
      </c>
      <c r="W511" s="244">
        <v>46028</v>
      </c>
      <c r="X511" s="237" t="s">
        <v>3006</v>
      </c>
      <c r="Y511" s="237" t="s">
        <v>588</v>
      </c>
      <c r="Z511" s="237" t="s">
        <v>228</v>
      </c>
      <c r="AA511" s="237" t="s">
        <v>3007</v>
      </c>
      <c r="AB511" s="337" t="s">
        <v>228</v>
      </c>
      <c r="AC511" s="237" t="s">
        <v>228</v>
      </c>
      <c r="AD511" s="562"/>
      <c r="AE511" s="555"/>
      <c r="AF511" s="237"/>
    </row>
    <row r="512" spans="1:32" ht="13.5" customHeight="1">
      <c r="A512" s="235">
        <v>510</v>
      </c>
      <c r="B512" s="235" t="s">
        <v>3008</v>
      </c>
      <c r="C512" s="255" t="s">
        <v>3009</v>
      </c>
      <c r="D512" s="235" t="s">
        <v>3010</v>
      </c>
      <c r="E512" s="235">
        <v>20</v>
      </c>
      <c r="F512" s="235" t="s">
        <v>75</v>
      </c>
      <c r="G512" s="235" t="s">
        <v>3011</v>
      </c>
      <c r="H512" s="243" t="s">
        <v>188</v>
      </c>
      <c r="I512" s="243"/>
      <c r="K512" s="240"/>
      <c r="L512" s="243" t="s">
        <v>231</v>
      </c>
      <c r="M512" s="246" t="s">
        <v>228</v>
      </c>
      <c r="N512" s="237"/>
      <c r="O512" s="237"/>
      <c r="P512" s="237"/>
      <c r="Q512" s="245">
        <v>45517</v>
      </c>
      <c r="R512" s="237" t="s">
        <v>309</v>
      </c>
      <c r="S512" s="331" t="s">
        <v>233</v>
      </c>
      <c r="T512" s="237" t="s">
        <v>228</v>
      </c>
      <c r="U512" s="237" t="s">
        <v>234</v>
      </c>
      <c r="V512" s="237" t="s">
        <v>228</v>
      </c>
      <c r="W512" s="244" t="s">
        <v>228</v>
      </c>
      <c r="X512" s="237" t="s">
        <v>228</v>
      </c>
      <c r="Y512" s="237" t="s">
        <v>228</v>
      </c>
      <c r="Z512" s="237" t="s">
        <v>228</v>
      </c>
      <c r="AA512" s="237" t="s">
        <v>3012</v>
      </c>
      <c r="AB512" s="337" t="s">
        <v>228</v>
      </c>
      <c r="AC512" s="237" t="s">
        <v>228</v>
      </c>
      <c r="AD512" s="562"/>
      <c r="AE512" s="555"/>
      <c r="AF512" s="237"/>
    </row>
    <row r="513" spans="1:130" ht="13.5" customHeight="1">
      <c r="A513" s="235">
        <v>511</v>
      </c>
      <c r="B513" s="235" t="s">
        <v>3013</v>
      </c>
      <c r="C513" s="255" t="s">
        <v>3014</v>
      </c>
      <c r="D513" s="235" t="s">
        <v>3015</v>
      </c>
      <c r="E513" s="235">
        <v>20</v>
      </c>
      <c r="F513" s="235" t="s">
        <v>75</v>
      </c>
      <c r="G513" s="235" t="s">
        <v>3016</v>
      </c>
      <c r="H513" s="243" t="s">
        <v>188</v>
      </c>
      <c r="I513" s="243"/>
      <c r="K513" s="240"/>
      <c r="L513" s="243" t="s">
        <v>231</v>
      </c>
      <c r="M513" s="246" t="s">
        <v>228</v>
      </c>
      <c r="N513" s="237"/>
      <c r="O513" s="237"/>
      <c r="P513" s="237"/>
      <c r="Q513" s="245">
        <v>45531</v>
      </c>
      <c r="R513" s="237" t="s">
        <v>309</v>
      </c>
      <c r="S513" s="331" t="s">
        <v>233</v>
      </c>
      <c r="T513" s="237" t="s">
        <v>228</v>
      </c>
      <c r="U513" s="237" t="s">
        <v>234</v>
      </c>
      <c r="V513" s="237" t="s">
        <v>228</v>
      </c>
      <c r="W513" s="244" t="s">
        <v>228</v>
      </c>
      <c r="X513" s="237" t="s">
        <v>228</v>
      </c>
      <c r="Y513" s="237" t="s">
        <v>228</v>
      </c>
      <c r="Z513" s="237" t="s">
        <v>228</v>
      </c>
      <c r="AA513" s="237" t="s">
        <v>3017</v>
      </c>
      <c r="AB513" s="337" t="s">
        <v>228</v>
      </c>
      <c r="AC513" s="237" t="s">
        <v>228</v>
      </c>
      <c r="AD513" s="562"/>
      <c r="AE513" s="555"/>
      <c r="AF513" s="237"/>
    </row>
    <row r="514" spans="1:130" s="253" customFormat="1" ht="13.5" customHeight="1">
      <c r="A514" s="235">
        <v>512</v>
      </c>
      <c r="B514" s="237">
        <v>45</v>
      </c>
      <c r="C514" s="243" t="s">
        <v>3018</v>
      </c>
      <c r="D514" s="237" t="s">
        <v>3019</v>
      </c>
      <c r="E514" s="237">
        <v>56</v>
      </c>
      <c r="F514" s="237" t="s">
        <v>60</v>
      </c>
      <c r="G514" s="237" t="s">
        <v>3020</v>
      </c>
      <c r="H514" s="243" t="s">
        <v>188</v>
      </c>
      <c r="I514" s="243"/>
      <c r="J514" s="235"/>
      <c r="K514" s="240"/>
      <c r="L514" s="243" t="s">
        <v>231</v>
      </c>
      <c r="M514" s="243"/>
      <c r="N514" s="237" t="s">
        <v>228</v>
      </c>
      <c r="O514" s="237" t="s">
        <v>228</v>
      </c>
      <c r="P514" s="237" t="s">
        <v>231</v>
      </c>
      <c r="Q514" s="245">
        <v>44875</v>
      </c>
      <c r="R514" s="237" t="s">
        <v>232</v>
      </c>
      <c r="S514" s="331" t="s">
        <v>233</v>
      </c>
      <c r="T514" s="237">
        <v>8.6</v>
      </c>
      <c r="U514" s="237" t="s">
        <v>234</v>
      </c>
      <c r="V514" s="237" t="s">
        <v>235</v>
      </c>
      <c r="W514" s="244" t="s">
        <v>228</v>
      </c>
      <c r="X514" s="237" t="s">
        <v>3021</v>
      </c>
      <c r="Y514" s="237" t="s">
        <v>237</v>
      </c>
      <c r="Z514" s="237" t="s">
        <v>237</v>
      </c>
      <c r="AA514" s="237" t="s">
        <v>3022</v>
      </c>
      <c r="AB514" s="337" t="s">
        <v>228</v>
      </c>
      <c r="AC514" s="237" t="s">
        <v>228</v>
      </c>
      <c r="AD514" s="562"/>
      <c r="AE514" s="550"/>
      <c r="AF514" s="251"/>
      <c r="AG514" s="298"/>
      <c r="AH514" s="298"/>
      <c r="AI514" s="298"/>
      <c r="AJ514" s="298"/>
      <c r="AK514" s="298"/>
      <c r="AL514" s="298"/>
      <c r="AM514" s="298"/>
      <c r="AN514" s="298"/>
      <c r="AO514" s="298"/>
      <c r="AP514" s="298"/>
      <c r="AQ514" s="298"/>
      <c r="AR514" s="298"/>
      <c r="AS514" s="298"/>
      <c r="AT514" s="298"/>
      <c r="AU514" s="298"/>
      <c r="AV514" s="298"/>
      <c r="AW514" s="298"/>
      <c r="AX514" s="298"/>
      <c r="AY514" s="298"/>
      <c r="AZ514" s="298"/>
      <c r="BA514" s="298"/>
      <c r="BB514" s="298"/>
      <c r="BC514" s="298"/>
      <c r="BD514" s="298"/>
      <c r="BE514" s="298"/>
      <c r="BF514" s="298"/>
      <c r="BG514" s="298"/>
      <c r="BH514" s="298"/>
      <c r="BI514" s="298"/>
      <c r="BJ514" s="298"/>
      <c r="BK514" s="298"/>
      <c r="BL514" s="298"/>
      <c r="BM514" s="298"/>
      <c r="BN514" s="298"/>
      <c r="BO514" s="298"/>
      <c r="BP514" s="298"/>
      <c r="BQ514" s="298"/>
      <c r="BR514" s="298"/>
      <c r="BS514" s="298"/>
      <c r="BT514" s="298"/>
      <c r="BU514" s="298"/>
      <c r="BV514" s="298"/>
      <c r="BW514" s="298"/>
      <c r="BX514" s="298"/>
      <c r="BY514" s="298"/>
      <c r="BZ514" s="298"/>
      <c r="CA514" s="298"/>
      <c r="CB514" s="298"/>
      <c r="CC514" s="298"/>
      <c r="CD514" s="298"/>
      <c r="CE514" s="298"/>
      <c r="CF514" s="298"/>
      <c r="CG514" s="298"/>
      <c r="CH514" s="298"/>
      <c r="CI514" s="298"/>
      <c r="CJ514" s="298"/>
      <c r="CK514" s="298"/>
      <c r="CL514" s="298"/>
      <c r="CM514" s="298"/>
      <c r="CN514" s="298"/>
      <c r="CO514" s="298"/>
      <c r="CP514" s="298"/>
      <c r="CQ514" s="298"/>
      <c r="CR514" s="298"/>
      <c r="CS514" s="298"/>
      <c r="CT514" s="298"/>
      <c r="CU514" s="298"/>
      <c r="CV514" s="298"/>
      <c r="CW514" s="298"/>
      <c r="CX514" s="298"/>
      <c r="CY514" s="298"/>
      <c r="CZ514" s="298"/>
      <c r="DA514" s="298"/>
      <c r="DB514" s="298"/>
      <c r="DC514" s="298"/>
      <c r="DD514" s="298"/>
      <c r="DE514" s="298"/>
      <c r="DF514" s="298"/>
      <c r="DG514" s="298"/>
      <c r="DH514" s="298"/>
      <c r="DI514" s="298"/>
      <c r="DJ514" s="298"/>
      <c r="DK514" s="298"/>
      <c r="DL514" s="298"/>
      <c r="DM514" s="298"/>
      <c r="DN514" s="298"/>
      <c r="DO514" s="298"/>
      <c r="DP514" s="298"/>
      <c r="DQ514" s="298"/>
      <c r="DR514" s="298"/>
      <c r="DS514" s="298"/>
      <c r="DT514" s="298"/>
      <c r="DU514" s="298"/>
      <c r="DV514" s="298"/>
      <c r="DW514" s="298"/>
      <c r="DX514" s="298"/>
      <c r="DY514" s="298"/>
      <c r="DZ514" s="303"/>
    </row>
    <row r="515" spans="1:130" ht="13.5" customHeight="1">
      <c r="A515" s="235">
        <v>513</v>
      </c>
      <c r="B515" s="235">
        <v>0</v>
      </c>
      <c r="C515" s="243" t="s">
        <v>3023</v>
      </c>
      <c r="D515" s="235" t="s">
        <v>3024</v>
      </c>
      <c r="E515" s="235">
        <v>62</v>
      </c>
      <c r="F515" s="235" t="s">
        <v>60</v>
      </c>
      <c r="G515" s="235" t="s">
        <v>3025</v>
      </c>
      <c r="H515" s="243" t="s">
        <v>4</v>
      </c>
      <c r="I515" s="243" t="s">
        <v>3026</v>
      </c>
      <c r="J515" s="240" t="s">
        <v>886</v>
      </c>
      <c r="K515" s="240" t="s">
        <v>3027</v>
      </c>
      <c r="L515" s="243" t="s">
        <v>926</v>
      </c>
      <c r="M515" s="243" t="s">
        <v>231</v>
      </c>
      <c r="N515" s="237"/>
      <c r="O515" s="237"/>
      <c r="P515" s="237"/>
      <c r="Q515" s="245">
        <v>44903</v>
      </c>
      <c r="R515" s="237" t="s">
        <v>309</v>
      </c>
      <c r="S515" s="330" t="s">
        <v>233</v>
      </c>
      <c r="T515" s="237" t="s">
        <v>228</v>
      </c>
      <c r="U515" s="237" t="s">
        <v>234</v>
      </c>
      <c r="V515" s="237" t="s">
        <v>652</v>
      </c>
      <c r="W515" s="244">
        <v>45986</v>
      </c>
      <c r="X515" s="237" t="s">
        <v>3028</v>
      </c>
      <c r="Y515" s="237" t="s">
        <v>588</v>
      </c>
      <c r="Z515" s="237" t="s">
        <v>228</v>
      </c>
      <c r="AA515" s="237" t="s">
        <v>3029</v>
      </c>
      <c r="AB515" s="337" t="s">
        <v>228</v>
      </c>
      <c r="AC515" s="237" t="s">
        <v>228</v>
      </c>
      <c r="AD515" s="562"/>
      <c r="AE515" s="550"/>
      <c r="AF515" s="237"/>
    </row>
    <row r="516" spans="1:130" ht="13.5" customHeight="1">
      <c r="A516" s="235">
        <v>514</v>
      </c>
      <c r="B516" s="235">
        <v>0</v>
      </c>
      <c r="C516" s="243" t="s">
        <v>3030</v>
      </c>
      <c r="D516" s="235" t="s">
        <v>3031</v>
      </c>
      <c r="E516" s="235">
        <v>42</v>
      </c>
      <c r="F516" s="235" t="s">
        <v>75</v>
      </c>
      <c r="G516" s="235" t="s">
        <v>3032</v>
      </c>
      <c r="H516" s="243" t="s">
        <v>3</v>
      </c>
      <c r="I516" s="243"/>
      <c r="J516" s="240" t="s">
        <v>886</v>
      </c>
      <c r="K516" s="240" t="s">
        <v>3033</v>
      </c>
      <c r="L516" s="288" t="s">
        <v>1706</v>
      </c>
      <c r="M516" s="243" t="s">
        <v>231</v>
      </c>
      <c r="N516" s="237"/>
      <c r="O516" s="237"/>
      <c r="P516" s="237"/>
      <c r="Q516" s="245">
        <v>44907</v>
      </c>
      <c r="R516" s="237" t="s">
        <v>309</v>
      </c>
      <c r="S516" s="331" t="s">
        <v>233</v>
      </c>
      <c r="T516" s="237" t="s">
        <v>228</v>
      </c>
      <c r="U516" s="237" t="s">
        <v>234</v>
      </c>
      <c r="V516" s="237" t="s">
        <v>652</v>
      </c>
      <c r="W516" s="244">
        <v>45986</v>
      </c>
      <c r="X516" s="237" t="s">
        <v>3034</v>
      </c>
      <c r="Y516" s="237" t="s">
        <v>588</v>
      </c>
      <c r="Z516" s="237" t="s">
        <v>228</v>
      </c>
      <c r="AA516" s="237" t="s">
        <v>3035</v>
      </c>
      <c r="AB516" s="337" t="s">
        <v>228</v>
      </c>
      <c r="AC516" s="237" t="s">
        <v>228</v>
      </c>
      <c r="AD516" s="562"/>
      <c r="AE516" s="550"/>
      <c r="AF516" s="237"/>
    </row>
    <row r="517" spans="1:130" ht="13.5" customHeight="1">
      <c r="A517" s="235">
        <v>515</v>
      </c>
      <c r="B517" s="235">
        <v>0</v>
      </c>
      <c r="C517" s="243" t="s">
        <v>3036</v>
      </c>
      <c r="D517" s="235" t="s">
        <v>3037</v>
      </c>
      <c r="E517" s="235">
        <v>33</v>
      </c>
      <c r="F517" s="235" t="s">
        <v>60</v>
      </c>
      <c r="G517" s="235" t="s">
        <v>3038</v>
      </c>
      <c r="H517" s="243" t="s">
        <v>4</v>
      </c>
      <c r="I517" s="243"/>
      <c r="J517" s="240" t="s">
        <v>886</v>
      </c>
      <c r="K517" s="240" t="s">
        <v>3039</v>
      </c>
      <c r="L517" s="243" t="s">
        <v>58</v>
      </c>
      <c r="M517" s="243" t="s">
        <v>231</v>
      </c>
      <c r="N517" s="237"/>
      <c r="O517" s="237"/>
      <c r="P517" s="237"/>
      <c r="Q517" s="245">
        <v>44907</v>
      </c>
      <c r="R517" s="237" t="s">
        <v>309</v>
      </c>
      <c r="S517" s="331" t="s">
        <v>233</v>
      </c>
      <c r="T517" s="237" t="s">
        <v>228</v>
      </c>
      <c r="U517" s="237" t="s">
        <v>234</v>
      </c>
      <c r="V517" s="237" t="s">
        <v>652</v>
      </c>
      <c r="W517" s="244">
        <v>45986</v>
      </c>
      <c r="X517" s="237" t="s">
        <v>3040</v>
      </c>
      <c r="Y517" s="237" t="s">
        <v>588</v>
      </c>
      <c r="Z517" s="237" t="s">
        <v>228</v>
      </c>
      <c r="AA517" s="237" t="s">
        <v>3041</v>
      </c>
      <c r="AB517" s="337" t="s">
        <v>228</v>
      </c>
      <c r="AC517" s="237" t="s">
        <v>228</v>
      </c>
      <c r="AD517" s="562"/>
      <c r="AE517" s="550"/>
      <c r="AF517" s="237"/>
    </row>
    <row r="518" spans="1:130" ht="13.5" customHeight="1">
      <c r="A518" s="235">
        <v>516</v>
      </c>
      <c r="B518" s="235">
        <v>0</v>
      </c>
      <c r="C518" s="243" t="s">
        <v>3042</v>
      </c>
      <c r="D518" s="235" t="s">
        <v>3043</v>
      </c>
      <c r="E518" s="235">
        <v>60</v>
      </c>
      <c r="F518" s="235" t="s">
        <v>75</v>
      </c>
      <c r="G518" s="235" t="s">
        <v>3044</v>
      </c>
      <c r="H518" s="243" t="s">
        <v>4</v>
      </c>
      <c r="I518" s="243"/>
      <c r="J518" s="240" t="s">
        <v>886</v>
      </c>
      <c r="K518" s="240" t="s">
        <v>3045</v>
      </c>
      <c r="L518" s="243" t="s">
        <v>49</v>
      </c>
      <c r="M518" s="243" t="s">
        <v>231</v>
      </c>
      <c r="N518" s="237"/>
      <c r="O518" s="237"/>
      <c r="P518" s="237"/>
      <c r="Q518" s="245">
        <v>44907</v>
      </c>
      <c r="R518" s="237" t="s">
        <v>309</v>
      </c>
      <c r="S518" s="331" t="s">
        <v>233</v>
      </c>
      <c r="T518" s="237" t="s">
        <v>228</v>
      </c>
      <c r="U518" s="237" t="s">
        <v>234</v>
      </c>
      <c r="V518" s="237" t="s">
        <v>652</v>
      </c>
      <c r="W518" s="244">
        <v>45986</v>
      </c>
      <c r="X518" s="237" t="s">
        <v>3046</v>
      </c>
      <c r="Y518" s="237" t="s">
        <v>588</v>
      </c>
      <c r="Z518" s="237" t="s">
        <v>228</v>
      </c>
      <c r="AA518" s="237" t="s">
        <v>3047</v>
      </c>
      <c r="AB518" s="337" t="s">
        <v>228</v>
      </c>
      <c r="AC518" s="237" t="s">
        <v>228</v>
      </c>
      <c r="AD518" s="562"/>
      <c r="AE518" s="550"/>
      <c r="AF518" s="237"/>
    </row>
    <row r="519" spans="1:130" ht="13.5" customHeight="1">
      <c r="A519" s="235">
        <v>517</v>
      </c>
      <c r="B519" s="235">
        <v>0</v>
      </c>
      <c r="C519" s="243" t="s">
        <v>3048</v>
      </c>
      <c r="D519" s="235" t="s">
        <v>3049</v>
      </c>
      <c r="E519" s="235">
        <v>65</v>
      </c>
      <c r="F519" s="235" t="s">
        <v>60</v>
      </c>
      <c r="G519" s="235" t="s">
        <v>3050</v>
      </c>
      <c r="H519" s="243" t="s">
        <v>3</v>
      </c>
      <c r="I519" s="243"/>
      <c r="J519" s="240" t="s">
        <v>886</v>
      </c>
      <c r="K519" s="240" t="s">
        <v>1135</v>
      </c>
      <c r="L519" s="243" t="s">
        <v>1642</v>
      </c>
      <c r="M519" s="243" t="s">
        <v>231</v>
      </c>
      <c r="N519" s="237"/>
      <c r="O519" s="237"/>
      <c r="P519" s="237"/>
      <c r="Q519" s="245">
        <v>44907</v>
      </c>
      <c r="R519" s="237" t="s">
        <v>309</v>
      </c>
      <c r="S519" s="331" t="s">
        <v>233</v>
      </c>
      <c r="T519" s="237" t="s">
        <v>228</v>
      </c>
      <c r="U519" s="237" t="s">
        <v>234</v>
      </c>
      <c r="V519" s="237" t="s">
        <v>652</v>
      </c>
      <c r="W519" s="244">
        <v>45986</v>
      </c>
      <c r="X519" s="237" t="s">
        <v>3051</v>
      </c>
      <c r="Y519" s="237" t="s">
        <v>588</v>
      </c>
      <c r="Z519" s="237" t="s">
        <v>228</v>
      </c>
      <c r="AA519" s="237" t="s">
        <v>3052</v>
      </c>
      <c r="AB519" s="337" t="s">
        <v>228</v>
      </c>
      <c r="AC519" s="237" t="s">
        <v>228</v>
      </c>
      <c r="AD519" s="562"/>
      <c r="AE519" s="550"/>
      <c r="AF519" s="237"/>
    </row>
    <row r="520" spans="1:130" ht="13.5" customHeight="1">
      <c r="A520" s="235">
        <v>518</v>
      </c>
      <c r="B520" s="235">
        <v>0</v>
      </c>
      <c r="C520" s="243" t="s">
        <v>3053</v>
      </c>
      <c r="D520" s="235" t="s">
        <v>3054</v>
      </c>
      <c r="E520" s="235">
        <v>35</v>
      </c>
      <c r="F520" s="235" t="s">
        <v>60</v>
      </c>
      <c r="G520" s="235" t="s">
        <v>3055</v>
      </c>
      <c r="H520" s="243" t="s">
        <v>4</v>
      </c>
      <c r="I520" s="243"/>
      <c r="J520" s="240" t="s">
        <v>886</v>
      </c>
      <c r="K520" s="240" t="s">
        <v>3056</v>
      </c>
      <c r="L520" s="243" t="s">
        <v>62</v>
      </c>
      <c r="M520" s="243" t="s">
        <v>231</v>
      </c>
      <c r="N520" s="237"/>
      <c r="O520" s="237"/>
      <c r="P520" s="237"/>
      <c r="Q520" s="245">
        <v>44907</v>
      </c>
      <c r="R520" s="237" t="s">
        <v>309</v>
      </c>
      <c r="S520" s="331" t="s">
        <v>233</v>
      </c>
      <c r="T520" s="237" t="s">
        <v>228</v>
      </c>
      <c r="U520" s="237" t="s">
        <v>234</v>
      </c>
      <c r="V520" s="237" t="s">
        <v>652</v>
      </c>
      <c r="W520" s="244">
        <v>45986</v>
      </c>
      <c r="X520" s="237" t="s">
        <v>3057</v>
      </c>
      <c r="Y520" s="237" t="s">
        <v>588</v>
      </c>
      <c r="Z520" s="237" t="s">
        <v>228</v>
      </c>
      <c r="AA520" s="237" t="s">
        <v>3058</v>
      </c>
      <c r="AB520" s="337" t="s">
        <v>228</v>
      </c>
      <c r="AC520" s="237" t="s">
        <v>228</v>
      </c>
      <c r="AD520" s="562"/>
      <c r="AE520" s="550"/>
      <c r="AF520" s="237"/>
    </row>
    <row r="521" spans="1:130" ht="13.5" customHeight="1">
      <c r="A521" s="235">
        <v>519</v>
      </c>
      <c r="B521" s="235">
        <v>0</v>
      </c>
      <c r="C521" s="243" t="s">
        <v>3059</v>
      </c>
      <c r="D521" s="235" t="s">
        <v>3060</v>
      </c>
      <c r="E521" s="235">
        <v>68</v>
      </c>
      <c r="F521" s="235" t="s">
        <v>60</v>
      </c>
      <c r="G521" s="235" t="s">
        <v>3061</v>
      </c>
      <c r="H521" s="243" t="s">
        <v>4</v>
      </c>
      <c r="I521" s="243"/>
      <c r="J521" s="240" t="s">
        <v>886</v>
      </c>
      <c r="K521" s="240" t="s">
        <v>3062</v>
      </c>
      <c r="L521" s="243" t="s">
        <v>67</v>
      </c>
      <c r="M521" s="243" t="s">
        <v>231</v>
      </c>
      <c r="N521" s="237"/>
      <c r="O521" s="237"/>
      <c r="P521" s="237"/>
      <c r="Q521" s="245">
        <v>44907</v>
      </c>
      <c r="R521" s="237" t="s">
        <v>309</v>
      </c>
      <c r="S521" s="331" t="s">
        <v>233</v>
      </c>
      <c r="T521" s="237" t="s">
        <v>228</v>
      </c>
      <c r="U521" s="237" t="s">
        <v>234</v>
      </c>
      <c r="V521" s="237" t="s">
        <v>652</v>
      </c>
      <c r="W521" s="244">
        <v>45986</v>
      </c>
      <c r="X521" s="237" t="s">
        <v>3063</v>
      </c>
      <c r="Y521" s="237" t="s">
        <v>588</v>
      </c>
      <c r="Z521" s="237" t="s">
        <v>228</v>
      </c>
      <c r="AA521" s="237" t="s">
        <v>3064</v>
      </c>
      <c r="AB521" s="337" t="s">
        <v>228</v>
      </c>
      <c r="AC521" s="237" t="s">
        <v>228</v>
      </c>
      <c r="AD521" s="562"/>
      <c r="AE521" s="550"/>
      <c r="AF521" s="237"/>
    </row>
    <row r="522" spans="1:130" ht="13.5" customHeight="1">
      <c r="A522" s="235">
        <v>520</v>
      </c>
      <c r="B522" s="235">
        <v>0</v>
      </c>
      <c r="C522" s="243" t="s">
        <v>3065</v>
      </c>
      <c r="D522" s="235" t="s">
        <v>3066</v>
      </c>
      <c r="E522" s="235">
        <v>32</v>
      </c>
      <c r="F522" s="235" t="s">
        <v>60</v>
      </c>
      <c r="G522" s="235" t="s">
        <v>3067</v>
      </c>
      <c r="H522" s="243" t="s">
        <v>4</v>
      </c>
      <c r="I522" s="243"/>
      <c r="J522" s="240" t="s">
        <v>886</v>
      </c>
      <c r="K522" s="240" t="s">
        <v>3068</v>
      </c>
      <c r="L522" s="243" t="s">
        <v>926</v>
      </c>
      <c r="M522" s="243" t="s">
        <v>231</v>
      </c>
      <c r="N522" s="237"/>
      <c r="O522" s="237"/>
      <c r="P522" s="237"/>
      <c r="Q522" s="245">
        <v>44907</v>
      </c>
      <c r="R522" s="237" t="s">
        <v>309</v>
      </c>
      <c r="S522" s="331" t="s">
        <v>233</v>
      </c>
      <c r="T522" s="237" t="s">
        <v>228</v>
      </c>
      <c r="U522" s="237" t="s">
        <v>234</v>
      </c>
      <c r="V522" s="237" t="s">
        <v>652</v>
      </c>
      <c r="W522" s="244">
        <v>45986</v>
      </c>
      <c r="X522" s="237" t="s">
        <v>3069</v>
      </c>
      <c r="Y522" s="237" t="s">
        <v>588</v>
      </c>
      <c r="Z522" s="237" t="s">
        <v>228</v>
      </c>
      <c r="AA522" s="237" t="s">
        <v>3070</v>
      </c>
      <c r="AB522" s="337" t="s">
        <v>228</v>
      </c>
      <c r="AC522" s="237" t="s">
        <v>228</v>
      </c>
      <c r="AD522" s="562"/>
      <c r="AE522" s="550"/>
      <c r="AF522" s="237"/>
    </row>
    <row r="523" spans="1:130" ht="13.5" customHeight="1">
      <c r="A523" s="235">
        <v>521</v>
      </c>
      <c r="B523" s="235">
        <v>0</v>
      </c>
      <c r="C523" s="243" t="s">
        <v>3071</v>
      </c>
      <c r="D523" s="235" t="s">
        <v>3072</v>
      </c>
      <c r="E523" s="235">
        <v>70</v>
      </c>
      <c r="F523" s="235" t="s">
        <v>60</v>
      </c>
      <c r="G523" s="235" t="s">
        <v>3073</v>
      </c>
      <c r="H523" s="243" t="s">
        <v>3</v>
      </c>
      <c r="I523" s="243"/>
      <c r="J523" s="240" t="s">
        <v>886</v>
      </c>
      <c r="K523" s="240" t="s">
        <v>1135</v>
      </c>
      <c r="L523" s="243" t="s">
        <v>1642</v>
      </c>
      <c r="M523" s="243" t="s">
        <v>231</v>
      </c>
      <c r="N523" s="237"/>
      <c r="O523" s="237"/>
      <c r="P523" s="237"/>
      <c r="Q523" s="245">
        <v>44907</v>
      </c>
      <c r="R523" s="237" t="s">
        <v>309</v>
      </c>
      <c r="S523" s="331" t="s">
        <v>233</v>
      </c>
      <c r="T523" s="237" t="s">
        <v>228</v>
      </c>
      <c r="U523" s="237" t="s">
        <v>234</v>
      </c>
      <c r="V523" s="237" t="s">
        <v>652</v>
      </c>
      <c r="W523" s="244">
        <v>45986</v>
      </c>
      <c r="X523" s="237" t="s">
        <v>3074</v>
      </c>
      <c r="Y523" s="237" t="s">
        <v>588</v>
      </c>
      <c r="Z523" s="237" t="s">
        <v>228</v>
      </c>
      <c r="AA523" s="237" t="s">
        <v>3075</v>
      </c>
      <c r="AB523" s="337" t="s">
        <v>228</v>
      </c>
      <c r="AC523" s="237" t="s">
        <v>228</v>
      </c>
      <c r="AD523" s="562"/>
      <c r="AE523" s="550"/>
      <c r="AF523" s="237"/>
    </row>
    <row r="524" spans="1:130" ht="13.5" customHeight="1">
      <c r="A524" s="235">
        <v>522</v>
      </c>
      <c r="B524" s="235">
        <v>0</v>
      </c>
      <c r="C524" s="243" t="s">
        <v>3076</v>
      </c>
      <c r="D524" s="235" t="s">
        <v>3077</v>
      </c>
      <c r="E524" s="235">
        <v>38</v>
      </c>
      <c r="F524" s="235" t="s">
        <v>75</v>
      </c>
      <c r="G524" s="235" t="s">
        <v>3078</v>
      </c>
      <c r="H524" s="243" t="s">
        <v>4</v>
      </c>
      <c r="I524" s="243"/>
      <c r="J524" s="240" t="s">
        <v>886</v>
      </c>
      <c r="K524" s="240" t="s">
        <v>3079</v>
      </c>
      <c r="L524" s="243" t="s">
        <v>49</v>
      </c>
      <c r="M524" s="243" t="s">
        <v>231</v>
      </c>
      <c r="N524" s="237"/>
      <c r="O524" s="237"/>
      <c r="P524" s="237"/>
      <c r="Q524" s="245">
        <v>44908</v>
      </c>
      <c r="R524" s="237" t="s">
        <v>309</v>
      </c>
      <c r="S524" s="331" t="s">
        <v>233</v>
      </c>
      <c r="T524" s="237" t="s">
        <v>228</v>
      </c>
      <c r="U524" s="237" t="s">
        <v>234</v>
      </c>
      <c r="V524" s="237" t="s">
        <v>652</v>
      </c>
      <c r="W524" s="244">
        <v>45986</v>
      </c>
      <c r="X524" s="237" t="s">
        <v>3080</v>
      </c>
      <c r="Y524" s="237" t="s">
        <v>588</v>
      </c>
      <c r="Z524" s="237" t="s">
        <v>228</v>
      </c>
      <c r="AA524" s="237" t="s">
        <v>3081</v>
      </c>
      <c r="AB524" s="337" t="s">
        <v>228</v>
      </c>
      <c r="AC524" s="237" t="s">
        <v>228</v>
      </c>
      <c r="AD524" s="562"/>
      <c r="AE524" s="550"/>
      <c r="AF524" s="237"/>
    </row>
    <row r="525" spans="1:130" ht="13.5" customHeight="1">
      <c r="A525" s="235">
        <v>523</v>
      </c>
      <c r="B525" s="235">
        <v>0</v>
      </c>
      <c r="C525" s="243" t="s">
        <v>3082</v>
      </c>
      <c r="D525" s="235" t="s">
        <v>3083</v>
      </c>
      <c r="E525" s="235">
        <v>62</v>
      </c>
      <c r="F525" s="235" t="s">
        <v>75</v>
      </c>
      <c r="G525" s="235" t="s">
        <v>3084</v>
      </c>
      <c r="H525" s="243" t="s">
        <v>4</v>
      </c>
      <c r="I525" s="243"/>
      <c r="J525" s="240" t="s">
        <v>886</v>
      </c>
      <c r="K525" s="240" t="s">
        <v>3085</v>
      </c>
      <c r="L525" s="243" t="s">
        <v>11</v>
      </c>
      <c r="M525" s="243" t="s">
        <v>231</v>
      </c>
      <c r="N525" s="237"/>
      <c r="O525" s="237"/>
      <c r="P525" s="237"/>
      <c r="Q525" s="245">
        <v>44908</v>
      </c>
      <c r="R525" s="237" t="s">
        <v>309</v>
      </c>
      <c r="S525" s="331" t="s">
        <v>233</v>
      </c>
      <c r="T525" s="237" t="s">
        <v>228</v>
      </c>
      <c r="U525" s="237" t="s">
        <v>234</v>
      </c>
      <c r="V525" s="237" t="s">
        <v>652</v>
      </c>
      <c r="W525" s="244">
        <v>45986</v>
      </c>
      <c r="X525" s="237" t="s">
        <v>3086</v>
      </c>
      <c r="Y525" s="237" t="s">
        <v>588</v>
      </c>
      <c r="Z525" s="237" t="s">
        <v>228</v>
      </c>
      <c r="AA525" s="237" t="s">
        <v>3087</v>
      </c>
      <c r="AB525" s="337" t="s">
        <v>228</v>
      </c>
      <c r="AC525" s="237" t="s">
        <v>228</v>
      </c>
      <c r="AD525" s="562"/>
      <c r="AE525" s="550"/>
      <c r="AF525" s="237"/>
    </row>
    <row r="526" spans="1:130" ht="13.5" customHeight="1">
      <c r="A526" s="235">
        <v>524</v>
      </c>
      <c r="B526" s="235">
        <v>87</v>
      </c>
      <c r="C526" s="243" t="s">
        <v>3088</v>
      </c>
      <c r="D526" s="235" t="s">
        <v>3089</v>
      </c>
      <c r="E526" s="235">
        <v>65</v>
      </c>
      <c r="F526" s="235" t="s">
        <v>60</v>
      </c>
      <c r="G526" s="235" t="s">
        <v>3090</v>
      </c>
      <c r="H526" s="243" t="s">
        <v>188</v>
      </c>
      <c r="I526" s="243"/>
      <c r="K526" s="240"/>
      <c r="L526" s="243" t="s">
        <v>231</v>
      </c>
      <c r="M526" s="246" t="s">
        <v>228</v>
      </c>
      <c r="N526" s="237" t="s">
        <v>228</v>
      </c>
      <c r="O526" s="237" t="s">
        <v>228</v>
      </c>
      <c r="P526" s="237" t="s">
        <v>231</v>
      </c>
      <c r="Q526" s="245" t="s">
        <v>3091</v>
      </c>
      <c r="R526" s="237" t="s">
        <v>309</v>
      </c>
      <c r="S526" s="331" t="s">
        <v>233</v>
      </c>
      <c r="T526" s="237" t="s">
        <v>228</v>
      </c>
      <c r="U526" s="237" t="s">
        <v>234</v>
      </c>
      <c r="V526" s="237" t="s">
        <v>235</v>
      </c>
      <c r="W526" s="244" t="s">
        <v>228</v>
      </c>
      <c r="X526" s="237">
        <v>0</v>
      </c>
      <c r="Y526" s="237" t="s">
        <v>3092</v>
      </c>
      <c r="Z526" s="237" t="s">
        <v>228</v>
      </c>
      <c r="AA526" s="237" t="s">
        <v>228</v>
      </c>
      <c r="AB526" s="337" t="s">
        <v>228</v>
      </c>
      <c r="AC526" s="237" t="s">
        <v>228</v>
      </c>
      <c r="AD526" s="562"/>
      <c r="AE526" s="550"/>
      <c r="AF526" s="237"/>
    </row>
    <row r="527" spans="1:130" ht="13.5" customHeight="1">
      <c r="A527" s="235">
        <v>525</v>
      </c>
      <c r="B527" s="235">
        <v>156</v>
      </c>
      <c r="C527" s="255" t="s">
        <v>3093</v>
      </c>
      <c r="D527" s="235" t="s">
        <v>3094</v>
      </c>
      <c r="E527" s="235">
        <v>50</v>
      </c>
      <c r="F527" s="235" t="s">
        <v>60</v>
      </c>
      <c r="G527" s="235" t="s">
        <v>3095</v>
      </c>
      <c r="H527" s="243" t="s">
        <v>188</v>
      </c>
      <c r="I527" s="243"/>
      <c r="K527" s="240"/>
      <c r="L527" s="243" t="s">
        <v>231</v>
      </c>
      <c r="M527" s="246" t="s">
        <v>228</v>
      </c>
      <c r="N527" s="237" t="s">
        <v>3096</v>
      </c>
      <c r="O527" s="237" t="s">
        <v>228</v>
      </c>
      <c r="P527" s="237" t="s">
        <v>231</v>
      </c>
      <c r="Q527" s="245">
        <v>45112</v>
      </c>
      <c r="R527" s="237" t="s">
        <v>309</v>
      </c>
      <c r="S527" s="331" t="s">
        <v>233</v>
      </c>
      <c r="T527" s="237" t="s">
        <v>228</v>
      </c>
      <c r="U527" s="237" t="s">
        <v>234</v>
      </c>
      <c r="V527" s="237" t="s">
        <v>228</v>
      </c>
      <c r="W527" s="244" t="s">
        <v>228</v>
      </c>
      <c r="X527" s="237" t="s">
        <v>228</v>
      </c>
      <c r="Y527" s="237" t="s">
        <v>228</v>
      </c>
      <c r="Z527" s="237" t="s">
        <v>228</v>
      </c>
      <c r="AA527" s="237" t="s">
        <v>3097</v>
      </c>
      <c r="AB527" s="337" t="s">
        <v>228</v>
      </c>
      <c r="AC527" s="237" t="s">
        <v>228</v>
      </c>
      <c r="AD527" s="562"/>
      <c r="AE527" s="555"/>
      <c r="AF527" s="237"/>
    </row>
    <row r="528" spans="1:130" ht="13.5" customHeight="1">
      <c r="A528" s="235">
        <v>526</v>
      </c>
      <c r="B528" s="235">
        <v>0</v>
      </c>
      <c r="C528" s="255" t="s">
        <v>3098</v>
      </c>
      <c r="D528" s="235" t="s">
        <v>3099</v>
      </c>
      <c r="E528" s="235">
        <v>64</v>
      </c>
      <c r="F528" s="235" t="s">
        <v>75</v>
      </c>
      <c r="G528" s="235" t="s">
        <v>3100</v>
      </c>
      <c r="H528" s="243" t="s">
        <v>188</v>
      </c>
      <c r="I528" s="243"/>
      <c r="K528" s="240"/>
      <c r="L528" s="243" t="s">
        <v>231</v>
      </c>
      <c r="M528" s="243" t="s">
        <v>231</v>
      </c>
      <c r="N528" s="237"/>
      <c r="O528" s="237"/>
      <c r="P528" s="237"/>
      <c r="Q528" s="245">
        <v>45640</v>
      </c>
      <c r="R528" s="237" t="s">
        <v>309</v>
      </c>
      <c r="S528" s="331" t="s">
        <v>233</v>
      </c>
      <c r="T528" s="237">
        <v>0</v>
      </c>
      <c r="U528" s="237" t="s">
        <v>234</v>
      </c>
      <c r="V528" s="237" t="s">
        <v>228</v>
      </c>
      <c r="W528" s="244" t="s">
        <v>228</v>
      </c>
      <c r="X528" s="237" t="s">
        <v>228</v>
      </c>
      <c r="Y528" s="237" t="s">
        <v>228</v>
      </c>
      <c r="Z528" s="237" t="s">
        <v>228</v>
      </c>
      <c r="AA528" s="237" t="s">
        <v>3101</v>
      </c>
      <c r="AB528" s="337" t="s">
        <v>228</v>
      </c>
      <c r="AC528" s="237" t="s">
        <v>228</v>
      </c>
      <c r="AD528" s="562"/>
      <c r="AE528" s="555"/>
      <c r="AF528" s="237"/>
    </row>
    <row r="529" spans="1:32" ht="13.5" customHeight="1">
      <c r="A529" s="235">
        <v>527</v>
      </c>
      <c r="B529" s="235">
        <v>0</v>
      </c>
      <c r="C529" s="255" t="s">
        <v>3102</v>
      </c>
      <c r="D529" s="235" t="s">
        <v>3103</v>
      </c>
      <c r="E529" s="235">
        <v>65</v>
      </c>
      <c r="F529" s="235" t="s">
        <v>75</v>
      </c>
      <c r="G529" s="235" t="s">
        <v>3104</v>
      </c>
      <c r="H529" s="243" t="s">
        <v>188</v>
      </c>
      <c r="I529" s="243"/>
      <c r="K529" s="240"/>
      <c r="L529" s="243" t="s">
        <v>231</v>
      </c>
      <c r="M529" s="243" t="s">
        <v>231</v>
      </c>
      <c r="N529" s="237"/>
      <c r="O529" s="237"/>
      <c r="P529" s="237"/>
      <c r="Q529" s="245">
        <v>45640</v>
      </c>
      <c r="R529" s="237" t="s">
        <v>309</v>
      </c>
      <c r="S529" s="331" t="s">
        <v>233</v>
      </c>
      <c r="T529" s="237">
        <v>0</v>
      </c>
      <c r="U529" s="237" t="s">
        <v>234</v>
      </c>
      <c r="V529" s="237" t="s">
        <v>652</v>
      </c>
      <c r="W529" s="244">
        <v>46028</v>
      </c>
      <c r="X529" s="237" t="s">
        <v>3105</v>
      </c>
      <c r="Y529" s="237" t="s">
        <v>588</v>
      </c>
      <c r="Z529" s="237" t="s">
        <v>228</v>
      </c>
      <c r="AA529" s="237" t="s">
        <v>3106</v>
      </c>
      <c r="AB529" s="337" t="s">
        <v>228</v>
      </c>
      <c r="AC529" s="237" t="s">
        <v>228</v>
      </c>
      <c r="AD529" s="562"/>
      <c r="AE529" s="555"/>
      <c r="AF529" s="237"/>
    </row>
    <row r="530" spans="1:32" ht="13.5" customHeight="1">
      <c r="A530" s="235">
        <v>528</v>
      </c>
      <c r="B530" s="235" t="s">
        <v>3107</v>
      </c>
      <c r="C530" s="255" t="s">
        <v>3108</v>
      </c>
      <c r="D530" s="235" t="s">
        <v>3109</v>
      </c>
      <c r="E530" s="235">
        <v>34</v>
      </c>
      <c r="F530" s="235" t="s">
        <v>75</v>
      </c>
      <c r="G530" s="235" t="s">
        <v>3110</v>
      </c>
      <c r="H530" s="243" t="s">
        <v>188</v>
      </c>
      <c r="I530" s="243"/>
      <c r="K530" s="240"/>
      <c r="L530" s="243"/>
      <c r="M530" s="243" t="s">
        <v>184</v>
      </c>
      <c r="N530" s="237"/>
      <c r="O530" s="237"/>
      <c r="P530" s="237"/>
      <c r="Q530" s="245">
        <v>45640</v>
      </c>
      <c r="R530" s="237" t="s">
        <v>309</v>
      </c>
      <c r="S530" s="331" t="s">
        <v>233</v>
      </c>
      <c r="T530" s="237" t="s">
        <v>228</v>
      </c>
      <c r="U530" s="237" t="s">
        <v>234</v>
      </c>
      <c r="V530" s="237" t="s">
        <v>228</v>
      </c>
      <c r="W530" s="244" t="s">
        <v>228</v>
      </c>
      <c r="X530" s="237" t="s">
        <v>228</v>
      </c>
      <c r="Y530" s="237" t="s">
        <v>228</v>
      </c>
      <c r="Z530" s="237" t="s">
        <v>228</v>
      </c>
      <c r="AA530" s="237" t="s">
        <v>3111</v>
      </c>
      <c r="AB530" s="337" t="s">
        <v>228</v>
      </c>
      <c r="AC530" s="237" t="s">
        <v>228</v>
      </c>
      <c r="AD530" s="562"/>
      <c r="AE530" s="555"/>
      <c r="AF530" s="237"/>
    </row>
    <row r="531" spans="1:32" ht="13.5" customHeight="1">
      <c r="A531" s="235">
        <v>529</v>
      </c>
      <c r="B531" s="235">
        <v>0</v>
      </c>
      <c r="C531" s="255" t="s">
        <v>3112</v>
      </c>
      <c r="D531" s="235" t="s">
        <v>3113</v>
      </c>
      <c r="E531" s="235">
        <v>57</v>
      </c>
      <c r="F531" s="235" t="s">
        <v>60</v>
      </c>
      <c r="G531" s="235" t="s">
        <v>3114</v>
      </c>
      <c r="H531" s="243" t="s">
        <v>188</v>
      </c>
      <c r="I531" s="243"/>
      <c r="K531" s="240"/>
      <c r="L531" s="243" t="s">
        <v>231</v>
      </c>
      <c r="M531" s="243" t="s">
        <v>231</v>
      </c>
      <c r="N531" s="237"/>
      <c r="O531" s="237"/>
      <c r="P531" s="237"/>
      <c r="Q531" s="245">
        <v>45640</v>
      </c>
      <c r="R531" s="237" t="s">
        <v>309</v>
      </c>
      <c r="S531" s="331" t="s">
        <v>233</v>
      </c>
      <c r="T531" s="237">
        <v>0</v>
      </c>
      <c r="U531" s="237" t="s">
        <v>234</v>
      </c>
      <c r="V531" s="237" t="s">
        <v>652</v>
      </c>
      <c r="W531" s="244">
        <v>46028</v>
      </c>
      <c r="X531" s="237" t="s">
        <v>3115</v>
      </c>
      <c r="Y531" s="237" t="s">
        <v>588</v>
      </c>
      <c r="Z531" s="237" t="s">
        <v>228</v>
      </c>
      <c r="AA531" s="237" t="s">
        <v>3116</v>
      </c>
      <c r="AB531" s="337" t="s">
        <v>228</v>
      </c>
      <c r="AC531" s="237" t="s">
        <v>228</v>
      </c>
      <c r="AD531" s="562"/>
      <c r="AE531" s="555"/>
      <c r="AF531" s="237"/>
    </row>
    <row r="532" spans="1:32" ht="13.5" customHeight="1">
      <c r="A532" s="235">
        <v>530</v>
      </c>
      <c r="B532" s="235">
        <v>0</v>
      </c>
      <c r="C532" s="255" t="s">
        <v>3117</v>
      </c>
      <c r="D532" s="235" t="s">
        <v>3118</v>
      </c>
      <c r="E532" s="235">
        <v>52</v>
      </c>
      <c r="F532" s="235" t="s">
        <v>75</v>
      </c>
      <c r="G532" s="235" t="s">
        <v>3119</v>
      </c>
      <c r="H532" s="243" t="s">
        <v>188</v>
      </c>
      <c r="I532" s="243"/>
      <c r="K532" s="240"/>
      <c r="L532" s="243" t="s">
        <v>231</v>
      </c>
      <c r="M532" s="243" t="s">
        <v>231</v>
      </c>
      <c r="N532" s="237"/>
      <c r="O532" s="237"/>
      <c r="P532" s="237"/>
      <c r="Q532" s="245">
        <v>45640</v>
      </c>
      <c r="R532" s="237" t="s">
        <v>309</v>
      </c>
      <c r="S532" s="331" t="s">
        <v>233</v>
      </c>
      <c r="T532" s="237">
        <v>0</v>
      </c>
      <c r="U532" s="237" t="s">
        <v>234</v>
      </c>
      <c r="V532" s="237" t="s">
        <v>652</v>
      </c>
      <c r="W532" s="244">
        <v>46028</v>
      </c>
      <c r="X532" s="237" t="s">
        <v>3120</v>
      </c>
      <c r="Y532" s="237" t="s">
        <v>588</v>
      </c>
      <c r="Z532" s="237" t="s">
        <v>228</v>
      </c>
      <c r="AA532" s="237" t="s">
        <v>3121</v>
      </c>
      <c r="AB532" s="337" t="s">
        <v>228</v>
      </c>
      <c r="AC532" s="237" t="s">
        <v>228</v>
      </c>
      <c r="AD532" s="562"/>
      <c r="AE532" s="555"/>
      <c r="AF532" s="237"/>
    </row>
    <row r="533" spans="1:32" ht="13.5" customHeight="1">
      <c r="A533" s="235">
        <v>531</v>
      </c>
      <c r="B533" s="235">
        <v>0</v>
      </c>
      <c r="C533" s="255" t="s">
        <v>3122</v>
      </c>
      <c r="D533" s="235" t="s">
        <v>3123</v>
      </c>
      <c r="E533" s="235">
        <v>45</v>
      </c>
      <c r="F533" s="235" t="s">
        <v>75</v>
      </c>
      <c r="G533" s="235" t="s">
        <v>3124</v>
      </c>
      <c r="H533" s="243" t="s">
        <v>188</v>
      </c>
      <c r="I533" s="243"/>
      <c r="K533" s="240"/>
      <c r="L533" s="243" t="s">
        <v>231</v>
      </c>
      <c r="M533" s="243" t="s">
        <v>231</v>
      </c>
      <c r="N533" s="237"/>
      <c r="O533" s="237"/>
      <c r="P533" s="237"/>
      <c r="Q533" s="245">
        <v>45640</v>
      </c>
      <c r="R533" s="237" t="s">
        <v>309</v>
      </c>
      <c r="S533" s="331" t="s">
        <v>233</v>
      </c>
      <c r="T533" s="237">
        <v>0</v>
      </c>
      <c r="U533" s="237" t="s">
        <v>234</v>
      </c>
      <c r="V533" s="237" t="s">
        <v>652</v>
      </c>
      <c r="W533" s="244">
        <v>46028</v>
      </c>
      <c r="X533" s="237" t="s">
        <v>3125</v>
      </c>
      <c r="Y533" s="237" t="s">
        <v>588</v>
      </c>
      <c r="Z533" s="237" t="s">
        <v>228</v>
      </c>
      <c r="AA533" s="237" t="s">
        <v>3126</v>
      </c>
      <c r="AB533" s="337" t="s">
        <v>228</v>
      </c>
      <c r="AC533" s="237" t="s">
        <v>228</v>
      </c>
      <c r="AD533" s="562"/>
      <c r="AE533" s="555"/>
      <c r="AF533" s="237"/>
    </row>
    <row r="534" spans="1:32" ht="13.5" customHeight="1">
      <c r="A534" s="235">
        <v>532</v>
      </c>
      <c r="B534" s="235">
        <v>0</v>
      </c>
      <c r="C534" s="255" t="s">
        <v>3127</v>
      </c>
      <c r="D534" s="235" t="s">
        <v>3128</v>
      </c>
      <c r="E534" s="235">
        <v>73</v>
      </c>
      <c r="F534" s="235" t="s">
        <v>60</v>
      </c>
      <c r="G534" s="235" t="s">
        <v>3129</v>
      </c>
      <c r="H534" s="243" t="s">
        <v>188</v>
      </c>
      <c r="I534" s="243"/>
      <c r="K534" s="240"/>
      <c r="L534" s="243" t="s">
        <v>231</v>
      </c>
      <c r="M534" s="243" t="s">
        <v>231</v>
      </c>
      <c r="N534" s="237"/>
      <c r="O534" s="237"/>
      <c r="P534" s="237"/>
      <c r="Q534" s="245">
        <v>45640</v>
      </c>
      <c r="R534" s="237" t="s">
        <v>309</v>
      </c>
      <c r="S534" s="331" t="s">
        <v>233</v>
      </c>
      <c r="T534" s="237">
        <v>0</v>
      </c>
      <c r="U534" s="237" t="s">
        <v>234</v>
      </c>
      <c r="V534" s="237" t="s">
        <v>652</v>
      </c>
      <c r="W534" s="244">
        <v>46028</v>
      </c>
      <c r="X534" s="237" t="s">
        <v>3130</v>
      </c>
      <c r="Y534" s="237" t="s">
        <v>588</v>
      </c>
      <c r="Z534" s="237" t="s">
        <v>228</v>
      </c>
      <c r="AA534" s="237" t="s">
        <v>3131</v>
      </c>
      <c r="AB534" s="337" t="s">
        <v>228</v>
      </c>
      <c r="AC534" s="237" t="s">
        <v>228</v>
      </c>
      <c r="AD534" s="562"/>
      <c r="AE534" s="555"/>
      <c r="AF534" s="237"/>
    </row>
    <row r="535" spans="1:32" ht="13.5" customHeight="1">
      <c r="A535" s="235">
        <v>533</v>
      </c>
      <c r="B535" s="235">
        <v>0</v>
      </c>
      <c r="C535" s="255" t="s">
        <v>3132</v>
      </c>
      <c r="D535" s="235" t="s">
        <v>3133</v>
      </c>
      <c r="E535" s="235">
        <v>35</v>
      </c>
      <c r="F535" s="235" t="s">
        <v>75</v>
      </c>
      <c r="G535" s="235" t="s">
        <v>3134</v>
      </c>
      <c r="H535" s="243" t="s">
        <v>188</v>
      </c>
      <c r="I535" s="243"/>
      <c r="K535" s="240"/>
      <c r="L535" s="243" t="s">
        <v>231</v>
      </c>
      <c r="M535" s="243" t="s">
        <v>231</v>
      </c>
      <c r="N535" s="237"/>
      <c r="O535" s="237"/>
      <c r="P535" s="237"/>
      <c r="Q535" s="245">
        <v>45643</v>
      </c>
      <c r="R535" s="237" t="s">
        <v>309</v>
      </c>
      <c r="S535" s="331" t="s">
        <v>233</v>
      </c>
      <c r="T535" s="237">
        <v>0</v>
      </c>
      <c r="U535" s="237" t="s">
        <v>234</v>
      </c>
      <c r="V535" s="237" t="s">
        <v>652</v>
      </c>
      <c r="W535" s="244">
        <v>46028</v>
      </c>
      <c r="X535" s="237" t="s">
        <v>3135</v>
      </c>
      <c r="Y535" s="237" t="s">
        <v>588</v>
      </c>
      <c r="Z535" s="237" t="s">
        <v>228</v>
      </c>
      <c r="AA535" s="237" t="s">
        <v>3136</v>
      </c>
      <c r="AB535" s="337" t="s">
        <v>228</v>
      </c>
      <c r="AC535" s="237" t="s">
        <v>228</v>
      </c>
      <c r="AD535" s="562"/>
      <c r="AE535" s="555"/>
      <c r="AF535" s="237"/>
    </row>
    <row r="536" spans="1:32" ht="13.5" customHeight="1">
      <c r="A536" s="235">
        <v>534</v>
      </c>
      <c r="B536" s="235" t="s">
        <v>3137</v>
      </c>
      <c r="C536" s="255" t="s">
        <v>3138</v>
      </c>
      <c r="D536" s="235" t="s">
        <v>3139</v>
      </c>
      <c r="E536" s="235">
        <v>28</v>
      </c>
      <c r="F536" s="235" t="s">
        <v>60</v>
      </c>
      <c r="G536" s="235" t="s">
        <v>3140</v>
      </c>
      <c r="H536" s="243" t="s">
        <v>188</v>
      </c>
      <c r="I536" s="243"/>
      <c r="K536" s="240"/>
      <c r="L536" s="243" t="s">
        <v>231</v>
      </c>
      <c r="M536" s="246" t="s">
        <v>228</v>
      </c>
      <c r="N536" s="237"/>
      <c r="O536" s="237"/>
      <c r="P536" s="237"/>
      <c r="Q536" s="245">
        <v>45643</v>
      </c>
      <c r="R536" s="237" t="s">
        <v>309</v>
      </c>
      <c r="S536" s="331" t="s">
        <v>233</v>
      </c>
      <c r="T536" s="237">
        <v>0</v>
      </c>
      <c r="U536" s="237" t="s">
        <v>234</v>
      </c>
      <c r="V536" s="237" t="s">
        <v>228</v>
      </c>
      <c r="W536" s="244" t="s">
        <v>228</v>
      </c>
      <c r="X536" s="237" t="s">
        <v>228</v>
      </c>
      <c r="Y536" s="237" t="s">
        <v>228</v>
      </c>
      <c r="Z536" s="237" t="s">
        <v>228</v>
      </c>
      <c r="AA536" s="237" t="s">
        <v>3141</v>
      </c>
      <c r="AB536" s="337" t="s">
        <v>228</v>
      </c>
      <c r="AC536" s="237" t="s">
        <v>228</v>
      </c>
      <c r="AD536" s="562"/>
      <c r="AE536" s="555"/>
      <c r="AF536" s="237"/>
    </row>
    <row r="537" spans="1:32" ht="13.5" customHeight="1">
      <c r="A537" s="235">
        <v>535</v>
      </c>
      <c r="B537" s="235">
        <v>0</v>
      </c>
      <c r="C537" s="255" t="s">
        <v>3142</v>
      </c>
      <c r="D537" s="235" t="s">
        <v>3143</v>
      </c>
      <c r="E537" s="235">
        <v>46</v>
      </c>
      <c r="F537" s="235" t="s">
        <v>60</v>
      </c>
      <c r="G537" s="235" t="s">
        <v>3144</v>
      </c>
      <c r="H537" s="243" t="s">
        <v>188</v>
      </c>
      <c r="I537" s="243"/>
      <c r="K537" s="240"/>
      <c r="L537" s="243" t="s">
        <v>231</v>
      </c>
      <c r="M537" s="243" t="s">
        <v>231</v>
      </c>
      <c r="N537" s="237"/>
      <c r="O537" s="237"/>
      <c r="P537" s="237"/>
      <c r="Q537" s="245">
        <v>45644</v>
      </c>
      <c r="R537" s="237" t="s">
        <v>309</v>
      </c>
      <c r="S537" s="331" t="s">
        <v>233</v>
      </c>
      <c r="T537" s="237">
        <v>0</v>
      </c>
      <c r="U537" s="237" t="s">
        <v>234</v>
      </c>
      <c r="V537" s="237" t="s">
        <v>652</v>
      </c>
      <c r="W537" s="244">
        <v>46028</v>
      </c>
      <c r="X537" s="237" t="s">
        <v>3145</v>
      </c>
      <c r="Y537" s="237" t="s">
        <v>588</v>
      </c>
      <c r="Z537" s="237" t="s">
        <v>228</v>
      </c>
      <c r="AA537" s="237" t="s">
        <v>3146</v>
      </c>
      <c r="AB537" s="337" t="s">
        <v>228</v>
      </c>
      <c r="AC537" s="237" t="s">
        <v>228</v>
      </c>
      <c r="AD537" s="562"/>
      <c r="AE537" s="555"/>
      <c r="AF537" s="237"/>
    </row>
    <row r="538" spans="1:32" ht="13.5" customHeight="1">
      <c r="A538" s="235">
        <v>536</v>
      </c>
      <c r="B538" s="235">
        <v>0</v>
      </c>
      <c r="C538" s="255" t="s">
        <v>3147</v>
      </c>
      <c r="D538" s="235" t="s">
        <v>3148</v>
      </c>
      <c r="E538" s="235">
        <v>38</v>
      </c>
      <c r="F538" s="235" t="s">
        <v>60</v>
      </c>
      <c r="G538" s="235" t="s">
        <v>3149</v>
      </c>
      <c r="H538" s="243" t="s">
        <v>188</v>
      </c>
      <c r="I538" s="243"/>
      <c r="K538" s="240"/>
      <c r="L538" s="243" t="s">
        <v>231</v>
      </c>
      <c r="M538" s="243" t="s">
        <v>231</v>
      </c>
      <c r="N538" s="237"/>
      <c r="O538" s="237"/>
      <c r="P538" s="237"/>
      <c r="Q538" s="245">
        <v>45644</v>
      </c>
      <c r="R538" s="237" t="s">
        <v>309</v>
      </c>
      <c r="S538" s="331" t="s">
        <v>233</v>
      </c>
      <c r="T538" s="237">
        <v>0</v>
      </c>
      <c r="U538" s="237" t="s">
        <v>234</v>
      </c>
      <c r="V538" s="237" t="s">
        <v>652</v>
      </c>
      <c r="W538" s="244">
        <v>46028</v>
      </c>
      <c r="X538" s="237" t="s">
        <v>3150</v>
      </c>
      <c r="Y538" s="237" t="s">
        <v>588</v>
      </c>
      <c r="Z538" s="237" t="s">
        <v>228</v>
      </c>
      <c r="AA538" s="237" t="s">
        <v>3151</v>
      </c>
      <c r="AB538" s="337" t="s">
        <v>228</v>
      </c>
      <c r="AC538" s="237" t="s">
        <v>228</v>
      </c>
      <c r="AD538" s="562"/>
      <c r="AE538" s="555"/>
      <c r="AF538" s="237"/>
    </row>
    <row r="539" spans="1:32" ht="13.5" customHeight="1">
      <c r="A539" s="235">
        <v>537</v>
      </c>
      <c r="B539" s="235">
        <v>0</v>
      </c>
      <c r="C539" s="255" t="s">
        <v>3152</v>
      </c>
      <c r="D539" s="235" t="s">
        <v>3153</v>
      </c>
      <c r="E539" s="235">
        <v>39</v>
      </c>
      <c r="F539" s="235" t="s">
        <v>60</v>
      </c>
      <c r="G539" s="235" t="s">
        <v>3154</v>
      </c>
      <c r="H539" s="243" t="s">
        <v>188</v>
      </c>
      <c r="I539" s="243"/>
      <c r="K539" s="240"/>
      <c r="L539" s="243" t="s">
        <v>231</v>
      </c>
      <c r="M539" s="243" t="s">
        <v>231</v>
      </c>
      <c r="N539" s="237"/>
      <c r="O539" s="237"/>
      <c r="P539" s="237"/>
      <c r="Q539" s="245">
        <v>45644</v>
      </c>
      <c r="R539" s="237" t="s">
        <v>309</v>
      </c>
      <c r="S539" s="331" t="s">
        <v>233</v>
      </c>
      <c r="T539" s="237">
        <v>0</v>
      </c>
      <c r="U539" s="237" t="s">
        <v>234</v>
      </c>
      <c r="V539" s="237" t="s">
        <v>652</v>
      </c>
      <c r="W539" s="244">
        <v>46028</v>
      </c>
      <c r="X539" s="237" t="s">
        <v>3155</v>
      </c>
      <c r="Y539" s="237" t="s">
        <v>588</v>
      </c>
      <c r="Z539" s="237" t="s">
        <v>228</v>
      </c>
      <c r="AA539" s="237" t="s">
        <v>3156</v>
      </c>
      <c r="AB539" s="337" t="s">
        <v>228</v>
      </c>
      <c r="AC539" s="237" t="s">
        <v>228</v>
      </c>
      <c r="AD539" s="562"/>
      <c r="AE539" s="555"/>
      <c r="AF539" s="237"/>
    </row>
    <row r="540" spans="1:32" ht="13.5" customHeight="1">
      <c r="A540" s="235">
        <v>538</v>
      </c>
      <c r="B540" s="235">
        <v>0</v>
      </c>
      <c r="C540" s="255" t="s">
        <v>3157</v>
      </c>
      <c r="D540" s="235" t="s">
        <v>3158</v>
      </c>
      <c r="E540" s="235">
        <v>55</v>
      </c>
      <c r="F540" s="235" t="s">
        <v>60</v>
      </c>
      <c r="G540" s="235" t="s">
        <v>3159</v>
      </c>
      <c r="H540" s="243" t="s">
        <v>188</v>
      </c>
      <c r="I540" s="243"/>
      <c r="K540" s="240"/>
      <c r="L540" s="243" t="s">
        <v>231</v>
      </c>
      <c r="M540" s="243" t="s">
        <v>231</v>
      </c>
      <c r="N540" s="237"/>
      <c r="O540" s="237"/>
      <c r="P540" s="237"/>
      <c r="Q540" s="245">
        <v>45644</v>
      </c>
      <c r="R540" s="237" t="s">
        <v>309</v>
      </c>
      <c r="S540" s="331" t="s">
        <v>233</v>
      </c>
      <c r="T540" s="237">
        <v>0</v>
      </c>
      <c r="U540" s="237" t="s">
        <v>234</v>
      </c>
      <c r="V540" s="237" t="s">
        <v>652</v>
      </c>
      <c r="W540" s="244">
        <v>46028</v>
      </c>
      <c r="X540" s="237" t="s">
        <v>3160</v>
      </c>
      <c r="Y540" s="237" t="s">
        <v>588</v>
      </c>
      <c r="Z540" s="237" t="s">
        <v>228</v>
      </c>
      <c r="AA540" s="237" t="s">
        <v>3161</v>
      </c>
      <c r="AB540" s="337" t="s">
        <v>228</v>
      </c>
      <c r="AC540" s="237" t="s">
        <v>228</v>
      </c>
      <c r="AD540" s="562"/>
      <c r="AE540" s="555"/>
      <c r="AF540" s="237"/>
    </row>
    <row r="541" spans="1:32" ht="13.5" customHeight="1">
      <c r="A541" s="235">
        <v>539</v>
      </c>
      <c r="B541" s="235">
        <v>0</v>
      </c>
      <c r="C541" s="255" t="s">
        <v>3162</v>
      </c>
      <c r="D541" s="235" t="s">
        <v>3163</v>
      </c>
      <c r="E541" s="235">
        <v>24</v>
      </c>
      <c r="F541" s="235" t="s">
        <v>60</v>
      </c>
      <c r="G541" s="235" t="s">
        <v>3164</v>
      </c>
      <c r="H541" s="243" t="s">
        <v>188</v>
      </c>
      <c r="I541" s="243"/>
      <c r="K541" s="240"/>
      <c r="L541" s="243" t="s">
        <v>231</v>
      </c>
      <c r="M541" s="243" t="s">
        <v>231</v>
      </c>
      <c r="N541" s="237"/>
      <c r="O541" s="237"/>
      <c r="P541" s="237"/>
      <c r="Q541" s="245">
        <v>45644</v>
      </c>
      <c r="R541" s="237" t="s">
        <v>309</v>
      </c>
      <c r="S541" s="331" t="s">
        <v>233</v>
      </c>
      <c r="T541" s="237">
        <v>0</v>
      </c>
      <c r="U541" s="237" t="s">
        <v>234</v>
      </c>
      <c r="V541" s="237" t="s">
        <v>652</v>
      </c>
      <c r="W541" s="244">
        <v>46028</v>
      </c>
      <c r="X541" s="237" t="s">
        <v>3165</v>
      </c>
      <c r="Y541" s="237" t="s">
        <v>588</v>
      </c>
      <c r="Z541" s="237" t="s">
        <v>228</v>
      </c>
      <c r="AA541" s="237" t="s">
        <v>3166</v>
      </c>
      <c r="AB541" s="337" t="s">
        <v>228</v>
      </c>
      <c r="AC541" s="237" t="s">
        <v>228</v>
      </c>
      <c r="AD541" s="562"/>
      <c r="AE541" s="555"/>
      <c r="AF541" s="237"/>
    </row>
    <row r="542" spans="1:32" ht="13.5" customHeight="1">
      <c r="A542" s="235">
        <v>540</v>
      </c>
      <c r="B542" s="235">
        <v>0</v>
      </c>
      <c r="C542" s="255" t="s">
        <v>3167</v>
      </c>
      <c r="D542" s="235" t="s">
        <v>3168</v>
      </c>
      <c r="E542" s="235">
        <v>56</v>
      </c>
      <c r="F542" s="235" t="s">
        <v>60</v>
      </c>
      <c r="G542" s="235" t="s">
        <v>3169</v>
      </c>
      <c r="H542" s="243" t="s">
        <v>188</v>
      </c>
      <c r="I542" s="243"/>
      <c r="K542" s="240"/>
      <c r="L542" s="243" t="s">
        <v>231</v>
      </c>
      <c r="M542" s="243" t="s">
        <v>231</v>
      </c>
      <c r="N542" s="237"/>
      <c r="O542" s="237"/>
      <c r="P542" s="237"/>
      <c r="Q542" s="245">
        <v>45644</v>
      </c>
      <c r="R542" s="237" t="s">
        <v>309</v>
      </c>
      <c r="S542" s="331" t="s">
        <v>233</v>
      </c>
      <c r="T542" s="237">
        <v>0</v>
      </c>
      <c r="U542" s="237" t="s">
        <v>234</v>
      </c>
      <c r="V542" s="237" t="s">
        <v>652</v>
      </c>
      <c r="W542" s="244">
        <v>46028</v>
      </c>
      <c r="X542" s="237" t="s">
        <v>3170</v>
      </c>
      <c r="Y542" s="237" t="s">
        <v>588</v>
      </c>
      <c r="Z542" s="237" t="s">
        <v>228</v>
      </c>
      <c r="AA542" s="237" t="s">
        <v>3171</v>
      </c>
      <c r="AB542" s="337" t="s">
        <v>228</v>
      </c>
      <c r="AC542" s="237" t="s">
        <v>228</v>
      </c>
      <c r="AD542" s="562"/>
      <c r="AE542" s="555"/>
      <c r="AF542" s="237"/>
    </row>
    <row r="543" spans="1:32" ht="13.5" customHeight="1">
      <c r="A543" s="235">
        <v>541</v>
      </c>
      <c r="B543" s="235">
        <v>0</v>
      </c>
      <c r="C543" s="255" t="s">
        <v>3172</v>
      </c>
      <c r="D543" s="235" t="s">
        <v>3173</v>
      </c>
      <c r="E543" s="235">
        <v>50</v>
      </c>
      <c r="F543" s="235" t="s">
        <v>60</v>
      </c>
      <c r="G543" s="235" t="s">
        <v>3174</v>
      </c>
      <c r="H543" s="243" t="s">
        <v>188</v>
      </c>
      <c r="I543" s="243"/>
      <c r="K543" s="240"/>
      <c r="L543" s="243" t="s">
        <v>231</v>
      </c>
      <c r="M543" s="243" t="s">
        <v>231</v>
      </c>
      <c r="N543" s="237"/>
      <c r="O543" s="237"/>
      <c r="P543" s="237"/>
      <c r="Q543" s="245">
        <v>45644</v>
      </c>
      <c r="R543" s="237" t="s">
        <v>309</v>
      </c>
      <c r="S543" s="331" t="s">
        <v>233</v>
      </c>
      <c r="T543" s="237">
        <v>0</v>
      </c>
      <c r="U543" s="237" t="s">
        <v>234</v>
      </c>
      <c r="V543" s="237" t="s">
        <v>652</v>
      </c>
      <c r="W543" s="244">
        <v>46028</v>
      </c>
      <c r="X543" s="237" t="s">
        <v>3175</v>
      </c>
      <c r="Y543" s="237" t="s">
        <v>588</v>
      </c>
      <c r="Z543" s="237" t="s">
        <v>228</v>
      </c>
      <c r="AA543" s="237" t="s">
        <v>3176</v>
      </c>
      <c r="AB543" s="337" t="s">
        <v>228</v>
      </c>
      <c r="AC543" s="237" t="s">
        <v>228</v>
      </c>
      <c r="AD543" s="562"/>
      <c r="AE543" s="555"/>
      <c r="AF543" s="237"/>
    </row>
    <row r="544" spans="1:32" ht="13.5" customHeight="1">
      <c r="A544" s="235">
        <v>542</v>
      </c>
      <c r="B544" s="235" t="s">
        <v>3177</v>
      </c>
      <c r="C544" s="255" t="s">
        <v>3178</v>
      </c>
      <c r="D544" s="235" t="s">
        <v>3179</v>
      </c>
      <c r="E544" s="235">
        <v>21</v>
      </c>
      <c r="F544" s="235" t="s">
        <v>60</v>
      </c>
      <c r="G544" s="235" t="s">
        <v>3180</v>
      </c>
      <c r="H544" s="243" t="s">
        <v>188</v>
      </c>
      <c r="I544" s="243"/>
      <c r="K544" s="240"/>
      <c r="L544" s="243" t="s">
        <v>231</v>
      </c>
      <c r="M544" s="246" t="s">
        <v>228</v>
      </c>
      <c r="N544" s="237"/>
      <c r="O544" s="237"/>
      <c r="P544" s="237"/>
      <c r="Q544" s="245">
        <v>45644</v>
      </c>
      <c r="R544" s="237" t="s">
        <v>309</v>
      </c>
      <c r="S544" s="331" t="s">
        <v>233</v>
      </c>
      <c r="T544" s="237" t="s">
        <v>228</v>
      </c>
      <c r="U544" s="237" t="s">
        <v>234</v>
      </c>
      <c r="V544" s="237" t="s">
        <v>228</v>
      </c>
      <c r="W544" s="244" t="s">
        <v>228</v>
      </c>
      <c r="X544" s="237" t="s">
        <v>228</v>
      </c>
      <c r="Y544" s="237" t="s">
        <v>228</v>
      </c>
      <c r="Z544" s="237" t="s">
        <v>228</v>
      </c>
      <c r="AA544" s="237" t="s">
        <v>3181</v>
      </c>
      <c r="AB544" s="337" t="s">
        <v>228</v>
      </c>
      <c r="AC544" s="237" t="s">
        <v>228</v>
      </c>
      <c r="AD544" s="562"/>
      <c r="AE544" s="555"/>
      <c r="AF544" s="237"/>
    </row>
    <row r="545" spans="1:32" ht="13.5" customHeight="1">
      <c r="A545" s="235">
        <v>543</v>
      </c>
      <c r="B545" s="235">
        <v>0</v>
      </c>
      <c r="C545" s="255" t="s">
        <v>3182</v>
      </c>
      <c r="D545" s="235" t="s">
        <v>3183</v>
      </c>
      <c r="E545" s="235">
        <v>33</v>
      </c>
      <c r="F545" s="235" t="s">
        <v>60</v>
      </c>
      <c r="G545" s="235" t="s">
        <v>3184</v>
      </c>
      <c r="H545" s="243" t="s">
        <v>188</v>
      </c>
      <c r="I545" s="243"/>
      <c r="K545" s="240"/>
      <c r="L545" s="243" t="s">
        <v>231</v>
      </c>
      <c r="M545" s="243" t="s">
        <v>231</v>
      </c>
      <c r="N545" s="237"/>
      <c r="O545" s="237"/>
      <c r="P545" s="237"/>
      <c r="Q545" s="245">
        <v>45645</v>
      </c>
      <c r="R545" s="237" t="s">
        <v>309</v>
      </c>
      <c r="S545" s="331" t="s">
        <v>233</v>
      </c>
      <c r="T545" s="237">
        <v>0</v>
      </c>
      <c r="U545" s="237" t="s">
        <v>234</v>
      </c>
      <c r="V545" s="237" t="s">
        <v>652</v>
      </c>
      <c r="W545" s="244">
        <v>46028</v>
      </c>
      <c r="X545" s="237" t="s">
        <v>3185</v>
      </c>
      <c r="Y545" s="237" t="s">
        <v>588</v>
      </c>
      <c r="Z545" s="237" t="s">
        <v>228</v>
      </c>
      <c r="AA545" s="237" t="s">
        <v>3186</v>
      </c>
      <c r="AB545" s="337" t="s">
        <v>228</v>
      </c>
      <c r="AC545" s="237" t="s">
        <v>228</v>
      </c>
      <c r="AD545" s="562"/>
      <c r="AE545" s="555"/>
      <c r="AF545" s="237"/>
    </row>
    <row r="546" spans="1:32" ht="13.5" customHeight="1">
      <c r="A546" s="235">
        <v>544</v>
      </c>
      <c r="B546" s="235">
        <v>0</v>
      </c>
      <c r="C546" s="255" t="s">
        <v>3187</v>
      </c>
      <c r="D546" s="235" t="s">
        <v>3188</v>
      </c>
      <c r="E546" s="235">
        <v>38</v>
      </c>
      <c r="F546" s="235" t="s">
        <v>60</v>
      </c>
      <c r="G546" s="235" t="s">
        <v>3189</v>
      </c>
      <c r="H546" s="243" t="s">
        <v>188</v>
      </c>
      <c r="I546" s="243"/>
      <c r="K546" s="240"/>
      <c r="L546" s="243" t="s">
        <v>231</v>
      </c>
      <c r="M546" s="243" t="s">
        <v>231</v>
      </c>
      <c r="N546" s="237"/>
      <c r="O546" s="237"/>
      <c r="P546" s="237"/>
      <c r="Q546" s="245">
        <v>45645</v>
      </c>
      <c r="R546" s="237" t="s">
        <v>309</v>
      </c>
      <c r="S546" s="331" t="s">
        <v>233</v>
      </c>
      <c r="T546" s="237">
        <v>0</v>
      </c>
      <c r="U546" s="237" t="s">
        <v>234</v>
      </c>
      <c r="V546" s="237" t="s">
        <v>652</v>
      </c>
      <c r="W546" s="244">
        <v>46028</v>
      </c>
      <c r="X546" s="237" t="s">
        <v>3190</v>
      </c>
      <c r="Y546" s="237" t="s">
        <v>588</v>
      </c>
      <c r="Z546" s="237" t="s">
        <v>228</v>
      </c>
      <c r="AA546" s="237" t="s">
        <v>3191</v>
      </c>
      <c r="AB546" s="337" t="s">
        <v>228</v>
      </c>
      <c r="AC546" s="237" t="s">
        <v>228</v>
      </c>
      <c r="AD546" s="562"/>
      <c r="AE546" s="555"/>
      <c r="AF546" s="237"/>
    </row>
    <row r="547" spans="1:32" ht="13.5" customHeight="1">
      <c r="A547" s="235">
        <v>545</v>
      </c>
      <c r="B547" s="235">
        <v>361</v>
      </c>
      <c r="C547" s="255" t="s">
        <v>3192</v>
      </c>
      <c r="D547" s="235" t="s">
        <v>2285</v>
      </c>
      <c r="E547" s="235">
        <v>56</v>
      </c>
      <c r="F547" s="235" t="s">
        <v>75</v>
      </c>
      <c r="G547" s="235" t="s">
        <v>3193</v>
      </c>
      <c r="H547" s="243" t="s">
        <v>18</v>
      </c>
      <c r="I547" s="243"/>
      <c r="K547" s="240" t="s">
        <v>3194</v>
      </c>
      <c r="L547" s="243" t="s">
        <v>231</v>
      </c>
      <c r="M547" s="243" t="s">
        <v>31</v>
      </c>
      <c r="N547" s="237" t="s">
        <v>3195</v>
      </c>
      <c r="O547" s="237"/>
      <c r="P547" s="237"/>
      <c r="Q547" s="245">
        <v>45647</v>
      </c>
      <c r="R547" s="237" t="s">
        <v>309</v>
      </c>
      <c r="S547" s="331" t="s">
        <v>233</v>
      </c>
      <c r="T547" s="237" t="s">
        <v>228</v>
      </c>
      <c r="U547" s="237" t="s">
        <v>298</v>
      </c>
      <c r="V547" s="237" t="s">
        <v>228</v>
      </c>
      <c r="W547" s="244" t="s">
        <v>228</v>
      </c>
      <c r="X547" s="237" t="s">
        <v>228</v>
      </c>
      <c r="Y547" s="237" t="s">
        <v>228</v>
      </c>
      <c r="Z547" s="237" t="s">
        <v>228</v>
      </c>
      <c r="AA547" s="237" t="s">
        <v>3196</v>
      </c>
      <c r="AB547" s="337" t="s">
        <v>228</v>
      </c>
      <c r="AC547" s="237" t="s">
        <v>228</v>
      </c>
      <c r="AD547" s="562"/>
      <c r="AE547" s="555"/>
      <c r="AF547" s="237"/>
    </row>
    <row r="548" spans="1:32" ht="13.5" customHeight="1">
      <c r="A548" s="235">
        <v>546</v>
      </c>
      <c r="B548" s="235" t="s">
        <v>3197</v>
      </c>
      <c r="C548" s="255" t="s">
        <v>3198</v>
      </c>
      <c r="D548" s="235" t="s">
        <v>3199</v>
      </c>
      <c r="E548" s="235">
        <v>73</v>
      </c>
      <c r="F548" s="235" t="s">
        <v>60</v>
      </c>
      <c r="G548" s="235" t="s">
        <v>3200</v>
      </c>
      <c r="H548" s="243" t="s">
        <v>188</v>
      </c>
      <c r="I548" s="243"/>
      <c r="K548" s="240"/>
      <c r="L548" s="243" t="s">
        <v>231</v>
      </c>
      <c r="M548" s="243" t="s">
        <v>231</v>
      </c>
      <c r="N548" s="237"/>
      <c r="O548" s="237"/>
      <c r="P548" s="237"/>
      <c r="Q548" s="245">
        <v>45649</v>
      </c>
      <c r="R548" s="237" t="s">
        <v>309</v>
      </c>
      <c r="S548" s="331" t="s">
        <v>233</v>
      </c>
      <c r="T548" s="237" t="s">
        <v>228</v>
      </c>
      <c r="U548" s="237" t="s">
        <v>234</v>
      </c>
      <c r="V548" s="237" t="s">
        <v>228</v>
      </c>
      <c r="W548" s="244" t="s">
        <v>228</v>
      </c>
      <c r="X548" s="237" t="s">
        <v>228</v>
      </c>
      <c r="Y548" s="237" t="s">
        <v>228</v>
      </c>
      <c r="Z548" s="237" t="s">
        <v>228</v>
      </c>
      <c r="AA548" s="237" t="s">
        <v>3201</v>
      </c>
      <c r="AB548" s="337" t="s">
        <v>228</v>
      </c>
      <c r="AC548" s="237" t="s">
        <v>228</v>
      </c>
      <c r="AD548" s="562"/>
      <c r="AE548" s="555"/>
      <c r="AF548" s="237"/>
    </row>
    <row r="549" spans="1:32" ht="13.5" customHeight="1">
      <c r="A549" s="235">
        <v>547</v>
      </c>
      <c r="B549" s="235" t="s">
        <v>3202</v>
      </c>
      <c r="C549" s="255" t="s">
        <v>3203</v>
      </c>
      <c r="D549" s="235" t="s">
        <v>3204</v>
      </c>
      <c r="E549" s="235">
        <v>19</v>
      </c>
      <c r="F549" s="235" t="s">
        <v>60</v>
      </c>
      <c r="G549" s="235" t="s">
        <v>3205</v>
      </c>
      <c r="H549" s="243" t="s">
        <v>188</v>
      </c>
      <c r="I549" s="243"/>
      <c r="K549" s="240"/>
      <c r="L549" s="243" t="s">
        <v>231</v>
      </c>
      <c r="M549" s="246" t="s">
        <v>228</v>
      </c>
      <c r="N549" s="237"/>
      <c r="O549" s="237"/>
      <c r="P549" s="237"/>
      <c r="Q549" s="245">
        <v>45664</v>
      </c>
      <c r="R549" s="237" t="s">
        <v>309</v>
      </c>
      <c r="S549" s="331" t="s">
        <v>233</v>
      </c>
      <c r="T549" s="237">
        <v>0</v>
      </c>
      <c r="U549" s="237" t="s">
        <v>234</v>
      </c>
      <c r="V549" s="237" t="s">
        <v>228</v>
      </c>
      <c r="W549" s="244" t="s">
        <v>228</v>
      </c>
      <c r="X549" s="237" t="s">
        <v>228</v>
      </c>
      <c r="Y549" s="237" t="s">
        <v>228</v>
      </c>
      <c r="Z549" s="237" t="s">
        <v>228</v>
      </c>
      <c r="AA549" s="237" t="s">
        <v>3206</v>
      </c>
      <c r="AB549" s="337" t="s">
        <v>228</v>
      </c>
      <c r="AC549" s="237" t="s">
        <v>228</v>
      </c>
      <c r="AD549" s="562"/>
      <c r="AE549" s="555"/>
      <c r="AF549" s="237"/>
    </row>
    <row r="550" spans="1:32" ht="13.5" customHeight="1">
      <c r="A550" s="235">
        <v>548</v>
      </c>
      <c r="B550" s="235">
        <v>0</v>
      </c>
      <c r="C550" s="255" t="s">
        <v>3207</v>
      </c>
      <c r="D550" s="235" t="s">
        <v>3208</v>
      </c>
      <c r="E550" s="235">
        <v>27</v>
      </c>
      <c r="F550" s="235" t="s">
        <v>60</v>
      </c>
      <c r="G550" s="235" t="s">
        <v>3209</v>
      </c>
      <c r="H550" s="243" t="s">
        <v>188</v>
      </c>
      <c r="I550" s="243"/>
      <c r="K550" s="240"/>
      <c r="L550" s="243" t="s">
        <v>231</v>
      </c>
      <c r="M550" s="243" t="s">
        <v>231</v>
      </c>
      <c r="N550" s="237"/>
      <c r="O550" s="237"/>
      <c r="P550" s="237"/>
      <c r="Q550" s="245">
        <v>45664</v>
      </c>
      <c r="R550" s="237" t="s">
        <v>309</v>
      </c>
      <c r="S550" s="331" t="s">
        <v>233</v>
      </c>
      <c r="T550" s="237">
        <v>0</v>
      </c>
      <c r="U550" s="237" t="s">
        <v>234</v>
      </c>
      <c r="V550" s="237" t="s">
        <v>652</v>
      </c>
      <c r="W550" s="244">
        <v>46028</v>
      </c>
      <c r="X550" s="237" t="s">
        <v>3210</v>
      </c>
      <c r="Y550" s="237" t="s">
        <v>588</v>
      </c>
      <c r="Z550" s="237" t="s">
        <v>228</v>
      </c>
      <c r="AA550" s="237" t="s">
        <v>3211</v>
      </c>
      <c r="AB550" s="337" t="s">
        <v>228</v>
      </c>
      <c r="AC550" s="237" t="s">
        <v>228</v>
      </c>
      <c r="AD550" s="562"/>
      <c r="AE550" s="555"/>
      <c r="AF550" s="237"/>
    </row>
    <row r="551" spans="1:32" ht="13.5" customHeight="1">
      <c r="A551" s="235">
        <v>549</v>
      </c>
      <c r="B551" s="235">
        <v>0</v>
      </c>
      <c r="C551" s="255" t="s">
        <v>3212</v>
      </c>
      <c r="D551" s="235" t="s">
        <v>3213</v>
      </c>
      <c r="E551" s="235">
        <v>52</v>
      </c>
      <c r="F551" s="235" t="s">
        <v>75</v>
      </c>
      <c r="G551" s="235" t="s">
        <v>3214</v>
      </c>
      <c r="H551" s="243" t="s">
        <v>188</v>
      </c>
      <c r="I551" s="243"/>
      <c r="K551" s="240"/>
      <c r="L551" s="243" t="s">
        <v>231</v>
      </c>
      <c r="M551" s="243" t="s">
        <v>231</v>
      </c>
      <c r="N551" s="237"/>
      <c r="O551" s="237"/>
      <c r="P551" s="237"/>
      <c r="Q551" s="245">
        <v>45666</v>
      </c>
      <c r="R551" s="237" t="s">
        <v>309</v>
      </c>
      <c r="S551" s="330" t="s">
        <v>233</v>
      </c>
      <c r="T551" s="237">
        <v>0</v>
      </c>
      <c r="U551" s="237" t="s">
        <v>234</v>
      </c>
      <c r="V551" s="237" t="s">
        <v>228</v>
      </c>
      <c r="W551" s="244" t="s">
        <v>228</v>
      </c>
      <c r="X551" s="237" t="s">
        <v>228</v>
      </c>
      <c r="Y551" s="237" t="s">
        <v>228</v>
      </c>
      <c r="Z551" s="237" t="s">
        <v>228</v>
      </c>
      <c r="AA551" s="237" t="s">
        <v>3215</v>
      </c>
      <c r="AB551" s="337" t="s">
        <v>228</v>
      </c>
      <c r="AC551" s="237" t="s">
        <v>228</v>
      </c>
      <c r="AD551" s="562"/>
      <c r="AE551" s="555"/>
      <c r="AF551" s="237"/>
    </row>
    <row r="552" spans="1:32" ht="13.5" customHeight="1">
      <c r="A552" s="235">
        <v>550</v>
      </c>
      <c r="B552" s="235">
        <v>0</v>
      </c>
      <c r="C552" s="255" t="s">
        <v>3216</v>
      </c>
      <c r="D552" s="235" t="s">
        <v>3217</v>
      </c>
      <c r="E552" s="235">
        <v>31</v>
      </c>
      <c r="F552" s="235" t="s">
        <v>75</v>
      </c>
      <c r="G552" s="235" t="s">
        <v>3218</v>
      </c>
      <c r="H552" s="243" t="s">
        <v>188</v>
      </c>
      <c r="I552" s="243"/>
      <c r="K552" s="240"/>
      <c r="L552" s="243" t="s">
        <v>231</v>
      </c>
      <c r="M552" s="243" t="s">
        <v>231</v>
      </c>
      <c r="N552" s="237"/>
      <c r="O552" s="237"/>
      <c r="P552" s="237"/>
      <c r="Q552" s="245">
        <v>45666</v>
      </c>
      <c r="R552" s="237" t="s">
        <v>309</v>
      </c>
      <c r="S552" s="331" t="s">
        <v>233</v>
      </c>
      <c r="T552" s="237">
        <v>0</v>
      </c>
      <c r="U552" s="237" t="s">
        <v>234</v>
      </c>
      <c r="V552" s="237" t="s">
        <v>652</v>
      </c>
      <c r="W552" s="244">
        <v>46028</v>
      </c>
      <c r="X552" s="237" t="s">
        <v>492</v>
      </c>
      <c r="Y552" s="237" t="s">
        <v>588</v>
      </c>
      <c r="Z552" s="237" t="s">
        <v>228</v>
      </c>
      <c r="AA552" s="237" t="s">
        <v>3219</v>
      </c>
      <c r="AB552" s="337" t="s">
        <v>228</v>
      </c>
      <c r="AC552" s="237" t="s">
        <v>228</v>
      </c>
      <c r="AD552" s="562"/>
      <c r="AE552" s="555"/>
      <c r="AF552" s="237"/>
    </row>
    <row r="553" spans="1:32" ht="13.5" customHeight="1">
      <c r="A553" s="235">
        <v>551</v>
      </c>
      <c r="B553" s="235">
        <v>0</v>
      </c>
      <c r="C553" s="255" t="s">
        <v>3220</v>
      </c>
      <c r="D553" s="235" t="s">
        <v>3221</v>
      </c>
      <c r="E553" s="235">
        <v>50</v>
      </c>
      <c r="F553" s="235" t="s">
        <v>75</v>
      </c>
      <c r="G553" s="235" t="s">
        <v>3222</v>
      </c>
      <c r="H553" s="243" t="s">
        <v>188</v>
      </c>
      <c r="I553" s="243"/>
      <c r="K553" s="240"/>
      <c r="L553" s="243" t="s">
        <v>231</v>
      </c>
      <c r="M553" s="243" t="s">
        <v>231</v>
      </c>
      <c r="N553" s="237"/>
      <c r="O553" s="237"/>
      <c r="P553" s="237"/>
      <c r="Q553" s="245">
        <v>45666</v>
      </c>
      <c r="R553" s="237" t="s">
        <v>309</v>
      </c>
      <c r="S553" s="331" t="s">
        <v>233</v>
      </c>
      <c r="T553" s="237">
        <v>0</v>
      </c>
      <c r="U553" s="237" t="s">
        <v>234</v>
      </c>
      <c r="V553" s="237" t="s">
        <v>652</v>
      </c>
      <c r="W553" s="244">
        <v>46028</v>
      </c>
      <c r="X553" s="237" t="s">
        <v>3223</v>
      </c>
      <c r="Y553" s="237" t="s">
        <v>588</v>
      </c>
      <c r="Z553" s="237" t="s">
        <v>228</v>
      </c>
      <c r="AA553" s="237" t="s">
        <v>3224</v>
      </c>
      <c r="AB553" s="337" t="s">
        <v>228</v>
      </c>
      <c r="AC553" s="237" t="s">
        <v>228</v>
      </c>
      <c r="AD553" s="562"/>
      <c r="AE553" s="555"/>
      <c r="AF553" s="237"/>
    </row>
    <row r="554" spans="1:32" ht="13.5" customHeight="1">
      <c r="A554" s="235">
        <v>552</v>
      </c>
      <c r="B554" s="235">
        <v>0</v>
      </c>
      <c r="C554" s="255" t="s">
        <v>3225</v>
      </c>
      <c r="D554" s="235" t="s">
        <v>3226</v>
      </c>
      <c r="E554" s="235">
        <v>38</v>
      </c>
      <c r="F554" s="235" t="s">
        <v>75</v>
      </c>
      <c r="G554" s="235" t="s">
        <v>3227</v>
      </c>
      <c r="H554" s="243" t="s">
        <v>188</v>
      </c>
      <c r="I554" s="243"/>
      <c r="K554" s="240"/>
      <c r="L554" s="243" t="s">
        <v>231</v>
      </c>
      <c r="M554" s="243" t="s">
        <v>231</v>
      </c>
      <c r="N554" s="237"/>
      <c r="O554" s="237"/>
      <c r="P554" s="237"/>
      <c r="Q554" s="245">
        <v>45666</v>
      </c>
      <c r="R554" s="237" t="s">
        <v>309</v>
      </c>
      <c r="S554" s="331" t="s">
        <v>233</v>
      </c>
      <c r="T554" s="237">
        <v>0</v>
      </c>
      <c r="U554" s="237" t="s">
        <v>234</v>
      </c>
      <c r="V554" s="237" t="s">
        <v>652</v>
      </c>
      <c r="W554" s="244">
        <v>46028</v>
      </c>
      <c r="X554" s="237" t="s">
        <v>3228</v>
      </c>
      <c r="Y554" s="237" t="s">
        <v>588</v>
      </c>
      <c r="Z554" s="237" t="s">
        <v>228</v>
      </c>
      <c r="AA554" s="237" t="s">
        <v>3229</v>
      </c>
      <c r="AB554" s="337" t="s">
        <v>228</v>
      </c>
      <c r="AC554" s="237" t="s">
        <v>228</v>
      </c>
      <c r="AD554" s="562"/>
      <c r="AE554" s="555"/>
      <c r="AF554" s="237"/>
    </row>
    <row r="555" spans="1:32" ht="13.5" customHeight="1">
      <c r="A555" s="235">
        <v>553</v>
      </c>
      <c r="B555" s="235">
        <v>0</v>
      </c>
      <c r="C555" s="255" t="s">
        <v>3230</v>
      </c>
      <c r="D555" s="235" t="s">
        <v>3231</v>
      </c>
      <c r="E555" s="235">
        <v>53</v>
      </c>
      <c r="F555" s="235" t="s">
        <v>75</v>
      </c>
      <c r="G555" s="235" t="s">
        <v>3232</v>
      </c>
      <c r="H555" s="243" t="s">
        <v>188</v>
      </c>
      <c r="I555" s="243"/>
      <c r="K555" s="240"/>
      <c r="L555" s="243" t="s">
        <v>231</v>
      </c>
      <c r="M555" s="243" t="s">
        <v>231</v>
      </c>
      <c r="N555" s="237"/>
      <c r="O555" s="237"/>
      <c r="P555" s="237"/>
      <c r="Q555" s="245">
        <v>45666</v>
      </c>
      <c r="R555" s="237" t="s">
        <v>309</v>
      </c>
      <c r="S555" s="331" t="s">
        <v>233</v>
      </c>
      <c r="T555" s="237">
        <v>0</v>
      </c>
      <c r="U555" s="237" t="s">
        <v>234</v>
      </c>
      <c r="V555" s="237" t="s">
        <v>228</v>
      </c>
      <c r="W555" s="244" t="s">
        <v>228</v>
      </c>
      <c r="X555" s="237" t="s">
        <v>228</v>
      </c>
      <c r="Y555" s="237" t="s">
        <v>228</v>
      </c>
      <c r="Z555" s="237" t="s">
        <v>228</v>
      </c>
      <c r="AA555" s="237" t="s">
        <v>3233</v>
      </c>
      <c r="AB555" s="337" t="s">
        <v>228</v>
      </c>
      <c r="AC555" s="237" t="s">
        <v>228</v>
      </c>
      <c r="AD555" s="562"/>
      <c r="AE555" s="555"/>
      <c r="AF555" s="237"/>
    </row>
    <row r="556" spans="1:32" ht="13.5" customHeight="1">
      <c r="A556" s="235">
        <v>554</v>
      </c>
      <c r="B556" s="235">
        <v>0</v>
      </c>
      <c r="C556" s="255" t="s">
        <v>3234</v>
      </c>
      <c r="D556" s="235" t="s">
        <v>3235</v>
      </c>
      <c r="E556" s="235">
        <v>46</v>
      </c>
      <c r="F556" s="235" t="s">
        <v>75</v>
      </c>
      <c r="G556" s="235" t="s">
        <v>3236</v>
      </c>
      <c r="H556" s="243" t="s">
        <v>188</v>
      </c>
      <c r="I556" s="243"/>
      <c r="K556" s="240"/>
      <c r="L556" s="243" t="s">
        <v>231</v>
      </c>
      <c r="M556" s="243" t="s">
        <v>231</v>
      </c>
      <c r="N556" s="237"/>
      <c r="O556" s="237"/>
      <c r="P556" s="237"/>
      <c r="Q556" s="245">
        <v>45666</v>
      </c>
      <c r="R556" s="237" t="s">
        <v>309</v>
      </c>
      <c r="S556" s="331" t="s">
        <v>233</v>
      </c>
      <c r="T556" s="237">
        <v>0</v>
      </c>
      <c r="U556" s="237" t="s">
        <v>234</v>
      </c>
      <c r="V556" s="237" t="s">
        <v>228</v>
      </c>
      <c r="W556" s="244" t="s">
        <v>228</v>
      </c>
      <c r="X556" s="237" t="s">
        <v>228</v>
      </c>
      <c r="Y556" s="237" t="s">
        <v>228</v>
      </c>
      <c r="Z556" s="237" t="s">
        <v>228</v>
      </c>
      <c r="AA556" s="237" t="s">
        <v>3237</v>
      </c>
      <c r="AB556" s="337" t="s">
        <v>228</v>
      </c>
      <c r="AC556" s="237" t="s">
        <v>228</v>
      </c>
      <c r="AD556" s="562"/>
      <c r="AE556" s="555"/>
      <c r="AF556" s="237"/>
    </row>
    <row r="557" spans="1:32" ht="13.5" customHeight="1">
      <c r="A557" s="235">
        <v>555</v>
      </c>
      <c r="B557" s="235" t="s">
        <v>3238</v>
      </c>
      <c r="C557" s="255" t="s">
        <v>3239</v>
      </c>
      <c r="D557" s="235" t="s">
        <v>3240</v>
      </c>
      <c r="E557" s="235">
        <v>23</v>
      </c>
      <c r="F557" s="235" t="s">
        <v>75</v>
      </c>
      <c r="G557" s="235" t="s">
        <v>3241</v>
      </c>
      <c r="H557" s="243" t="s">
        <v>188</v>
      </c>
      <c r="I557" s="243"/>
      <c r="K557" s="240"/>
      <c r="L557" s="243" t="s">
        <v>231</v>
      </c>
      <c r="M557" s="246" t="s">
        <v>228</v>
      </c>
      <c r="N557" s="237"/>
      <c r="O557" s="237"/>
      <c r="P557" s="237"/>
      <c r="Q557" s="245">
        <v>45666</v>
      </c>
      <c r="R557" s="237" t="s">
        <v>309</v>
      </c>
      <c r="S557" s="331" t="s">
        <v>233</v>
      </c>
      <c r="T557" s="237" t="s">
        <v>228</v>
      </c>
      <c r="U557" s="237" t="s">
        <v>234</v>
      </c>
      <c r="V557" s="237" t="s">
        <v>228</v>
      </c>
      <c r="W557" s="244" t="s">
        <v>228</v>
      </c>
      <c r="X557" s="237" t="s">
        <v>228</v>
      </c>
      <c r="Y557" s="237" t="s">
        <v>228</v>
      </c>
      <c r="Z557" s="237" t="s">
        <v>228</v>
      </c>
      <c r="AA557" s="237" t="s">
        <v>3242</v>
      </c>
      <c r="AB557" s="337" t="s">
        <v>228</v>
      </c>
      <c r="AC557" s="237" t="s">
        <v>228</v>
      </c>
      <c r="AD557" s="562"/>
      <c r="AE557" s="555"/>
      <c r="AF557" s="237"/>
    </row>
    <row r="558" spans="1:32" ht="13.5" customHeight="1">
      <c r="A558" s="235">
        <v>556</v>
      </c>
      <c r="B558" s="235" t="s">
        <v>3243</v>
      </c>
      <c r="C558" s="255" t="s">
        <v>3244</v>
      </c>
      <c r="D558" s="235" t="s">
        <v>3245</v>
      </c>
      <c r="E558" s="235">
        <v>29</v>
      </c>
      <c r="F558" s="235" t="s">
        <v>75</v>
      </c>
      <c r="G558" s="235" t="s">
        <v>3246</v>
      </c>
      <c r="H558" s="243" t="s">
        <v>188</v>
      </c>
      <c r="I558" s="243"/>
      <c r="K558" s="240"/>
      <c r="L558" s="243" t="s">
        <v>231</v>
      </c>
      <c r="M558" s="246" t="s">
        <v>228</v>
      </c>
      <c r="N558" s="237"/>
      <c r="O558" s="237"/>
      <c r="P558" s="237"/>
      <c r="Q558" s="245">
        <v>45666</v>
      </c>
      <c r="R558" s="237" t="s">
        <v>309</v>
      </c>
      <c r="S558" s="331" t="s">
        <v>233</v>
      </c>
      <c r="T558" s="237" t="s">
        <v>228</v>
      </c>
      <c r="U558" s="237" t="s">
        <v>234</v>
      </c>
      <c r="V558" s="237" t="s">
        <v>228</v>
      </c>
      <c r="W558" s="244" t="s">
        <v>228</v>
      </c>
      <c r="X558" s="237" t="s">
        <v>228</v>
      </c>
      <c r="Y558" s="237" t="s">
        <v>228</v>
      </c>
      <c r="Z558" s="237" t="s">
        <v>228</v>
      </c>
      <c r="AA558" s="237" t="s">
        <v>3247</v>
      </c>
      <c r="AB558" s="337" t="s">
        <v>228</v>
      </c>
      <c r="AC558" s="237" t="s">
        <v>228</v>
      </c>
      <c r="AD558" s="562"/>
      <c r="AE558" s="555"/>
      <c r="AF558" s="237"/>
    </row>
    <row r="559" spans="1:32" ht="13.5" customHeight="1">
      <c r="A559" s="235">
        <v>557</v>
      </c>
      <c r="B559" s="235" t="s">
        <v>3248</v>
      </c>
      <c r="C559" s="255" t="s">
        <v>3249</v>
      </c>
      <c r="D559" s="235" t="s">
        <v>3250</v>
      </c>
      <c r="E559" s="235">
        <v>73</v>
      </c>
      <c r="F559" s="235" t="s">
        <v>60</v>
      </c>
      <c r="G559" s="235" t="s">
        <v>3251</v>
      </c>
      <c r="H559" s="243" t="s">
        <v>188</v>
      </c>
      <c r="I559" s="243"/>
      <c r="K559" s="240"/>
      <c r="L559" s="243" t="s">
        <v>231</v>
      </c>
      <c r="M559" s="243" t="s">
        <v>231</v>
      </c>
      <c r="N559" s="237"/>
      <c r="O559" s="237"/>
      <c r="P559" s="237"/>
      <c r="Q559" s="245">
        <v>45666</v>
      </c>
      <c r="R559" s="237" t="s">
        <v>309</v>
      </c>
      <c r="S559" s="331" t="s">
        <v>233</v>
      </c>
      <c r="T559" s="237" t="s">
        <v>228</v>
      </c>
      <c r="U559" s="237" t="s">
        <v>234</v>
      </c>
      <c r="V559" s="237" t="s">
        <v>228</v>
      </c>
      <c r="W559" s="244" t="s">
        <v>228</v>
      </c>
      <c r="X559" s="237" t="s">
        <v>228</v>
      </c>
      <c r="Y559" s="237" t="s">
        <v>228</v>
      </c>
      <c r="Z559" s="237" t="s">
        <v>228</v>
      </c>
      <c r="AA559" s="237" t="s">
        <v>3252</v>
      </c>
      <c r="AB559" s="337" t="s">
        <v>228</v>
      </c>
      <c r="AC559" s="237" t="s">
        <v>228</v>
      </c>
      <c r="AD559" s="562"/>
      <c r="AE559" s="555"/>
      <c r="AF559" s="237"/>
    </row>
    <row r="560" spans="1:32" ht="13.5" customHeight="1">
      <c r="A560" s="235">
        <v>558</v>
      </c>
      <c r="B560" s="235">
        <v>0</v>
      </c>
      <c r="C560" s="255" t="s">
        <v>3253</v>
      </c>
      <c r="D560" s="235" t="s">
        <v>3254</v>
      </c>
      <c r="E560" s="235">
        <v>37</v>
      </c>
      <c r="F560" s="235" t="s">
        <v>75</v>
      </c>
      <c r="G560" s="235" t="s">
        <v>3255</v>
      </c>
      <c r="H560" s="243" t="s">
        <v>188</v>
      </c>
      <c r="I560" s="243"/>
      <c r="K560" s="240"/>
      <c r="L560" s="243" t="s">
        <v>231</v>
      </c>
      <c r="M560" s="243" t="s">
        <v>231</v>
      </c>
      <c r="N560" s="237"/>
      <c r="O560" s="237"/>
      <c r="P560" s="237"/>
      <c r="Q560" s="245">
        <v>45666</v>
      </c>
      <c r="R560" s="237" t="s">
        <v>309</v>
      </c>
      <c r="S560" s="331" t="s">
        <v>233</v>
      </c>
      <c r="T560" s="237">
        <v>0</v>
      </c>
      <c r="U560" s="237" t="s">
        <v>234</v>
      </c>
      <c r="V560" s="237" t="s">
        <v>652</v>
      </c>
      <c r="W560" s="244">
        <v>46003</v>
      </c>
      <c r="X560" s="237" t="s">
        <v>3256</v>
      </c>
      <c r="Y560" s="237" t="s">
        <v>588</v>
      </c>
      <c r="Z560" s="237" t="s">
        <v>228</v>
      </c>
      <c r="AA560" s="237" t="s">
        <v>3257</v>
      </c>
      <c r="AB560" s="337" t="s">
        <v>228</v>
      </c>
      <c r="AC560" s="237" t="s">
        <v>228</v>
      </c>
      <c r="AD560" s="562"/>
      <c r="AE560" s="555"/>
      <c r="AF560" s="237"/>
    </row>
    <row r="561" spans="1:32" ht="13.5" customHeight="1">
      <c r="A561" s="235">
        <v>559</v>
      </c>
      <c r="B561" s="235">
        <v>0</v>
      </c>
      <c r="C561" s="255" t="s">
        <v>3258</v>
      </c>
      <c r="D561" s="235" t="s">
        <v>3259</v>
      </c>
      <c r="E561" s="235">
        <v>31</v>
      </c>
      <c r="F561" s="235" t="s">
        <v>60</v>
      </c>
      <c r="G561" s="235" t="s">
        <v>3260</v>
      </c>
      <c r="H561" s="243" t="s">
        <v>188</v>
      </c>
      <c r="I561" s="243"/>
      <c r="K561" s="240"/>
      <c r="L561" s="243" t="s">
        <v>231</v>
      </c>
      <c r="M561" s="243" t="s">
        <v>231</v>
      </c>
      <c r="N561" s="237"/>
      <c r="O561" s="237"/>
      <c r="P561" s="237"/>
      <c r="Q561" s="245">
        <v>45666</v>
      </c>
      <c r="R561" s="237" t="s">
        <v>309</v>
      </c>
      <c r="S561" s="331" t="s">
        <v>233</v>
      </c>
      <c r="T561" s="237">
        <v>0</v>
      </c>
      <c r="U561" s="237" t="s">
        <v>234</v>
      </c>
      <c r="V561" s="237" t="s">
        <v>652</v>
      </c>
      <c r="W561" s="244">
        <v>46003</v>
      </c>
      <c r="X561" s="237" t="s">
        <v>3261</v>
      </c>
      <c r="Y561" s="237" t="s">
        <v>588</v>
      </c>
      <c r="Z561" s="237" t="s">
        <v>228</v>
      </c>
      <c r="AA561" s="237" t="s">
        <v>3262</v>
      </c>
      <c r="AB561" s="337" t="s">
        <v>228</v>
      </c>
      <c r="AC561" s="237" t="s">
        <v>228</v>
      </c>
      <c r="AD561" s="562"/>
      <c r="AE561" s="555"/>
      <c r="AF561" s="237"/>
    </row>
    <row r="562" spans="1:32" ht="13.5" customHeight="1">
      <c r="A562" s="235">
        <v>560</v>
      </c>
      <c r="B562" s="235">
        <v>0</v>
      </c>
      <c r="C562" s="255" t="s">
        <v>3263</v>
      </c>
      <c r="D562" s="235" t="s">
        <v>3264</v>
      </c>
      <c r="E562" s="235">
        <v>59</v>
      </c>
      <c r="F562" s="235" t="s">
        <v>60</v>
      </c>
      <c r="G562" s="235" t="s">
        <v>3265</v>
      </c>
      <c r="H562" s="243" t="s">
        <v>188</v>
      </c>
      <c r="I562" s="243"/>
      <c r="K562" s="240"/>
      <c r="L562" s="243" t="s">
        <v>231</v>
      </c>
      <c r="M562" s="243" t="s">
        <v>231</v>
      </c>
      <c r="N562" s="237"/>
      <c r="O562" s="237"/>
      <c r="P562" s="237"/>
      <c r="Q562" s="245">
        <v>45666</v>
      </c>
      <c r="R562" s="237" t="s">
        <v>309</v>
      </c>
      <c r="S562" s="331" t="s">
        <v>233</v>
      </c>
      <c r="T562" s="237">
        <v>0</v>
      </c>
      <c r="U562" s="237" t="s">
        <v>234</v>
      </c>
      <c r="V562" s="237" t="s">
        <v>652</v>
      </c>
      <c r="W562" s="244">
        <v>46003</v>
      </c>
      <c r="X562" s="237" t="s">
        <v>3266</v>
      </c>
      <c r="Y562" s="237" t="s">
        <v>588</v>
      </c>
      <c r="Z562" s="237" t="s">
        <v>228</v>
      </c>
      <c r="AA562" s="237" t="s">
        <v>3267</v>
      </c>
      <c r="AB562" s="337" t="s">
        <v>228</v>
      </c>
      <c r="AC562" s="237" t="s">
        <v>228</v>
      </c>
      <c r="AD562" s="562"/>
      <c r="AE562" s="555"/>
      <c r="AF562" s="237"/>
    </row>
    <row r="563" spans="1:32" ht="13.5" customHeight="1">
      <c r="A563" s="235">
        <v>561</v>
      </c>
      <c r="B563" s="235" t="s">
        <v>3268</v>
      </c>
      <c r="C563" s="255" t="s">
        <v>3269</v>
      </c>
      <c r="D563" s="235" t="s">
        <v>3270</v>
      </c>
      <c r="E563" s="235">
        <v>29</v>
      </c>
      <c r="F563" s="235" t="s">
        <v>75</v>
      </c>
      <c r="G563" s="235" t="s">
        <v>3271</v>
      </c>
      <c r="H563" s="243" t="s">
        <v>188</v>
      </c>
      <c r="I563" s="243"/>
      <c r="K563" s="240"/>
      <c r="L563" s="243" t="s">
        <v>231</v>
      </c>
      <c r="M563" s="246" t="s">
        <v>228</v>
      </c>
      <c r="N563" s="237"/>
      <c r="O563" s="237"/>
      <c r="P563" s="237"/>
      <c r="Q563" s="245">
        <v>45666</v>
      </c>
      <c r="R563" s="237" t="s">
        <v>309</v>
      </c>
      <c r="S563" s="331" t="s">
        <v>233</v>
      </c>
      <c r="T563" s="237">
        <v>8</v>
      </c>
      <c r="U563" s="237" t="s">
        <v>234</v>
      </c>
      <c r="V563" s="237" t="s">
        <v>228</v>
      </c>
      <c r="W563" s="244" t="s">
        <v>228</v>
      </c>
      <c r="X563" s="237" t="s">
        <v>228</v>
      </c>
      <c r="Y563" s="237" t="s">
        <v>228</v>
      </c>
      <c r="Z563" s="237" t="s">
        <v>228</v>
      </c>
      <c r="AA563" s="237" t="s">
        <v>3272</v>
      </c>
      <c r="AB563" s="337" t="s">
        <v>228</v>
      </c>
      <c r="AC563" s="237" t="s">
        <v>228</v>
      </c>
      <c r="AD563" s="562"/>
      <c r="AE563" s="555"/>
      <c r="AF563" s="237"/>
    </row>
    <row r="564" spans="1:32" ht="13.5" customHeight="1">
      <c r="A564" s="235">
        <v>562</v>
      </c>
      <c r="B564" s="235">
        <v>0</v>
      </c>
      <c r="C564" s="255" t="s">
        <v>3273</v>
      </c>
      <c r="D564" s="235" t="s">
        <v>3274</v>
      </c>
      <c r="E564" s="235">
        <v>34</v>
      </c>
      <c r="F564" s="235" t="s">
        <v>75</v>
      </c>
      <c r="G564" s="235" t="s">
        <v>3275</v>
      </c>
      <c r="H564" s="243" t="s">
        <v>188</v>
      </c>
      <c r="I564" s="243"/>
      <c r="K564" s="240"/>
      <c r="L564" s="243" t="s">
        <v>231</v>
      </c>
      <c r="M564" s="243" t="s">
        <v>231</v>
      </c>
      <c r="N564" s="237"/>
      <c r="O564" s="237"/>
      <c r="P564" s="237"/>
      <c r="Q564" s="245">
        <v>45666</v>
      </c>
      <c r="R564" s="237" t="s">
        <v>309</v>
      </c>
      <c r="S564" s="331" t="s">
        <v>233</v>
      </c>
      <c r="T564" s="237">
        <v>0</v>
      </c>
      <c r="U564" s="237" t="s">
        <v>234</v>
      </c>
      <c r="V564" s="237" t="s">
        <v>652</v>
      </c>
      <c r="W564" s="244">
        <v>46003</v>
      </c>
      <c r="X564" s="237" t="s">
        <v>2815</v>
      </c>
      <c r="Y564" s="237" t="s">
        <v>588</v>
      </c>
      <c r="Z564" s="237" t="s">
        <v>228</v>
      </c>
      <c r="AA564" s="237" t="s">
        <v>3276</v>
      </c>
      <c r="AB564" s="337" t="s">
        <v>228</v>
      </c>
      <c r="AC564" s="237" t="s">
        <v>228</v>
      </c>
      <c r="AD564" s="562"/>
      <c r="AE564" s="555"/>
      <c r="AF564" s="237"/>
    </row>
    <row r="565" spans="1:32" ht="13.5" customHeight="1">
      <c r="A565" s="235">
        <v>563</v>
      </c>
      <c r="B565" s="235">
        <v>0</v>
      </c>
      <c r="C565" s="255" t="s">
        <v>3277</v>
      </c>
      <c r="D565" s="235" t="s">
        <v>3278</v>
      </c>
      <c r="E565" s="235">
        <v>22</v>
      </c>
      <c r="F565" s="235" t="s">
        <v>75</v>
      </c>
      <c r="G565" s="235" t="s">
        <v>3279</v>
      </c>
      <c r="H565" s="243" t="s">
        <v>188</v>
      </c>
      <c r="I565" s="243"/>
      <c r="K565" s="240"/>
      <c r="L565" s="243" t="s">
        <v>231</v>
      </c>
      <c r="M565" s="243" t="s">
        <v>231</v>
      </c>
      <c r="N565" s="237"/>
      <c r="O565" s="237"/>
      <c r="P565" s="237"/>
      <c r="Q565" s="245">
        <v>45666</v>
      </c>
      <c r="R565" s="237" t="s">
        <v>309</v>
      </c>
      <c r="S565" s="331" t="s">
        <v>233</v>
      </c>
      <c r="T565" s="237">
        <v>0</v>
      </c>
      <c r="U565" s="237" t="s">
        <v>234</v>
      </c>
      <c r="V565" s="237" t="s">
        <v>652</v>
      </c>
      <c r="W565" s="244">
        <v>46003</v>
      </c>
      <c r="X565" s="237" t="s">
        <v>3170</v>
      </c>
      <c r="Y565" s="237" t="s">
        <v>588</v>
      </c>
      <c r="Z565" s="237" t="s">
        <v>228</v>
      </c>
      <c r="AA565" s="237" t="s">
        <v>3280</v>
      </c>
      <c r="AB565" s="337" t="s">
        <v>228</v>
      </c>
      <c r="AC565" s="237" t="s">
        <v>228</v>
      </c>
      <c r="AD565" s="562"/>
      <c r="AE565" s="555"/>
      <c r="AF565" s="237"/>
    </row>
    <row r="566" spans="1:32" ht="13.5" customHeight="1">
      <c r="A566" s="235">
        <v>564</v>
      </c>
      <c r="B566" s="235">
        <v>0</v>
      </c>
      <c r="C566" s="255" t="s">
        <v>3281</v>
      </c>
      <c r="D566" s="235" t="s">
        <v>3282</v>
      </c>
      <c r="E566" s="235">
        <v>43</v>
      </c>
      <c r="F566" s="235" t="s">
        <v>75</v>
      </c>
      <c r="G566" s="235" t="s">
        <v>3283</v>
      </c>
      <c r="H566" s="243" t="s">
        <v>188</v>
      </c>
      <c r="I566" s="243"/>
      <c r="K566" s="240"/>
      <c r="L566" s="243" t="s">
        <v>231</v>
      </c>
      <c r="M566" s="243" t="s">
        <v>231</v>
      </c>
      <c r="N566" s="237"/>
      <c r="O566" s="237"/>
      <c r="P566" s="237"/>
      <c r="Q566" s="245">
        <v>45666</v>
      </c>
      <c r="R566" s="237" t="s">
        <v>309</v>
      </c>
      <c r="S566" s="331" t="s">
        <v>233</v>
      </c>
      <c r="T566" s="237">
        <v>0</v>
      </c>
      <c r="U566" s="237" t="s">
        <v>234</v>
      </c>
      <c r="V566" s="237" t="s">
        <v>652</v>
      </c>
      <c r="W566" s="244">
        <v>46003</v>
      </c>
      <c r="X566" s="237" t="s">
        <v>3284</v>
      </c>
      <c r="Y566" s="237" t="s">
        <v>588</v>
      </c>
      <c r="Z566" s="237" t="s">
        <v>228</v>
      </c>
      <c r="AA566" s="237" t="s">
        <v>3285</v>
      </c>
      <c r="AB566" s="337" t="s">
        <v>228</v>
      </c>
      <c r="AC566" s="237" t="s">
        <v>228</v>
      </c>
      <c r="AD566" s="562"/>
      <c r="AE566" s="555"/>
      <c r="AF566" s="237"/>
    </row>
    <row r="567" spans="1:32" ht="13.5" customHeight="1">
      <c r="A567" s="235">
        <v>565</v>
      </c>
      <c r="B567" s="235">
        <v>0</v>
      </c>
      <c r="C567" s="255" t="s">
        <v>3286</v>
      </c>
      <c r="D567" s="235" t="s">
        <v>3287</v>
      </c>
      <c r="E567" s="235">
        <v>37</v>
      </c>
      <c r="F567" s="235" t="s">
        <v>60</v>
      </c>
      <c r="G567" s="235" t="s">
        <v>3288</v>
      </c>
      <c r="H567" s="243" t="s">
        <v>188</v>
      </c>
      <c r="I567" s="243"/>
      <c r="K567" s="240"/>
      <c r="L567" s="243" t="s">
        <v>231</v>
      </c>
      <c r="M567" s="243" t="s">
        <v>231</v>
      </c>
      <c r="N567" s="237"/>
      <c r="O567" s="237"/>
      <c r="P567" s="237"/>
      <c r="Q567" s="245">
        <v>45666</v>
      </c>
      <c r="R567" s="237" t="s">
        <v>309</v>
      </c>
      <c r="S567" s="331" t="s">
        <v>233</v>
      </c>
      <c r="T567" s="237">
        <v>0</v>
      </c>
      <c r="U567" s="237" t="s">
        <v>234</v>
      </c>
      <c r="V567" s="237" t="s">
        <v>652</v>
      </c>
      <c r="W567" s="244">
        <v>46003</v>
      </c>
      <c r="X567" s="237" t="s">
        <v>3289</v>
      </c>
      <c r="Y567" s="237" t="s">
        <v>588</v>
      </c>
      <c r="Z567" s="237" t="s">
        <v>228</v>
      </c>
      <c r="AA567" s="237" t="s">
        <v>3290</v>
      </c>
      <c r="AB567" s="337" t="s">
        <v>228</v>
      </c>
      <c r="AC567" s="237" t="s">
        <v>228</v>
      </c>
      <c r="AD567" s="562"/>
      <c r="AE567" s="555"/>
      <c r="AF567" s="237"/>
    </row>
    <row r="568" spans="1:32" ht="13.5" customHeight="1">
      <c r="A568" s="235">
        <v>566</v>
      </c>
      <c r="B568" s="235" t="s">
        <v>3291</v>
      </c>
      <c r="C568" s="255" t="s">
        <v>3292</v>
      </c>
      <c r="D568" s="235" t="s">
        <v>3293</v>
      </c>
      <c r="E568" s="235">
        <v>29</v>
      </c>
      <c r="F568" s="235" t="s">
        <v>75</v>
      </c>
      <c r="G568" s="235" t="s">
        <v>3294</v>
      </c>
      <c r="H568" s="243" t="s">
        <v>188</v>
      </c>
      <c r="I568" s="243"/>
      <c r="K568" s="240"/>
      <c r="L568" s="243" t="s">
        <v>231</v>
      </c>
      <c r="M568" s="246" t="s">
        <v>228</v>
      </c>
      <c r="N568" s="237"/>
      <c r="O568" s="237"/>
      <c r="P568" s="237"/>
      <c r="Q568" s="245">
        <v>45666</v>
      </c>
      <c r="R568" s="237" t="s">
        <v>309</v>
      </c>
      <c r="S568" s="331" t="s">
        <v>233</v>
      </c>
      <c r="T568" s="237" t="s">
        <v>228</v>
      </c>
      <c r="U568" s="237" t="s">
        <v>234</v>
      </c>
      <c r="V568" s="237" t="s">
        <v>228</v>
      </c>
      <c r="W568" s="244" t="s">
        <v>228</v>
      </c>
      <c r="X568" s="237" t="s">
        <v>228</v>
      </c>
      <c r="Y568" s="237" t="s">
        <v>228</v>
      </c>
      <c r="Z568" s="237" t="s">
        <v>228</v>
      </c>
      <c r="AA568" s="237" t="s">
        <v>3295</v>
      </c>
      <c r="AB568" s="337" t="s">
        <v>228</v>
      </c>
      <c r="AC568" s="237" t="s">
        <v>228</v>
      </c>
      <c r="AD568" s="562"/>
      <c r="AE568" s="555"/>
      <c r="AF568" s="237"/>
    </row>
    <row r="569" spans="1:32" ht="13.5" customHeight="1">
      <c r="A569" s="235">
        <v>567</v>
      </c>
      <c r="B569" s="235">
        <v>0</v>
      </c>
      <c r="C569" s="255" t="s">
        <v>3296</v>
      </c>
      <c r="D569" s="235" t="s">
        <v>3297</v>
      </c>
      <c r="E569" s="235">
        <v>36</v>
      </c>
      <c r="F569" s="235" t="s">
        <v>60</v>
      </c>
      <c r="G569" s="235" t="s">
        <v>3298</v>
      </c>
      <c r="H569" s="243" t="s">
        <v>188</v>
      </c>
      <c r="I569" s="243"/>
      <c r="K569" s="240"/>
      <c r="L569" s="243" t="s">
        <v>231</v>
      </c>
      <c r="M569" s="243" t="s">
        <v>231</v>
      </c>
      <c r="N569" s="237"/>
      <c r="O569" s="237"/>
      <c r="P569" s="237"/>
      <c r="Q569" s="245">
        <v>45666</v>
      </c>
      <c r="R569" s="237" t="s">
        <v>309</v>
      </c>
      <c r="S569" s="331" t="s">
        <v>233</v>
      </c>
      <c r="T569" s="237">
        <v>0</v>
      </c>
      <c r="U569" s="237" t="s">
        <v>234</v>
      </c>
      <c r="V569" s="237" t="s">
        <v>652</v>
      </c>
      <c r="W569" s="244">
        <v>46003</v>
      </c>
      <c r="X569" s="237" t="s">
        <v>3299</v>
      </c>
      <c r="Y569" s="237" t="s">
        <v>588</v>
      </c>
      <c r="Z569" s="237" t="s">
        <v>228</v>
      </c>
      <c r="AA569" s="237" t="s">
        <v>3300</v>
      </c>
      <c r="AB569" s="337" t="s">
        <v>228</v>
      </c>
      <c r="AC569" s="237" t="s">
        <v>228</v>
      </c>
      <c r="AD569" s="562"/>
      <c r="AE569" s="555"/>
      <c r="AF569" s="237"/>
    </row>
    <row r="570" spans="1:32" ht="13.5" customHeight="1">
      <c r="A570" s="235">
        <v>568</v>
      </c>
      <c r="B570" s="235">
        <v>0</v>
      </c>
      <c r="C570" s="255" t="s">
        <v>3301</v>
      </c>
      <c r="D570" s="235" t="s">
        <v>3302</v>
      </c>
      <c r="E570" s="235">
        <v>41</v>
      </c>
      <c r="F570" s="235" t="s">
        <v>75</v>
      </c>
      <c r="G570" s="235" t="s">
        <v>3303</v>
      </c>
      <c r="H570" s="243" t="s">
        <v>188</v>
      </c>
      <c r="I570" s="243"/>
      <c r="K570" s="240"/>
      <c r="L570" s="243" t="s">
        <v>231</v>
      </c>
      <c r="M570" s="243" t="s">
        <v>231</v>
      </c>
      <c r="N570" s="237"/>
      <c r="O570" s="237"/>
      <c r="P570" s="237"/>
      <c r="Q570" s="245">
        <v>45666</v>
      </c>
      <c r="R570" s="237" t="s">
        <v>309</v>
      </c>
      <c r="S570" s="331" t="s">
        <v>233</v>
      </c>
      <c r="T570" s="237">
        <v>0</v>
      </c>
      <c r="U570" s="237" t="s">
        <v>234</v>
      </c>
      <c r="V570" s="237" t="s">
        <v>652</v>
      </c>
      <c r="W570" s="244">
        <v>46003</v>
      </c>
      <c r="X570" s="237" t="s">
        <v>3304</v>
      </c>
      <c r="Y570" s="237" t="s">
        <v>588</v>
      </c>
      <c r="Z570" s="237" t="s">
        <v>228</v>
      </c>
      <c r="AA570" s="237" t="s">
        <v>3305</v>
      </c>
      <c r="AB570" s="337" t="s">
        <v>228</v>
      </c>
      <c r="AC570" s="237" t="s">
        <v>228</v>
      </c>
      <c r="AD570" s="562"/>
      <c r="AE570" s="555"/>
      <c r="AF570" s="237"/>
    </row>
    <row r="571" spans="1:32" ht="13.5" customHeight="1">
      <c r="A571" s="235">
        <v>569</v>
      </c>
      <c r="B571" s="235">
        <v>0</v>
      </c>
      <c r="C571" s="255" t="s">
        <v>3306</v>
      </c>
      <c r="D571" s="235" t="s">
        <v>3307</v>
      </c>
      <c r="E571" s="235">
        <v>44</v>
      </c>
      <c r="F571" s="235" t="s">
        <v>60</v>
      </c>
      <c r="G571" s="235" t="s">
        <v>3308</v>
      </c>
      <c r="H571" s="243" t="s">
        <v>188</v>
      </c>
      <c r="I571" s="243"/>
      <c r="K571" s="240"/>
      <c r="L571" s="243" t="s">
        <v>231</v>
      </c>
      <c r="M571" s="243" t="s">
        <v>231</v>
      </c>
      <c r="N571" s="237"/>
      <c r="O571" s="237"/>
      <c r="P571" s="237"/>
      <c r="Q571" s="245">
        <v>45666</v>
      </c>
      <c r="R571" s="237" t="s">
        <v>309</v>
      </c>
      <c r="S571" s="331" t="s">
        <v>233</v>
      </c>
      <c r="T571" s="237">
        <v>0</v>
      </c>
      <c r="U571" s="237" t="s">
        <v>234</v>
      </c>
      <c r="V571" s="237" t="s">
        <v>652</v>
      </c>
      <c r="W571" s="244">
        <v>46003</v>
      </c>
      <c r="X571" s="237" t="s">
        <v>3309</v>
      </c>
      <c r="Y571" s="237" t="s">
        <v>588</v>
      </c>
      <c r="Z571" s="237" t="s">
        <v>228</v>
      </c>
      <c r="AA571" s="237" t="s">
        <v>3310</v>
      </c>
      <c r="AB571" s="337" t="s">
        <v>228</v>
      </c>
      <c r="AC571" s="237" t="s">
        <v>228</v>
      </c>
      <c r="AD571" s="562"/>
      <c r="AE571" s="555"/>
      <c r="AF571" s="237"/>
    </row>
    <row r="572" spans="1:32" ht="13.5" customHeight="1">
      <c r="A572" s="235">
        <v>570</v>
      </c>
      <c r="B572" s="235">
        <v>0</v>
      </c>
      <c r="C572" s="255" t="s">
        <v>3311</v>
      </c>
      <c r="D572" s="235" t="s">
        <v>3312</v>
      </c>
      <c r="E572" s="235">
        <v>30</v>
      </c>
      <c r="F572" s="235" t="s">
        <v>75</v>
      </c>
      <c r="G572" s="235" t="s">
        <v>3313</v>
      </c>
      <c r="H572" s="243" t="s">
        <v>188</v>
      </c>
      <c r="I572" s="243"/>
      <c r="K572" s="240"/>
      <c r="L572" s="243" t="s">
        <v>231</v>
      </c>
      <c r="M572" s="243" t="s">
        <v>231</v>
      </c>
      <c r="N572" s="237"/>
      <c r="O572" s="237"/>
      <c r="P572" s="237"/>
      <c r="Q572" s="245">
        <v>45666</v>
      </c>
      <c r="R572" s="237" t="s">
        <v>309</v>
      </c>
      <c r="S572" s="331" t="s">
        <v>233</v>
      </c>
      <c r="T572" s="237">
        <v>0</v>
      </c>
      <c r="U572" s="237" t="s">
        <v>234</v>
      </c>
      <c r="V572" s="237" t="s">
        <v>652</v>
      </c>
      <c r="W572" s="244">
        <v>46003</v>
      </c>
      <c r="X572" s="237" t="s">
        <v>3314</v>
      </c>
      <c r="Y572" s="237" t="s">
        <v>588</v>
      </c>
      <c r="Z572" s="237" t="s">
        <v>228</v>
      </c>
      <c r="AA572" s="237" t="s">
        <v>3315</v>
      </c>
      <c r="AB572" s="337" t="s">
        <v>228</v>
      </c>
      <c r="AC572" s="237" t="s">
        <v>228</v>
      </c>
      <c r="AD572" s="562"/>
      <c r="AE572" s="555"/>
      <c r="AF572" s="237"/>
    </row>
    <row r="573" spans="1:32" ht="13.5" customHeight="1">
      <c r="A573" s="235">
        <v>571</v>
      </c>
      <c r="B573" s="235">
        <v>0</v>
      </c>
      <c r="C573" s="255" t="s">
        <v>3316</v>
      </c>
      <c r="D573" s="235" t="s">
        <v>3317</v>
      </c>
      <c r="E573" s="235">
        <v>37</v>
      </c>
      <c r="F573" s="235" t="s">
        <v>75</v>
      </c>
      <c r="G573" s="235" t="s">
        <v>3318</v>
      </c>
      <c r="H573" s="243" t="s">
        <v>188</v>
      </c>
      <c r="I573" s="243"/>
      <c r="K573" s="240"/>
      <c r="L573" s="243" t="s">
        <v>231</v>
      </c>
      <c r="M573" s="243" t="s">
        <v>231</v>
      </c>
      <c r="N573" s="237"/>
      <c r="O573" s="237"/>
      <c r="P573" s="237"/>
      <c r="Q573" s="245">
        <v>45666</v>
      </c>
      <c r="R573" s="237" t="s">
        <v>309</v>
      </c>
      <c r="S573" s="331" t="s">
        <v>233</v>
      </c>
      <c r="T573" s="237">
        <v>0</v>
      </c>
      <c r="U573" s="237" t="s">
        <v>234</v>
      </c>
      <c r="V573" s="237" t="s">
        <v>652</v>
      </c>
      <c r="W573" s="244">
        <v>46003</v>
      </c>
      <c r="X573" s="237" t="s">
        <v>3319</v>
      </c>
      <c r="Y573" s="237" t="s">
        <v>588</v>
      </c>
      <c r="Z573" s="237" t="s">
        <v>228</v>
      </c>
      <c r="AA573" s="237" t="s">
        <v>3320</v>
      </c>
      <c r="AB573" s="337" t="s">
        <v>228</v>
      </c>
      <c r="AC573" s="237" t="s">
        <v>228</v>
      </c>
      <c r="AD573" s="562"/>
      <c r="AE573" s="555"/>
      <c r="AF573" s="237"/>
    </row>
    <row r="574" spans="1:32" ht="13.5" customHeight="1">
      <c r="A574" s="235">
        <v>572</v>
      </c>
      <c r="B574" s="235" t="s">
        <v>3321</v>
      </c>
      <c r="C574" s="255" t="s">
        <v>3322</v>
      </c>
      <c r="D574" s="235" t="s">
        <v>3323</v>
      </c>
      <c r="E574" s="235">
        <v>27</v>
      </c>
      <c r="F574" s="235" t="s">
        <v>60</v>
      </c>
      <c r="G574" s="235" t="s">
        <v>3324</v>
      </c>
      <c r="H574" s="243" t="s">
        <v>188</v>
      </c>
      <c r="I574" s="243"/>
      <c r="K574" s="240"/>
      <c r="L574" s="243" t="s">
        <v>231</v>
      </c>
      <c r="M574" s="246" t="s">
        <v>228</v>
      </c>
      <c r="N574" s="237"/>
      <c r="O574" s="237"/>
      <c r="P574" s="237"/>
      <c r="Q574" s="245">
        <v>45668</v>
      </c>
      <c r="R574" s="237" t="s">
        <v>309</v>
      </c>
      <c r="S574" s="331" t="s">
        <v>233</v>
      </c>
      <c r="T574" s="237">
        <v>0</v>
      </c>
      <c r="U574" s="237" t="s">
        <v>234</v>
      </c>
      <c r="V574" s="237" t="s">
        <v>228</v>
      </c>
      <c r="W574" s="244" t="s">
        <v>228</v>
      </c>
      <c r="X574" s="237" t="s">
        <v>228</v>
      </c>
      <c r="Y574" s="237" t="s">
        <v>228</v>
      </c>
      <c r="Z574" s="237" t="s">
        <v>228</v>
      </c>
      <c r="AA574" s="237" t="s">
        <v>3325</v>
      </c>
      <c r="AB574" s="337" t="s">
        <v>228</v>
      </c>
      <c r="AC574" s="237" t="s">
        <v>228</v>
      </c>
      <c r="AD574" s="562"/>
      <c r="AE574" s="555"/>
      <c r="AF574" s="237"/>
    </row>
    <row r="575" spans="1:32" ht="13.5" customHeight="1">
      <c r="A575" s="235">
        <v>573</v>
      </c>
      <c r="B575" s="235">
        <v>0</v>
      </c>
      <c r="C575" s="255" t="s">
        <v>3326</v>
      </c>
      <c r="D575" s="235" t="s">
        <v>3327</v>
      </c>
      <c r="E575" s="235">
        <v>55</v>
      </c>
      <c r="F575" s="235" t="s">
        <v>75</v>
      </c>
      <c r="G575" s="235" t="s">
        <v>3328</v>
      </c>
      <c r="H575" s="243" t="s">
        <v>188</v>
      </c>
      <c r="I575" s="243"/>
      <c r="K575" s="240"/>
      <c r="L575" s="243" t="s">
        <v>231</v>
      </c>
      <c r="M575" s="243" t="s">
        <v>231</v>
      </c>
      <c r="N575" s="237"/>
      <c r="O575" s="237"/>
      <c r="P575" s="237"/>
      <c r="Q575" s="245">
        <v>45668</v>
      </c>
      <c r="R575" s="237" t="s">
        <v>309</v>
      </c>
      <c r="S575" s="331" t="s">
        <v>233</v>
      </c>
      <c r="T575" s="237">
        <v>0</v>
      </c>
      <c r="U575" s="237" t="s">
        <v>234</v>
      </c>
      <c r="V575" s="237" t="s">
        <v>652</v>
      </c>
      <c r="W575" s="244">
        <v>46003</v>
      </c>
      <c r="X575" s="237" t="s">
        <v>2815</v>
      </c>
      <c r="Y575" s="237" t="s">
        <v>588</v>
      </c>
      <c r="Z575" s="237" t="s">
        <v>228</v>
      </c>
      <c r="AA575" s="237" t="s">
        <v>3329</v>
      </c>
      <c r="AB575" s="337" t="s">
        <v>228</v>
      </c>
      <c r="AC575" s="237" t="s">
        <v>228</v>
      </c>
      <c r="AD575" s="562"/>
      <c r="AE575" s="555"/>
      <c r="AF575" s="237"/>
    </row>
    <row r="576" spans="1:32" ht="13.5" customHeight="1">
      <c r="A576" s="235">
        <v>574</v>
      </c>
      <c r="B576" s="235">
        <v>0</v>
      </c>
      <c r="C576" s="255" t="s">
        <v>3330</v>
      </c>
      <c r="D576" s="235" t="s">
        <v>3331</v>
      </c>
      <c r="E576" s="235">
        <v>32</v>
      </c>
      <c r="F576" s="235" t="s">
        <v>60</v>
      </c>
      <c r="G576" s="235" t="s">
        <v>3332</v>
      </c>
      <c r="H576" s="243" t="s">
        <v>188</v>
      </c>
      <c r="I576" s="243"/>
      <c r="K576" s="240"/>
      <c r="L576" s="243" t="s">
        <v>231</v>
      </c>
      <c r="M576" s="243" t="s">
        <v>231</v>
      </c>
      <c r="N576" s="237"/>
      <c r="O576" s="237"/>
      <c r="P576" s="237"/>
      <c r="Q576" s="245">
        <v>45668</v>
      </c>
      <c r="R576" s="237" t="s">
        <v>309</v>
      </c>
      <c r="S576" s="331" t="s">
        <v>233</v>
      </c>
      <c r="T576" s="237">
        <v>0</v>
      </c>
      <c r="U576" s="237" t="s">
        <v>234</v>
      </c>
      <c r="V576" s="237" t="s">
        <v>652</v>
      </c>
      <c r="W576" s="244">
        <v>46003</v>
      </c>
      <c r="X576" s="237" t="s">
        <v>2815</v>
      </c>
      <c r="Y576" s="237" t="s">
        <v>588</v>
      </c>
      <c r="Z576" s="237" t="s">
        <v>228</v>
      </c>
      <c r="AA576" s="237" t="s">
        <v>3333</v>
      </c>
      <c r="AB576" s="337" t="s">
        <v>228</v>
      </c>
      <c r="AC576" s="237" t="s">
        <v>228</v>
      </c>
      <c r="AD576" s="562"/>
      <c r="AE576" s="555"/>
      <c r="AF576" s="237"/>
    </row>
    <row r="577" spans="1:32" ht="13.5" customHeight="1">
      <c r="A577" s="235">
        <v>575</v>
      </c>
      <c r="B577" s="235">
        <v>0</v>
      </c>
      <c r="C577" s="255" t="s">
        <v>3334</v>
      </c>
      <c r="D577" s="235" t="s">
        <v>3335</v>
      </c>
      <c r="E577" s="235">
        <v>58</v>
      </c>
      <c r="F577" s="235" t="s">
        <v>60</v>
      </c>
      <c r="G577" s="235" t="s">
        <v>3336</v>
      </c>
      <c r="H577" s="243" t="s">
        <v>188</v>
      </c>
      <c r="I577" s="243"/>
      <c r="K577" s="240"/>
      <c r="L577" s="243" t="s">
        <v>231</v>
      </c>
      <c r="M577" s="243" t="s">
        <v>231</v>
      </c>
      <c r="N577" s="237"/>
      <c r="O577" s="237"/>
      <c r="P577" s="237"/>
      <c r="Q577" s="245">
        <v>45668</v>
      </c>
      <c r="R577" s="237" t="s">
        <v>309</v>
      </c>
      <c r="S577" s="331" t="s">
        <v>233</v>
      </c>
      <c r="T577" s="237">
        <v>0</v>
      </c>
      <c r="U577" s="237" t="s">
        <v>234</v>
      </c>
      <c r="V577" s="237" t="s">
        <v>652</v>
      </c>
      <c r="W577" s="244">
        <v>46003</v>
      </c>
      <c r="X577" s="237" t="s">
        <v>3337</v>
      </c>
      <c r="Y577" s="237" t="s">
        <v>588</v>
      </c>
      <c r="Z577" s="237" t="s">
        <v>228</v>
      </c>
      <c r="AA577" s="237" t="s">
        <v>3338</v>
      </c>
      <c r="AB577" s="337" t="s">
        <v>228</v>
      </c>
      <c r="AC577" s="237" t="s">
        <v>228</v>
      </c>
      <c r="AD577" s="562"/>
      <c r="AE577" s="555"/>
      <c r="AF577" s="237"/>
    </row>
    <row r="578" spans="1:32" ht="13.5" customHeight="1">
      <c r="A578" s="235">
        <v>576</v>
      </c>
      <c r="B578" s="235">
        <v>0</v>
      </c>
      <c r="C578" s="255" t="s">
        <v>3339</v>
      </c>
      <c r="D578" s="235" t="s">
        <v>3340</v>
      </c>
      <c r="E578" s="235">
        <v>38</v>
      </c>
      <c r="F578" s="235" t="s">
        <v>60</v>
      </c>
      <c r="G578" s="235" t="s">
        <v>3341</v>
      </c>
      <c r="H578" s="243" t="s">
        <v>188</v>
      </c>
      <c r="I578" s="243"/>
      <c r="K578" s="240"/>
      <c r="L578" s="243" t="s">
        <v>231</v>
      </c>
      <c r="M578" s="243" t="s">
        <v>231</v>
      </c>
      <c r="N578" s="237"/>
      <c r="O578" s="237"/>
      <c r="P578" s="237"/>
      <c r="Q578" s="245">
        <v>45670</v>
      </c>
      <c r="R578" s="237" t="s">
        <v>309</v>
      </c>
      <c r="S578" s="331" t="s">
        <v>233</v>
      </c>
      <c r="T578" s="237">
        <v>0</v>
      </c>
      <c r="U578" s="237" t="s">
        <v>234</v>
      </c>
      <c r="V578" s="237" t="s">
        <v>652</v>
      </c>
      <c r="W578" s="244">
        <v>46003</v>
      </c>
      <c r="X578" s="237" t="s">
        <v>3342</v>
      </c>
      <c r="Y578" s="237" t="s">
        <v>588</v>
      </c>
      <c r="Z578" s="237" t="s">
        <v>228</v>
      </c>
      <c r="AA578" s="237" t="s">
        <v>3343</v>
      </c>
      <c r="AB578" s="337" t="s">
        <v>228</v>
      </c>
      <c r="AC578" s="237" t="s">
        <v>228</v>
      </c>
      <c r="AD578" s="562"/>
      <c r="AE578" s="555"/>
      <c r="AF578" s="237"/>
    </row>
    <row r="579" spans="1:32" ht="13.5" customHeight="1">
      <c r="A579" s="235">
        <v>577</v>
      </c>
      <c r="B579" s="235">
        <v>0</v>
      </c>
      <c r="C579" s="255" t="s">
        <v>3344</v>
      </c>
      <c r="D579" s="235" t="s">
        <v>3345</v>
      </c>
      <c r="E579" s="235">
        <v>29</v>
      </c>
      <c r="F579" s="235" t="s">
        <v>60</v>
      </c>
      <c r="G579" s="235" t="s">
        <v>3346</v>
      </c>
      <c r="H579" s="243" t="s">
        <v>188</v>
      </c>
      <c r="I579" s="243"/>
      <c r="K579" s="240"/>
      <c r="L579" s="243" t="s">
        <v>231</v>
      </c>
      <c r="M579" s="243" t="s">
        <v>231</v>
      </c>
      <c r="N579" s="237"/>
      <c r="O579" s="237"/>
      <c r="P579" s="237"/>
      <c r="Q579" s="245">
        <v>45670</v>
      </c>
      <c r="R579" s="237" t="s">
        <v>309</v>
      </c>
      <c r="S579" s="331" t="s">
        <v>233</v>
      </c>
      <c r="T579" s="237">
        <v>0</v>
      </c>
      <c r="U579" s="237" t="s">
        <v>234</v>
      </c>
      <c r="V579" s="237" t="s">
        <v>652</v>
      </c>
      <c r="W579" s="244">
        <v>46003</v>
      </c>
      <c r="X579" s="237" t="s">
        <v>3347</v>
      </c>
      <c r="Y579" s="237" t="s">
        <v>588</v>
      </c>
      <c r="Z579" s="237" t="s">
        <v>228</v>
      </c>
      <c r="AA579" s="237" t="s">
        <v>3348</v>
      </c>
      <c r="AB579" s="337" t="s">
        <v>228</v>
      </c>
      <c r="AC579" s="237" t="s">
        <v>228</v>
      </c>
      <c r="AD579" s="562"/>
      <c r="AE579" s="555"/>
      <c r="AF579" s="237"/>
    </row>
    <row r="580" spans="1:32" ht="13.5" customHeight="1">
      <c r="A580" s="235">
        <v>578</v>
      </c>
      <c r="B580" s="235">
        <v>0</v>
      </c>
      <c r="C580" s="255" t="s">
        <v>3349</v>
      </c>
      <c r="D580" s="235" t="s">
        <v>3350</v>
      </c>
      <c r="E580" s="235">
        <v>26</v>
      </c>
      <c r="F580" s="235" t="s">
        <v>60</v>
      </c>
      <c r="G580" s="235" t="s">
        <v>3351</v>
      </c>
      <c r="H580" s="243" t="s">
        <v>188</v>
      </c>
      <c r="I580" s="243"/>
      <c r="K580" s="240"/>
      <c r="L580" s="243" t="s">
        <v>231</v>
      </c>
      <c r="M580" s="243" t="s">
        <v>231</v>
      </c>
      <c r="N580" s="237"/>
      <c r="O580" s="237"/>
      <c r="P580" s="237"/>
      <c r="Q580" s="245">
        <v>45670</v>
      </c>
      <c r="R580" s="237" t="s">
        <v>309</v>
      </c>
      <c r="S580" s="331" t="s">
        <v>233</v>
      </c>
      <c r="T580" s="237">
        <v>0</v>
      </c>
      <c r="U580" s="237" t="s">
        <v>234</v>
      </c>
      <c r="V580" s="237" t="s">
        <v>652</v>
      </c>
      <c r="W580" s="244">
        <v>46003</v>
      </c>
      <c r="X580" s="237" t="s">
        <v>2010</v>
      </c>
      <c r="Y580" s="237" t="s">
        <v>588</v>
      </c>
      <c r="Z580" s="237" t="s">
        <v>228</v>
      </c>
      <c r="AA580" s="237" t="s">
        <v>3352</v>
      </c>
      <c r="AB580" s="337" t="s">
        <v>228</v>
      </c>
      <c r="AC580" s="237" t="s">
        <v>228</v>
      </c>
      <c r="AD580" s="562"/>
      <c r="AE580" s="555"/>
      <c r="AF580" s="237"/>
    </row>
    <row r="581" spans="1:32" ht="13.5" customHeight="1">
      <c r="A581" s="235">
        <v>579</v>
      </c>
      <c r="B581" s="235" t="s">
        <v>3353</v>
      </c>
      <c r="C581" s="255" t="s">
        <v>3354</v>
      </c>
      <c r="D581" s="235" t="s">
        <v>3355</v>
      </c>
      <c r="E581" s="235">
        <v>29</v>
      </c>
      <c r="F581" s="235" t="s">
        <v>60</v>
      </c>
      <c r="G581" s="235" t="s">
        <v>3356</v>
      </c>
      <c r="H581" s="243" t="s">
        <v>188</v>
      </c>
      <c r="I581" s="243"/>
      <c r="K581" s="240"/>
      <c r="L581" s="243" t="s">
        <v>231</v>
      </c>
      <c r="M581" s="246" t="s">
        <v>228</v>
      </c>
      <c r="N581" s="237"/>
      <c r="O581" s="237"/>
      <c r="P581" s="237"/>
      <c r="Q581" s="245">
        <v>45670</v>
      </c>
      <c r="R581" s="237" t="s">
        <v>309</v>
      </c>
      <c r="S581" s="331" t="s">
        <v>233</v>
      </c>
      <c r="T581" s="237">
        <v>0</v>
      </c>
      <c r="U581" s="237" t="s">
        <v>234</v>
      </c>
      <c r="V581" s="237" t="s">
        <v>228</v>
      </c>
      <c r="W581" s="244" t="s">
        <v>228</v>
      </c>
      <c r="X581" s="237" t="s">
        <v>228</v>
      </c>
      <c r="Y581" s="237" t="s">
        <v>228</v>
      </c>
      <c r="Z581" s="237" t="s">
        <v>228</v>
      </c>
      <c r="AA581" s="237" t="s">
        <v>3357</v>
      </c>
      <c r="AB581" s="337" t="s">
        <v>228</v>
      </c>
      <c r="AC581" s="237" t="s">
        <v>228</v>
      </c>
      <c r="AD581" s="562"/>
      <c r="AE581" s="555"/>
      <c r="AF581" s="237"/>
    </row>
    <row r="582" spans="1:32" ht="13.5" customHeight="1">
      <c r="A582" s="235">
        <v>580</v>
      </c>
      <c r="B582" s="235" t="s">
        <v>3358</v>
      </c>
      <c r="C582" s="255" t="s">
        <v>3359</v>
      </c>
      <c r="D582" s="235" t="s">
        <v>3360</v>
      </c>
      <c r="E582" s="235">
        <v>25</v>
      </c>
      <c r="F582" s="235" t="s">
        <v>75</v>
      </c>
      <c r="G582" s="235" t="s">
        <v>1108</v>
      </c>
      <c r="H582" s="243" t="s">
        <v>188</v>
      </c>
      <c r="I582" s="243"/>
      <c r="K582" s="240"/>
      <c r="L582" s="243" t="s">
        <v>231</v>
      </c>
      <c r="M582" s="246" t="s">
        <v>228</v>
      </c>
      <c r="N582" s="237"/>
      <c r="O582" s="237"/>
      <c r="P582" s="237"/>
      <c r="Q582" s="245">
        <v>45670</v>
      </c>
      <c r="R582" s="237" t="s">
        <v>309</v>
      </c>
      <c r="S582" s="331" t="s">
        <v>233</v>
      </c>
      <c r="T582" s="237">
        <v>8.6</v>
      </c>
      <c r="U582" s="237" t="s">
        <v>234</v>
      </c>
      <c r="V582" s="237" t="s">
        <v>228</v>
      </c>
      <c r="W582" s="244" t="s">
        <v>228</v>
      </c>
      <c r="X582" s="237" t="s">
        <v>228</v>
      </c>
      <c r="Y582" s="237" t="s">
        <v>228</v>
      </c>
      <c r="Z582" s="237" t="s">
        <v>228</v>
      </c>
      <c r="AA582" s="237" t="s">
        <v>3361</v>
      </c>
      <c r="AB582" s="337" t="s">
        <v>228</v>
      </c>
      <c r="AC582" s="237" t="s">
        <v>228</v>
      </c>
      <c r="AD582" s="562"/>
      <c r="AE582" s="555"/>
      <c r="AF582" s="237"/>
    </row>
    <row r="583" spans="1:32" ht="13.5" customHeight="1">
      <c r="A583" s="235">
        <v>581</v>
      </c>
      <c r="B583" s="235" t="s">
        <v>3362</v>
      </c>
      <c r="C583" s="255" t="s">
        <v>3363</v>
      </c>
      <c r="D583" s="235" t="s">
        <v>3364</v>
      </c>
      <c r="E583" s="235">
        <v>25</v>
      </c>
      <c r="F583" s="235" t="s">
        <v>60</v>
      </c>
      <c r="G583" s="235" t="s">
        <v>3365</v>
      </c>
      <c r="H583" s="243" t="s">
        <v>188</v>
      </c>
      <c r="I583" s="243"/>
      <c r="K583" s="240"/>
      <c r="L583" s="243" t="s">
        <v>231</v>
      </c>
      <c r="M583" s="246" t="s">
        <v>228</v>
      </c>
      <c r="N583" s="237"/>
      <c r="O583" s="237"/>
      <c r="P583" s="237"/>
      <c r="Q583" s="245">
        <v>45670</v>
      </c>
      <c r="R583" s="237" t="s">
        <v>309</v>
      </c>
      <c r="S583" s="331" t="s">
        <v>233</v>
      </c>
      <c r="T583" s="237">
        <v>0</v>
      </c>
      <c r="U583" s="237" t="s">
        <v>234</v>
      </c>
      <c r="V583" s="237" t="s">
        <v>228</v>
      </c>
      <c r="W583" s="244" t="s">
        <v>228</v>
      </c>
      <c r="X583" s="237" t="s">
        <v>228</v>
      </c>
      <c r="Y583" s="237" t="s">
        <v>228</v>
      </c>
      <c r="Z583" s="237" t="s">
        <v>228</v>
      </c>
      <c r="AA583" s="237" t="s">
        <v>3366</v>
      </c>
      <c r="AB583" s="337" t="s">
        <v>228</v>
      </c>
      <c r="AC583" s="237" t="s">
        <v>228</v>
      </c>
      <c r="AD583" s="562"/>
      <c r="AE583" s="555"/>
      <c r="AF583" s="237"/>
    </row>
    <row r="584" spans="1:32" ht="13.5" customHeight="1">
      <c r="A584" s="235">
        <v>582</v>
      </c>
      <c r="B584" s="235" t="s">
        <v>3367</v>
      </c>
      <c r="C584" s="255" t="s">
        <v>3368</v>
      </c>
      <c r="D584" s="235" t="s">
        <v>3369</v>
      </c>
      <c r="E584" s="235">
        <v>27</v>
      </c>
      <c r="F584" s="235" t="s">
        <v>60</v>
      </c>
      <c r="G584" s="235" t="s">
        <v>3370</v>
      </c>
      <c r="H584" s="243" t="s">
        <v>188</v>
      </c>
      <c r="I584" s="243"/>
      <c r="K584" s="240"/>
      <c r="L584" s="243" t="s">
        <v>231</v>
      </c>
      <c r="M584" s="246" t="s">
        <v>228</v>
      </c>
      <c r="N584" s="237"/>
      <c r="O584" s="237"/>
      <c r="P584" s="237"/>
      <c r="Q584" s="245">
        <v>45670</v>
      </c>
      <c r="R584" s="237" t="s">
        <v>309</v>
      </c>
      <c r="S584" s="331" t="s">
        <v>233</v>
      </c>
      <c r="T584" s="237">
        <v>0</v>
      </c>
      <c r="U584" s="237" t="s">
        <v>234</v>
      </c>
      <c r="V584" s="237" t="s">
        <v>228</v>
      </c>
      <c r="W584" s="244" t="s">
        <v>228</v>
      </c>
      <c r="X584" s="237" t="s">
        <v>228</v>
      </c>
      <c r="Y584" s="237" t="s">
        <v>228</v>
      </c>
      <c r="Z584" s="237" t="s">
        <v>228</v>
      </c>
      <c r="AA584" s="237" t="s">
        <v>3371</v>
      </c>
      <c r="AB584" s="337" t="s">
        <v>228</v>
      </c>
      <c r="AC584" s="237" t="s">
        <v>228</v>
      </c>
      <c r="AD584" s="562"/>
      <c r="AE584" s="555"/>
      <c r="AF584" s="237"/>
    </row>
    <row r="585" spans="1:32" ht="13.5" customHeight="1">
      <c r="A585" s="235">
        <v>583</v>
      </c>
      <c r="B585" s="235">
        <v>0</v>
      </c>
      <c r="C585" s="255" t="s">
        <v>3372</v>
      </c>
      <c r="D585" s="235" t="s">
        <v>3373</v>
      </c>
      <c r="E585" s="235">
        <v>28</v>
      </c>
      <c r="F585" s="235" t="s">
        <v>60</v>
      </c>
      <c r="G585" s="235" t="s">
        <v>3374</v>
      </c>
      <c r="H585" s="243" t="s">
        <v>188</v>
      </c>
      <c r="I585" s="243"/>
      <c r="K585" s="240"/>
      <c r="L585" s="243" t="s">
        <v>231</v>
      </c>
      <c r="M585" s="243" t="s">
        <v>231</v>
      </c>
      <c r="N585" s="237"/>
      <c r="O585" s="237"/>
      <c r="P585" s="237"/>
      <c r="Q585" s="245">
        <v>45670</v>
      </c>
      <c r="R585" s="237" t="s">
        <v>309</v>
      </c>
      <c r="S585" s="331" t="s">
        <v>233</v>
      </c>
      <c r="T585" s="237">
        <v>0</v>
      </c>
      <c r="U585" s="237" t="s">
        <v>234</v>
      </c>
      <c r="V585" s="237" t="s">
        <v>652</v>
      </c>
      <c r="W585" s="244">
        <v>46003</v>
      </c>
      <c r="X585" s="237" t="s">
        <v>3375</v>
      </c>
      <c r="Y585" s="237" t="s">
        <v>588</v>
      </c>
      <c r="Z585" s="237" t="s">
        <v>228</v>
      </c>
      <c r="AA585" s="237" t="s">
        <v>3376</v>
      </c>
      <c r="AB585" s="337" t="s">
        <v>228</v>
      </c>
      <c r="AC585" s="237" t="s">
        <v>228</v>
      </c>
      <c r="AD585" s="562"/>
      <c r="AE585" s="555"/>
      <c r="AF585" s="237"/>
    </row>
    <row r="586" spans="1:32" ht="13.5" customHeight="1">
      <c r="A586" s="235">
        <v>584</v>
      </c>
      <c r="B586" s="235" t="s">
        <v>3377</v>
      </c>
      <c r="C586" s="255" t="s">
        <v>3378</v>
      </c>
      <c r="D586" s="235" t="s">
        <v>3379</v>
      </c>
      <c r="E586" s="235">
        <v>24</v>
      </c>
      <c r="F586" s="235" t="s">
        <v>75</v>
      </c>
      <c r="G586" s="235" t="s">
        <v>3380</v>
      </c>
      <c r="H586" s="243" t="s">
        <v>188</v>
      </c>
      <c r="I586" s="243"/>
      <c r="K586" s="240"/>
      <c r="L586" s="243" t="s">
        <v>231</v>
      </c>
      <c r="M586" s="246" t="s">
        <v>228</v>
      </c>
      <c r="N586" s="237"/>
      <c r="O586" s="237"/>
      <c r="P586" s="237"/>
      <c r="Q586" s="245">
        <v>45670</v>
      </c>
      <c r="R586" s="237" t="s">
        <v>309</v>
      </c>
      <c r="S586" s="331" t="s">
        <v>233</v>
      </c>
      <c r="T586" s="237" t="s">
        <v>228</v>
      </c>
      <c r="U586" s="237" t="s">
        <v>234</v>
      </c>
      <c r="V586" s="237" t="s">
        <v>228</v>
      </c>
      <c r="W586" s="244" t="s">
        <v>228</v>
      </c>
      <c r="X586" s="237" t="s">
        <v>228</v>
      </c>
      <c r="Y586" s="237" t="s">
        <v>228</v>
      </c>
      <c r="Z586" s="237" t="s">
        <v>228</v>
      </c>
      <c r="AA586" s="237" t="s">
        <v>3381</v>
      </c>
      <c r="AB586" s="337" t="s">
        <v>228</v>
      </c>
      <c r="AC586" s="237" t="s">
        <v>228</v>
      </c>
      <c r="AD586" s="562"/>
      <c r="AE586" s="555"/>
      <c r="AF586" s="237"/>
    </row>
    <row r="587" spans="1:32" ht="13.5" customHeight="1">
      <c r="A587" s="235">
        <v>585</v>
      </c>
      <c r="B587" s="235" t="s">
        <v>3382</v>
      </c>
      <c r="C587" s="255" t="s">
        <v>3383</v>
      </c>
      <c r="D587" s="235" t="s">
        <v>3384</v>
      </c>
      <c r="E587" s="235">
        <v>30</v>
      </c>
      <c r="F587" s="235" t="s">
        <v>75</v>
      </c>
      <c r="G587" s="235" t="s">
        <v>3385</v>
      </c>
      <c r="H587" s="243" t="s">
        <v>188</v>
      </c>
      <c r="I587" s="243"/>
      <c r="K587" s="240"/>
      <c r="L587" s="243" t="s">
        <v>231</v>
      </c>
      <c r="M587" s="246" t="s">
        <v>228</v>
      </c>
      <c r="N587" s="237"/>
      <c r="O587" s="237"/>
      <c r="P587" s="237"/>
      <c r="Q587" s="245">
        <v>45670</v>
      </c>
      <c r="R587" s="237" t="s">
        <v>309</v>
      </c>
      <c r="S587" s="331" t="s">
        <v>233</v>
      </c>
      <c r="T587" s="237" t="s">
        <v>228</v>
      </c>
      <c r="U587" s="237" t="s">
        <v>234</v>
      </c>
      <c r="V587" s="237" t="s">
        <v>228</v>
      </c>
      <c r="W587" s="244" t="s">
        <v>228</v>
      </c>
      <c r="X587" s="237" t="s">
        <v>228</v>
      </c>
      <c r="Y587" s="237" t="s">
        <v>228</v>
      </c>
      <c r="Z587" s="237" t="s">
        <v>228</v>
      </c>
      <c r="AA587" s="237" t="s">
        <v>3386</v>
      </c>
      <c r="AB587" s="337" t="s">
        <v>228</v>
      </c>
      <c r="AC587" s="237" t="s">
        <v>228</v>
      </c>
      <c r="AD587" s="562"/>
      <c r="AE587" s="555"/>
      <c r="AF587" s="237"/>
    </row>
    <row r="588" spans="1:32" ht="13.5" customHeight="1">
      <c r="A588" s="235">
        <v>586</v>
      </c>
      <c r="B588" s="235" t="s">
        <v>3387</v>
      </c>
      <c r="C588" s="255" t="s">
        <v>3388</v>
      </c>
      <c r="D588" s="235" t="s">
        <v>3389</v>
      </c>
      <c r="E588" s="235">
        <v>20</v>
      </c>
      <c r="F588" s="235" t="s">
        <v>75</v>
      </c>
      <c r="G588" s="235" t="s">
        <v>3390</v>
      </c>
      <c r="H588" s="243" t="s">
        <v>188</v>
      </c>
      <c r="I588" s="243"/>
      <c r="K588" s="240"/>
      <c r="L588" s="243" t="s">
        <v>231</v>
      </c>
      <c r="M588" s="246" t="s">
        <v>228</v>
      </c>
      <c r="N588" s="237"/>
      <c r="O588" s="237"/>
      <c r="P588" s="237"/>
      <c r="Q588" s="245">
        <v>45670</v>
      </c>
      <c r="R588" s="237" t="s">
        <v>309</v>
      </c>
      <c r="S588" s="331" t="s">
        <v>233</v>
      </c>
      <c r="T588" s="237" t="s">
        <v>228</v>
      </c>
      <c r="U588" s="237" t="s">
        <v>234</v>
      </c>
      <c r="V588" s="237" t="s">
        <v>228</v>
      </c>
      <c r="W588" s="244" t="s">
        <v>228</v>
      </c>
      <c r="X588" s="237" t="s">
        <v>228</v>
      </c>
      <c r="Y588" s="237" t="s">
        <v>228</v>
      </c>
      <c r="Z588" s="237" t="s">
        <v>228</v>
      </c>
      <c r="AA588" s="237" t="s">
        <v>3391</v>
      </c>
      <c r="AB588" s="337" t="s">
        <v>228</v>
      </c>
      <c r="AC588" s="237" t="s">
        <v>228</v>
      </c>
      <c r="AD588" s="562"/>
      <c r="AE588" s="555"/>
      <c r="AF588" s="237"/>
    </row>
    <row r="589" spans="1:32" ht="13.5" customHeight="1">
      <c r="A589" s="235">
        <v>587</v>
      </c>
      <c r="B589" s="235">
        <v>0</v>
      </c>
      <c r="C589" s="255" t="s">
        <v>3392</v>
      </c>
      <c r="D589" s="235" t="s">
        <v>3393</v>
      </c>
      <c r="E589" s="235">
        <v>21</v>
      </c>
      <c r="F589" s="235" t="s">
        <v>75</v>
      </c>
      <c r="G589" s="235" t="s">
        <v>3394</v>
      </c>
      <c r="H589" s="243" t="s">
        <v>188</v>
      </c>
      <c r="I589" s="243"/>
      <c r="K589" s="240"/>
      <c r="L589" s="243" t="s">
        <v>231</v>
      </c>
      <c r="M589" s="243" t="s">
        <v>231</v>
      </c>
      <c r="N589" s="237"/>
      <c r="O589" s="237"/>
      <c r="P589" s="237"/>
      <c r="Q589" s="245">
        <v>45670</v>
      </c>
      <c r="R589" s="237" t="s">
        <v>309</v>
      </c>
      <c r="S589" s="331" t="s">
        <v>233</v>
      </c>
      <c r="T589" s="237">
        <v>0</v>
      </c>
      <c r="U589" s="237" t="s">
        <v>234</v>
      </c>
      <c r="V589" s="237" t="s">
        <v>652</v>
      </c>
      <c r="W589" s="244">
        <v>46003</v>
      </c>
      <c r="X589" s="237" t="s">
        <v>3395</v>
      </c>
      <c r="Y589" s="237" t="s">
        <v>588</v>
      </c>
      <c r="Z589" s="237" t="s">
        <v>228</v>
      </c>
      <c r="AA589" s="237" t="s">
        <v>3396</v>
      </c>
      <c r="AB589" s="337" t="s">
        <v>228</v>
      </c>
      <c r="AC589" s="237" t="s">
        <v>228</v>
      </c>
      <c r="AD589" s="562"/>
      <c r="AE589" s="555"/>
      <c r="AF589" s="237"/>
    </row>
    <row r="590" spans="1:32" ht="13.5" customHeight="1">
      <c r="A590" s="235">
        <v>588</v>
      </c>
      <c r="B590" s="235">
        <v>0</v>
      </c>
      <c r="C590" s="255" t="s">
        <v>3397</v>
      </c>
      <c r="D590" s="235" t="s">
        <v>3398</v>
      </c>
      <c r="E590" s="235">
        <v>36</v>
      </c>
      <c r="F590" s="235" t="s">
        <v>60</v>
      </c>
      <c r="G590" s="235" t="s">
        <v>3399</v>
      </c>
      <c r="H590" s="243" t="s">
        <v>188</v>
      </c>
      <c r="I590" s="243"/>
      <c r="K590" s="240"/>
      <c r="L590" s="243" t="s">
        <v>231</v>
      </c>
      <c r="M590" s="243" t="s">
        <v>231</v>
      </c>
      <c r="N590" s="237"/>
      <c r="O590" s="237"/>
      <c r="P590" s="237"/>
      <c r="Q590" s="245">
        <v>45672</v>
      </c>
      <c r="R590" s="237" t="s">
        <v>309</v>
      </c>
      <c r="S590" s="331" t="s">
        <v>233</v>
      </c>
      <c r="T590" s="237">
        <v>0</v>
      </c>
      <c r="U590" s="237" t="s">
        <v>234</v>
      </c>
      <c r="V590" s="237" t="s">
        <v>652</v>
      </c>
      <c r="W590" s="244">
        <v>46003</v>
      </c>
      <c r="X590" s="237" t="s">
        <v>2272</v>
      </c>
      <c r="Y590" s="237" t="s">
        <v>588</v>
      </c>
      <c r="Z590" s="237" t="s">
        <v>228</v>
      </c>
      <c r="AA590" s="237" t="s">
        <v>3400</v>
      </c>
      <c r="AB590" s="337" t="s">
        <v>228</v>
      </c>
      <c r="AC590" s="237" t="s">
        <v>228</v>
      </c>
      <c r="AD590" s="562"/>
      <c r="AE590" s="555"/>
      <c r="AF590" s="237"/>
    </row>
    <row r="591" spans="1:32" ht="13.5" customHeight="1">
      <c r="A591" s="235">
        <v>589</v>
      </c>
      <c r="B591" s="235">
        <v>0</v>
      </c>
      <c r="C591" s="255" t="s">
        <v>3401</v>
      </c>
      <c r="D591" s="235" t="s">
        <v>3402</v>
      </c>
      <c r="E591" s="235">
        <v>31</v>
      </c>
      <c r="F591" s="235" t="s">
        <v>60</v>
      </c>
      <c r="G591" s="235" t="s">
        <v>3403</v>
      </c>
      <c r="H591" s="243" t="s">
        <v>188</v>
      </c>
      <c r="I591" s="243"/>
      <c r="K591" s="240"/>
      <c r="L591" s="243" t="s">
        <v>231</v>
      </c>
      <c r="M591" s="243" t="s">
        <v>231</v>
      </c>
      <c r="N591" s="237"/>
      <c r="O591" s="237"/>
      <c r="P591" s="237"/>
      <c r="Q591" s="245">
        <v>45672</v>
      </c>
      <c r="R591" s="237" t="s">
        <v>309</v>
      </c>
      <c r="S591" s="331" t="s">
        <v>233</v>
      </c>
      <c r="T591" s="237">
        <v>0</v>
      </c>
      <c r="U591" s="237" t="s">
        <v>234</v>
      </c>
      <c r="V591" s="237" t="s">
        <v>652</v>
      </c>
      <c r="W591" s="244">
        <v>46003</v>
      </c>
      <c r="X591" s="237" t="s">
        <v>3404</v>
      </c>
      <c r="Y591" s="237" t="s">
        <v>588</v>
      </c>
      <c r="Z591" s="237" t="s">
        <v>228</v>
      </c>
      <c r="AA591" s="237" t="s">
        <v>3405</v>
      </c>
      <c r="AB591" s="337" t="s">
        <v>228</v>
      </c>
      <c r="AC591" s="237" t="s">
        <v>228</v>
      </c>
      <c r="AD591" s="562"/>
      <c r="AE591" s="555"/>
      <c r="AF591" s="237"/>
    </row>
    <row r="592" spans="1:32" ht="13.5" customHeight="1">
      <c r="A592" s="235">
        <v>590</v>
      </c>
      <c r="B592" s="235">
        <v>0</v>
      </c>
      <c r="C592" s="255" t="s">
        <v>3406</v>
      </c>
      <c r="D592" s="235" t="s">
        <v>3407</v>
      </c>
      <c r="E592" s="235">
        <v>52</v>
      </c>
      <c r="F592" s="235" t="s">
        <v>75</v>
      </c>
      <c r="G592" s="235" t="s">
        <v>3408</v>
      </c>
      <c r="H592" s="243" t="s">
        <v>188</v>
      </c>
      <c r="I592" s="243"/>
      <c r="K592" s="240"/>
      <c r="L592" s="243" t="s">
        <v>231</v>
      </c>
      <c r="M592" s="243" t="s">
        <v>231</v>
      </c>
      <c r="N592" s="237"/>
      <c r="O592" s="237"/>
      <c r="P592" s="237"/>
      <c r="Q592" s="245">
        <v>45672</v>
      </c>
      <c r="R592" s="237" t="s">
        <v>309</v>
      </c>
      <c r="S592" s="331" t="s">
        <v>233</v>
      </c>
      <c r="T592" s="237">
        <v>0</v>
      </c>
      <c r="U592" s="237" t="s">
        <v>234</v>
      </c>
      <c r="V592" s="237" t="s">
        <v>652</v>
      </c>
      <c r="W592" s="244">
        <v>46003</v>
      </c>
      <c r="X592" s="237" t="s">
        <v>3409</v>
      </c>
      <c r="Y592" s="237" t="s">
        <v>588</v>
      </c>
      <c r="Z592" s="237" t="s">
        <v>228</v>
      </c>
      <c r="AA592" s="237" t="s">
        <v>3410</v>
      </c>
      <c r="AB592" s="337" t="s">
        <v>228</v>
      </c>
      <c r="AC592" s="237" t="s">
        <v>228</v>
      </c>
      <c r="AD592" s="562"/>
      <c r="AE592" s="555"/>
      <c r="AF592" s="237"/>
    </row>
    <row r="593" spans="1:32" ht="13.5" customHeight="1">
      <c r="A593" s="235">
        <v>591</v>
      </c>
      <c r="B593" s="235">
        <v>0</v>
      </c>
      <c r="C593" s="255" t="s">
        <v>3411</v>
      </c>
      <c r="D593" s="235" t="s">
        <v>3412</v>
      </c>
      <c r="E593" s="235">
        <v>29</v>
      </c>
      <c r="F593" s="235" t="s">
        <v>75</v>
      </c>
      <c r="G593" s="235" t="s">
        <v>3413</v>
      </c>
      <c r="H593" s="243" t="s">
        <v>188</v>
      </c>
      <c r="I593" s="243"/>
      <c r="K593" s="240"/>
      <c r="L593" s="243" t="s">
        <v>231</v>
      </c>
      <c r="M593" s="243" t="s">
        <v>231</v>
      </c>
      <c r="N593" s="237"/>
      <c r="O593" s="237"/>
      <c r="P593" s="237"/>
      <c r="Q593" s="245">
        <v>45672</v>
      </c>
      <c r="R593" s="237" t="s">
        <v>309</v>
      </c>
      <c r="S593" s="331" t="s">
        <v>233</v>
      </c>
      <c r="T593" s="237">
        <v>0</v>
      </c>
      <c r="U593" s="237" t="s">
        <v>234</v>
      </c>
      <c r="V593" s="237" t="s">
        <v>652</v>
      </c>
      <c r="W593" s="244">
        <v>46003</v>
      </c>
      <c r="X593" s="237" t="s">
        <v>3414</v>
      </c>
      <c r="Y593" s="237" t="s">
        <v>588</v>
      </c>
      <c r="Z593" s="237" t="s">
        <v>228</v>
      </c>
      <c r="AA593" s="237" t="s">
        <v>3415</v>
      </c>
      <c r="AB593" s="337" t="s">
        <v>228</v>
      </c>
      <c r="AC593" s="237" t="s">
        <v>228</v>
      </c>
      <c r="AD593" s="562"/>
      <c r="AE593" s="555"/>
      <c r="AF593" s="237"/>
    </row>
    <row r="594" spans="1:32" ht="13.5" customHeight="1">
      <c r="A594" s="235">
        <v>592</v>
      </c>
      <c r="B594" s="235">
        <v>0</v>
      </c>
      <c r="C594" s="255" t="s">
        <v>3416</v>
      </c>
      <c r="D594" s="235" t="s">
        <v>3417</v>
      </c>
      <c r="E594" s="235">
        <v>63</v>
      </c>
      <c r="F594" s="235" t="s">
        <v>60</v>
      </c>
      <c r="G594" s="235" t="s">
        <v>3418</v>
      </c>
      <c r="H594" s="243" t="s">
        <v>188</v>
      </c>
      <c r="I594" s="243"/>
      <c r="K594" s="240"/>
      <c r="L594" s="243" t="s">
        <v>231</v>
      </c>
      <c r="M594" s="243" t="s">
        <v>231</v>
      </c>
      <c r="N594" s="237"/>
      <c r="O594" s="237"/>
      <c r="P594" s="237"/>
      <c r="Q594" s="245">
        <v>45672</v>
      </c>
      <c r="R594" s="237" t="s">
        <v>309</v>
      </c>
      <c r="S594" s="331" t="s">
        <v>233</v>
      </c>
      <c r="T594" s="237">
        <v>0</v>
      </c>
      <c r="U594" s="237" t="s">
        <v>234</v>
      </c>
      <c r="V594" s="237" t="s">
        <v>652</v>
      </c>
      <c r="W594" s="244">
        <v>46003</v>
      </c>
      <c r="X594" s="237" t="s">
        <v>3419</v>
      </c>
      <c r="Y594" s="237" t="s">
        <v>588</v>
      </c>
      <c r="Z594" s="237" t="s">
        <v>228</v>
      </c>
      <c r="AA594" s="237" t="s">
        <v>3420</v>
      </c>
      <c r="AB594" s="337" t="s">
        <v>228</v>
      </c>
      <c r="AC594" s="237" t="s">
        <v>228</v>
      </c>
      <c r="AD594" s="562"/>
      <c r="AE594" s="555"/>
      <c r="AF594" s="237"/>
    </row>
    <row r="595" spans="1:32" ht="13.5" customHeight="1">
      <c r="A595" s="235">
        <v>593</v>
      </c>
      <c r="B595" s="235">
        <v>0</v>
      </c>
      <c r="C595" s="255" t="s">
        <v>3421</v>
      </c>
      <c r="D595" s="235" t="s">
        <v>3422</v>
      </c>
      <c r="E595" s="235">
        <v>29</v>
      </c>
      <c r="F595" s="235" t="s">
        <v>60</v>
      </c>
      <c r="G595" s="235" t="s">
        <v>3423</v>
      </c>
      <c r="H595" s="243" t="s">
        <v>188</v>
      </c>
      <c r="I595" s="243"/>
      <c r="K595" s="240"/>
      <c r="L595" s="243" t="s">
        <v>231</v>
      </c>
      <c r="M595" s="243" t="s">
        <v>231</v>
      </c>
      <c r="N595" s="237"/>
      <c r="O595" s="237"/>
      <c r="P595" s="237"/>
      <c r="Q595" s="245">
        <v>45672</v>
      </c>
      <c r="R595" s="237" t="s">
        <v>309</v>
      </c>
      <c r="S595" s="331" t="s">
        <v>233</v>
      </c>
      <c r="T595" s="237">
        <v>0</v>
      </c>
      <c r="U595" s="237" t="s">
        <v>234</v>
      </c>
      <c r="V595" s="237" t="s">
        <v>652</v>
      </c>
      <c r="W595" s="244">
        <v>46003</v>
      </c>
      <c r="X595" s="237" t="s">
        <v>3424</v>
      </c>
      <c r="Y595" s="237" t="s">
        <v>588</v>
      </c>
      <c r="Z595" s="237" t="s">
        <v>228</v>
      </c>
      <c r="AA595" s="237" t="s">
        <v>3425</v>
      </c>
      <c r="AB595" s="337" t="s">
        <v>228</v>
      </c>
      <c r="AC595" s="237" t="s">
        <v>228</v>
      </c>
      <c r="AD595" s="562"/>
      <c r="AE595" s="555"/>
      <c r="AF595" s="237"/>
    </row>
    <row r="596" spans="1:32" ht="13.5" customHeight="1">
      <c r="A596" s="235">
        <v>594</v>
      </c>
      <c r="B596" s="235">
        <v>0</v>
      </c>
      <c r="C596" s="255" t="s">
        <v>3426</v>
      </c>
      <c r="D596" s="235" t="s">
        <v>3427</v>
      </c>
      <c r="E596" s="235">
        <v>58</v>
      </c>
      <c r="F596" s="235" t="s">
        <v>60</v>
      </c>
      <c r="G596" s="235" t="s">
        <v>3428</v>
      </c>
      <c r="H596" s="243" t="s">
        <v>188</v>
      </c>
      <c r="I596" s="243"/>
      <c r="K596" s="240"/>
      <c r="L596" s="243" t="s">
        <v>231</v>
      </c>
      <c r="M596" s="243" t="s">
        <v>231</v>
      </c>
      <c r="N596" s="237"/>
      <c r="O596" s="237"/>
      <c r="P596" s="237"/>
      <c r="Q596" s="245">
        <v>45672</v>
      </c>
      <c r="R596" s="237" t="s">
        <v>309</v>
      </c>
      <c r="S596" s="331" t="s">
        <v>233</v>
      </c>
      <c r="T596" s="237">
        <v>0</v>
      </c>
      <c r="U596" s="237" t="s">
        <v>234</v>
      </c>
      <c r="V596" s="237" t="s">
        <v>652</v>
      </c>
      <c r="W596" s="244">
        <v>46003</v>
      </c>
      <c r="X596" s="237" t="s">
        <v>3429</v>
      </c>
      <c r="Y596" s="237" t="s">
        <v>588</v>
      </c>
      <c r="Z596" s="237" t="s">
        <v>228</v>
      </c>
      <c r="AA596" s="237" t="s">
        <v>3430</v>
      </c>
      <c r="AB596" s="337" t="s">
        <v>228</v>
      </c>
      <c r="AC596" s="237" t="s">
        <v>228</v>
      </c>
      <c r="AD596" s="562"/>
      <c r="AE596" s="555"/>
      <c r="AF596" s="237"/>
    </row>
    <row r="597" spans="1:32" ht="13.5" customHeight="1">
      <c r="A597" s="235">
        <v>595</v>
      </c>
      <c r="B597" s="235">
        <v>0</v>
      </c>
      <c r="C597" s="255" t="s">
        <v>3431</v>
      </c>
      <c r="D597" s="235" t="s">
        <v>3432</v>
      </c>
      <c r="E597" s="235">
        <v>55</v>
      </c>
      <c r="F597" s="235" t="s">
        <v>75</v>
      </c>
      <c r="G597" s="235" t="s">
        <v>3433</v>
      </c>
      <c r="H597" s="243" t="s">
        <v>188</v>
      </c>
      <c r="I597" s="243"/>
      <c r="K597" s="240"/>
      <c r="L597" s="243" t="s">
        <v>231</v>
      </c>
      <c r="M597" s="243" t="s">
        <v>231</v>
      </c>
      <c r="N597" s="237"/>
      <c r="O597" s="237"/>
      <c r="P597" s="237"/>
      <c r="Q597" s="245">
        <v>45672</v>
      </c>
      <c r="R597" s="237" t="s">
        <v>309</v>
      </c>
      <c r="S597" s="331" t="s">
        <v>233</v>
      </c>
      <c r="T597" s="237">
        <v>0</v>
      </c>
      <c r="U597" s="237" t="s">
        <v>234</v>
      </c>
      <c r="V597" s="237" t="s">
        <v>652</v>
      </c>
      <c r="W597" s="244">
        <v>46003</v>
      </c>
      <c r="X597" s="237" t="s">
        <v>3434</v>
      </c>
      <c r="Y597" s="237" t="s">
        <v>588</v>
      </c>
      <c r="Z597" s="237" t="s">
        <v>228</v>
      </c>
      <c r="AA597" s="237" t="s">
        <v>3435</v>
      </c>
      <c r="AB597" s="337" t="s">
        <v>228</v>
      </c>
      <c r="AC597" s="237" t="s">
        <v>228</v>
      </c>
      <c r="AD597" s="562"/>
      <c r="AE597" s="555"/>
      <c r="AF597" s="237"/>
    </row>
    <row r="598" spans="1:32" ht="13.5" customHeight="1">
      <c r="A598" s="235">
        <v>596</v>
      </c>
      <c r="B598" s="235">
        <v>0</v>
      </c>
      <c r="C598" s="255" t="s">
        <v>3436</v>
      </c>
      <c r="D598" s="235" t="s">
        <v>3437</v>
      </c>
      <c r="E598" s="235">
        <v>40</v>
      </c>
      <c r="F598" s="235" t="s">
        <v>75</v>
      </c>
      <c r="G598" s="235" t="s">
        <v>3438</v>
      </c>
      <c r="H598" s="243" t="s">
        <v>188</v>
      </c>
      <c r="I598" s="243"/>
      <c r="K598" s="240"/>
      <c r="L598" s="243" t="s">
        <v>231</v>
      </c>
      <c r="M598" s="243" t="s">
        <v>231</v>
      </c>
      <c r="N598" s="237"/>
      <c r="O598" s="237"/>
      <c r="P598" s="237"/>
      <c r="Q598" s="245">
        <v>45672</v>
      </c>
      <c r="R598" s="237" t="s">
        <v>309</v>
      </c>
      <c r="S598" s="331" t="s">
        <v>233</v>
      </c>
      <c r="T598" s="237">
        <v>0</v>
      </c>
      <c r="U598" s="237" t="s">
        <v>234</v>
      </c>
      <c r="V598" s="237" t="s">
        <v>652</v>
      </c>
      <c r="W598" s="244">
        <v>46003</v>
      </c>
      <c r="X598" s="237" t="s">
        <v>1522</v>
      </c>
      <c r="Y598" s="237" t="s">
        <v>588</v>
      </c>
      <c r="Z598" s="237" t="s">
        <v>228</v>
      </c>
      <c r="AA598" s="237" t="s">
        <v>3439</v>
      </c>
      <c r="AB598" s="337" t="s">
        <v>228</v>
      </c>
      <c r="AC598" s="237" t="s">
        <v>228</v>
      </c>
      <c r="AD598" s="562"/>
      <c r="AE598" s="555"/>
      <c r="AF598" s="237"/>
    </row>
    <row r="599" spans="1:32" ht="13.5" customHeight="1">
      <c r="A599" s="235">
        <v>597</v>
      </c>
      <c r="B599" s="235">
        <v>0</v>
      </c>
      <c r="C599" s="255" t="s">
        <v>3440</v>
      </c>
      <c r="D599" s="235" t="s">
        <v>3441</v>
      </c>
      <c r="E599" s="235">
        <v>49</v>
      </c>
      <c r="F599" s="235" t="s">
        <v>75</v>
      </c>
      <c r="G599" s="235" t="s">
        <v>3442</v>
      </c>
      <c r="H599" s="243" t="s">
        <v>188</v>
      </c>
      <c r="I599" s="243"/>
      <c r="K599" s="240"/>
      <c r="L599" s="243" t="s">
        <v>231</v>
      </c>
      <c r="M599" s="243" t="s">
        <v>231</v>
      </c>
      <c r="N599" s="237"/>
      <c r="O599" s="237"/>
      <c r="P599" s="237"/>
      <c r="Q599" s="245">
        <v>45672</v>
      </c>
      <c r="R599" s="237" t="s">
        <v>309</v>
      </c>
      <c r="S599" s="331" t="s">
        <v>233</v>
      </c>
      <c r="T599" s="237">
        <v>0</v>
      </c>
      <c r="U599" s="237" t="s">
        <v>234</v>
      </c>
      <c r="V599" s="237" t="s">
        <v>652</v>
      </c>
      <c r="W599" s="244">
        <v>46003</v>
      </c>
      <c r="X599" s="237" t="s">
        <v>3443</v>
      </c>
      <c r="Y599" s="237" t="s">
        <v>588</v>
      </c>
      <c r="Z599" s="237" t="s">
        <v>228</v>
      </c>
      <c r="AA599" s="237" t="s">
        <v>3444</v>
      </c>
      <c r="AB599" s="337" t="s">
        <v>228</v>
      </c>
      <c r="AC599" s="237" t="s">
        <v>228</v>
      </c>
      <c r="AD599" s="562"/>
      <c r="AE599" s="555"/>
      <c r="AF599" s="237"/>
    </row>
    <row r="600" spans="1:32" ht="13.5" customHeight="1">
      <c r="A600" s="235">
        <v>598</v>
      </c>
      <c r="B600" s="235">
        <v>0</v>
      </c>
      <c r="C600" s="255" t="s">
        <v>3445</v>
      </c>
      <c r="D600" s="235" t="s">
        <v>3446</v>
      </c>
      <c r="E600" s="235">
        <v>56</v>
      </c>
      <c r="F600" s="235" t="s">
        <v>75</v>
      </c>
      <c r="G600" s="235" t="s">
        <v>3447</v>
      </c>
      <c r="H600" s="243" t="s">
        <v>188</v>
      </c>
      <c r="I600" s="243"/>
      <c r="K600" s="240"/>
      <c r="L600" s="243" t="s">
        <v>231</v>
      </c>
      <c r="M600" s="243" t="s">
        <v>231</v>
      </c>
      <c r="N600" s="237"/>
      <c r="O600" s="237"/>
      <c r="P600" s="237"/>
      <c r="Q600" s="245">
        <v>45672</v>
      </c>
      <c r="R600" s="237" t="s">
        <v>309</v>
      </c>
      <c r="S600" s="331" t="s">
        <v>233</v>
      </c>
      <c r="T600" s="237">
        <v>0</v>
      </c>
      <c r="U600" s="237" t="s">
        <v>234</v>
      </c>
      <c r="V600" s="237" t="s">
        <v>652</v>
      </c>
      <c r="W600" s="244">
        <v>46003</v>
      </c>
      <c r="X600" s="237" t="s">
        <v>3448</v>
      </c>
      <c r="Y600" s="237" t="s">
        <v>588</v>
      </c>
      <c r="Z600" s="237" t="s">
        <v>228</v>
      </c>
      <c r="AA600" s="237" t="s">
        <v>3449</v>
      </c>
      <c r="AB600" s="337" t="s">
        <v>228</v>
      </c>
      <c r="AC600" s="237" t="s">
        <v>228</v>
      </c>
      <c r="AD600" s="562"/>
      <c r="AE600" s="555"/>
      <c r="AF600" s="237"/>
    </row>
    <row r="601" spans="1:32" ht="13.5" customHeight="1">
      <c r="A601" s="235">
        <v>599</v>
      </c>
      <c r="B601" s="235">
        <v>0</v>
      </c>
      <c r="C601" s="255" t="s">
        <v>3450</v>
      </c>
      <c r="D601" s="235" t="s">
        <v>3451</v>
      </c>
      <c r="E601" s="235">
        <v>30</v>
      </c>
      <c r="F601" s="235" t="s">
        <v>75</v>
      </c>
      <c r="G601" s="235" t="s">
        <v>3452</v>
      </c>
      <c r="H601" s="243" t="s">
        <v>188</v>
      </c>
      <c r="I601" s="243"/>
      <c r="K601" s="240"/>
      <c r="L601" s="243" t="s">
        <v>231</v>
      </c>
      <c r="M601" s="243" t="s">
        <v>231</v>
      </c>
      <c r="N601" s="237"/>
      <c r="O601" s="237"/>
      <c r="P601" s="237"/>
      <c r="Q601" s="245">
        <v>45672</v>
      </c>
      <c r="R601" s="237" t="s">
        <v>309</v>
      </c>
      <c r="S601" s="331" t="s">
        <v>233</v>
      </c>
      <c r="T601" s="237">
        <v>0</v>
      </c>
      <c r="U601" s="237" t="s">
        <v>234</v>
      </c>
      <c r="V601" s="237" t="s">
        <v>652</v>
      </c>
      <c r="W601" s="244">
        <v>46003</v>
      </c>
      <c r="X601" s="237" t="s">
        <v>3453</v>
      </c>
      <c r="Y601" s="237" t="s">
        <v>588</v>
      </c>
      <c r="Z601" s="237" t="s">
        <v>228</v>
      </c>
      <c r="AA601" s="237" t="s">
        <v>3454</v>
      </c>
      <c r="AB601" s="337" t="s">
        <v>228</v>
      </c>
      <c r="AC601" s="237" t="s">
        <v>228</v>
      </c>
      <c r="AD601" s="562"/>
      <c r="AE601" s="555"/>
      <c r="AF601" s="237"/>
    </row>
    <row r="602" spans="1:32" ht="13.5" customHeight="1">
      <c r="A602" s="235">
        <v>600</v>
      </c>
      <c r="B602" s="235">
        <v>0</v>
      </c>
      <c r="C602" s="255" t="s">
        <v>3455</v>
      </c>
      <c r="D602" s="235" t="s">
        <v>3456</v>
      </c>
      <c r="E602" s="235">
        <v>55</v>
      </c>
      <c r="F602" s="235" t="s">
        <v>60</v>
      </c>
      <c r="G602" s="235" t="s">
        <v>3457</v>
      </c>
      <c r="H602" s="243" t="s">
        <v>188</v>
      </c>
      <c r="I602" s="243"/>
      <c r="K602" s="240"/>
      <c r="L602" s="243" t="s">
        <v>231</v>
      </c>
      <c r="M602" s="243" t="s">
        <v>231</v>
      </c>
      <c r="N602" s="237"/>
      <c r="O602" s="237"/>
      <c r="P602" s="237"/>
      <c r="Q602" s="245">
        <v>45672</v>
      </c>
      <c r="R602" s="237" t="s">
        <v>309</v>
      </c>
      <c r="S602" s="331" t="s">
        <v>233</v>
      </c>
      <c r="T602" s="237">
        <v>0</v>
      </c>
      <c r="U602" s="237" t="s">
        <v>234</v>
      </c>
      <c r="V602" s="237" t="s">
        <v>652</v>
      </c>
      <c r="W602" s="244">
        <v>46003</v>
      </c>
      <c r="X602" s="237" t="s">
        <v>2842</v>
      </c>
      <c r="Y602" s="237" t="s">
        <v>588</v>
      </c>
      <c r="Z602" s="237" t="s">
        <v>228</v>
      </c>
      <c r="AA602" s="237" t="s">
        <v>3458</v>
      </c>
      <c r="AB602" s="337" t="s">
        <v>228</v>
      </c>
      <c r="AC602" s="237" t="s">
        <v>228</v>
      </c>
      <c r="AD602" s="562"/>
      <c r="AE602" s="555"/>
      <c r="AF602" s="237"/>
    </row>
    <row r="603" spans="1:32" ht="13.5" customHeight="1">
      <c r="A603" s="235">
        <v>601</v>
      </c>
      <c r="B603" s="235">
        <v>0</v>
      </c>
      <c r="C603" s="255" t="s">
        <v>3459</v>
      </c>
      <c r="D603" s="235" t="s">
        <v>3460</v>
      </c>
      <c r="E603" s="235">
        <v>53</v>
      </c>
      <c r="F603" s="235" t="s">
        <v>60</v>
      </c>
      <c r="G603" s="235" t="s">
        <v>3461</v>
      </c>
      <c r="H603" s="243" t="s">
        <v>188</v>
      </c>
      <c r="I603" s="243"/>
      <c r="K603" s="240"/>
      <c r="L603" s="243" t="s">
        <v>231</v>
      </c>
      <c r="M603" s="243" t="s">
        <v>231</v>
      </c>
      <c r="N603" s="237"/>
      <c r="O603" s="237"/>
      <c r="P603" s="237"/>
      <c r="Q603" s="245">
        <v>45672</v>
      </c>
      <c r="R603" s="237" t="s">
        <v>309</v>
      </c>
      <c r="S603" s="331" t="s">
        <v>233</v>
      </c>
      <c r="T603" s="237">
        <v>0</v>
      </c>
      <c r="U603" s="237" t="s">
        <v>234</v>
      </c>
      <c r="V603" s="237" t="s">
        <v>652</v>
      </c>
      <c r="W603" s="244">
        <v>46003</v>
      </c>
      <c r="X603" s="237" t="s">
        <v>3462</v>
      </c>
      <c r="Y603" s="237" t="s">
        <v>588</v>
      </c>
      <c r="Z603" s="237" t="s">
        <v>228</v>
      </c>
      <c r="AA603" s="237" t="s">
        <v>3463</v>
      </c>
      <c r="AB603" s="337" t="s">
        <v>228</v>
      </c>
      <c r="AC603" s="237" t="s">
        <v>228</v>
      </c>
      <c r="AD603" s="562"/>
      <c r="AE603" s="555"/>
      <c r="AF603" s="237"/>
    </row>
    <row r="604" spans="1:32" ht="13.5" customHeight="1">
      <c r="A604" s="235">
        <v>602</v>
      </c>
      <c r="B604" s="235">
        <v>0</v>
      </c>
      <c r="C604" s="255" t="s">
        <v>3464</v>
      </c>
      <c r="D604" s="235" t="s">
        <v>3465</v>
      </c>
      <c r="E604" s="235">
        <v>40</v>
      </c>
      <c r="F604" s="235" t="s">
        <v>75</v>
      </c>
      <c r="G604" s="235" t="s">
        <v>3466</v>
      </c>
      <c r="H604" s="243" t="s">
        <v>188</v>
      </c>
      <c r="I604" s="243"/>
      <c r="K604" s="240"/>
      <c r="L604" s="243" t="s">
        <v>231</v>
      </c>
      <c r="M604" s="243" t="s">
        <v>231</v>
      </c>
      <c r="N604" s="237"/>
      <c r="O604" s="237"/>
      <c r="P604" s="237"/>
      <c r="Q604" s="245">
        <v>45672</v>
      </c>
      <c r="R604" s="237" t="s">
        <v>309</v>
      </c>
      <c r="S604" s="331" t="s">
        <v>233</v>
      </c>
      <c r="T604" s="237">
        <v>0</v>
      </c>
      <c r="U604" s="237" t="s">
        <v>234</v>
      </c>
      <c r="V604" s="237" t="s">
        <v>652</v>
      </c>
      <c r="W604" s="244">
        <v>46003</v>
      </c>
      <c r="X604" s="237" t="s">
        <v>3467</v>
      </c>
      <c r="Y604" s="237" t="s">
        <v>588</v>
      </c>
      <c r="Z604" s="237" t="s">
        <v>228</v>
      </c>
      <c r="AA604" s="237" t="s">
        <v>3468</v>
      </c>
      <c r="AB604" s="337" t="s">
        <v>228</v>
      </c>
      <c r="AC604" s="237" t="s">
        <v>228</v>
      </c>
      <c r="AD604" s="562"/>
      <c r="AE604" s="555"/>
      <c r="AF604" s="237"/>
    </row>
    <row r="605" spans="1:32" ht="13.5" customHeight="1">
      <c r="A605" s="235">
        <v>603</v>
      </c>
      <c r="B605" s="235">
        <v>0</v>
      </c>
      <c r="C605" s="255" t="s">
        <v>3469</v>
      </c>
      <c r="D605" s="235" t="s">
        <v>3470</v>
      </c>
      <c r="E605" s="235">
        <v>39</v>
      </c>
      <c r="F605" s="235" t="s">
        <v>75</v>
      </c>
      <c r="G605" s="235" t="s">
        <v>3471</v>
      </c>
      <c r="H605" s="243" t="s">
        <v>188</v>
      </c>
      <c r="I605" s="243"/>
      <c r="K605" s="240"/>
      <c r="L605" s="243" t="s">
        <v>231</v>
      </c>
      <c r="M605" s="243" t="s">
        <v>231</v>
      </c>
      <c r="N605" s="237"/>
      <c r="O605" s="237"/>
      <c r="P605" s="237"/>
      <c r="Q605" s="245">
        <v>45672</v>
      </c>
      <c r="R605" s="237" t="s">
        <v>309</v>
      </c>
      <c r="S605" s="331" t="s">
        <v>233</v>
      </c>
      <c r="T605" s="237">
        <v>0</v>
      </c>
      <c r="U605" s="237" t="s">
        <v>234</v>
      </c>
      <c r="V605" s="237" t="s">
        <v>652</v>
      </c>
      <c r="W605" s="244">
        <v>46003</v>
      </c>
      <c r="X605" s="237" t="s">
        <v>3472</v>
      </c>
      <c r="Y605" s="237" t="s">
        <v>588</v>
      </c>
      <c r="Z605" s="237" t="s">
        <v>228</v>
      </c>
      <c r="AA605" s="237" t="s">
        <v>3473</v>
      </c>
      <c r="AB605" s="337" t="s">
        <v>228</v>
      </c>
      <c r="AC605" s="237" t="s">
        <v>228</v>
      </c>
      <c r="AD605" s="562"/>
      <c r="AE605" s="555"/>
      <c r="AF605" s="237"/>
    </row>
    <row r="606" spans="1:32" ht="13.5" customHeight="1">
      <c r="A606" s="235">
        <v>604</v>
      </c>
      <c r="B606" s="235">
        <v>0</v>
      </c>
      <c r="C606" s="255" t="s">
        <v>3474</v>
      </c>
      <c r="D606" s="235" t="s">
        <v>3475</v>
      </c>
      <c r="E606" s="235">
        <v>38</v>
      </c>
      <c r="F606" s="235" t="s">
        <v>60</v>
      </c>
      <c r="G606" s="235" t="s">
        <v>3476</v>
      </c>
      <c r="H606" s="243" t="s">
        <v>188</v>
      </c>
      <c r="I606" s="243"/>
      <c r="K606" s="240"/>
      <c r="L606" s="243" t="s">
        <v>231</v>
      </c>
      <c r="M606" s="243" t="s">
        <v>231</v>
      </c>
      <c r="N606" s="237"/>
      <c r="O606" s="237"/>
      <c r="P606" s="237"/>
      <c r="Q606" s="245">
        <v>45672</v>
      </c>
      <c r="R606" s="237" t="s">
        <v>309</v>
      </c>
      <c r="S606" s="331" t="s">
        <v>233</v>
      </c>
      <c r="T606" s="237">
        <v>0</v>
      </c>
      <c r="U606" s="237" t="s">
        <v>234</v>
      </c>
      <c r="V606" s="237" t="s">
        <v>652</v>
      </c>
      <c r="W606" s="244">
        <v>46003</v>
      </c>
      <c r="X606" s="237" t="s">
        <v>3477</v>
      </c>
      <c r="Y606" s="237" t="s">
        <v>588</v>
      </c>
      <c r="Z606" s="237" t="s">
        <v>228</v>
      </c>
      <c r="AA606" s="237" t="s">
        <v>3478</v>
      </c>
      <c r="AB606" s="337" t="s">
        <v>228</v>
      </c>
      <c r="AC606" s="237" t="s">
        <v>228</v>
      </c>
      <c r="AD606" s="562"/>
      <c r="AE606" s="555"/>
      <c r="AF606" s="237"/>
    </row>
    <row r="607" spans="1:32" ht="13.5" customHeight="1">
      <c r="A607" s="235">
        <v>605</v>
      </c>
      <c r="B607" s="235">
        <v>0</v>
      </c>
      <c r="C607" s="255" t="s">
        <v>3479</v>
      </c>
      <c r="D607" s="235" t="s">
        <v>3480</v>
      </c>
      <c r="E607" s="235">
        <v>36</v>
      </c>
      <c r="F607" s="235" t="s">
        <v>75</v>
      </c>
      <c r="G607" s="235" t="s">
        <v>3481</v>
      </c>
      <c r="H607" s="243" t="s">
        <v>188</v>
      </c>
      <c r="I607" s="243"/>
      <c r="K607" s="240"/>
      <c r="L607" s="243" t="s">
        <v>231</v>
      </c>
      <c r="M607" s="243" t="s">
        <v>231</v>
      </c>
      <c r="N607" s="237"/>
      <c r="O607" s="237"/>
      <c r="P607" s="237"/>
      <c r="Q607" s="245">
        <v>45672</v>
      </c>
      <c r="R607" s="237" t="s">
        <v>309</v>
      </c>
      <c r="S607" s="331" t="s">
        <v>233</v>
      </c>
      <c r="T607" s="237">
        <v>0</v>
      </c>
      <c r="U607" s="237" t="s">
        <v>234</v>
      </c>
      <c r="V607" s="237" t="s">
        <v>652</v>
      </c>
      <c r="W607" s="244">
        <v>46003</v>
      </c>
      <c r="X607" s="237" t="s">
        <v>3482</v>
      </c>
      <c r="Y607" s="237" t="s">
        <v>588</v>
      </c>
      <c r="Z607" s="237" t="s">
        <v>228</v>
      </c>
      <c r="AA607" s="237" t="s">
        <v>3483</v>
      </c>
      <c r="AB607" s="337" t="s">
        <v>228</v>
      </c>
      <c r="AC607" s="237" t="s">
        <v>228</v>
      </c>
      <c r="AD607" s="562"/>
      <c r="AE607" s="555"/>
      <c r="AF607" s="237"/>
    </row>
    <row r="608" spans="1:32" ht="13.5" customHeight="1">
      <c r="A608" s="235">
        <v>606</v>
      </c>
      <c r="B608" s="235">
        <v>0</v>
      </c>
      <c r="C608" s="255" t="s">
        <v>3484</v>
      </c>
      <c r="D608" s="235" t="s">
        <v>3485</v>
      </c>
      <c r="E608" s="235">
        <v>62</v>
      </c>
      <c r="F608" s="235" t="s">
        <v>75</v>
      </c>
      <c r="G608" s="235" t="s">
        <v>3486</v>
      </c>
      <c r="H608" s="243" t="s">
        <v>188</v>
      </c>
      <c r="I608" s="243"/>
      <c r="K608" s="240"/>
      <c r="L608" s="243" t="s">
        <v>231</v>
      </c>
      <c r="M608" s="243" t="s">
        <v>231</v>
      </c>
      <c r="N608" s="237"/>
      <c r="O608" s="237"/>
      <c r="P608" s="237"/>
      <c r="Q608" s="245">
        <v>45672</v>
      </c>
      <c r="R608" s="237" t="s">
        <v>309</v>
      </c>
      <c r="S608" s="331" t="s">
        <v>233</v>
      </c>
      <c r="T608" s="237">
        <v>0</v>
      </c>
      <c r="U608" s="237" t="s">
        <v>234</v>
      </c>
      <c r="V608" s="237" t="s">
        <v>652</v>
      </c>
      <c r="W608" s="244">
        <v>46003</v>
      </c>
      <c r="X608" s="237" t="s">
        <v>1621</v>
      </c>
      <c r="Y608" s="237" t="s">
        <v>588</v>
      </c>
      <c r="Z608" s="237" t="s">
        <v>228</v>
      </c>
      <c r="AA608" s="237" t="s">
        <v>3487</v>
      </c>
      <c r="AB608" s="337" t="s">
        <v>228</v>
      </c>
      <c r="AC608" s="237" t="s">
        <v>228</v>
      </c>
      <c r="AD608" s="562"/>
      <c r="AE608" s="555"/>
      <c r="AF608" s="237"/>
    </row>
    <row r="609" spans="1:32" ht="13.5" customHeight="1">
      <c r="A609" s="235">
        <v>607</v>
      </c>
      <c r="B609" s="235" t="s">
        <v>3488</v>
      </c>
      <c r="C609" s="255" t="s">
        <v>3489</v>
      </c>
      <c r="D609" s="235" t="s">
        <v>3490</v>
      </c>
      <c r="E609" s="235">
        <v>26</v>
      </c>
      <c r="F609" s="235" t="s">
        <v>75</v>
      </c>
      <c r="G609" s="235" t="s">
        <v>3491</v>
      </c>
      <c r="H609" s="243" t="s">
        <v>188</v>
      </c>
      <c r="I609" s="243"/>
      <c r="K609" s="240"/>
      <c r="L609" s="243" t="s">
        <v>231</v>
      </c>
      <c r="M609" s="246" t="s">
        <v>228</v>
      </c>
      <c r="N609" s="237"/>
      <c r="O609" s="237"/>
      <c r="P609" s="237"/>
      <c r="Q609" s="245">
        <v>45672</v>
      </c>
      <c r="R609" s="237" t="s">
        <v>309</v>
      </c>
      <c r="S609" s="331" t="s">
        <v>233</v>
      </c>
      <c r="T609" s="237" t="s">
        <v>228</v>
      </c>
      <c r="U609" s="237" t="s">
        <v>234</v>
      </c>
      <c r="V609" s="237" t="s">
        <v>228</v>
      </c>
      <c r="W609" s="244" t="s">
        <v>228</v>
      </c>
      <c r="X609" s="237" t="s">
        <v>228</v>
      </c>
      <c r="Y609" s="237" t="s">
        <v>228</v>
      </c>
      <c r="Z609" s="237" t="s">
        <v>228</v>
      </c>
      <c r="AA609" s="237" t="s">
        <v>3492</v>
      </c>
      <c r="AB609" s="337" t="s">
        <v>228</v>
      </c>
      <c r="AC609" s="237" t="s">
        <v>228</v>
      </c>
      <c r="AD609" s="562"/>
      <c r="AE609" s="555"/>
      <c r="AF609" s="237"/>
    </row>
    <row r="610" spans="1:32" ht="13.5" customHeight="1">
      <c r="A610" s="235">
        <v>608</v>
      </c>
      <c r="B610" s="235">
        <v>0</v>
      </c>
      <c r="C610" s="255" t="s">
        <v>3493</v>
      </c>
      <c r="D610" s="235" t="s">
        <v>3494</v>
      </c>
      <c r="E610" s="235">
        <v>65</v>
      </c>
      <c r="F610" s="235" t="s">
        <v>60</v>
      </c>
      <c r="G610" s="235" t="s">
        <v>3495</v>
      </c>
      <c r="H610" s="243" t="s">
        <v>188</v>
      </c>
      <c r="I610" s="243"/>
      <c r="K610" s="240"/>
      <c r="L610" s="243" t="s">
        <v>231</v>
      </c>
      <c r="M610" s="243" t="s">
        <v>231</v>
      </c>
      <c r="N610" s="237"/>
      <c r="O610" s="237"/>
      <c r="P610" s="237"/>
      <c r="Q610" s="245">
        <v>45673</v>
      </c>
      <c r="R610" s="237" t="s">
        <v>309</v>
      </c>
      <c r="S610" s="331" t="s">
        <v>233</v>
      </c>
      <c r="T610" s="237">
        <v>0</v>
      </c>
      <c r="U610" s="237" t="s">
        <v>234</v>
      </c>
      <c r="V610" s="237" t="s">
        <v>652</v>
      </c>
      <c r="W610" s="244">
        <v>46003</v>
      </c>
      <c r="X610" s="237" t="s">
        <v>3496</v>
      </c>
      <c r="Y610" s="237" t="s">
        <v>588</v>
      </c>
      <c r="Z610" s="237" t="s">
        <v>228</v>
      </c>
      <c r="AA610" s="237" t="s">
        <v>3497</v>
      </c>
      <c r="AB610" s="337" t="s">
        <v>228</v>
      </c>
      <c r="AC610" s="237" t="s">
        <v>228</v>
      </c>
      <c r="AD610" s="562"/>
      <c r="AE610" s="555"/>
      <c r="AF610" s="237"/>
    </row>
    <row r="611" spans="1:32" ht="13.5" customHeight="1">
      <c r="A611" s="235">
        <v>609</v>
      </c>
      <c r="B611" s="235">
        <v>0</v>
      </c>
      <c r="C611" s="255" t="s">
        <v>3498</v>
      </c>
      <c r="D611" s="235" t="s">
        <v>3499</v>
      </c>
      <c r="E611" s="235">
        <v>55</v>
      </c>
      <c r="F611" s="235" t="s">
        <v>60</v>
      </c>
      <c r="G611" s="235" t="s">
        <v>3500</v>
      </c>
      <c r="H611" s="243" t="s">
        <v>188</v>
      </c>
      <c r="I611" s="243"/>
      <c r="K611" s="240"/>
      <c r="L611" s="243" t="s">
        <v>231</v>
      </c>
      <c r="M611" s="243" t="s">
        <v>231</v>
      </c>
      <c r="N611" s="237"/>
      <c r="O611" s="237"/>
      <c r="P611" s="237"/>
      <c r="Q611" s="245">
        <v>45673</v>
      </c>
      <c r="R611" s="237" t="s">
        <v>309</v>
      </c>
      <c r="S611" s="331" t="s">
        <v>233</v>
      </c>
      <c r="T611" s="237">
        <v>0</v>
      </c>
      <c r="U611" s="237" t="s">
        <v>234</v>
      </c>
      <c r="V611" s="237" t="s">
        <v>652</v>
      </c>
      <c r="W611" s="244">
        <v>46003</v>
      </c>
      <c r="X611" s="237" t="s">
        <v>3501</v>
      </c>
      <c r="Y611" s="237" t="s">
        <v>588</v>
      </c>
      <c r="Z611" s="237" t="s">
        <v>228</v>
      </c>
      <c r="AA611" s="237" t="s">
        <v>3502</v>
      </c>
      <c r="AB611" s="337" t="s">
        <v>228</v>
      </c>
      <c r="AC611" s="237" t="s">
        <v>228</v>
      </c>
      <c r="AD611" s="562"/>
      <c r="AE611" s="555"/>
      <c r="AF611" s="237"/>
    </row>
    <row r="612" spans="1:32" ht="13.5" customHeight="1">
      <c r="A612" s="235">
        <v>610</v>
      </c>
      <c r="B612" s="235">
        <v>0</v>
      </c>
      <c r="C612" s="255" t="s">
        <v>3503</v>
      </c>
      <c r="D612" s="235" t="s">
        <v>3504</v>
      </c>
      <c r="E612" s="235">
        <v>69</v>
      </c>
      <c r="F612" s="235" t="s">
        <v>60</v>
      </c>
      <c r="G612" s="235" t="s">
        <v>3505</v>
      </c>
      <c r="H612" s="243" t="s">
        <v>188</v>
      </c>
      <c r="I612" s="243"/>
      <c r="K612" s="240"/>
      <c r="L612" s="243" t="s">
        <v>231</v>
      </c>
      <c r="M612" s="243" t="s">
        <v>231</v>
      </c>
      <c r="N612" s="237"/>
      <c r="O612" s="237"/>
      <c r="P612" s="237"/>
      <c r="Q612" s="245">
        <v>45673</v>
      </c>
      <c r="R612" s="237" t="s">
        <v>309</v>
      </c>
      <c r="S612" s="331" t="s">
        <v>233</v>
      </c>
      <c r="T612" s="237">
        <v>0</v>
      </c>
      <c r="U612" s="237" t="s">
        <v>234</v>
      </c>
      <c r="V612" s="237" t="s">
        <v>652</v>
      </c>
      <c r="W612" s="244">
        <v>46003</v>
      </c>
      <c r="X612" s="237" t="s">
        <v>3506</v>
      </c>
      <c r="Y612" s="237" t="s">
        <v>588</v>
      </c>
      <c r="Z612" s="237" t="s">
        <v>228</v>
      </c>
      <c r="AA612" s="237" t="s">
        <v>3507</v>
      </c>
      <c r="AB612" s="337" t="s">
        <v>228</v>
      </c>
      <c r="AC612" s="237" t="s">
        <v>228</v>
      </c>
      <c r="AD612" s="562"/>
      <c r="AE612" s="555"/>
      <c r="AF612" s="237"/>
    </row>
    <row r="613" spans="1:32" ht="13.5" customHeight="1">
      <c r="A613" s="235">
        <v>611</v>
      </c>
      <c r="B613" s="235">
        <v>0</v>
      </c>
      <c r="C613" s="255" t="s">
        <v>3508</v>
      </c>
      <c r="D613" s="235" t="s">
        <v>3509</v>
      </c>
      <c r="E613" s="235">
        <v>67</v>
      </c>
      <c r="F613" s="235" t="s">
        <v>75</v>
      </c>
      <c r="G613" s="235" t="s">
        <v>3510</v>
      </c>
      <c r="H613" s="243" t="s">
        <v>188</v>
      </c>
      <c r="I613" s="243"/>
      <c r="K613" s="240"/>
      <c r="L613" s="243" t="s">
        <v>231</v>
      </c>
      <c r="M613" s="243" t="s">
        <v>231</v>
      </c>
      <c r="N613" s="237"/>
      <c r="O613" s="237"/>
      <c r="P613" s="237"/>
      <c r="Q613" s="245">
        <v>45673</v>
      </c>
      <c r="R613" s="237" t="s">
        <v>309</v>
      </c>
      <c r="S613" s="331" t="s">
        <v>233</v>
      </c>
      <c r="T613" s="237">
        <v>0</v>
      </c>
      <c r="U613" s="237" t="s">
        <v>234</v>
      </c>
      <c r="V613" s="237" t="s">
        <v>652</v>
      </c>
      <c r="W613" s="244">
        <v>46003</v>
      </c>
      <c r="X613" s="237" t="s">
        <v>3511</v>
      </c>
      <c r="Y613" s="237" t="s">
        <v>588</v>
      </c>
      <c r="Z613" s="237" t="s">
        <v>228</v>
      </c>
      <c r="AA613" s="237" t="s">
        <v>3512</v>
      </c>
      <c r="AB613" s="337" t="s">
        <v>228</v>
      </c>
      <c r="AC613" s="237" t="s">
        <v>228</v>
      </c>
      <c r="AD613" s="562"/>
      <c r="AE613" s="555"/>
      <c r="AF613" s="237"/>
    </row>
    <row r="614" spans="1:32" ht="13.5" customHeight="1">
      <c r="A614" s="235">
        <v>612</v>
      </c>
      <c r="B614" s="235">
        <v>0</v>
      </c>
      <c r="C614" s="255" t="s">
        <v>3513</v>
      </c>
      <c r="D614" s="235" t="s">
        <v>3514</v>
      </c>
      <c r="E614" s="235">
        <v>52</v>
      </c>
      <c r="F614" s="235" t="s">
        <v>60</v>
      </c>
      <c r="G614" s="235" t="s">
        <v>3515</v>
      </c>
      <c r="H614" s="243" t="s">
        <v>188</v>
      </c>
      <c r="I614" s="243"/>
      <c r="K614" s="240"/>
      <c r="L614" s="243" t="s">
        <v>231</v>
      </c>
      <c r="M614" s="243" t="s">
        <v>231</v>
      </c>
      <c r="N614" s="237"/>
      <c r="O614" s="237"/>
      <c r="P614" s="237"/>
      <c r="Q614" s="245">
        <v>45673</v>
      </c>
      <c r="R614" s="237" t="s">
        <v>309</v>
      </c>
      <c r="S614" s="331" t="s">
        <v>233</v>
      </c>
      <c r="T614" s="237">
        <v>0</v>
      </c>
      <c r="U614" s="237" t="s">
        <v>234</v>
      </c>
      <c r="V614" s="237" t="s">
        <v>652</v>
      </c>
      <c r="W614" s="244">
        <v>46003</v>
      </c>
      <c r="X614" s="237" t="s">
        <v>3516</v>
      </c>
      <c r="Y614" s="237" t="s">
        <v>588</v>
      </c>
      <c r="Z614" s="237" t="s">
        <v>228</v>
      </c>
      <c r="AA614" s="237" t="s">
        <v>3517</v>
      </c>
      <c r="AB614" s="337" t="s">
        <v>228</v>
      </c>
      <c r="AC614" s="237" t="s">
        <v>228</v>
      </c>
      <c r="AD614" s="562"/>
      <c r="AE614" s="555"/>
      <c r="AF614" s="237"/>
    </row>
    <row r="615" spans="1:32" ht="13.5" customHeight="1">
      <c r="A615" s="235">
        <v>613</v>
      </c>
      <c r="B615" s="235">
        <v>0</v>
      </c>
      <c r="C615" s="255" t="s">
        <v>3518</v>
      </c>
      <c r="D615" s="235" t="s">
        <v>3519</v>
      </c>
      <c r="E615" s="235">
        <v>54</v>
      </c>
      <c r="F615" s="235" t="s">
        <v>60</v>
      </c>
      <c r="G615" s="235" t="s">
        <v>3520</v>
      </c>
      <c r="H615" s="243" t="s">
        <v>188</v>
      </c>
      <c r="I615" s="243"/>
      <c r="K615" s="240"/>
      <c r="L615" s="243" t="s">
        <v>231</v>
      </c>
      <c r="M615" s="243" t="s">
        <v>231</v>
      </c>
      <c r="N615" s="237"/>
      <c r="O615" s="237"/>
      <c r="P615" s="237"/>
      <c r="Q615" s="245">
        <v>45673</v>
      </c>
      <c r="R615" s="237" t="s">
        <v>309</v>
      </c>
      <c r="S615" s="331" t="s">
        <v>233</v>
      </c>
      <c r="T615" s="237">
        <v>0</v>
      </c>
      <c r="U615" s="237" t="s">
        <v>234</v>
      </c>
      <c r="V615" s="237" t="s">
        <v>652</v>
      </c>
      <c r="W615" s="244">
        <v>46003</v>
      </c>
      <c r="X615" s="237" t="s">
        <v>3521</v>
      </c>
      <c r="Y615" s="237" t="s">
        <v>588</v>
      </c>
      <c r="Z615" s="237" t="s">
        <v>228</v>
      </c>
      <c r="AA615" s="237" t="s">
        <v>3522</v>
      </c>
      <c r="AB615" s="337" t="s">
        <v>228</v>
      </c>
      <c r="AC615" s="237" t="s">
        <v>228</v>
      </c>
      <c r="AD615" s="562"/>
      <c r="AE615" s="555"/>
      <c r="AF615" s="237"/>
    </row>
    <row r="616" spans="1:32" ht="13.5" customHeight="1">
      <c r="A616" s="235">
        <v>614</v>
      </c>
      <c r="B616" s="235" t="s">
        <v>3523</v>
      </c>
      <c r="C616" s="255" t="s">
        <v>3524</v>
      </c>
      <c r="D616" s="235" t="s">
        <v>3525</v>
      </c>
      <c r="E616" s="235">
        <v>22</v>
      </c>
      <c r="F616" s="235" t="s">
        <v>60</v>
      </c>
      <c r="G616" s="235" t="s">
        <v>3526</v>
      </c>
      <c r="H616" s="243" t="s">
        <v>188</v>
      </c>
      <c r="I616" s="243"/>
      <c r="K616" s="240"/>
      <c r="L616" s="243" t="s">
        <v>231</v>
      </c>
      <c r="M616" s="246" t="s">
        <v>228</v>
      </c>
      <c r="N616" s="237"/>
      <c r="O616" s="237"/>
      <c r="P616" s="237"/>
      <c r="Q616" s="245">
        <v>45673</v>
      </c>
      <c r="R616" s="237" t="s">
        <v>309</v>
      </c>
      <c r="S616" s="331" t="s">
        <v>233</v>
      </c>
      <c r="T616" s="237">
        <v>0</v>
      </c>
      <c r="U616" s="237" t="s">
        <v>234</v>
      </c>
      <c r="V616" s="237" t="s">
        <v>228</v>
      </c>
      <c r="W616" s="244" t="s">
        <v>228</v>
      </c>
      <c r="X616" s="237" t="s">
        <v>228</v>
      </c>
      <c r="Y616" s="237" t="s">
        <v>228</v>
      </c>
      <c r="Z616" s="237" t="s">
        <v>228</v>
      </c>
      <c r="AA616" s="237" t="s">
        <v>3527</v>
      </c>
      <c r="AB616" s="337" t="s">
        <v>228</v>
      </c>
      <c r="AC616" s="237" t="s">
        <v>228</v>
      </c>
      <c r="AD616" s="562"/>
      <c r="AE616" s="555"/>
      <c r="AF616" s="237"/>
    </row>
    <row r="617" spans="1:32" ht="13.5" customHeight="1">
      <c r="A617" s="235">
        <v>615</v>
      </c>
      <c r="B617" s="235">
        <v>0</v>
      </c>
      <c r="C617" s="255" t="s">
        <v>3528</v>
      </c>
      <c r="D617" s="235" t="s">
        <v>3529</v>
      </c>
      <c r="E617" s="235">
        <v>56</v>
      </c>
      <c r="F617" s="235" t="s">
        <v>60</v>
      </c>
      <c r="G617" s="235" t="s">
        <v>3530</v>
      </c>
      <c r="H617" s="243" t="s">
        <v>188</v>
      </c>
      <c r="I617" s="243"/>
      <c r="K617" s="240"/>
      <c r="L617" s="243" t="s">
        <v>231</v>
      </c>
      <c r="M617" s="243" t="s">
        <v>231</v>
      </c>
      <c r="N617" s="237"/>
      <c r="O617" s="237"/>
      <c r="P617" s="237"/>
      <c r="Q617" s="245">
        <v>45673</v>
      </c>
      <c r="R617" s="237" t="s">
        <v>309</v>
      </c>
      <c r="S617" s="331" t="s">
        <v>233</v>
      </c>
      <c r="T617" s="237">
        <v>0</v>
      </c>
      <c r="U617" s="237" t="s">
        <v>234</v>
      </c>
      <c r="V617" s="237" t="s">
        <v>652</v>
      </c>
      <c r="W617" s="244">
        <v>46003</v>
      </c>
      <c r="X617" s="237" t="s">
        <v>3531</v>
      </c>
      <c r="Y617" s="237" t="s">
        <v>588</v>
      </c>
      <c r="Z617" s="237" t="s">
        <v>228</v>
      </c>
      <c r="AA617" s="237" t="s">
        <v>3532</v>
      </c>
      <c r="AB617" s="337" t="s">
        <v>228</v>
      </c>
      <c r="AC617" s="237" t="s">
        <v>228</v>
      </c>
      <c r="AD617" s="562"/>
      <c r="AE617" s="555"/>
      <c r="AF617" s="237"/>
    </row>
    <row r="618" spans="1:32" ht="13.5" customHeight="1">
      <c r="A618" s="235">
        <v>616</v>
      </c>
      <c r="B618" s="235">
        <v>0</v>
      </c>
      <c r="C618" s="255" t="s">
        <v>3533</v>
      </c>
      <c r="D618" s="235" t="s">
        <v>3534</v>
      </c>
      <c r="E618" s="235">
        <v>50</v>
      </c>
      <c r="F618" s="235" t="s">
        <v>60</v>
      </c>
      <c r="G618" s="235" t="s">
        <v>3535</v>
      </c>
      <c r="H618" s="243" t="s">
        <v>188</v>
      </c>
      <c r="I618" s="243"/>
      <c r="K618" s="240"/>
      <c r="L618" s="243" t="s">
        <v>231</v>
      </c>
      <c r="M618" s="243" t="s">
        <v>231</v>
      </c>
      <c r="N618" s="237"/>
      <c r="O618" s="237"/>
      <c r="P618" s="237"/>
      <c r="Q618" s="245">
        <v>45673</v>
      </c>
      <c r="R618" s="237" t="s">
        <v>309</v>
      </c>
      <c r="S618" s="331" t="s">
        <v>233</v>
      </c>
      <c r="T618" s="237">
        <v>0</v>
      </c>
      <c r="U618" s="237" t="s">
        <v>234</v>
      </c>
      <c r="V618" s="237" t="s">
        <v>652</v>
      </c>
      <c r="W618" s="244">
        <v>46003</v>
      </c>
      <c r="X618" s="237" t="s">
        <v>3536</v>
      </c>
      <c r="Y618" s="237" t="s">
        <v>588</v>
      </c>
      <c r="Z618" s="237" t="s">
        <v>228</v>
      </c>
      <c r="AA618" s="237" t="s">
        <v>3537</v>
      </c>
      <c r="AB618" s="337" t="s">
        <v>228</v>
      </c>
      <c r="AC618" s="237" t="s">
        <v>228</v>
      </c>
      <c r="AD618" s="562"/>
      <c r="AE618" s="555"/>
      <c r="AF618" s="237"/>
    </row>
    <row r="619" spans="1:32" ht="13.5" customHeight="1">
      <c r="A619" s="235">
        <v>617</v>
      </c>
      <c r="B619" s="235">
        <v>0</v>
      </c>
      <c r="C619" s="255" t="s">
        <v>3538</v>
      </c>
      <c r="D619" s="235" t="s">
        <v>3539</v>
      </c>
      <c r="E619" s="235">
        <v>53</v>
      </c>
      <c r="F619" s="235" t="s">
        <v>60</v>
      </c>
      <c r="G619" s="235" t="s">
        <v>3540</v>
      </c>
      <c r="H619" s="243" t="s">
        <v>188</v>
      </c>
      <c r="I619" s="243"/>
      <c r="K619" s="240"/>
      <c r="L619" s="243" t="s">
        <v>231</v>
      </c>
      <c r="M619" s="243" t="s">
        <v>231</v>
      </c>
      <c r="N619" s="237"/>
      <c r="O619" s="237"/>
      <c r="P619" s="237"/>
      <c r="Q619" s="245">
        <v>45673</v>
      </c>
      <c r="R619" s="237" t="s">
        <v>309</v>
      </c>
      <c r="S619" s="331" t="s">
        <v>233</v>
      </c>
      <c r="T619" s="237">
        <v>0</v>
      </c>
      <c r="U619" s="237" t="s">
        <v>234</v>
      </c>
      <c r="V619" s="237" t="s">
        <v>652</v>
      </c>
      <c r="W619" s="244">
        <v>46003</v>
      </c>
      <c r="X619" s="237" t="s">
        <v>3541</v>
      </c>
      <c r="Y619" s="237" t="s">
        <v>588</v>
      </c>
      <c r="Z619" s="237" t="s">
        <v>228</v>
      </c>
      <c r="AA619" s="237" t="s">
        <v>3542</v>
      </c>
      <c r="AB619" s="337" t="s">
        <v>228</v>
      </c>
      <c r="AC619" s="237" t="s">
        <v>228</v>
      </c>
      <c r="AD619" s="562"/>
      <c r="AE619" s="555"/>
      <c r="AF619" s="237"/>
    </row>
    <row r="620" spans="1:32" ht="13.5" customHeight="1">
      <c r="A620" s="235">
        <v>618</v>
      </c>
      <c r="B620" s="235">
        <v>0</v>
      </c>
      <c r="C620" s="255" t="s">
        <v>3543</v>
      </c>
      <c r="D620" s="235" t="s">
        <v>3544</v>
      </c>
      <c r="E620" s="235">
        <v>51</v>
      </c>
      <c r="F620" s="235" t="s">
        <v>75</v>
      </c>
      <c r="G620" s="235" t="s">
        <v>3545</v>
      </c>
      <c r="H620" s="243" t="s">
        <v>188</v>
      </c>
      <c r="I620" s="243"/>
      <c r="K620" s="240"/>
      <c r="L620" s="243" t="s">
        <v>231</v>
      </c>
      <c r="M620" s="243" t="s">
        <v>231</v>
      </c>
      <c r="N620" s="237"/>
      <c r="O620" s="237"/>
      <c r="P620" s="237"/>
      <c r="Q620" s="245">
        <v>45673</v>
      </c>
      <c r="R620" s="237" t="s">
        <v>309</v>
      </c>
      <c r="S620" s="331" t="s">
        <v>233</v>
      </c>
      <c r="T620" s="237">
        <v>0</v>
      </c>
      <c r="U620" s="237" t="s">
        <v>234</v>
      </c>
      <c r="V620" s="237" t="s">
        <v>652</v>
      </c>
      <c r="W620" s="244">
        <v>46003</v>
      </c>
      <c r="X620" s="237" t="s">
        <v>730</v>
      </c>
      <c r="Y620" s="237" t="s">
        <v>588</v>
      </c>
      <c r="Z620" s="237" t="s">
        <v>228</v>
      </c>
      <c r="AA620" s="237" t="s">
        <v>3546</v>
      </c>
      <c r="AB620" s="337" t="s">
        <v>228</v>
      </c>
      <c r="AC620" s="237" t="s">
        <v>228</v>
      </c>
      <c r="AD620" s="562"/>
      <c r="AE620" s="555"/>
      <c r="AF620" s="237"/>
    </row>
    <row r="621" spans="1:32" ht="13.5" customHeight="1">
      <c r="A621" s="235">
        <v>619</v>
      </c>
      <c r="B621" s="235">
        <v>0</v>
      </c>
      <c r="C621" s="255" t="s">
        <v>3547</v>
      </c>
      <c r="D621" s="235" t="s">
        <v>3548</v>
      </c>
      <c r="E621" s="235">
        <v>39</v>
      </c>
      <c r="F621" s="235" t="s">
        <v>60</v>
      </c>
      <c r="G621" s="235" t="s">
        <v>3549</v>
      </c>
      <c r="H621" s="243" t="s">
        <v>188</v>
      </c>
      <c r="I621" s="243"/>
      <c r="K621" s="240"/>
      <c r="L621" s="243" t="s">
        <v>231</v>
      </c>
      <c r="M621" s="243" t="s">
        <v>231</v>
      </c>
      <c r="N621" s="237"/>
      <c r="O621" s="237"/>
      <c r="P621" s="237"/>
      <c r="Q621" s="245">
        <v>45673</v>
      </c>
      <c r="R621" s="237" t="s">
        <v>309</v>
      </c>
      <c r="S621" s="331" t="s">
        <v>233</v>
      </c>
      <c r="T621" s="237">
        <v>0</v>
      </c>
      <c r="U621" s="237" t="s">
        <v>234</v>
      </c>
      <c r="V621" s="237" t="s">
        <v>652</v>
      </c>
      <c r="W621" s="244">
        <v>46003</v>
      </c>
      <c r="X621" s="237" t="s">
        <v>3550</v>
      </c>
      <c r="Y621" s="237" t="s">
        <v>588</v>
      </c>
      <c r="Z621" s="237" t="s">
        <v>228</v>
      </c>
      <c r="AA621" s="237" t="s">
        <v>3551</v>
      </c>
      <c r="AB621" s="337" t="s">
        <v>228</v>
      </c>
      <c r="AC621" s="237" t="s">
        <v>228</v>
      </c>
      <c r="AD621" s="562"/>
      <c r="AE621" s="555"/>
      <c r="AF621" s="237"/>
    </row>
    <row r="622" spans="1:32" ht="13.5" customHeight="1">
      <c r="A622" s="235">
        <v>620</v>
      </c>
      <c r="B622" s="235">
        <v>0</v>
      </c>
      <c r="C622" s="255" t="s">
        <v>3552</v>
      </c>
      <c r="D622" s="235" t="s">
        <v>3553</v>
      </c>
      <c r="E622" s="235">
        <v>73</v>
      </c>
      <c r="F622" s="235" t="s">
        <v>75</v>
      </c>
      <c r="G622" s="235" t="s">
        <v>3554</v>
      </c>
      <c r="H622" s="243" t="s">
        <v>188</v>
      </c>
      <c r="I622" s="243"/>
      <c r="K622" s="240"/>
      <c r="L622" s="243" t="s">
        <v>231</v>
      </c>
      <c r="M622" s="243" t="s">
        <v>231</v>
      </c>
      <c r="N622" s="237"/>
      <c r="O622" s="237"/>
      <c r="P622" s="237"/>
      <c r="Q622" s="245">
        <v>45673</v>
      </c>
      <c r="R622" s="237" t="s">
        <v>309</v>
      </c>
      <c r="S622" s="331" t="s">
        <v>233</v>
      </c>
      <c r="T622" s="237">
        <v>0</v>
      </c>
      <c r="U622" s="237" t="s">
        <v>234</v>
      </c>
      <c r="V622" s="237" t="s">
        <v>652</v>
      </c>
      <c r="W622" s="244">
        <v>46003</v>
      </c>
      <c r="X622" s="237" t="s">
        <v>3555</v>
      </c>
      <c r="Y622" s="237" t="s">
        <v>588</v>
      </c>
      <c r="Z622" s="237" t="s">
        <v>228</v>
      </c>
      <c r="AA622" s="237" t="s">
        <v>3556</v>
      </c>
      <c r="AB622" s="337" t="s">
        <v>228</v>
      </c>
      <c r="AC622" s="237" t="s">
        <v>228</v>
      </c>
      <c r="AD622" s="562"/>
      <c r="AE622" s="555"/>
      <c r="AF622" s="237"/>
    </row>
    <row r="623" spans="1:32" ht="13.5" customHeight="1">
      <c r="A623" s="235">
        <v>621</v>
      </c>
      <c r="B623" s="235">
        <v>0</v>
      </c>
      <c r="C623" s="255" t="s">
        <v>3557</v>
      </c>
      <c r="D623" s="235" t="s">
        <v>3558</v>
      </c>
      <c r="E623" s="235">
        <v>38</v>
      </c>
      <c r="F623" s="235" t="s">
        <v>60</v>
      </c>
      <c r="G623" s="235" t="s">
        <v>3559</v>
      </c>
      <c r="H623" s="243" t="s">
        <v>188</v>
      </c>
      <c r="I623" s="243"/>
      <c r="K623" s="240"/>
      <c r="L623" s="243" t="s">
        <v>231</v>
      </c>
      <c r="M623" s="243" t="s">
        <v>231</v>
      </c>
      <c r="N623" s="237"/>
      <c r="O623" s="237"/>
      <c r="P623" s="237"/>
      <c r="Q623" s="245">
        <v>45673</v>
      </c>
      <c r="R623" s="237" t="s">
        <v>309</v>
      </c>
      <c r="S623" s="331" t="s">
        <v>233</v>
      </c>
      <c r="T623" s="237">
        <v>0</v>
      </c>
      <c r="U623" s="237" t="s">
        <v>234</v>
      </c>
      <c r="V623" s="237" t="s">
        <v>652</v>
      </c>
      <c r="W623" s="244">
        <v>46003</v>
      </c>
      <c r="X623" s="237" t="s">
        <v>3560</v>
      </c>
      <c r="Y623" s="237" t="s">
        <v>588</v>
      </c>
      <c r="Z623" s="237" t="s">
        <v>228</v>
      </c>
      <c r="AA623" s="237" t="s">
        <v>3561</v>
      </c>
      <c r="AB623" s="337" t="s">
        <v>228</v>
      </c>
      <c r="AC623" s="237" t="s">
        <v>228</v>
      </c>
      <c r="AD623" s="562"/>
      <c r="AE623" s="555"/>
      <c r="AF623" s="237"/>
    </row>
    <row r="624" spans="1:32" ht="13.5" customHeight="1">
      <c r="A624" s="235">
        <v>622</v>
      </c>
      <c r="B624" s="235">
        <v>0</v>
      </c>
      <c r="C624" s="255" t="s">
        <v>3562</v>
      </c>
      <c r="D624" s="235" t="s">
        <v>3563</v>
      </c>
      <c r="E624" s="235">
        <v>43</v>
      </c>
      <c r="F624" s="235" t="s">
        <v>75</v>
      </c>
      <c r="G624" s="235" t="s">
        <v>3564</v>
      </c>
      <c r="H624" s="243" t="s">
        <v>188</v>
      </c>
      <c r="I624" s="243"/>
      <c r="K624" s="240"/>
      <c r="L624" s="243" t="s">
        <v>231</v>
      </c>
      <c r="M624" s="243" t="s">
        <v>231</v>
      </c>
      <c r="N624" s="237"/>
      <c r="O624" s="237"/>
      <c r="P624" s="237"/>
      <c r="Q624" s="245">
        <v>45673</v>
      </c>
      <c r="R624" s="237" t="s">
        <v>309</v>
      </c>
      <c r="S624" s="331" t="s">
        <v>233</v>
      </c>
      <c r="T624" s="237">
        <v>0</v>
      </c>
      <c r="U624" s="237" t="s">
        <v>234</v>
      </c>
      <c r="V624" s="237" t="s">
        <v>652</v>
      </c>
      <c r="W624" s="244">
        <v>46003</v>
      </c>
      <c r="X624" s="237" t="s">
        <v>3565</v>
      </c>
      <c r="Y624" s="237" t="s">
        <v>588</v>
      </c>
      <c r="Z624" s="237" t="s">
        <v>228</v>
      </c>
      <c r="AA624" s="237" t="s">
        <v>3566</v>
      </c>
      <c r="AB624" s="337" t="s">
        <v>228</v>
      </c>
      <c r="AC624" s="237" t="s">
        <v>228</v>
      </c>
      <c r="AD624" s="562"/>
      <c r="AE624" s="555"/>
      <c r="AF624" s="237"/>
    </row>
    <row r="625" spans="1:32" ht="13.5" customHeight="1">
      <c r="A625" s="235">
        <v>623</v>
      </c>
      <c r="B625" s="235">
        <v>0</v>
      </c>
      <c r="C625" s="255" t="s">
        <v>3567</v>
      </c>
      <c r="D625" s="235" t="s">
        <v>3568</v>
      </c>
      <c r="E625" s="235">
        <v>20</v>
      </c>
      <c r="F625" s="235" t="s">
        <v>75</v>
      </c>
      <c r="G625" s="235" t="s">
        <v>3569</v>
      </c>
      <c r="H625" s="243" t="s">
        <v>188</v>
      </c>
      <c r="I625" s="243"/>
      <c r="K625" s="240"/>
      <c r="L625" s="243" t="s">
        <v>231</v>
      </c>
      <c r="M625" s="243" t="s">
        <v>231</v>
      </c>
      <c r="N625" s="237"/>
      <c r="O625" s="237"/>
      <c r="P625" s="237"/>
      <c r="Q625" s="245">
        <v>45673</v>
      </c>
      <c r="R625" s="237" t="s">
        <v>309</v>
      </c>
      <c r="S625" s="331" t="s">
        <v>233</v>
      </c>
      <c r="T625" s="237">
        <v>0</v>
      </c>
      <c r="U625" s="237" t="s">
        <v>234</v>
      </c>
      <c r="V625" s="237" t="s">
        <v>652</v>
      </c>
      <c r="W625" s="244">
        <v>46003</v>
      </c>
      <c r="X625" s="237" t="s">
        <v>3570</v>
      </c>
      <c r="Y625" s="237" t="s">
        <v>588</v>
      </c>
      <c r="Z625" s="237" t="s">
        <v>228</v>
      </c>
      <c r="AA625" s="237" t="s">
        <v>3571</v>
      </c>
      <c r="AB625" s="337" t="s">
        <v>228</v>
      </c>
      <c r="AC625" s="237" t="s">
        <v>228</v>
      </c>
      <c r="AD625" s="562"/>
      <c r="AE625" s="555"/>
      <c r="AF625" s="237"/>
    </row>
    <row r="626" spans="1:32" ht="13.5" customHeight="1">
      <c r="A626" s="235">
        <v>624</v>
      </c>
      <c r="B626" s="235" t="s">
        <v>3572</v>
      </c>
      <c r="C626" s="255" t="s">
        <v>3573</v>
      </c>
      <c r="D626" s="235" t="s">
        <v>3574</v>
      </c>
      <c r="E626" s="235">
        <v>21</v>
      </c>
      <c r="F626" s="235" t="s">
        <v>60</v>
      </c>
      <c r="G626" s="235" t="s">
        <v>3575</v>
      </c>
      <c r="H626" s="243" t="s">
        <v>188</v>
      </c>
      <c r="I626" s="243"/>
      <c r="K626" s="240"/>
      <c r="L626" s="243" t="s">
        <v>231</v>
      </c>
      <c r="M626" s="246" t="s">
        <v>228</v>
      </c>
      <c r="N626" s="237"/>
      <c r="O626" s="237"/>
      <c r="P626" s="237"/>
      <c r="Q626" s="245">
        <v>45685</v>
      </c>
      <c r="R626" s="237" t="s">
        <v>309</v>
      </c>
      <c r="S626" s="331" t="s">
        <v>233</v>
      </c>
      <c r="T626" s="237">
        <v>0</v>
      </c>
      <c r="U626" s="237" t="s">
        <v>234</v>
      </c>
      <c r="V626" s="237" t="s">
        <v>228</v>
      </c>
      <c r="W626" s="244" t="s">
        <v>228</v>
      </c>
      <c r="X626" s="237" t="s">
        <v>228</v>
      </c>
      <c r="Y626" s="237" t="s">
        <v>228</v>
      </c>
      <c r="Z626" s="237" t="s">
        <v>228</v>
      </c>
      <c r="AA626" s="237" t="s">
        <v>3576</v>
      </c>
      <c r="AB626" s="337" t="s">
        <v>228</v>
      </c>
      <c r="AC626" s="237" t="s">
        <v>228</v>
      </c>
      <c r="AD626" s="562"/>
      <c r="AE626" s="555"/>
      <c r="AF626" s="237"/>
    </row>
    <row r="627" spans="1:32" ht="13.5" customHeight="1">
      <c r="A627" s="235">
        <v>625</v>
      </c>
      <c r="B627" s="235">
        <v>0</v>
      </c>
      <c r="C627" s="255" t="s">
        <v>3577</v>
      </c>
      <c r="D627" s="235" t="s">
        <v>3578</v>
      </c>
      <c r="E627" s="235">
        <v>56</v>
      </c>
      <c r="F627" s="235" t="s">
        <v>75</v>
      </c>
      <c r="G627" s="235" t="s">
        <v>3579</v>
      </c>
      <c r="H627" s="243" t="s">
        <v>188</v>
      </c>
      <c r="I627" s="243"/>
      <c r="K627" s="240"/>
      <c r="L627" s="243" t="s">
        <v>231</v>
      </c>
      <c r="M627" s="243" t="s">
        <v>231</v>
      </c>
      <c r="N627" s="237"/>
      <c r="O627" s="237"/>
      <c r="P627" s="237"/>
      <c r="Q627" s="245">
        <v>45685</v>
      </c>
      <c r="R627" s="237" t="s">
        <v>309</v>
      </c>
      <c r="S627" s="331" t="s">
        <v>233</v>
      </c>
      <c r="T627" s="237">
        <v>0</v>
      </c>
      <c r="U627" s="237" t="s">
        <v>234</v>
      </c>
      <c r="V627" s="237" t="s">
        <v>652</v>
      </c>
      <c r="W627" s="244">
        <v>46003</v>
      </c>
      <c r="X627" s="237" t="s">
        <v>3580</v>
      </c>
      <c r="Y627" s="237" t="s">
        <v>588</v>
      </c>
      <c r="Z627" s="237" t="s">
        <v>228</v>
      </c>
      <c r="AA627" s="237" t="s">
        <v>3581</v>
      </c>
      <c r="AB627" s="337" t="s">
        <v>228</v>
      </c>
      <c r="AC627" s="237" t="s">
        <v>228</v>
      </c>
      <c r="AD627" s="562"/>
      <c r="AE627" s="555"/>
      <c r="AF627" s="237"/>
    </row>
    <row r="628" spans="1:32" ht="13.5" customHeight="1">
      <c r="A628" s="235">
        <v>626</v>
      </c>
      <c r="B628" s="235">
        <v>0</v>
      </c>
      <c r="C628" s="255" t="s">
        <v>3582</v>
      </c>
      <c r="D628" s="235" t="s">
        <v>3583</v>
      </c>
      <c r="E628" s="235">
        <v>66</v>
      </c>
      <c r="F628" s="235" t="s">
        <v>60</v>
      </c>
      <c r="G628" s="235" t="s">
        <v>3584</v>
      </c>
      <c r="H628" s="243" t="s">
        <v>3</v>
      </c>
      <c r="I628" s="243"/>
      <c r="K628" s="240" t="s">
        <v>3585</v>
      </c>
      <c r="L628" s="243" t="s">
        <v>926</v>
      </c>
      <c r="M628" s="243" t="s">
        <v>231</v>
      </c>
      <c r="N628" s="237"/>
      <c r="O628" s="237"/>
      <c r="P628" s="237"/>
      <c r="Q628" s="245">
        <v>45889</v>
      </c>
      <c r="R628" s="237" t="s">
        <v>309</v>
      </c>
      <c r="S628" s="331" t="s">
        <v>233</v>
      </c>
      <c r="T628" s="237">
        <v>0</v>
      </c>
      <c r="U628" s="237" t="s">
        <v>234</v>
      </c>
      <c r="V628" s="237" t="s">
        <v>652</v>
      </c>
      <c r="W628" s="244">
        <v>46003</v>
      </c>
      <c r="X628" s="237" t="s">
        <v>3586</v>
      </c>
      <c r="Y628" s="237" t="s">
        <v>588</v>
      </c>
      <c r="Z628" s="237" t="s">
        <v>228</v>
      </c>
      <c r="AA628" s="237" t="s">
        <v>3587</v>
      </c>
      <c r="AB628" s="337" t="s">
        <v>228</v>
      </c>
      <c r="AC628" s="237" t="s">
        <v>228</v>
      </c>
      <c r="AD628" s="562"/>
      <c r="AE628" s="555"/>
      <c r="AF628" s="237"/>
    </row>
    <row r="629" spans="1:32" ht="13.5" customHeight="1">
      <c r="A629" s="235">
        <v>627</v>
      </c>
      <c r="B629" s="235">
        <v>0</v>
      </c>
      <c r="C629" s="255" t="s">
        <v>3588</v>
      </c>
      <c r="D629" s="235" t="s">
        <v>3589</v>
      </c>
      <c r="E629" s="235">
        <v>55</v>
      </c>
      <c r="F629" s="235" t="s">
        <v>75</v>
      </c>
      <c r="G629" s="235" t="s">
        <v>3590</v>
      </c>
      <c r="H629" s="243" t="s">
        <v>188</v>
      </c>
      <c r="I629" s="243"/>
      <c r="K629" s="240"/>
      <c r="L629" s="243" t="s">
        <v>231</v>
      </c>
      <c r="M629" s="243" t="s">
        <v>231</v>
      </c>
      <c r="N629" s="237"/>
      <c r="O629" s="237"/>
      <c r="P629" s="237"/>
      <c r="Q629" s="245">
        <v>45891</v>
      </c>
      <c r="R629" s="237" t="s">
        <v>309</v>
      </c>
      <c r="S629" s="331" t="s">
        <v>233</v>
      </c>
      <c r="T629" s="237" t="s">
        <v>228</v>
      </c>
      <c r="U629" s="237" t="s">
        <v>234</v>
      </c>
      <c r="V629" s="237" t="s">
        <v>228</v>
      </c>
      <c r="W629" s="244" t="s">
        <v>228</v>
      </c>
      <c r="X629" s="237" t="s">
        <v>228</v>
      </c>
      <c r="Y629" s="237" t="s">
        <v>228</v>
      </c>
      <c r="Z629" s="237" t="s">
        <v>228</v>
      </c>
      <c r="AA629" s="237" t="s">
        <v>3591</v>
      </c>
      <c r="AB629" s="337" t="s">
        <v>228</v>
      </c>
      <c r="AC629" s="237" t="s">
        <v>228</v>
      </c>
      <c r="AD629" s="562"/>
      <c r="AE629" s="555"/>
      <c r="AF629" s="237"/>
    </row>
    <row r="630" spans="1:32" ht="13.5" customHeight="1">
      <c r="A630" s="235">
        <v>628</v>
      </c>
      <c r="B630" s="235">
        <v>0</v>
      </c>
      <c r="C630" s="255" t="s">
        <v>3592</v>
      </c>
      <c r="D630" s="235" t="s">
        <v>3593</v>
      </c>
      <c r="E630" s="235">
        <v>56</v>
      </c>
      <c r="F630" s="235" t="s">
        <v>60</v>
      </c>
      <c r="G630" s="235" t="s">
        <v>3594</v>
      </c>
      <c r="H630" s="243" t="s">
        <v>188</v>
      </c>
      <c r="I630" s="243"/>
      <c r="K630" s="240"/>
      <c r="L630" s="243" t="s">
        <v>231</v>
      </c>
      <c r="M630" s="580" t="s">
        <v>231</v>
      </c>
      <c r="N630" s="237"/>
      <c r="O630" s="237"/>
      <c r="P630" s="237"/>
      <c r="Q630" s="245">
        <v>45891</v>
      </c>
      <c r="R630" s="237" t="s">
        <v>309</v>
      </c>
      <c r="S630" s="331" t="s">
        <v>233</v>
      </c>
      <c r="T630" s="237">
        <v>0</v>
      </c>
      <c r="U630" s="237" t="s">
        <v>234</v>
      </c>
      <c r="V630" s="237" t="s">
        <v>652</v>
      </c>
      <c r="W630" s="244">
        <v>46003</v>
      </c>
      <c r="X630" s="237" t="s">
        <v>3595</v>
      </c>
      <c r="Y630" s="237" t="s">
        <v>588</v>
      </c>
      <c r="Z630" s="237" t="s">
        <v>228</v>
      </c>
      <c r="AA630" s="237" t="s">
        <v>3596</v>
      </c>
      <c r="AB630" s="337" t="s">
        <v>228</v>
      </c>
      <c r="AC630" s="237" t="s">
        <v>228</v>
      </c>
      <c r="AD630" s="562"/>
      <c r="AE630" s="555"/>
      <c r="AF630" s="237"/>
    </row>
    <row r="631" spans="1:32" ht="13.5" customHeight="1">
      <c r="A631" s="235">
        <v>629</v>
      </c>
      <c r="B631" s="235">
        <v>0</v>
      </c>
      <c r="C631" s="255" t="s">
        <v>3597</v>
      </c>
      <c r="D631" s="235" t="s">
        <v>3598</v>
      </c>
      <c r="E631" s="235">
        <v>83</v>
      </c>
      <c r="F631" s="235" t="s">
        <v>75</v>
      </c>
      <c r="G631" s="235" t="s">
        <v>3599</v>
      </c>
      <c r="H631" s="243" t="s">
        <v>188</v>
      </c>
      <c r="I631" s="243"/>
      <c r="K631" s="240"/>
      <c r="L631" s="550" t="s">
        <v>231</v>
      </c>
      <c r="M631" s="243" t="s">
        <v>231</v>
      </c>
      <c r="N631" s="339"/>
      <c r="O631" s="237"/>
      <c r="P631" s="237"/>
      <c r="Q631" s="245">
        <v>45891</v>
      </c>
      <c r="R631" s="237" t="s">
        <v>309</v>
      </c>
      <c r="S631" s="331" t="s">
        <v>233</v>
      </c>
      <c r="T631" s="237" t="s">
        <v>228</v>
      </c>
      <c r="U631" s="237" t="s">
        <v>234</v>
      </c>
      <c r="V631" s="237" t="s">
        <v>228</v>
      </c>
      <c r="W631" s="244" t="s">
        <v>228</v>
      </c>
      <c r="X631" s="237" t="s">
        <v>228</v>
      </c>
      <c r="Y631" s="237" t="s">
        <v>228</v>
      </c>
      <c r="Z631" s="237" t="s">
        <v>228</v>
      </c>
      <c r="AA631" s="237" t="s">
        <v>3600</v>
      </c>
      <c r="AB631" s="337" t="s">
        <v>228</v>
      </c>
      <c r="AC631" s="237" t="s">
        <v>228</v>
      </c>
      <c r="AD631" s="562"/>
      <c r="AE631" s="555"/>
      <c r="AF631" s="237"/>
    </row>
    <row r="632" spans="1:32" ht="13.5" customHeight="1">
      <c r="A632" s="235">
        <v>630</v>
      </c>
      <c r="B632" s="235">
        <v>0</v>
      </c>
      <c r="C632" s="255" t="s">
        <v>3601</v>
      </c>
      <c r="D632" s="235" t="s">
        <v>3602</v>
      </c>
      <c r="E632" s="235">
        <v>66</v>
      </c>
      <c r="F632" s="235" t="s">
        <v>75</v>
      </c>
      <c r="H632" s="243" t="s">
        <v>188</v>
      </c>
      <c r="I632" s="243"/>
      <c r="J632" s="235" t="s">
        <v>3603</v>
      </c>
      <c r="K632" s="240"/>
      <c r="L632" s="550" t="s">
        <v>231</v>
      </c>
      <c r="M632" s="362" t="s">
        <v>32</v>
      </c>
      <c r="N632" s="339"/>
      <c r="O632" s="237"/>
      <c r="P632" s="237"/>
      <c r="Q632" s="245">
        <v>45933</v>
      </c>
      <c r="R632" s="237" t="s">
        <v>309</v>
      </c>
      <c r="S632" s="331" t="s">
        <v>233</v>
      </c>
      <c r="T632" s="237" t="s">
        <v>228</v>
      </c>
      <c r="U632" s="237" t="s">
        <v>234</v>
      </c>
      <c r="V632" s="237" t="s">
        <v>228</v>
      </c>
      <c r="W632" s="244" t="s">
        <v>228</v>
      </c>
      <c r="X632" s="237" t="s">
        <v>228</v>
      </c>
      <c r="Y632" s="237" t="s">
        <v>228</v>
      </c>
      <c r="Z632" s="237" t="s">
        <v>228</v>
      </c>
      <c r="AA632" s="237" t="s">
        <v>3604</v>
      </c>
      <c r="AB632" s="337" t="s">
        <v>228</v>
      </c>
      <c r="AC632" s="237" t="s">
        <v>228</v>
      </c>
      <c r="AD632" s="562"/>
      <c r="AE632" s="555"/>
      <c r="AF632" s="237"/>
    </row>
    <row r="633" spans="1:32" ht="13.5" customHeight="1">
      <c r="A633" s="235">
        <v>631</v>
      </c>
      <c r="B633" s="235">
        <v>0</v>
      </c>
      <c r="C633" s="255" t="s">
        <v>3605</v>
      </c>
      <c r="D633" s="235" t="s">
        <v>3606</v>
      </c>
      <c r="E633" s="235">
        <v>47</v>
      </c>
      <c r="F633" s="235" t="s">
        <v>60</v>
      </c>
      <c r="H633" s="243" t="s">
        <v>188</v>
      </c>
      <c r="I633" s="243"/>
      <c r="J633" s="235" t="s">
        <v>3603</v>
      </c>
      <c r="K633" s="240"/>
      <c r="L633" s="550" t="s">
        <v>231</v>
      </c>
      <c r="M633" s="362" t="s">
        <v>32</v>
      </c>
      <c r="N633" s="339"/>
      <c r="O633" s="237"/>
      <c r="P633" s="237"/>
      <c r="Q633" s="245">
        <v>45933</v>
      </c>
      <c r="R633" s="237" t="s">
        <v>309</v>
      </c>
      <c r="S633" s="331" t="s">
        <v>233</v>
      </c>
      <c r="T633" s="237" t="s">
        <v>228</v>
      </c>
      <c r="U633" s="237" t="s">
        <v>234</v>
      </c>
      <c r="V633" s="237" t="s">
        <v>228</v>
      </c>
      <c r="W633" s="244" t="s">
        <v>228</v>
      </c>
      <c r="X633" s="237" t="s">
        <v>228</v>
      </c>
      <c r="Y633" s="237" t="s">
        <v>228</v>
      </c>
      <c r="Z633" s="237" t="s">
        <v>228</v>
      </c>
      <c r="AA633" s="237" t="s">
        <v>3607</v>
      </c>
      <c r="AB633" s="337" t="s">
        <v>228</v>
      </c>
      <c r="AC633" s="237" t="s">
        <v>228</v>
      </c>
      <c r="AD633" s="562"/>
      <c r="AE633" s="555"/>
      <c r="AF633" s="237"/>
    </row>
    <row r="634" spans="1:32" ht="13.5" customHeight="1">
      <c r="A634" s="235">
        <v>632</v>
      </c>
      <c r="B634" s="235">
        <v>0</v>
      </c>
      <c r="C634" s="255" t="s">
        <v>3608</v>
      </c>
      <c r="D634" s="235" t="s">
        <v>3609</v>
      </c>
      <c r="E634" s="235">
        <v>39</v>
      </c>
      <c r="F634" s="235" t="s">
        <v>60</v>
      </c>
      <c r="H634" s="243" t="s">
        <v>188</v>
      </c>
      <c r="I634" s="243"/>
      <c r="J634" s="235" t="s">
        <v>3603</v>
      </c>
      <c r="K634" s="240"/>
      <c r="L634" s="550" t="s">
        <v>231</v>
      </c>
      <c r="M634" s="362" t="s">
        <v>32</v>
      </c>
      <c r="N634" s="339"/>
      <c r="O634" s="237"/>
      <c r="P634" s="237"/>
      <c r="Q634" s="245">
        <v>45933</v>
      </c>
      <c r="R634" s="237" t="s">
        <v>309</v>
      </c>
      <c r="S634" s="331" t="s">
        <v>233</v>
      </c>
      <c r="T634" s="237" t="s">
        <v>228</v>
      </c>
      <c r="U634" s="237" t="s">
        <v>234</v>
      </c>
      <c r="V634" s="237" t="s">
        <v>228</v>
      </c>
      <c r="W634" s="244" t="s">
        <v>228</v>
      </c>
      <c r="X634" s="237" t="s">
        <v>228</v>
      </c>
      <c r="Y634" s="237" t="s">
        <v>228</v>
      </c>
      <c r="Z634" s="237" t="s">
        <v>228</v>
      </c>
      <c r="AA634" s="237" t="s">
        <v>3610</v>
      </c>
      <c r="AB634" s="337" t="s">
        <v>228</v>
      </c>
      <c r="AC634" s="237" t="s">
        <v>228</v>
      </c>
      <c r="AD634" s="562"/>
      <c r="AE634" s="555"/>
      <c r="AF634" s="237"/>
    </row>
    <row r="635" spans="1:32" ht="13.5" customHeight="1">
      <c r="A635" s="235">
        <v>633</v>
      </c>
      <c r="B635" s="235">
        <v>0</v>
      </c>
      <c r="C635" s="255" t="s">
        <v>3611</v>
      </c>
      <c r="D635" s="235" t="s">
        <v>3612</v>
      </c>
      <c r="E635" s="235">
        <v>55</v>
      </c>
      <c r="F635" s="235" t="s">
        <v>60</v>
      </c>
      <c r="H635" s="243" t="s">
        <v>188</v>
      </c>
      <c r="I635" s="243"/>
      <c r="J635" s="235" t="s">
        <v>3603</v>
      </c>
      <c r="K635" s="240"/>
      <c r="L635" s="550" t="s">
        <v>231</v>
      </c>
      <c r="M635" s="362" t="s">
        <v>32</v>
      </c>
      <c r="N635" s="339"/>
      <c r="O635" s="237"/>
      <c r="P635" s="237"/>
      <c r="Q635" s="245">
        <v>45933</v>
      </c>
      <c r="R635" s="237" t="s">
        <v>309</v>
      </c>
      <c r="S635" s="331" t="s">
        <v>233</v>
      </c>
      <c r="T635" s="237" t="s">
        <v>228</v>
      </c>
      <c r="U635" s="237" t="s">
        <v>234</v>
      </c>
      <c r="V635" s="237" t="s">
        <v>228</v>
      </c>
      <c r="W635" s="244" t="s">
        <v>228</v>
      </c>
      <c r="X635" s="237" t="s">
        <v>228</v>
      </c>
      <c r="Y635" s="237" t="s">
        <v>228</v>
      </c>
      <c r="Z635" s="237" t="s">
        <v>228</v>
      </c>
      <c r="AA635" s="237" t="s">
        <v>3613</v>
      </c>
      <c r="AB635" s="337" t="s">
        <v>228</v>
      </c>
      <c r="AC635" s="237" t="s">
        <v>228</v>
      </c>
      <c r="AD635" s="562"/>
      <c r="AE635" s="555"/>
      <c r="AF635" s="237"/>
    </row>
    <row r="636" spans="1:32" ht="13.5" customHeight="1">
      <c r="A636" s="235">
        <v>634</v>
      </c>
      <c r="B636" s="235">
        <v>0</v>
      </c>
      <c r="C636" s="255" t="s">
        <v>3614</v>
      </c>
      <c r="D636" s="235" t="s">
        <v>3615</v>
      </c>
      <c r="E636" s="235">
        <v>41</v>
      </c>
      <c r="F636" s="235" t="s">
        <v>60</v>
      </c>
      <c r="H636" s="243" t="s">
        <v>188</v>
      </c>
      <c r="I636" s="243"/>
      <c r="J636" s="235" t="s">
        <v>3603</v>
      </c>
      <c r="K636" s="240" t="s">
        <v>32</v>
      </c>
      <c r="L636" s="550" t="s">
        <v>231</v>
      </c>
      <c r="M636" s="362" t="s">
        <v>32</v>
      </c>
      <c r="N636" s="339"/>
      <c r="O636" s="237"/>
      <c r="P636" s="237"/>
      <c r="Q636" s="245">
        <v>45933</v>
      </c>
      <c r="R636" s="237" t="s">
        <v>309</v>
      </c>
      <c r="S636" s="331" t="s">
        <v>233</v>
      </c>
      <c r="T636" s="237" t="s">
        <v>228</v>
      </c>
      <c r="U636" s="237" t="s">
        <v>234</v>
      </c>
      <c r="V636" s="237" t="s">
        <v>228</v>
      </c>
      <c r="W636" s="244" t="s">
        <v>228</v>
      </c>
      <c r="X636" s="237" t="s">
        <v>228</v>
      </c>
      <c r="Y636" s="237" t="s">
        <v>228</v>
      </c>
      <c r="Z636" s="237" t="s">
        <v>228</v>
      </c>
      <c r="AA636" s="237" t="s">
        <v>3616</v>
      </c>
      <c r="AB636" s="337" t="s">
        <v>228</v>
      </c>
      <c r="AC636" s="237" t="s">
        <v>228</v>
      </c>
      <c r="AD636" s="562"/>
      <c r="AE636" s="555"/>
      <c r="AF636" s="237"/>
    </row>
    <row r="637" spans="1:32" ht="13.5" customHeight="1">
      <c r="A637" s="235">
        <v>635</v>
      </c>
      <c r="B637" s="235">
        <v>0</v>
      </c>
      <c r="C637" s="255" t="s">
        <v>3617</v>
      </c>
      <c r="D637" s="235" t="s">
        <v>3618</v>
      </c>
      <c r="E637" s="235">
        <v>38</v>
      </c>
      <c r="F637" s="235" t="s">
        <v>60</v>
      </c>
      <c r="H637" s="243" t="s">
        <v>188</v>
      </c>
      <c r="I637" s="243"/>
      <c r="J637" s="235" t="s">
        <v>3603</v>
      </c>
      <c r="K637" s="240"/>
      <c r="L637" s="550" t="s">
        <v>231</v>
      </c>
      <c r="M637" s="362" t="s">
        <v>32</v>
      </c>
      <c r="N637" s="339"/>
      <c r="O637" s="237"/>
      <c r="P637" s="237"/>
      <c r="Q637" s="245">
        <v>45933</v>
      </c>
      <c r="R637" s="237" t="s">
        <v>309</v>
      </c>
      <c r="S637" s="331" t="s">
        <v>233</v>
      </c>
      <c r="T637" s="237" t="s">
        <v>228</v>
      </c>
      <c r="U637" s="237" t="s">
        <v>234</v>
      </c>
      <c r="V637" s="237" t="s">
        <v>228</v>
      </c>
      <c r="W637" s="244" t="s">
        <v>228</v>
      </c>
      <c r="X637" s="237" t="s">
        <v>228</v>
      </c>
      <c r="Y637" s="237" t="s">
        <v>228</v>
      </c>
      <c r="Z637" s="237" t="s">
        <v>228</v>
      </c>
      <c r="AA637" s="237" t="s">
        <v>3619</v>
      </c>
      <c r="AB637" s="337" t="s">
        <v>228</v>
      </c>
      <c r="AC637" s="237" t="s">
        <v>228</v>
      </c>
      <c r="AD637" s="562"/>
      <c r="AE637" s="555"/>
      <c r="AF637" s="237"/>
    </row>
    <row r="638" spans="1:32" ht="13.5" customHeight="1">
      <c r="A638" s="235">
        <v>636</v>
      </c>
      <c r="B638" s="235">
        <v>0</v>
      </c>
      <c r="C638" s="255" t="s">
        <v>3620</v>
      </c>
      <c r="D638" s="235" t="s">
        <v>3621</v>
      </c>
      <c r="E638" s="235">
        <v>46</v>
      </c>
      <c r="F638" s="235" t="s">
        <v>75</v>
      </c>
      <c r="H638" s="243" t="s">
        <v>27</v>
      </c>
      <c r="I638" s="243"/>
      <c r="J638" s="235" t="s">
        <v>3622</v>
      </c>
      <c r="K638" s="240"/>
      <c r="L638" s="243" t="s">
        <v>231</v>
      </c>
      <c r="M638" s="581" t="s">
        <v>231</v>
      </c>
      <c r="N638" s="237"/>
      <c r="O638" s="237"/>
      <c r="P638" s="237"/>
      <c r="Q638" s="245">
        <v>45934</v>
      </c>
      <c r="R638" s="237" t="s">
        <v>309</v>
      </c>
      <c r="S638" s="331" t="s">
        <v>233</v>
      </c>
      <c r="T638" s="237" t="s">
        <v>228</v>
      </c>
      <c r="U638" s="237" t="s">
        <v>234</v>
      </c>
      <c r="V638" s="237" t="s">
        <v>228</v>
      </c>
      <c r="W638" s="244" t="s">
        <v>228</v>
      </c>
      <c r="X638" s="237" t="s">
        <v>228</v>
      </c>
      <c r="Y638" s="237" t="s">
        <v>228</v>
      </c>
      <c r="Z638" s="237" t="s">
        <v>228</v>
      </c>
      <c r="AA638" s="237" t="s">
        <v>3623</v>
      </c>
      <c r="AB638" s="337" t="s">
        <v>228</v>
      </c>
      <c r="AC638" s="237" t="s">
        <v>228</v>
      </c>
      <c r="AD638" s="562"/>
      <c r="AE638" s="555"/>
      <c r="AF638" s="237"/>
    </row>
    <row r="639" spans="1:32" ht="13.5" customHeight="1">
      <c r="A639" s="235">
        <v>637</v>
      </c>
      <c r="B639" s="235">
        <v>0</v>
      </c>
      <c r="C639" s="255" t="s">
        <v>3624</v>
      </c>
      <c r="D639" s="235" t="s">
        <v>3625</v>
      </c>
      <c r="E639" s="235">
        <v>35</v>
      </c>
      <c r="F639" s="235" t="s">
        <v>60</v>
      </c>
      <c r="H639" s="243" t="s">
        <v>27</v>
      </c>
      <c r="I639" s="243"/>
      <c r="J639" s="235" t="s">
        <v>2250</v>
      </c>
      <c r="K639" s="240"/>
      <c r="L639" s="243" t="s">
        <v>231</v>
      </c>
      <c r="M639" s="243" t="s">
        <v>231</v>
      </c>
      <c r="N639" s="237"/>
      <c r="O639" s="237"/>
      <c r="P639" s="237"/>
      <c r="Q639" s="245">
        <v>45936</v>
      </c>
      <c r="R639" s="237" t="s">
        <v>309</v>
      </c>
      <c r="S639" s="331" t="s">
        <v>233</v>
      </c>
      <c r="T639" s="237" t="s">
        <v>228</v>
      </c>
      <c r="U639" s="237" t="s">
        <v>234</v>
      </c>
      <c r="V639" s="237" t="s">
        <v>228</v>
      </c>
      <c r="W639" s="244" t="s">
        <v>228</v>
      </c>
      <c r="X639" s="237" t="s">
        <v>228</v>
      </c>
      <c r="Y639" s="237" t="s">
        <v>228</v>
      </c>
      <c r="Z639" s="237" t="s">
        <v>228</v>
      </c>
      <c r="AA639" s="237" t="s">
        <v>3626</v>
      </c>
      <c r="AB639" s="337" t="s">
        <v>228</v>
      </c>
      <c r="AC639" s="237" t="s">
        <v>228</v>
      </c>
      <c r="AD639" s="562"/>
      <c r="AE639" s="555"/>
      <c r="AF639" s="237"/>
    </row>
    <row r="640" spans="1:32" ht="13.5" customHeight="1">
      <c r="A640" s="235">
        <v>638</v>
      </c>
      <c r="B640" s="235">
        <v>0</v>
      </c>
      <c r="C640" s="255" t="s">
        <v>3627</v>
      </c>
      <c r="D640" s="235" t="s">
        <v>3628</v>
      </c>
      <c r="E640" s="235">
        <v>44</v>
      </c>
      <c r="F640" s="235" t="s">
        <v>75</v>
      </c>
      <c r="G640" s="235" t="s">
        <v>3629</v>
      </c>
      <c r="H640" s="243" t="s">
        <v>188</v>
      </c>
      <c r="I640" s="243"/>
      <c r="K640" s="240"/>
      <c r="L640" s="243" t="s">
        <v>231</v>
      </c>
      <c r="M640" s="243" t="s">
        <v>231</v>
      </c>
      <c r="N640" s="237"/>
      <c r="O640" s="237"/>
      <c r="P640" s="237"/>
      <c r="Q640" s="245">
        <v>45936</v>
      </c>
      <c r="R640" s="237" t="s">
        <v>309</v>
      </c>
      <c r="S640" s="331" t="s">
        <v>233</v>
      </c>
      <c r="T640" s="237">
        <v>0</v>
      </c>
      <c r="U640" s="237" t="s">
        <v>234</v>
      </c>
      <c r="V640" s="237" t="s">
        <v>652</v>
      </c>
      <c r="W640" s="244">
        <v>46003</v>
      </c>
      <c r="X640" s="237" t="s">
        <v>3630</v>
      </c>
      <c r="Y640" s="237" t="s">
        <v>588</v>
      </c>
      <c r="Z640" s="237" t="s">
        <v>228</v>
      </c>
      <c r="AA640" s="237" t="s">
        <v>3631</v>
      </c>
      <c r="AB640" s="337" t="s">
        <v>228</v>
      </c>
      <c r="AC640" s="237" t="s">
        <v>228</v>
      </c>
      <c r="AD640" s="562"/>
      <c r="AE640" s="555"/>
      <c r="AF640" s="237"/>
    </row>
    <row r="641" spans="1:32" ht="13.5" customHeight="1">
      <c r="A641" s="235">
        <v>639</v>
      </c>
      <c r="B641" s="235">
        <v>0</v>
      </c>
      <c r="C641" s="255" t="s">
        <v>3632</v>
      </c>
      <c r="D641" s="235" t="s">
        <v>3633</v>
      </c>
      <c r="E641" s="235">
        <v>55</v>
      </c>
      <c r="F641" s="235" t="s">
        <v>60</v>
      </c>
      <c r="G641" s="235" t="s">
        <v>3634</v>
      </c>
      <c r="H641" s="243" t="s">
        <v>188</v>
      </c>
      <c r="I641" s="243"/>
      <c r="K641" s="240"/>
      <c r="L641" s="243" t="s">
        <v>231</v>
      </c>
      <c r="M641" s="243" t="s">
        <v>231</v>
      </c>
      <c r="N641" s="237"/>
      <c r="O641" s="237"/>
      <c r="P641" s="237"/>
      <c r="Q641" s="245">
        <v>45937</v>
      </c>
      <c r="R641" s="237" t="s">
        <v>309</v>
      </c>
      <c r="S641" s="331" t="s">
        <v>233</v>
      </c>
      <c r="T641" s="237">
        <v>0</v>
      </c>
      <c r="U641" s="237" t="s">
        <v>234</v>
      </c>
      <c r="V641" s="237" t="s">
        <v>652</v>
      </c>
      <c r="W641" s="244">
        <v>46003</v>
      </c>
      <c r="X641" s="237" t="s">
        <v>3635</v>
      </c>
      <c r="Y641" s="237" t="s">
        <v>588</v>
      </c>
      <c r="Z641" s="237" t="s">
        <v>228</v>
      </c>
      <c r="AA641" s="237" t="s">
        <v>3636</v>
      </c>
      <c r="AB641" s="337" t="s">
        <v>228</v>
      </c>
      <c r="AC641" s="237" t="s">
        <v>228</v>
      </c>
      <c r="AD641" s="562"/>
      <c r="AE641" s="555"/>
      <c r="AF641" s="237"/>
    </row>
    <row r="642" spans="1:32" ht="13.5" customHeight="1">
      <c r="A642" s="235">
        <v>640</v>
      </c>
      <c r="B642" s="235">
        <v>0</v>
      </c>
      <c r="C642" s="255" t="s">
        <v>3637</v>
      </c>
      <c r="D642" s="235" t="s">
        <v>3638</v>
      </c>
      <c r="E642" s="235">
        <v>38</v>
      </c>
      <c r="F642" s="235" t="s">
        <v>60</v>
      </c>
      <c r="G642" s="267" t="s">
        <v>3639</v>
      </c>
      <c r="H642" s="243" t="s">
        <v>188</v>
      </c>
      <c r="I642" s="243"/>
      <c r="J642" s="235" t="s">
        <v>3640</v>
      </c>
      <c r="K642" s="240"/>
      <c r="L642" s="243" t="s">
        <v>231</v>
      </c>
      <c r="M642" s="243" t="s">
        <v>231</v>
      </c>
      <c r="N642" s="237"/>
      <c r="O642" s="237"/>
      <c r="P642" s="237"/>
      <c r="Q642" s="245">
        <v>45938</v>
      </c>
      <c r="R642" s="237" t="s">
        <v>309</v>
      </c>
      <c r="S642" s="331" t="s">
        <v>233</v>
      </c>
      <c r="T642" s="237" t="s">
        <v>228</v>
      </c>
      <c r="U642" s="237" t="s">
        <v>234</v>
      </c>
      <c r="V642" s="237" t="s">
        <v>228</v>
      </c>
      <c r="W642" s="244" t="s">
        <v>228</v>
      </c>
      <c r="X642" s="237" t="s">
        <v>228</v>
      </c>
      <c r="Y642" s="237" t="s">
        <v>228</v>
      </c>
      <c r="Z642" s="237" t="s">
        <v>228</v>
      </c>
      <c r="AA642" s="237" t="s">
        <v>3641</v>
      </c>
      <c r="AB642" s="337" t="s">
        <v>228</v>
      </c>
      <c r="AC642" s="237" t="s">
        <v>228</v>
      </c>
      <c r="AD642" s="562"/>
      <c r="AE642" s="555"/>
      <c r="AF642" s="237"/>
    </row>
    <row r="643" spans="1:32" ht="13.5" customHeight="1">
      <c r="A643" s="235">
        <v>641</v>
      </c>
      <c r="B643" s="235">
        <v>0</v>
      </c>
      <c r="C643" s="255" t="s">
        <v>3642</v>
      </c>
      <c r="D643" s="235" t="s">
        <v>3643</v>
      </c>
      <c r="E643" s="235">
        <v>37</v>
      </c>
      <c r="F643" s="235" t="s">
        <v>75</v>
      </c>
      <c r="G643" s="235" t="s">
        <v>3644</v>
      </c>
      <c r="H643" s="243" t="s">
        <v>15</v>
      </c>
      <c r="I643" s="243" t="s">
        <v>3645</v>
      </c>
      <c r="K643" s="240" t="s">
        <v>97</v>
      </c>
      <c r="L643" s="243" t="s">
        <v>1922</v>
      </c>
      <c r="M643" s="243" t="s">
        <v>184</v>
      </c>
      <c r="N643" s="237"/>
      <c r="O643" s="237"/>
      <c r="P643" s="237"/>
      <c r="Q643" s="245">
        <v>45941</v>
      </c>
      <c r="R643" s="237" t="s">
        <v>309</v>
      </c>
      <c r="S643" s="331" t="s">
        <v>233</v>
      </c>
      <c r="T643" s="237" t="s">
        <v>228</v>
      </c>
      <c r="U643" s="237" t="s">
        <v>234</v>
      </c>
      <c r="V643" s="237" t="s">
        <v>228</v>
      </c>
      <c r="W643" s="244" t="s">
        <v>228</v>
      </c>
      <c r="X643" s="237" t="s">
        <v>228</v>
      </c>
      <c r="Y643" s="237" t="s">
        <v>228</v>
      </c>
      <c r="Z643" s="237" t="s">
        <v>228</v>
      </c>
      <c r="AA643" s="237" t="s">
        <v>3646</v>
      </c>
      <c r="AB643" s="337" t="s">
        <v>237</v>
      </c>
      <c r="AC643" s="102" t="s">
        <v>353</v>
      </c>
      <c r="AD643" s="562">
        <v>45545</v>
      </c>
      <c r="AE643" s="550" t="s">
        <v>3647</v>
      </c>
      <c r="AF643" s="237"/>
    </row>
    <row r="644" spans="1:32" ht="13.5" customHeight="1">
      <c r="A644" s="235">
        <v>642</v>
      </c>
      <c r="B644" s="235">
        <v>0</v>
      </c>
      <c r="C644" s="255" t="s">
        <v>3648</v>
      </c>
      <c r="D644" s="235" t="s">
        <v>3649</v>
      </c>
      <c r="E644" s="235">
        <v>43</v>
      </c>
      <c r="F644" s="235" t="s">
        <v>60</v>
      </c>
      <c r="G644" s="235" t="s">
        <v>3650</v>
      </c>
      <c r="H644" s="243" t="s">
        <v>27</v>
      </c>
      <c r="I644" s="243"/>
      <c r="J644" s="235" t="s">
        <v>2250</v>
      </c>
      <c r="K644" s="240"/>
      <c r="L644" s="243" t="s">
        <v>231</v>
      </c>
      <c r="M644" s="243" t="s">
        <v>231</v>
      </c>
      <c r="N644" s="237"/>
      <c r="O644" s="237"/>
      <c r="P644" s="237"/>
      <c r="Q644" s="245">
        <v>45943</v>
      </c>
      <c r="R644" s="237" t="s">
        <v>309</v>
      </c>
      <c r="S644" s="331" t="s">
        <v>233</v>
      </c>
      <c r="T644" s="237">
        <v>0</v>
      </c>
      <c r="U644" s="237" t="s">
        <v>234</v>
      </c>
      <c r="V644" s="237" t="s">
        <v>228</v>
      </c>
      <c r="W644" s="244" t="s">
        <v>228</v>
      </c>
      <c r="X644" s="237" t="s">
        <v>228</v>
      </c>
      <c r="Y644" s="237" t="s">
        <v>228</v>
      </c>
      <c r="Z644" s="237" t="s">
        <v>228</v>
      </c>
      <c r="AA644" s="237" t="s">
        <v>3651</v>
      </c>
      <c r="AB644" s="337" t="s">
        <v>228</v>
      </c>
      <c r="AC644" s="237" t="s">
        <v>228</v>
      </c>
      <c r="AD644" s="562"/>
      <c r="AE644" s="555"/>
      <c r="AF644" s="237"/>
    </row>
    <row r="645" spans="1:32" ht="13.5" customHeight="1">
      <c r="A645" s="235">
        <v>643</v>
      </c>
      <c r="B645" s="235">
        <v>0</v>
      </c>
      <c r="C645" s="255" t="s">
        <v>3652</v>
      </c>
      <c r="D645" s="235" t="s">
        <v>3653</v>
      </c>
      <c r="E645" s="235">
        <v>27</v>
      </c>
      <c r="F645" s="235" t="s">
        <v>75</v>
      </c>
      <c r="G645" s="235" t="s">
        <v>3654</v>
      </c>
      <c r="H645" s="243" t="s">
        <v>15</v>
      </c>
      <c r="I645" s="243"/>
      <c r="K645" s="240" t="s">
        <v>3655</v>
      </c>
      <c r="L645" s="588" t="s">
        <v>3656</v>
      </c>
      <c r="M645" s="243" t="s">
        <v>231</v>
      </c>
      <c r="N645" s="237"/>
      <c r="O645" s="237"/>
      <c r="P645" s="237"/>
      <c r="Q645" s="245">
        <v>45944</v>
      </c>
      <c r="R645" s="237" t="s">
        <v>309</v>
      </c>
      <c r="S645" s="331" t="s">
        <v>233</v>
      </c>
      <c r="T645" s="237" t="s">
        <v>228</v>
      </c>
      <c r="U645" s="237" t="s">
        <v>234</v>
      </c>
      <c r="V645" s="237" t="s">
        <v>228</v>
      </c>
      <c r="W645" s="244" t="s">
        <v>228</v>
      </c>
      <c r="X645" s="237" t="s">
        <v>228</v>
      </c>
      <c r="Y645" s="237" t="s">
        <v>228</v>
      </c>
      <c r="Z645" s="237" t="s">
        <v>228</v>
      </c>
      <c r="AA645" s="237" t="s">
        <v>3657</v>
      </c>
      <c r="AB645" s="337" t="s">
        <v>228</v>
      </c>
      <c r="AC645" s="237" t="s">
        <v>228</v>
      </c>
      <c r="AD645" s="562"/>
      <c r="AE645" s="555"/>
      <c r="AF645" s="237"/>
    </row>
    <row r="646" spans="1:32" ht="13.5" customHeight="1">
      <c r="A646" s="235">
        <v>644</v>
      </c>
      <c r="B646" s="235">
        <v>0</v>
      </c>
      <c r="C646" s="255" t="s">
        <v>3658</v>
      </c>
      <c r="D646" s="235" t="s">
        <v>3659</v>
      </c>
      <c r="E646" s="235">
        <v>58</v>
      </c>
      <c r="F646" s="235" t="s">
        <v>60</v>
      </c>
      <c r="G646" s="235" t="s">
        <v>3660</v>
      </c>
      <c r="H646" s="243" t="s">
        <v>188</v>
      </c>
      <c r="I646" s="243"/>
      <c r="J646" s="240" t="s">
        <v>3661</v>
      </c>
      <c r="K646" s="240"/>
      <c r="L646" s="243" t="s">
        <v>231</v>
      </c>
      <c r="M646" s="243" t="s">
        <v>231</v>
      </c>
      <c r="N646" s="237"/>
      <c r="O646" s="237"/>
      <c r="P646" s="237"/>
      <c r="Q646" s="245">
        <v>45945</v>
      </c>
      <c r="R646" s="237" t="s">
        <v>309</v>
      </c>
      <c r="S646" s="331" t="s">
        <v>233</v>
      </c>
      <c r="T646" s="237">
        <v>0</v>
      </c>
      <c r="U646" s="237" t="s">
        <v>234</v>
      </c>
      <c r="V646" s="237" t="s">
        <v>652</v>
      </c>
      <c r="W646" s="244">
        <v>46003</v>
      </c>
      <c r="X646" s="237" t="s">
        <v>3662</v>
      </c>
      <c r="Y646" s="237" t="s">
        <v>588</v>
      </c>
      <c r="Z646" s="237" t="s">
        <v>228</v>
      </c>
      <c r="AA646" s="237" t="s">
        <v>3663</v>
      </c>
      <c r="AB646" s="337" t="s">
        <v>228</v>
      </c>
      <c r="AC646" s="237" t="s">
        <v>228</v>
      </c>
      <c r="AD646" s="562"/>
      <c r="AE646" s="555"/>
      <c r="AF646" s="237"/>
    </row>
    <row r="647" spans="1:32" ht="13.5" customHeight="1">
      <c r="A647" s="235">
        <v>645</v>
      </c>
      <c r="B647" s="235">
        <v>0</v>
      </c>
      <c r="C647" s="255" t="s">
        <v>3664</v>
      </c>
      <c r="D647" s="235" t="s">
        <v>3665</v>
      </c>
      <c r="E647" s="235">
        <v>27</v>
      </c>
      <c r="F647" s="235" t="s">
        <v>60</v>
      </c>
      <c r="G647" s="235" t="s">
        <v>3666</v>
      </c>
      <c r="H647" s="243" t="s">
        <v>27</v>
      </c>
      <c r="I647" s="243"/>
      <c r="J647" s="235" t="s">
        <v>3667</v>
      </c>
      <c r="K647" s="240"/>
      <c r="L647" s="243" t="s">
        <v>231</v>
      </c>
      <c r="M647" s="243" t="s">
        <v>231</v>
      </c>
      <c r="N647" s="237"/>
      <c r="O647" s="237"/>
      <c r="P647" s="237"/>
      <c r="Q647" s="245">
        <v>45946</v>
      </c>
      <c r="R647" s="237" t="s">
        <v>309</v>
      </c>
      <c r="S647" s="331" t="s">
        <v>233</v>
      </c>
      <c r="T647" s="237" t="s">
        <v>228</v>
      </c>
      <c r="U647" s="237" t="s">
        <v>234</v>
      </c>
      <c r="V647" s="237" t="s">
        <v>228</v>
      </c>
      <c r="W647" s="244" t="s">
        <v>228</v>
      </c>
      <c r="X647" s="237" t="s">
        <v>228</v>
      </c>
      <c r="Y647" s="237" t="s">
        <v>228</v>
      </c>
      <c r="Z647" s="237" t="s">
        <v>228</v>
      </c>
      <c r="AA647" s="237" t="s">
        <v>3668</v>
      </c>
      <c r="AB647" s="337" t="s">
        <v>228</v>
      </c>
      <c r="AC647" s="237" t="s">
        <v>228</v>
      </c>
      <c r="AD647" s="562"/>
      <c r="AE647" s="555"/>
      <c r="AF647" s="237"/>
    </row>
    <row r="648" spans="1:32" ht="13.5" customHeight="1">
      <c r="A648" s="235">
        <v>646</v>
      </c>
      <c r="B648" s="235">
        <v>0</v>
      </c>
      <c r="C648" s="255" t="s">
        <v>3669</v>
      </c>
      <c r="D648" s="235" t="s">
        <v>3670</v>
      </c>
      <c r="E648" s="235">
        <v>73</v>
      </c>
      <c r="F648" s="235" t="s">
        <v>60</v>
      </c>
      <c r="G648" s="235" t="s">
        <v>3671</v>
      </c>
      <c r="H648" s="243" t="s">
        <v>27</v>
      </c>
      <c r="I648" s="243"/>
      <c r="J648" s="235" t="s">
        <v>433</v>
      </c>
      <c r="K648" s="240"/>
      <c r="L648" s="243" t="s">
        <v>231</v>
      </c>
      <c r="M648" s="243" t="s">
        <v>231</v>
      </c>
      <c r="N648" s="237"/>
      <c r="O648" s="237"/>
      <c r="P648" s="237"/>
      <c r="Q648" s="245">
        <v>45947</v>
      </c>
      <c r="R648" s="237" t="s">
        <v>309</v>
      </c>
      <c r="S648" s="331" t="s">
        <v>233</v>
      </c>
      <c r="T648" s="237">
        <v>0</v>
      </c>
      <c r="U648" s="237" t="s">
        <v>234</v>
      </c>
      <c r="V648" s="237" t="s">
        <v>228</v>
      </c>
      <c r="W648" s="244" t="s">
        <v>228</v>
      </c>
      <c r="X648" s="237" t="s">
        <v>228</v>
      </c>
      <c r="Y648" s="237" t="s">
        <v>228</v>
      </c>
      <c r="Z648" s="237" t="s">
        <v>228</v>
      </c>
      <c r="AA648" s="237" t="s">
        <v>3672</v>
      </c>
      <c r="AB648" s="337" t="s">
        <v>228</v>
      </c>
      <c r="AC648" s="237" t="s">
        <v>228</v>
      </c>
      <c r="AD648" s="562"/>
      <c r="AE648" s="555"/>
      <c r="AF648" s="237"/>
    </row>
    <row r="649" spans="1:32" ht="13.5" customHeight="1">
      <c r="A649" s="235">
        <v>647</v>
      </c>
      <c r="B649" s="235">
        <v>0</v>
      </c>
      <c r="C649" s="255" t="s">
        <v>3673</v>
      </c>
      <c r="D649" s="235" t="s">
        <v>3674</v>
      </c>
      <c r="E649" s="235">
        <v>62</v>
      </c>
      <c r="F649" s="235" t="s">
        <v>75</v>
      </c>
      <c r="G649" s="235" t="s">
        <v>3675</v>
      </c>
      <c r="H649" s="243" t="s">
        <v>188</v>
      </c>
      <c r="I649" s="243"/>
      <c r="J649" s="240" t="s">
        <v>3661</v>
      </c>
      <c r="K649" s="240"/>
      <c r="L649" s="243" t="s">
        <v>231</v>
      </c>
      <c r="M649" s="243" t="s">
        <v>231</v>
      </c>
      <c r="N649" s="237"/>
      <c r="O649" s="237"/>
      <c r="P649" s="237"/>
      <c r="Q649" s="245">
        <v>45952</v>
      </c>
      <c r="R649" s="237" t="s">
        <v>309</v>
      </c>
      <c r="S649" s="331" t="s">
        <v>233</v>
      </c>
      <c r="T649" s="237">
        <v>0</v>
      </c>
      <c r="U649" s="237" t="s">
        <v>234</v>
      </c>
      <c r="V649" s="237" t="s">
        <v>652</v>
      </c>
      <c r="W649" s="244">
        <v>46003</v>
      </c>
      <c r="X649" s="237" t="s">
        <v>3676</v>
      </c>
      <c r="Y649" s="237" t="s">
        <v>588</v>
      </c>
      <c r="Z649" s="237" t="s">
        <v>228</v>
      </c>
      <c r="AA649" s="237" t="s">
        <v>3677</v>
      </c>
      <c r="AB649" s="337" t="s">
        <v>228</v>
      </c>
      <c r="AC649" s="237" t="s">
        <v>228</v>
      </c>
      <c r="AD649" s="562"/>
      <c r="AE649" s="555"/>
      <c r="AF649" s="237"/>
    </row>
    <row r="650" spans="1:32" ht="13.5" customHeight="1">
      <c r="A650" s="235">
        <v>648</v>
      </c>
      <c r="B650" s="235">
        <v>0</v>
      </c>
      <c r="C650" s="255" t="s">
        <v>3678</v>
      </c>
      <c r="D650" s="235" t="s">
        <v>3679</v>
      </c>
      <c r="E650" s="235">
        <v>59</v>
      </c>
      <c r="F650" s="235" t="s">
        <v>60</v>
      </c>
      <c r="G650" s="235" t="s">
        <v>3680</v>
      </c>
      <c r="H650" s="243" t="s">
        <v>27</v>
      </c>
      <c r="I650" s="243"/>
      <c r="J650" s="235" t="s">
        <v>433</v>
      </c>
      <c r="K650" s="240"/>
      <c r="L650" s="243" t="s">
        <v>231</v>
      </c>
      <c r="M650" s="243" t="s">
        <v>231</v>
      </c>
      <c r="N650" s="237"/>
      <c r="O650" s="237"/>
      <c r="P650" s="237"/>
      <c r="Q650" s="245">
        <v>45954</v>
      </c>
      <c r="R650" s="237" t="s">
        <v>309</v>
      </c>
      <c r="S650" s="331" t="s">
        <v>233</v>
      </c>
      <c r="T650" s="237">
        <v>0</v>
      </c>
      <c r="U650" s="237" t="s">
        <v>234</v>
      </c>
      <c r="V650" s="237" t="s">
        <v>228</v>
      </c>
      <c r="W650" s="244" t="s">
        <v>228</v>
      </c>
      <c r="X650" s="237" t="s">
        <v>228</v>
      </c>
      <c r="Y650" s="237" t="s">
        <v>228</v>
      </c>
      <c r="Z650" s="237" t="s">
        <v>228</v>
      </c>
      <c r="AA650" s="237" t="s">
        <v>3681</v>
      </c>
      <c r="AB650" s="337" t="s">
        <v>228</v>
      </c>
      <c r="AC650" s="237" t="s">
        <v>228</v>
      </c>
      <c r="AD650" s="562"/>
      <c r="AE650" s="555"/>
      <c r="AF650" s="237"/>
    </row>
    <row r="651" spans="1:32" ht="13.5" customHeight="1">
      <c r="A651" s="235">
        <v>649</v>
      </c>
      <c r="B651" s="235">
        <v>0</v>
      </c>
      <c r="C651" s="255" t="s">
        <v>3682</v>
      </c>
      <c r="D651" s="235" t="s">
        <v>3683</v>
      </c>
      <c r="E651" s="235">
        <v>54</v>
      </c>
      <c r="F651" s="235" t="s">
        <v>60</v>
      </c>
      <c r="G651" s="235" t="s">
        <v>3684</v>
      </c>
      <c r="H651" s="243" t="s">
        <v>188</v>
      </c>
      <c r="I651" s="243"/>
      <c r="J651" s="240" t="s">
        <v>3661</v>
      </c>
      <c r="K651" s="240"/>
      <c r="L651" s="243" t="s">
        <v>231</v>
      </c>
      <c r="M651" s="243" t="s">
        <v>231</v>
      </c>
      <c r="N651" s="237"/>
      <c r="O651" s="237"/>
      <c r="P651" s="237"/>
      <c r="Q651" s="245">
        <v>45955</v>
      </c>
      <c r="R651" s="237" t="s">
        <v>309</v>
      </c>
      <c r="S651" s="331" t="s">
        <v>233</v>
      </c>
      <c r="T651" s="237">
        <v>0</v>
      </c>
      <c r="U651" s="237" t="s">
        <v>234</v>
      </c>
      <c r="V651" s="237" t="s">
        <v>652</v>
      </c>
      <c r="W651" s="244">
        <v>46003</v>
      </c>
      <c r="X651" s="237" t="s">
        <v>3685</v>
      </c>
      <c r="Y651" s="237" t="s">
        <v>588</v>
      </c>
      <c r="Z651" s="237" t="s">
        <v>228</v>
      </c>
      <c r="AA651" s="237" t="s">
        <v>3686</v>
      </c>
      <c r="AB651" s="337" t="s">
        <v>228</v>
      </c>
      <c r="AC651" s="237" t="s">
        <v>228</v>
      </c>
      <c r="AD651" s="562"/>
      <c r="AE651" s="555"/>
      <c r="AF651" s="237"/>
    </row>
    <row r="652" spans="1:32" ht="13.5" customHeight="1">
      <c r="A652" s="235">
        <v>650</v>
      </c>
      <c r="B652" s="235">
        <v>0</v>
      </c>
      <c r="C652" s="255" t="s">
        <v>3687</v>
      </c>
      <c r="D652" s="235" t="s">
        <v>3688</v>
      </c>
      <c r="E652" s="235">
        <v>65</v>
      </c>
      <c r="F652" s="235" t="s">
        <v>75</v>
      </c>
      <c r="G652" s="235" t="s">
        <v>3689</v>
      </c>
      <c r="H652" s="243" t="s">
        <v>3</v>
      </c>
      <c r="I652" s="243"/>
      <c r="J652" s="240" t="s">
        <v>886</v>
      </c>
      <c r="K652" s="240" t="s">
        <v>161</v>
      </c>
      <c r="L652" s="243" t="s">
        <v>3690</v>
      </c>
      <c r="M652" s="243" t="s">
        <v>231</v>
      </c>
      <c r="N652" s="237"/>
      <c r="O652" s="237"/>
      <c r="P652" s="237"/>
      <c r="Q652" s="245">
        <v>45958</v>
      </c>
      <c r="R652" s="237" t="s">
        <v>309</v>
      </c>
      <c r="S652" s="331" t="s">
        <v>233</v>
      </c>
      <c r="T652" s="237">
        <v>0</v>
      </c>
      <c r="U652" s="237" t="s">
        <v>234</v>
      </c>
      <c r="V652" s="237" t="s">
        <v>652</v>
      </c>
      <c r="W652" s="244">
        <v>46003</v>
      </c>
      <c r="X652" s="237" t="s">
        <v>3691</v>
      </c>
      <c r="Y652" s="237" t="s">
        <v>588</v>
      </c>
      <c r="Z652" s="237" t="s">
        <v>228</v>
      </c>
      <c r="AA652" s="237" t="s">
        <v>3692</v>
      </c>
      <c r="AB652" s="337" t="s">
        <v>228</v>
      </c>
      <c r="AC652" s="237" t="s">
        <v>228</v>
      </c>
      <c r="AD652" s="562"/>
      <c r="AE652" s="555"/>
      <c r="AF652" s="237"/>
    </row>
    <row r="653" spans="1:32" ht="13.5" customHeight="1">
      <c r="A653" s="235">
        <v>651</v>
      </c>
      <c r="B653" s="235">
        <v>0</v>
      </c>
      <c r="C653" s="255" t="s">
        <v>3693</v>
      </c>
      <c r="D653" s="235" t="s">
        <v>3694</v>
      </c>
      <c r="E653" s="235">
        <v>72</v>
      </c>
      <c r="F653" s="235" t="s">
        <v>60</v>
      </c>
      <c r="G653" s="235" t="s">
        <v>3695</v>
      </c>
      <c r="H653" s="243" t="s">
        <v>3</v>
      </c>
      <c r="I653" s="243"/>
      <c r="J653" s="240" t="s">
        <v>886</v>
      </c>
      <c r="K653" s="240" t="s">
        <v>1038</v>
      </c>
      <c r="L653" s="243" t="s">
        <v>1642</v>
      </c>
      <c r="M653" s="243" t="s">
        <v>231</v>
      </c>
      <c r="N653" s="237"/>
      <c r="O653" s="237"/>
      <c r="P653" s="237"/>
      <c r="Q653" s="245">
        <v>45958</v>
      </c>
      <c r="R653" s="237" t="s">
        <v>309</v>
      </c>
      <c r="S653" s="331" t="s">
        <v>233</v>
      </c>
      <c r="T653" s="237">
        <v>0</v>
      </c>
      <c r="U653" s="237" t="s">
        <v>234</v>
      </c>
      <c r="V653" s="237" t="s">
        <v>652</v>
      </c>
      <c r="W653" s="244">
        <v>46003</v>
      </c>
      <c r="X653" s="237" t="s">
        <v>3696</v>
      </c>
      <c r="Y653" s="237" t="s">
        <v>588</v>
      </c>
      <c r="Z653" s="237" t="s">
        <v>228</v>
      </c>
      <c r="AA653" s="237" t="s">
        <v>3697</v>
      </c>
      <c r="AB653" s="337" t="s">
        <v>228</v>
      </c>
      <c r="AC653" s="237" t="s">
        <v>228</v>
      </c>
      <c r="AD653" s="562"/>
      <c r="AE653" s="555"/>
      <c r="AF653" s="237"/>
    </row>
    <row r="654" spans="1:32" ht="13.5" customHeight="1">
      <c r="A654" s="235">
        <v>652</v>
      </c>
      <c r="B654" s="235">
        <v>0</v>
      </c>
      <c r="C654" s="255" t="s">
        <v>3698</v>
      </c>
      <c r="D654" s="235" t="s">
        <v>3699</v>
      </c>
      <c r="E654" s="235">
        <v>46</v>
      </c>
      <c r="F654" s="235" t="s">
        <v>75</v>
      </c>
      <c r="G654" s="235" t="s">
        <v>3700</v>
      </c>
      <c r="H654" s="243" t="s">
        <v>3</v>
      </c>
      <c r="I654" s="240" t="s">
        <v>39</v>
      </c>
      <c r="K654" s="240"/>
      <c r="L654" s="243" t="s">
        <v>16</v>
      </c>
      <c r="M654" s="243" t="s">
        <v>3701</v>
      </c>
      <c r="N654" s="237"/>
      <c r="O654" s="237"/>
      <c r="P654" s="237"/>
      <c r="Q654" s="245">
        <v>45958</v>
      </c>
      <c r="R654" s="237" t="s">
        <v>309</v>
      </c>
      <c r="S654" s="331" t="s">
        <v>233</v>
      </c>
      <c r="T654" s="237" t="s">
        <v>228</v>
      </c>
      <c r="U654" s="237" t="s">
        <v>298</v>
      </c>
      <c r="V654" s="237" t="s">
        <v>228</v>
      </c>
      <c r="W654" s="244" t="s">
        <v>228</v>
      </c>
      <c r="X654" s="237" t="s">
        <v>228</v>
      </c>
      <c r="Y654" s="237" t="s">
        <v>228</v>
      </c>
      <c r="Z654" s="237" t="s">
        <v>228</v>
      </c>
      <c r="AA654" s="237" t="s">
        <v>3702</v>
      </c>
      <c r="AB654" s="337" t="s">
        <v>228</v>
      </c>
      <c r="AC654" s="237" t="s">
        <v>228</v>
      </c>
      <c r="AD654" s="562"/>
      <c r="AE654" s="555"/>
      <c r="AF654" s="237"/>
    </row>
    <row r="655" spans="1:32" ht="13.5" customHeight="1">
      <c r="A655" s="235">
        <v>653</v>
      </c>
      <c r="B655" s="235">
        <v>0</v>
      </c>
      <c r="C655" s="255" t="s">
        <v>3703</v>
      </c>
      <c r="D655" s="235" t="s">
        <v>3704</v>
      </c>
      <c r="E655" s="235">
        <v>39</v>
      </c>
      <c r="F655" s="235" t="s">
        <v>60</v>
      </c>
      <c r="G655" s="235" t="s">
        <v>3705</v>
      </c>
      <c r="H655" s="243" t="s">
        <v>27</v>
      </c>
      <c r="I655" s="243"/>
      <c r="J655" s="235" t="s">
        <v>433</v>
      </c>
      <c r="K655" s="240"/>
      <c r="L655" s="243" t="s">
        <v>231</v>
      </c>
      <c r="M655" s="243" t="s">
        <v>231</v>
      </c>
      <c r="N655" s="237"/>
      <c r="O655" s="237"/>
      <c r="P655" s="237"/>
      <c r="Q655" s="245">
        <v>45960</v>
      </c>
      <c r="R655" s="237" t="s">
        <v>309</v>
      </c>
      <c r="S655" s="331" t="s">
        <v>233</v>
      </c>
      <c r="T655" s="237">
        <v>0</v>
      </c>
      <c r="U655" s="237" t="s">
        <v>234</v>
      </c>
      <c r="V655" s="237" t="s">
        <v>228</v>
      </c>
      <c r="W655" s="244" t="s">
        <v>228</v>
      </c>
      <c r="X655" s="237" t="s">
        <v>228</v>
      </c>
      <c r="Y655" s="237" t="s">
        <v>228</v>
      </c>
      <c r="Z655" s="237" t="s">
        <v>228</v>
      </c>
      <c r="AA655" s="237" t="s">
        <v>3706</v>
      </c>
      <c r="AB655" s="337" t="s">
        <v>228</v>
      </c>
      <c r="AC655" s="237" t="s">
        <v>228</v>
      </c>
      <c r="AD655" s="562"/>
      <c r="AE655" s="555"/>
      <c r="AF655" s="237"/>
    </row>
    <row r="656" spans="1:32" ht="13.5" customHeight="1">
      <c r="A656" s="235">
        <v>654</v>
      </c>
      <c r="B656" s="235">
        <v>0</v>
      </c>
      <c r="C656" s="255" t="s">
        <v>3707</v>
      </c>
      <c r="D656" s="235" t="s">
        <v>3708</v>
      </c>
      <c r="E656" s="235">
        <v>71</v>
      </c>
      <c r="F656" s="235" t="s">
        <v>60</v>
      </c>
      <c r="G656" s="235" t="s">
        <v>3709</v>
      </c>
      <c r="H656" s="243" t="s">
        <v>27</v>
      </c>
      <c r="I656" s="243"/>
      <c r="J656" s="235" t="s">
        <v>433</v>
      </c>
      <c r="K656" s="240" t="s">
        <v>168</v>
      </c>
      <c r="L656" s="243" t="s">
        <v>231</v>
      </c>
      <c r="M656" s="582" t="s">
        <v>3710</v>
      </c>
      <c r="N656" s="237"/>
      <c r="O656" s="237"/>
      <c r="P656" s="237"/>
      <c r="Q656" s="245">
        <v>45960</v>
      </c>
      <c r="R656" s="237" t="s">
        <v>309</v>
      </c>
      <c r="S656" s="331" t="s">
        <v>233</v>
      </c>
      <c r="T656" s="237">
        <v>0</v>
      </c>
      <c r="U656" s="237" t="s">
        <v>234</v>
      </c>
      <c r="V656" s="237" t="s">
        <v>228</v>
      </c>
      <c r="W656" s="244" t="s">
        <v>228</v>
      </c>
      <c r="X656" s="237" t="s">
        <v>228</v>
      </c>
      <c r="Y656" s="237" t="s">
        <v>228</v>
      </c>
      <c r="Z656" s="237" t="s">
        <v>228</v>
      </c>
      <c r="AA656" s="237" t="s">
        <v>3711</v>
      </c>
      <c r="AB656" s="337" t="s">
        <v>228</v>
      </c>
      <c r="AC656" s="237" t="s">
        <v>228</v>
      </c>
      <c r="AD656" s="562"/>
      <c r="AE656" s="555"/>
      <c r="AF656" s="237"/>
    </row>
    <row r="657" spans="1:130" ht="13.5" customHeight="1">
      <c r="A657" s="235">
        <v>655</v>
      </c>
      <c r="B657" s="235">
        <v>0</v>
      </c>
      <c r="C657" s="255" t="s">
        <v>3712</v>
      </c>
      <c r="D657" s="235" t="s">
        <v>3713</v>
      </c>
      <c r="E657" s="235">
        <v>77</v>
      </c>
      <c r="F657" s="235" t="s">
        <v>60</v>
      </c>
      <c r="G657" s="235" t="s">
        <v>3714</v>
      </c>
      <c r="H657" s="237" t="s">
        <v>188</v>
      </c>
      <c r="I657" s="237"/>
      <c r="K657" s="240"/>
      <c r="L657" s="237"/>
      <c r="M657" s="237"/>
      <c r="N657" s="237"/>
      <c r="O657" s="237"/>
      <c r="P657" s="237"/>
      <c r="Q657" s="245">
        <v>45962</v>
      </c>
      <c r="R657" s="237" t="s">
        <v>309</v>
      </c>
      <c r="S657" s="335" t="s">
        <v>3715</v>
      </c>
      <c r="T657" s="237" t="s">
        <v>228</v>
      </c>
      <c r="U657" s="237" t="s">
        <v>298</v>
      </c>
      <c r="V657" s="237" t="s">
        <v>228</v>
      </c>
      <c r="W657" s="244" t="s">
        <v>228</v>
      </c>
      <c r="X657" s="237" t="s">
        <v>228</v>
      </c>
      <c r="Y657" s="237" t="s">
        <v>228</v>
      </c>
      <c r="Z657" s="237" t="s">
        <v>228</v>
      </c>
      <c r="AA657" s="237" t="s">
        <v>3716</v>
      </c>
      <c r="AB657" s="337" t="s">
        <v>228</v>
      </c>
      <c r="AC657" s="237" t="s">
        <v>228</v>
      </c>
      <c r="AD657" s="562"/>
      <c r="AE657" s="555"/>
      <c r="AF657" s="237"/>
    </row>
    <row r="658" spans="1:130" s="306" customFormat="1" ht="13.5" customHeight="1">
      <c r="A658" s="306">
        <v>656</v>
      </c>
      <c r="B658" s="306">
        <v>0</v>
      </c>
      <c r="C658" s="307" t="s">
        <v>3717</v>
      </c>
      <c r="D658" s="306" t="s">
        <v>3718</v>
      </c>
      <c r="E658" s="306">
        <v>72</v>
      </c>
      <c r="F658" s="306" t="s">
        <v>75</v>
      </c>
      <c r="G658" s="306" t="s">
        <v>3719</v>
      </c>
      <c r="H658" s="289" t="s">
        <v>4</v>
      </c>
      <c r="I658" s="290" t="s">
        <v>2710</v>
      </c>
      <c r="K658" s="290"/>
      <c r="L658" s="289" t="s">
        <v>16</v>
      </c>
      <c r="M658" s="313" t="s">
        <v>3720</v>
      </c>
      <c r="N658" s="264"/>
      <c r="O658" s="264"/>
      <c r="P658" s="264"/>
      <c r="Q658" s="314">
        <v>45890</v>
      </c>
      <c r="R658" s="264" t="s">
        <v>309</v>
      </c>
      <c r="S658" s="365" t="s">
        <v>233</v>
      </c>
      <c r="T658" s="264">
        <v>0</v>
      </c>
      <c r="U658" s="264" t="s">
        <v>298</v>
      </c>
      <c r="V658" s="264" t="s">
        <v>228</v>
      </c>
      <c r="W658" s="308" t="s">
        <v>228</v>
      </c>
      <c r="X658" s="264" t="s">
        <v>228</v>
      </c>
      <c r="Y658" s="264" t="s">
        <v>228</v>
      </c>
      <c r="Z658" s="264" t="s">
        <v>228</v>
      </c>
      <c r="AA658" s="264" t="s">
        <v>3721</v>
      </c>
      <c r="AB658" s="364" t="s">
        <v>228</v>
      </c>
      <c r="AC658" s="264" t="s">
        <v>228</v>
      </c>
      <c r="AD658" s="565"/>
      <c r="AE658" s="557"/>
      <c r="AF658" s="264"/>
      <c r="AG658" s="309"/>
      <c r="AH658" s="309"/>
      <c r="AI658" s="309"/>
      <c r="AJ658" s="309"/>
      <c r="AK658" s="309"/>
      <c r="AL658" s="309"/>
      <c r="AM658" s="309"/>
      <c r="AN658" s="309"/>
      <c r="AO658" s="309"/>
      <c r="AP658" s="309"/>
      <c r="AQ658" s="309"/>
      <c r="AR658" s="309"/>
      <c r="AS658" s="309"/>
      <c r="AT658" s="309"/>
      <c r="AU658" s="309"/>
      <c r="AV658" s="309"/>
      <c r="AW658" s="309"/>
      <c r="AX658" s="309"/>
      <c r="AY658" s="309"/>
      <c r="AZ658" s="309"/>
      <c r="BA658" s="309"/>
      <c r="BB658" s="309"/>
      <c r="BC658" s="309"/>
      <c r="BD658" s="309"/>
      <c r="BE658" s="309"/>
      <c r="BF658" s="309"/>
      <c r="BG658" s="309"/>
      <c r="BH658" s="309"/>
      <c r="BI658" s="309"/>
      <c r="BJ658" s="309"/>
      <c r="BK658" s="309"/>
      <c r="BL658" s="309"/>
      <c r="BM658" s="309"/>
      <c r="BN658" s="309"/>
      <c r="BO658" s="309"/>
      <c r="BP658" s="309"/>
      <c r="BQ658" s="309"/>
      <c r="BR658" s="309"/>
      <c r="BS658" s="309"/>
      <c r="BT658" s="309"/>
      <c r="BU658" s="309"/>
      <c r="BV658" s="309"/>
      <c r="BW658" s="309"/>
      <c r="BX658" s="309"/>
      <c r="BY658" s="309"/>
      <c r="BZ658" s="309"/>
      <c r="CA658" s="309"/>
      <c r="CB658" s="309"/>
      <c r="CC658" s="309"/>
      <c r="CD658" s="309"/>
      <c r="CE658" s="309"/>
      <c r="CF658" s="309"/>
      <c r="CG658" s="309"/>
      <c r="CH658" s="309"/>
      <c r="CI658" s="309"/>
      <c r="CJ658" s="309"/>
      <c r="CK658" s="309"/>
      <c r="CL658" s="309"/>
      <c r="CM658" s="309"/>
      <c r="CN658" s="309"/>
      <c r="CO658" s="309"/>
      <c r="CP658" s="309"/>
      <c r="CQ658" s="309"/>
      <c r="CR658" s="309"/>
      <c r="CS658" s="309"/>
      <c r="CT658" s="309"/>
      <c r="CU658" s="309"/>
      <c r="CV658" s="309"/>
      <c r="CW658" s="309"/>
      <c r="CX658" s="309"/>
      <c r="CY658" s="309"/>
      <c r="CZ658" s="309"/>
      <c r="DA658" s="309"/>
      <c r="DB658" s="309"/>
      <c r="DC658" s="309"/>
      <c r="DD658" s="309"/>
      <c r="DE658" s="309"/>
      <c r="DF658" s="309"/>
      <c r="DG658" s="309"/>
      <c r="DH658" s="309"/>
      <c r="DI658" s="309"/>
      <c r="DJ658" s="309"/>
      <c r="DK658" s="309"/>
      <c r="DL658" s="309"/>
      <c r="DM658" s="309"/>
      <c r="DN658" s="309"/>
      <c r="DO658" s="309"/>
      <c r="DP658" s="309"/>
      <c r="DQ658" s="309"/>
      <c r="DR658" s="309"/>
      <c r="DS658" s="309"/>
      <c r="DT658" s="309"/>
      <c r="DU658" s="309"/>
      <c r="DV658" s="309"/>
      <c r="DW658" s="309"/>
      <c r="DX658" s="309"/>
      <c r="DY658" s="309"/>
      <c r="DZ658" s="310"/>
    </row>
    <row r="659" spans="1:130" ht="13.5" customHeight="1">
      <c r="A659" s="235">
        <v>657</v>
      </c>
      <c r="B659" s="237"/>
      <c r="C659" s="255" t="s">
        <v>3722</v>
      </c>
      <c r="D659" s="237" t="s">
        <v>3723</v>
      </c>
      <c r="E659" s="237">
        <v>43</v>
      </c>
      <c r="F659" s="237" t="s">
        <v>60</v>
      </c>
      <c r="G659" s="237" t="s">
        <v>3724</v>
      </c>
      <c r="H659" s="243" t="s">
        <v>4</v>
      </c>
      <c r="I659" s="243"/>
      <c r="K659" s="240"/>
      <c r="L659" s="243" t="s">
        <v>86</v>
      </c>
      <c r="M659" s="246" t="s">
        <v>228</v>
      </c>
      <c r="N659" s="237"/>
      <c r="O659" s="237"/>
      <c r="P659" s="237"/>
      <c r="Q659" s="245">
        <v>45879</v>
      </c>
      <c r="R659" s="237" t="s">
        <v>309</v>
      </c>
      <c r="S659" s="331" t="s">
        <v>233</v>
      </c>
      <c r="T659" s="237" t="s">
        <v>228</v>
      </c>
      <c r="U659" s="237" t="s">
        <v>234</v>
      </c>
      <c r="V659" s="237" t="s">
        <v>652</v>
      </c>
      <c r="W659" s="244">
        <v>45986</v>
      </c>
      <c r="X659" s="237">
        <v>0</v>
      </c>
      <c r="Y659" s="237">
        <v>0</v>
      </c>
      <c r="Z659" s="237" t="s">
        <v>228</v>
      </c>
      <c r="AA659" s="237" t="s">
        <v>3725</v>
      </c>
      <c r="AB659" s="337" t="s">
        <v>228</v>
      </c>
      <c r="AC659" s="237" t="s">
        <v>228</v>
      </c>
      <c r="AD659" s="562"/>
      <c r="AE659" s="555"/>
      <c r="AF659" s="237"/>
    </row>
    <row r="660" spans="1:130" ht="13.5" customHeight="1">
      <c r="A660" s="235">
        <v>658</v>
      </c>
      <c r="B660" s="237"/>
      <c r="C660" s="255" t="s">
        <v>3726</v>
      </c>
      <c r="D660" s="237" t="s">
        <v>3727</v>
      </c>
      <c r="E660" s="237">
        <v>57</v>
      </c>
      <c r="F660" s="237" t="s">
        <v>60</v>
      </c>
      <c r="G660" s="237" t="s">
        <v>812</v>
      </c>
      <c r="H660" s="243" t="s">
        <v>188</v>
      </c>
      <c r="I660" s="243"/>
      <c r="K660" s="240"/>
      <c r="L660" s="243" t="s">
        <v>231</v>
      </c>
      <c r="M660" s="246" t="s">
        <v>228</v>
      </c>
      <c r="N660" s="237"/>
      <c r="O660" s="237"/>
      <c r="P660" s="237"/>
      <c r="Q660" s="245">
        <v>45692</v>
      </c>
      <c r="R660" s="237" t="s">
        <v>309</v>
      </c>
      <c r="S660" s="331" t="s">
        <v>233</v>
      </c>
      <c r="T660" s="237" t="s">
        <v>228</v>
      </c>
      <c r="U660" s="237" t="s">
        <v>234</v>
      </c>
      <c r="V660" s="237" t="s">
        <v>652</v>
      </c>
      <c r="W660" s="244">
        <v>45971</v>
      </c>
      <c r="X660" s="237" t="s">
        <v>3414</v>
      </c>
      <c r="Y660" s="237" t="s">
        <v>588</v>
      </c>
      <c r="Z660" s="237" t="s">
        <v>237</v>
      </c>
      <c r="AA660" s="237" t="s">
        <v>3728</v>
      </c>
      <c r="AB660" s="337" t="s">
        <v>228</v>
      </c>
      <c r="AC660" s="237" t="s">
        <v>228</v>
      </c>
      <c r="AD660" s="562"/>
      <c r="AE660" s="555"/>
      <c r="AF660" s="237"/>
    </row>
    <row r="661" spans="1:130" ht="13.5" customHeight="1">
      <c r="A661" s="235">
        <v>659</v>
      </c>
      <c r="B661" s="235">
        <v>0</v>
      </c>
      <c r="C661" s="255" t="s">
        <v>3729</v>
      </c>
      <c r="D661" s="235" t="s">
        <v>3730</v>
      </c>
      <c r="E661" s="235">
        <v>52</v>
      </c>
      <c r="F661" s="235" t="s">
        <v>75</v>
      </c>
      <c r="G661" s="235" t="s">
        <v>3731</v>
      </c>
      <c r="H661" s="237" t="s">
        <v>4</v>
      </c>
      <c r="I661" s="237"/>
      <c r="J661" s="240" t="s">
        <v>3732</v>
      </c>
      <c r="K661" s="240" t="s">
        <v>3733</v>
      </c>
      <c r="L661" s="237" t="s">
        <v>53</v>
      </c>
      <c r="M661" s="237"/>
      <c r="N661" s="237"/>
      <c r="O661" s="237"/>
      <c r="P661" s="237"/>
      <c r="Q661" s="245">
        <v>45968</v>
      </c>
      <c r="R661" s="237" t="s">
        <v>309</v>
      </c>
      <c r="S661" s="331" t="s">
        <v>233</v>
      </c>
      <c r="T661" s="237">
        <v>0</v>
      </c>
      <c r="U661" s="237" t="s">
        <v>298</v>
      </c>
      <c r="V661" s="237" t="s">
        <v>228</v>
      </c>
      <c r="W661" s="244" t="s">
        <v>228</v>
      </c>
      <c r="X661" s="237" t="s">
        <v>228</v>
      </c>
      <c r="Y661" s="237" t="s">
        <v>228</v>
      </c>
      <c r="Z661" s="237" t="s">
        <v>237</v>
      </c>
      <c r="AA661" s="237" t="s">
        <v>3734</v>
      </c>
      <c r="AB661" s="337" t="s">
        <v>228</v>
      </c>
      <c r="AC661" s="237" t="s">
        <v>228</v>
      </c>
      <c r="AD661" s="562"/>
      <c r="AE661" s="555"/>
      <c r="AF661" s="237"/>
    </row>
    <row r="662" spans="1:130" ht="13.5" customHeight="1">
      <c r="A662" s="235">
        <v>660</v>
      </c>
      <c r="B662" s="235">
        <v>0</v>
      </c>
      <c r="C662" s="255" t="s">
        <v>3735</v>
      </c>
      <c r="D662" s="235" t="s">
        <v>3736</v>
      </c>
      <c r="E662" s="235">
        <v>73</v>
      </c>
      <c r="F662" s="235" t="s">
        <v>75</v>
      </c>
      <c r="G662" s="235" t="s">
        <v>3737</v>
      </c>
      <c r="H662" s="237" t="s">
        <v>5</v>
      </c>
      <c r="I662" s="237"/>
      <c r="J662" s="235" t="s">
        <v>433</v>
      </c>
      <c r="K662" s="240" t="s">
        <v>3738</v>
      </c>
      <c r="L662" s="237" t="s">
        <v>53</v>
      </c>
      <c r="M662" s="237" t="s">
        <v>3739</v>
      </c>
      <c r="N662" s="237"/>
      <c r="O662" s="237"/>
      <c r="P662" s="237"/>
      <c r="Q662" s="245">
        <v>45972</v>
      </c>
      <c r="R662" s="237" t="s">
        <v>309</v>
      </c>
      <c r="S662" s="331" t="s">
        <v>233</v>
      </c>
      <c r="T662" s="237">
        <v>0</v>
      </c>
      <c r="U662" s="237" t="s">
        <v>234</v>
      </c>
      <c r="V662" s="237" t="s">
        <v>228</v>
      </c>
      <c r="W662" s="244" t="s">
        <v>228</v>
      </c>
      <c r="X662" s="237" t="s">
        <v>228</v>
      </c>
      <c r="Y662" s="237" t="s">
        <v>228</v>
      </c>
      <c r="Z662" s="237" t="s">
        <v>228</v>
      </c>
      <c r="AA662" s="237" t="s">
        <v>3740</v>
      </c>
      <c r="AB662" s="337" t="s">
        <v>228</v>
      </c>
      <c r="AC662" s="237" t="s">
        <v>228</v>
      </c>
      <c r="AD662" s="562"/>
      <c r="AE662" s="555"/>
      <c r="AF662" s="237"/>
    </row>
    <row r="663" spans="1:130" s="306" customFormat="1" ht="13.5" customHeight="1">
      <c r="A663" s="306">
        <v>661</v>
      </c>
      <c r="B663" s="306" t="s">
        <v>3741</v>
      </c>
      <c r="C663" s="307" t="s">
        <v>3742</v>
      </c>
      <c r="D663" s="306" t="s">
        <v>3743</v>
      </c>
      <c r="E663" s="306">
        <v>50</v>
      </c>
      <c r="F663" s="306" t="s">
        <v>60</v>
      </c>
      <c r="G663" s="306">
        <v>0</v>
      </c>
      <c r="H663" s="264" t="s">
        <v>15</v>
      </c>
      <c r="I663" s="264"/>
      <c r="K663" s="290" t="s">
        <v>159</v>
      </c>
      <c r="L663" s="289" t="s">
        <v>358</v>
      </c>
      <c r="M663" s="264" t="s">
        <v>3744</v>
      </c>
      <c r="N663" s="264"/>
      <c r="O663" s="264"/>
      <c r="P663" s="264"/>
      <c r="Q663" s="314">
        <v>45973</v>
      </c>
      <c r="R663" s="264" t="s">
        <v>309</v>
      </c>
      <c r="S663" s="366" t="s">
        <v>233</v>
      </c>
      <c r="T663" s="264">
        <v>0</v>
      </c>
      <c r="U663" s="264" t="s">
        <v>234</v>
      </c>
      <c r="V663" s="264" t="s">
        <v>228</v>
      </c>
      <c r="W663" s="308" t="s">
        <v>228</v>
      </c>
      <c r="X663" s="264" t="s">
        <v>228</v>
      </c>
      <c r="Y663" s="264" t="s">
        <v>228</v>
      </c>
      <c r="Z663" s="264" t="s">
        <v>228</v>
      </c>
      <c r="AA663" s="264" t="s">
        <v>3745</v>
      </c>
      <c r="AB663" s="364" t="s">
        <v>228</v>
      </c>
      <c r="AC663" s="264" t="s">
        <v>228</v>
      </c>
      <c r="AD663" s="565"/>
      <c r="AE663" s="557"/>
      <c r="AF663" s="264"/>
      <c r="AG663" s="309"/>
      <c r="AH663" s="309"/>
      <c r="AI663" s="309"/>
      <c r="AJ663" s="309"/>
      <c r="AK663" s="309"/>
      <c r="AL663" s="309"/>
      <c r="AM663" s="309"/>
      <c r="AN663" s="309"/>
      <c r="AO663" s="309"/>
      <c r="AP663" s="309"/>
      <c r="AQ663" s="309"/>
      <c r="AR663" s="309"/>
      <c r="AS663" s="309"/>
      <c r="AT663" s="309"/>
      <c r="AU663" s="309"/>
      <c r="AV663" s="309"/>
      <c r="AW663" s="309"/>
      <c r="AX663" s="309"/>
      <c r="AY663" s="309"/>
      <c r="AZ663" s="309"/>
      <c r="BA663" s="309"/>
      <c r="BB663" s="309"/>
      <c r="BC663" s="309"/>
      <c r="BD663" s="309"/>
      <c r="BE663" s="309"/>
      <c r="BF663" s="309"/>
      <c r="BG663" s="309"/>
      <c r="BH663" s="309"/>
      <c r="BI663" s="309"/>
      <c r="BJ663" s="309"/>
      <c r="BK663" s="309"/>
      <c r="BL663" s="309"/>
      <c r="BM663" s="309"/>
      <c r="BN663" s="309"/>
      <c r="BO663" s="309"/>
      <c r="BP663" s="309"/>
      <c r="BQ663" s="309"/>
      <c r="BR663" s="309"/>
      <c r="BS663" s="309"/>
      <c r="BT663" s="309"/>
      <c r="BU663" s="309"/>
      <c r="BV663" s="309"/>
      <c r="BW663" s="309"/>
      <c r="BX663" s="309"/>
      <c r="BY663" s="309"/>
      <c r="BZ663" s="309"/>
      <c r="CA663" s="309"/>
      <c r="CB663" s="309"/>
      <c r="CC663" s="309"/>
      <c r="CD663" s="309"/>
      <c r="CE663" s="309"/>
      <c r="CF663" s="309"/>
      <c r="CG663" s="309"/>
      <c r="CH663" s="309"/>
      <c r="CI663" s="309"/>
      <c r="CJ663" s="309"/>
      <c r="CK663" s="309"/>
      <c r="CL663" s="309"/>
      <c r="CM663" s="309"/>
      <c r="CN663" s="309"/>
      <c r="CO663" s="309"/>
      <c r="CP663" s="309"/>
      <c r="CQ663" s="309"/>
      <c r="CR663" s="309"/>
      <c r="CS663" s="309"/>
      <c r="CT663" s="309"/>
      <c r="CU663" s="309"/>
      <c r="CV663" s="309"/>
      <c r="CW663" s="309"/>
      <c r="CX663" s="309"/>
      <c r="CY663" s="309"/>
      <c r="CZ663" s="309"/>
      <c r="DA663" s="309"/>
      <c r="DB663" s="309"/>
      <c r="DC663" s="309"/>
      <c r="DD663" s="309"/>
      <c r="DE663" s="309"/>
      <c r="DF663" s="309"/>
      <c r="DG663" s="309"/>
      <c r="DH663" s="309"/>
      <c r="DI663" s="309"/>
      <c r="DJ663" s="309"/>
      <c r="DK663" s="309"/>
      <c r="DL663" s="309"/>
      <c r="DM663" s="309"/>
      <c r="DN663" s="309"/>
      <c r="DO663" s="309"/>
      <c r="DP663" s="309"/>
      <c r="DQ663" s="309"/>
      <c r="DR663" s="309"/>
      <c r="DS663" s="309"/>
      <c r="DT663" s="309"/>
      <c r="DU663" s="309"/>
      <c r="DV663" s="309"/>
      <c r="DW663" s="309"/>
      <c r="DX663" s="309"/>
      <c r="DY663" s="309"/>
      <c r="DZ663" s="310"/>
    </row>
    <row r="664" spans="1:130" ht="13.5" customHeight="1">
      <c r="A664" s="235">
        <v>662</v>
      </c>
      <c r="B664" s="235">
        <v>0</v>
      </c>
      <c r="C664" s="255" t="s">
        <v>3746</v>
      </c>
      <c r="D664" s="235" t="s">
        <v>3747</v>
      </c>
      <c r="E664" s="235">
        <v>66</v>
      </c>
      <c r="F664" s="235" t="s">
        <v>60</v>
      </c>
      <c r="G664" s="235" t="s">
        <v>3748</v>
      </c>
      <c r="H664" s="237" t="s">
        <v>188</v>
      </c>
      <c r="I664" s="237"/>
      <c r="K664" s="240"/>
      <c r="L664" s="237"/>
      <c r="M664" s="237"/>
      <c r="N664" s="237"/>
      <c r="O664" s="237"/>
      <c r="P664" s="237"/>
      <c r="Q664" s="245">
        <v>45974</v>
      </c>
      <c r="R664" s="237" t="s">
        <v>309</v>
      </c>
      <c r="S664" s="331" t="s">
        <v>233</v>
      </c>
      <c r="T664" s="237">
        <v>0</v>
      </c>
      <c r="U664" s="237" t="s">
        <v>298</v>
      </c>
      <c r="V664" s="237" t="s">
        <v>228</v>
      </c>
      <c r="W664" s="244" t="s">
        <v>228</v>
      </c>
      <c r="X664" s="237" t="s">
        <v>228</v>
      </c>
      <c r="Y664" s="237" t="s">
        <v>228</v>
      </c>
      <c r="Z664" s="237" t="s">
        <v>237</v>
      </c>
      <c r="AA664" s="237" t="s">
        <v>3749</v>
      </c>
      <c r="AB664" s="337" t="s">
        <v>228</v>
      </c>
      <c r="AC664" s="237" t="s">
        <v>228</v>
      </c>
      <c r="AD664" s="562"/>
      <c r="AE664" s="555"/>
      <c r="AF664" s="237"/>
    </row>
    <row r="665" spans="1:130" ht="13.5" customHeight="1">
      <c r="A665" s="235">
        <v>663</v>
      </c>
      <c r="B665" s="235">
        <v>0</v>
      </c>
      <c r="C665" s="255" t="s">
        <v>3750</v>
      </c>
      <c r="D665" s="235" t="s">
        <v>3751</v>
      </c>
      <c r="E665" s="235">
        <v>62</v>
      </c>
      <c r="F665" s="235" t="s">
        <v>60</v>
      </c>
      <c r="G665" s="235" t="s">
        <v>3752</v>
      </c>
      <c r="H665" s="237" t="s">
        <v>27</v>
      </c>
      <c r="I665" s="237"/>
      <c r="J665" s="235" t="s">
        <v>433</v>
      </c>
      <c r="K665" s="240"/>
      <c r="L665" s="237"/>
      <c r="M665" s="237"/>
      <c r="N665" s="237"/>
      <c r="O665" s="237"/>
      <c r="P665" s="237"/>
      <c r="Q665" s="245">
        <v>45978</v>
      </c>
      <c r="R665" s="237" t="s">
        <v>309</v>
      </c>
      <c r="S665" s="335" t="s">
        <v>3715</v>
      </c>
      <c r="T665" s="237">
        <v>0</v>
      </c>
      <c r="U665" s="237" t="s">
        <v>234</v>
      </c>
      <c r="V665" s="237" t="s">
        <v>228</v>
      </c>
      <c r="W665" s="244" t="s">
        <v>228</v>
      </c>
      <c r="X665" s="237" t="s">
        <v>228</v>
      </c>
      <c r="Y665" s="237" t="s">
        <v>228</v>
      </c>
      <c r="Z665" s="237" t="s">
        <v>228</v>
      </c>
      <c r="AA665" s="237" t="s">
        <v>3753</v>
      </c>
      <c r="AB665" s="337" t="s">
        <v>228</v>
      </c>
      <c r="AC665" s="237" t="s">
        <v>228</v>
      </c>
      <c r="AD665" s="562"/>
      <c r="AE665" s="555"/>
      <c r="AF665" s="237"/>
    </row>
    <row r="666" spans="1:130" ht="13.5" customHeight="1">
      <c r="A666" s="235">
        <v>664</v>
      </c>
      <c r="B666" s="235">
        <v>0</v>
      </c>
      <c r="C666" s="255" t="s">
        <v>3754</v>
      </c>
      <c r="D666" s="235" t="s">
        <v>3755</v>
      </c>
      <c r="E666" s="235">
        <v>53</v>
      </c>
      <c r="F666" s="235" t="s">
        <v>60</v>
      </c>
      <c r="G666" s="235" t="s">
        <v>3756</v>
      </c>
      <c r="H666" s="237" t="s">
        <v>5</v>
      </c>
      <c r="I666" s="237"/>
      <c r="J666" s="235" t="s">
        <v>433</v>
      </c>
      <c r="K666" s="240" t="s">
        <v>3757</v>
      </c>
      <c r="L666" s="237" t="s">
        <v>53</v>
      </c>
      <c r="M666" s="237"/>
      <c r="N666" s="237"/>
      <c r="O666" s="237"/>
      <c r="P666" s="237"/>
      <c r="Q666" s="245">
        <v>45980</v>
      </c>
      <c r="R666" s="237" t="s">
        <v>309</v>
      </c>
      <c r="S666" s="341" t="s">
        <v>233</v>
      </c>
      <c r="T666" s="237">
        <v>0</v>
      </c>
      <c r="U666" s="237" t="s">
        <v>234</v>
      </c>
      <c r="V666" s="237" t="s">
        <v>228</v>
      </c>
      <c r="W666" s="244" t="s">
        <v>228</v>
      </c>
      <c r="X666" s="237" t="s">
        <v>228</v>
      </c>
      <c r="Y666" s="237" t="s">
        <v>228</v>
      </c>
      <c r="Z666" s="237" t="s">
        <v>228</v>
      </c>
      <c r="AA666" s="237" t="s">
        <v>3758</v>
      </c>
      <c r="AB666" s="337" t="s">
        <v>228</v>
      </c>
      <c r="AC666" s="237" t="s">
        <v>228</v>
      </c>
      <c r="AD666" s="562"/>
      <c r="AE666" s="555"/>
      <c r="AF666" s="237"/>
    </row>
    <row r="667" spans="1:130" ht="13.5" customHeight="1">
      <c r="A667" s="235">
        <v>665</v>
      </c>
      <c r="B667" s="235">
        <v>0</v>
      </c>
      <c r="C667" s="255" t="s">
        <v>3759</v>
      </c>
      <c r="D667" s="235" t="s">
        <v>3760</v>
      </c>
      <c r="E667" s="235">
        <v>55</v>
      </c>
      <c r="F667" s="235" t="s">
        <v>75</v>
      </c>
      <c r="G667" s="235" t="s">
        <v>3761</v>
      </c>
      <c r="H667" s="237" t="s">
        <v>188</v>
      </c>
      <c r="I667" s="237"/>
      <c r="K667" s="240"/>
      <c r="L667" s="237"/>
      <c r="M667" s="237"/>
      <c r="N667" s="237"/>
      <c r="O667" s="237"/>
      <c r="P667" s="237"/>
      <c r="Q667" s="527">
        <v>45981</v>
      </c>
      <c r="R667" s="337" t="s">
        <v>309</v>
      </c>
      <c r="S667" s="330" t="s">
        <v>3715</v>
      </c>
      <c r="T667" s="339">
        <v>0</v>
      </c>
      <c r="U667" s="237" t="s">
        <v>234</v>
      </c>
      <c r="V667" s="237" t="s">
        <v>228</v>
      </c>
      <c r="W667" s="244" t="s">
        <v>228</v>
      </c>
      <c r="X667" s="237" t="s">
        <v>228</v>
      </c>
      <c r="Y667" s="237" t="s">
        <v>228</v>
      </c>
      <c r="Z667" s="237" t="s">
        <v>228</v>
      </c>
      <c r="AA667" s="237" t="s">
        <v>3762</v>
      </c>
      <c r="AB667" s="337" t="s">
        <v>228</v>
      </c>
      <c r="AC667" s="237" t="s">
        <v>228</v>
      </c>
      <c r="AD667" s="562"/>
      <c r="AE667" s="555"/>
      <c r="AF667" s="237"/>
    </row>
    <row r="668" spans="1:130" ht="13.5" customHeight="1">
      <c r="A668" s="235">
        <v>666</v>
      </c>
      <c r="B668" s="235">
        <v>0</v>
      </c>
      <c r="C668" s="255" t="s">
        <v>3763</v>
      </c>
      <c r="D668" s="235" t="s">
        <v>3764</v>
      </c>
      <c r="E668" s="235">
        <v>43</v>
      </c>
      <c r="F668" s="235" t="s">
        <v>75</v>
      </c>
      <c r="G668" s="235" t="s">
        <v>3765</v>
      </c>
      <c r="H668" s="237" t="s">
        <v>3</v>
      </c>
      <c r="I668" s="237"/>
      <c r="J668" s="240" t="s">
        <v>3732</v>
      </c>
      <c r="K668" s="240" t="s">
        <v>3766</v>
      </c>
      <c r="L668" s="237" t="s">
        <v>16</v>
      </c>
      <c r="M668" s="237" t="s">
        <v>3767</v>
      </c>
      <c r="N668" s="237" t="s">
        <v>3768</v>
      </c>
      <c r="O668" s="237"/>
      <c r="P668" s="237"/>
      <c r="Q668" s="527">
        <v>45982</v>
      </c>
      <c r="R668" s="337" t="s">
        <v>309</v>
      </c>
      <c r="S668" s="330" t="s">
        <v>233</v>
      </c>
      <c r="T668" s="339">
        <v>0</v>
      </c>
      <c r="U668" s="237" t="s">
        <v>298</v>
      </c>
      <c r="V668" s="237" t="s">
        <v>228</v>
      </c>
      <c r="W668" s="244" t="s">
        <v>228</v>
      </c>
      <c r="X668" s="237" t="s">
        <v>228</v>
      </c>
      <c r="Y668" s="237" t="s">
        <v>228</v>
      </c>
      <c r="Z668" s="237" t="s">
        <v>237</v>
      </c>
      <c r="AA668" s="237" t="s">
        <v>3769</v>
      </c>
      <c r="AB668" s="337" t="s">
        <v>228</v>
      </c>
      <c r="AC668" s="237" t="s">
        <v>228</v>
      </c>
      <c r="AD668" s="562"/>
      <c r="AE668" s="555"/>
      <c r="AF668" s="237"/>
    </row>
    <row r="669" spans="1:130" ht="13.5" customHeight="1">
      <c r="A669" s="235">
        <v>667</v>
      </c>
      <c r="B669" s="235">
        <v>0</v>
      </c>
      <c r="C669" s="255" t="s">
        <v>3770</v>
      </c>
      <c r="D669" s="235" t="s">
        <v>3771</v>
      </c>
      <c r="E669" s="235">
        <v>33</v>
      </c>
      <c r="F669" s="235" t="s">
        <v>75</v>
      </c>
      <c r="G669" s="235" t="s">
        <v>3772</v>
      </c>
      <c r="H669" s="237" t="s">
        <v>188</v>
      </c>
      <c r="I669" s="237"/>
      <c r="K669" s="240"/>
      <c r="L669" s="237"/>
      <c r="M669" s="237"/>
      <c r="N669" s="237"/>
      <c r="O669" s="237"/>
      <c r="P669" s="237"/>
      <c r="Q669" s="527">
        <v>45983</v>
      </c>
      <c r="R669" s="337" t="s">
        <v>309</v>
      </c>
      <c r="S669" s="330" t="s">
        <v>3715</v>
      </c>
      <c r="T669" s="339">
        <v>0</v>
      </c>
      <c r="U669" s="237" t="s">
        <v>234</v>
      </c>
      <c r="V669" s="237" t="s">
        <v>228</v>
      </c>
      <c r="W669" s="244" t="s">
        <v>228</v>
      </c>
      <c r="X669" s="237" t="s">
        <v>228</v>
      </c>
      <c r="Y669" s="237" t="s">
        <v>228</v>
      </c>
      <c r="Z669" s="237" t="s">
        <v>228</v>
      </c>
      <c r="AA669" s="237" t="s">
        <v>3773</v>
      </c>
      <c r="AB669" s="337" t="s">
        <v>228</v>
      </c>
      <c r="AC669" s="237" t="s">
        <v>228</v>
      </c>
      <c r="AD669" s="562"/>
      <c r="AE669" s="555"/>
      <c r="AF669" s="237"/>
    </row>
    <row r="670" spans="1:130" ht="13.5" customHeight="1">
      <c r="A670" s="235">
        <v>668</v>
      </c>
      <c r="B670" s="235">
        <v>0</v>
      </c>
      <c r="C670" s="255" t="s">
        <v>3774</v>
      </c>
      <c r="D670" s="235" t="s">
        <v>3775</v>
      </c>
      <c r="E670" s="235">
        <v>76</v>
      </c>
      <c r="F670" s="235" t="s">
        <v>75</v>
      </c>
      <c r="G670" s="235" t="s">
        <v>3776</v>
      </c>
      <c r="H670" s="237" t="s">
        <v>4</v>
      </c>
      <c r="I670" s="237" t="s">
        <v>3026</v>
      </c>
      <c r="K670" s="240" t="s">
        <v>3777</v>
      </c>
      <c r="L670" s="237" t="s">
        <v>3778</v>
      </c>
      <c r="M670" s="237"/>
      <c r="N670" s="237"/>
      <c r="O670" s="237"/>
      <c r="P670" s="237"/>
      <c r="Q670" s="527">
        <v>45989</v>
      </c>
      <c r="R670" s="337" t="s">
        <v>309</v>
      </c>
      <c r="S670" s="330" t="s">
        <v>233</v>
      </c>
      <c r="T670" s="339">
        <v>0</v>
      </c>
      <c r="U670" s="237" t="s">
        <v>298</v>
      </c>
      <c r="V670" s="237" t="s">
        <v>228</v>
      </c>
      <c r="W670" s="244" t="s">
        <v>228</v>
      </c>
      <c r="X670" s="237" t="s">
        <v>228</v>
      </c>
      <c r="Y670" s="237" t="s">
        <v>228</v>
      </c>
      <c r="Z670" s="237" t="s">
        <v>237</v>
      </c>
      <c r="AA670" s="237" t="s">
        <v>3779</v>
      </c>
      <c r="AB670" s="337" t="s">
        <v>228</v>
      </c>
      <c r="AC670" s="237" t="s">
        <v>228</v>
      </c>
      <c r="AD670" s="562"/>
      <c r="AE670" s="555"/>
      <c r="AF670" s="237"/>
    </row>
    <row r="671" spans="1:130" ht="13.5" customHeight="1">
      <c r="A671" s="235">
        <v>669</v>
      </c>
      <c r="B671" s="235">
        <v>0</v>
      </c>
      <c r="C671" s="255" t="s">
        <v>3780</v>
      </c>
      <c r="D671" s="235" t="s">
        <v>3781</v>
      </c>
      <c r="E671" s="235">
        <v>57</v>
      </c>
      <c r="F671" s="235" t="s">
        <v>60</v>
      </c>
      <c r="G671" s="235" t="s">
        <v>3782</v>
      </c>
      <c r="H671" s="237" t="s">
        <v>188</v>
      </c>
      <c r="I671" s="237"/>
      <c r="K671" s="240"/>
      <c r="L671" s="237"/>
      <c r="M671" s="237"/>
      <c r="N671" s="237"/>
      <c r="O671" s="237"/>
      <c r="P671" s="237"/>
      <c r="Q671" s="527">
        <v>45990</v>
      </c>
      <c r="R671" s="337" t="s">
        <v>309</v>
      </c>
      <c r="S671" s="330" t="s">
        <v>233</v>
      </c>
      <c r="T671" s="339">
        <v>0</v>
      </c>
      <c r="U671" s="237" t="s">
        <v>298</v>
      </c>
      <c r="V671" s="237" t="s">
        <v>228</v>
      </c>
      <c r="W671" s="244" t="s">
        <v>228</v>
      </c>
      <c r="X671" s="237" t="s">
        <v>228</v>
      </c>
      <c r="Y671" s="237" t="s">
        <v>228</v>
      </c>
      <c r="Z671" s="237" t="s">
        <v>228</v>
      </c>
      <c r="AA671" s="237" t="s">
        <v>3783</v>
      </c>
      <c r="AB671" s="337" t="s">
        <v>228</v>
      </c>
      <c r="AC671" s="237" t="s">
        <v>228</v>
      </c>
      <c r="AD671" s="562"/>
      <c r="AE671" s="555"/>
      <c r="AF671" s="237"/>
    </row>
    <row r="672" spans="1:130" ht="13.5" customHeight="1">
      <c r="A672" s="235">
        <v>670</v>
      </c>
      <c r="B672" s="235">
        <v>0</v>
      </c>
      <c r="C672" s="255" t="s">
        <v>3784</v>
      </c>
      <c r="D672" s="235" t="s">
        <v>3785</v>
      </c>
      <c r="E672" s="235">
        <v>56</v>
      </c>
      <c r="F672" s="235" t="s">
        <v>75</v>
      </c>
      <c r="G672" s="235" t="s">
        <v>3786</v>
      </c>
      <c r="H672" s="237" t="s">
        <v>15</v>
      </c>
      <c r="I672" s="249" t="s">
        <v>48</v>
      </c>
      <c r="K672" s="237" t="s">
        <v>162</v>
      </c>
      <c r="L672" s="237" t="s">
        <v>162</v>
      </c>
      <c r="M672" s="237" t="s">
        <v>3787</v>
      </c>
      <c r="N672" s="237"/>
      <c r="O672" s="237"/>
      <c r="P672" s="237"/>
      <c r="Q672" s="527">
        <v>45990</v>
      </c>
      <c r="R672" s="337" t="s">
        <v>309</v>
      </c>
      <c r="S672" s="330" t="s">
        <v>233</v>
      </c>
      <c r="T672" s="339">
        <v>0</v>
      </c>
      <c r="U672" s="237" t="s">
        <v>298</v>
      </c>
      <c r="V672" s="237" t="s">
        <v>228</v>
      </c>
      <c r="W672" s="244" t="s">
        <v>228</v>
      </c>
      <c r="X672" s="237" t="s">
        <v>228</v>
      </c>
      <c r="Y672" s="237" t="s">
        <v>228</v>
      </c>
      <c r="Z672" s="237" t="s">
        <v>237</v>
      </c>
      <c r="AA672" s="237" t="s">
        <v>3788</v>
      </c>
      <c r="AB672" s="337" t="s">
        <v>228</v>
      </c>
      <c r="AC672" s="237" t="s">
        <v>228</v>
      </c>
      <c r="AD672" s="562"/>
      <c r="AE672" s="555"/>
      <c r="AF672" s="237"/>
    </row>
    <row r="673" spans="1:130" ht="13.5" customHeight="1">
      <c r="A673" s="235">
        <v>671</v>
      </c>
      <c r="B673" s="235">
        <v>0</v>
      </c>
      <c r="C673" s="255" t="s">
        <v>3789</v>
      </c>
      <c r="D673" s="235" t="s">
        <v>3790</v>
      </c>
      <c r="E673" s="235">
        <v>63</v>
      </c>
      <c r="F673" s="235" t="s">
        <v>75</v>
      </c>
      <c r="G673" s="235" t="s">
        <v>3791</v>
      </c>
      <c r="H673" s="237" t="s">
        <v>188</v>
      </c>
      <c r="I673" s="237"/>
      <c r="K673" s="240"/>
      <c r="L673" s="237"/>
      <c r="M673" s="237"/>
      <c r="N673" s="237"/>
      <c r="O673" s="237"/>
      <c r="P673" s="237"/>
      <c r="Q673" s="527">
        <v>45991</v>
      </c>
      <c r="R673" s="337" t="s">
        <v>309</v>
      </c>
      <c r="S673" s="330" t="s">
        <v>3715</v>
      </c>
      <c r="T673" s="339">
        <v>0</v>
      </c>
      <c r="U673" s="237" t="s">
        <v>298</v>
      </c>
      <c r="V673" s="237" t="s">
        <v>228</v>
      </c>
      <c r="W673" s="244" t="s">
        <v>228</v>
      </c>
      <c r="X673" s="237" t="s">
        <v>228</v>
      </c>
      <c r="Y673" s="237" t="s">
        <v>228</v>
      </c>
      <c r="Z673" s="237" t="s">
        <v>228</v>
      </c>
      <c r="AA673" s="237" t="s">
        <v>3792</v>
      </c>
      <c r="AB673" s="337" t="s">
        <v>228</v>
      </c>
      <c r="AC673" s="237" t="s">
        <v>228</v>
      </c>
      <c r="AD673" s="562"/>
      <c r="AE673" s="555"/>
      <c r="AF673" s="237"/>
    </row>
    <row r="674" spans="1:130" ht="13.5" customHeight="1">
      <c r="A674" s="235">
        <v>672</v>
      </c>
      <c r="B674" s="235">
        <v>0</v>
      </c>
      <c r="C674" s="243" t="s">
        <v>3793</v>
      </c>
      <c r="D674" s="235" t="s">
        <v>3794</v>
      </c>
      <c r="E674" s="235">
        <v>63</v>
      </c>
      <c r="F674" s="235" t="s">
        <v>75</v>
      </c>
      <c r="G674" s="235" t="s">
        <v>3795</v>
      </c>
      <c r="H674" s="268" t="s">
        <v>27</v>
      </c>
      <c r="I674" s="237"/>
      <c r="J674" s="235" t="s">
        <v>433</v>
      </c>
      <c r="K674" s="240"/>
      <c r="L674" s="237"/>
      <c r="M674" s="237"/>
      <c r="N674" s="237"/>
      <c r="O674" s="237"/>
      <c r="P674" s="237"/>
      <c r="Q674" s="527">
        <v>45992</v>
      </c>
      <c r="R674" s="337" t="s">
        <v>309</v>
      </c>
      <c r="S674" s="330" t="s">
        <v>3715</v>
      </c>
      <c r="T674" s="339">
        <v>0</v>
      </c>
      <c r="U674" s="237" t="s">
        <v>234</v>
      </c>
      <c r="V674" s="237" t="s">
        <v>228</v>
      </c>
      <c r="W674" s="244" t="s">
        <v>228</v>
      </c>
      <c r="X674" s="237" t="s">
        <v>228</v>
      </c>
      <c r="Y674" s="237" t="s">
        <v>228</v>
      </c>
      <c r="Z674" s="237" t="s">
        <v>228</v>
      </c>
      <c r="AA674" s="237" t="s">
        <v>3796</v>
      </c>
      <c r="AB674" s="337" t="s">
        <v>228</v>
      </c>
      <c r="AC674" s="237" t="s">
        <v>228</v>
      </c>
      <c r="AD674" s="562"/>
      <c r="AE674" s="550"/>
      <c r="AF674" s="237"/>
    </row>
    <row r="675" spans="1:130" ht="13.5" customHeight="1">
      <c r="A675" s="235">
        <v>673</v>
      </c>
      <c r="B675" s="237"/>
      <c r="C675" s="256" t="s">
        <v>3797</v>
      </c>
      <c r="D675" s="237" t="s">
        <v>3798</v>
      </c>
      <c r="E675" s="237">
        <v>27</v>
      </c>
      <c r="F675" s="237" t="s">
        <v>60</v>
      </c>
      <c r="G675" s="237" t="s">
        <v>3799</v>
      </c>
      <c r="H675" s="243" t="s">
        <v>188</v>
      </c>
      <c r="I675" s="243"/>
      <c r="K675" s="240"/>
      <c r="L675" s="243" t="s">
        <v>231</v>
      </c>
      <c r="M675" s="243" t="s">
        <v>231</v>
      </c>
      <c r="N675" s="237"/>
      <c r="O675" s="237"/>
      <c r="P675" s="237"/>
      <c r="Q675" s="527">
        <v>45895</v>
      </c>
      <c r="R675" s="337" t="s">
        <v>309</v>
      </c>
      <c r="S675" s="330" t="s">
        <v>233</v>
      </c>
      <c r="T675" s="339" t="s">
        <v>228</v>
      </c>
      <c r="U675" s="237" t="s">
        <v>234</v>
      </c>
      <c r="V675" s="237" t="s">
        <v>652</v>
      </c>
      <c r="W675" s="244">
        <v>45947</v>
      </c>
      <c r="X675" s="237" t="s">
        <v>3800</v>
      </c>
      <c r="Y675" s="237" t="s">
        <v>588</v>
      </c>
      <c r="Z675" s="237" t="s">
        <v>228</v>
      </c>
      <c r="AA675" s="237" t="s">
        <v>3801</v>
      </c>
      <c r="AB675" s="337" t="s">
        <v>228</v>
      </c>
      <c r="AC675" s="237" t="s">
        <v>228</v>
      </c>
      <c r="AD675" s="566"/>
      <c r="AE675" s="551"/>
      <c r="AF675" s="237"/>
    </row>
    <row r="676" spans="1:130" ht="13.5" customHeight="1">
      <c r="A676" s="235">
        <v>674</v>
      </c>
      <c r="B676" s="235">
        <v>0</v>
      </c>
      <c r="C676" s="243" t="s">
        <v>3802</v>
      </c>
      <c r="D676" s="235" t="s">
        <v>3803</v>
      </c>
      <c r="E676" s="235">
        <v>25</v>
      </c>
      <c r="F676" s="235" t="s">
        <v>75</v>
      </c>
      <c r="G676" s="235" t="s">
        <v>3804</v>
      </c>
      <c r="H676" s="268" t="s">
        <v>15</v>
      </c>
      <c r="I676" s="237"/>
      <c r="K676" s="237" t="s">
        <v>3805</v>
      </c>
      <c r="L676" s="243" t="s">
        <v>1898</v>
      </c>
      <c r="M676" s="237"/>
      <c r="N676" s="237"/>
      <c r="O676" s="237"/>
      <c r="P676" s="237"/>
      <c r="Q676" s="527">
        <v>46002</v>
      </c>
      <c r="R676" s="337" t="s">
        <v>309</v>
      </c>
      <c r="S676" s="330" t="s">
        <v>233</v>
      </c>
      <c r="T676" s="339">
        <v>0</v>
      </c>
      <c r="U676" s="237" t="s">
        <v>298</v>
      </c>
      <c r="V676" s="237" t="s">
        <v>228</v>
      </c>
      <c r="W676" s="244" t="s">
        <v>228</v>
      </c>
      <c r="X676" s="237" t="s">
        <v>228</v>
      </c>
      <c r="Y676" s="237" t="s">
        <v>228</v>
      </c>
      <c r="Z676" s="237" t="s">
        <v>237</v>
      </c>
      <c r="AA676" s="237" t="s">
        <v>3806</v>
      </c>
      <c r="AB676" s="337" t="s">
        <v>228</v>
      </c>
      <c r="AC676" s="237" t="s">
        <v>228</v>
      </c>
      <c r="AD676" s="562"/>
      <c r="AE676" s="550"/>
      <c r="AF676" s="237"/>
    </row>
    <row r="677" spans="1:130" ht="13.5" customHeight="1">
      <c r="A677" s="235">
        <v>675</v>
      </c>
      <c r="B677" s="235">
        <v>0</v>
      </c>
      <c r="C677" s="243" t="s">
        <v>3807</v>
      </c>
      <c r="D677" s="235" t="s">
        <v>3808</v>
      </c>
      <c r="E677" s="235">
        <v>29</v>
      </c>
      <c r="F677" s="235" t="s">
        <v>60</v>
      </c>
      <c r="G677" s="235" t="s">
        <v>3809</v>
      </c>
      <c r="H677" s="268" t="s">
        <v>188</v>
      </c>
      <c r="I677" s="237"/>
      <c r="K677" s="240"/>
      <c r="L677" s="237"/>
      <c r="M677" s="237"/>
      <c r="N677" s="237"/>
      <c r="O677" s="237"/>
      <c r="P677" s="237"/>
      <c r="Q677" s="527">
        <v>46002</v>
      </c>
      <c r="R677" s="337" t="s">
        <v>309</v>
      </c>
      <c r="S677" s="330" t="s">
        <v>233</v>
      </c>
      <c r="T677" s="339">
        <v>0</v>
      </c>
      <c r="U677" s="237" t="s">
        <v>298</v>
      </c>
      <c r="V677" s="237" t="s">
        <v>228</v>
      </c>
      <c r="W677" s="244" t="s">
        <v>228</v>
      </c>
      <c r="X677" s="237" t="s">
        <v>228</v>
      </c>
      <c r="Y677" s="237" t="s">
        <v>228</v>
      </c>
      <c r="Z677" s="237" t="s">
        <v>237</v>
      </c>
      <c r="AA677" s="237" t="s">
        <v>3810</v>
      </c>
      <c r="AB677" s="337" t="s">
        <v>228</v>
      </c>
      <c r="AC677" s="237" t="s">
        <v>228</v>
      </c>
      <c r="AD677" s="562"/>
      <c r="AE677" s="550"/>
      <c r="AF677" s="237"/>
    </row>
    <row r="678" spans="1:130" ht="13.5" customHeight="1">
      <c r="A678" s="235">
        <v>676</v>
      </c>
      <c r="B678" s="235">
        <v>0</v>
      </c>
      <c r="C678" s="243" t="s">
        <v>3811</v>
      </c>
      <c r="D678" s="235" t="s">
        <v>3812</v>
      </c>
      <c r="E678" s="235">
        <v>60</v>
      </c>
      <c r="F678" s="235" t="s">
        <v>60</v>
      </c>
      <c r="G678" s="235">
        <v>0</v>
      </c>
      <c r="H678" s="268" t="s">
        <v>188</v>
      </c>
      <c r="I678" s="237"/>
      <c r="K678" s="240"/>
      <c r="L678" s="237"/>
      <c r="M678" s="237"/>
      <c r="N678" s="237"/>
      <c r="O678" s="237"/>
      <c r="P678" s="237"/>
      <c r="Q678" s="527">
        <v>46020</v>
      </c>
      <c r="R678" s="337" t="s">
        <v>309</v>
      </c>
      <c r="S678" s="330" t="s">
        <v>233</v>
      </c>
      <c r="T678" s="339">
        <v>0</v>
      </c>
      <c r="U678" s="237" t="s">
        <v>234</v>
      </c>
      <c r="V678" s="237" t="s">
        <v>228</v>
      </c>
      <c r="W678" s="244" t="s">
        <v>228</v>
      </c>
      <c r="X678" s="237" t="s">
        <v>228</v>
      </c>
      <c r="Y678" s="237" t="s">
        <v>228</v>
      </c>
      <c r="Z678" s="237" t="s">
        <v>228</v>
      </c>
      <c r="AA678" s="237" t="s">
        <v>3813</v>
      </c>
      <c r="AB678" s="337" t="s">
        <v>228</v>
      </c>
      <c r="AC678" s="237" t="s">
        <v>228</v>
      </c>
      <c r="AD678" s="562"/>
      <c r="AE678" s="550"/>
      <c r="AF678" s="237"/>
    </row>
    <row r="679" spans="1:130" ht="13.5" customHeight="1">
      <c r="A679" s="235">
        <v>677</v>
      </c>
      <c r="B679" s="235">
        <v>0</v>
      </c>
      <c r="C679" s="243" t="s">
        <v>3814</v>
      </c>
      <c r="D679" s="235" t="s">
        <v>3815</v>
      </c>
      <c r="E679" s="235">
        <v>64</v>
      </c>
      <c r="F679" s="235" t="s">
        <v>60</v>
      </c>
      <c r="G679" s="235" t="s">
        <v>3816</v>
      </c>
      <c r="H679" s="268" t="s">
        <v>188</v>
      </c>
      <c r="I679" s="237"/>
      <c r="K679" s="240"/>
      <c r="L679" s="237"/>
      <c r="M679" s="237"/>
      <c r="N679" s="237"/>
      <c r="O679" s="237"/>
      <c r="P679" s="237"/>
      <c r="Q679" s="527">
        <v>46020</v>
      </c>
      <c r="R679" s="337" t="s">
        <v>309</v>
      </c>
      <c r="S679" s="330" t="s">
        <v>233</v>
      </c>
      <c r="T679" s="339">
        <v>0</v>
      </c>
      <c r="U679" s="237" t="s">
        <v>234</v>
      </c>
      <c r="V679" s="237" t="s">
        <v>228</v>
      </c>
      <c r="W679" s="244" t="s">
        <v>228</v>
      </c>
      <c r="X679" s="237" t="s">
        <v>228</v>
      </c>
      <c r="Y679" s="237" t="s">
        <v>228</v>
      </c>
      <c r="Z679" s="237" t="s">
        <v>228</v>
      </c>
      <c r="AA679" s="237" t="s">
        <v>3817</v>
      </c>
      <c r="AB679" s="337" t="s">
        <v>228</v>
      </c>
      <c r="AC679" s="237" t="s">
        <v>228</v>
      </c>
      <c r="AD679" s="562"/>
      <c r="AE679" s="550"/>
      <c r="AF679" s="237"/>
    </row>
    <row r="680" spans="1:130" ht="13.5" customHeight="1">
      <c r="A680" s="235">
        <v>678</v>
      </c>
      <c r="B680" s="235">
        <v>0</v>
      </c>
      <c r="C680" s="243" t="s">
        <v>3818</v>
      </c>
      <c r="D680" s="235" t="s">
        <v>3819</v>
      </c>
      <c r="E680" s="235">
        <v>58</v>
      </c>
      <c r="F680" s="235" t="s">
        <v>75</v>
      </c>
      <c r="G680" s="235" t="s">
        <v>3820</v>
      </c>
      <c r="H680" s="268" t="s">
        <v>188</v>
      </c>
      <c r="I680" s="237"/>
      <c r="K680" s="240"/>
      <c r="L680" s="237"/>
      <c r="M680" s="237"/>
      <c r="N680" s="237"/>
      <c r="O680" s="237"/>
      <c r="P680" s="237"/>
      <c r="Q680" s="527">
        <v>46020</v>
      </c>
      <c r="R680" s="337" t="s">
        <v>309</v>
      </c>
      <c r="S680" s="330" t="s">
        <v>233</v>
      </c>
      <c r="T680" s="339">
        <v>0</v>
      </c>
      <c r="U680" s="237" t="s">
        <v>234</v>
      </c>
      <c r="V680" s="237" t="s">
        <v>228</v>
      </c>
      <c r="W680" s="244" t="s">
        <v>228</v>
      </c>
      <c r="X680" s="237" t="s">
        <v>228</v>
      </c>
      <c r="Y680" s="237" t="s">
        <v>228</v>
      </c>
      <c r="Z680" s="237" t="s">
        <v>228</v>
      </c>
      <c r="AA680" s="237" t="s">
        <v>3821</v>
      </c>
      <c r="AB680" s="337" t="s">
        <v>228</v>
      </c>
      <c r="AC680" s="237" t="s">
        <v>228</v>
      </c>
      <c r="AD680" s="562"/>
      <c r="AE680" s="550"/>
      <c r="AF680" s="237"/>
    </row>
    <row r="681" spans="1:130" ht="13.5" customHeight="1">
      <c r="A681" s="235">
        <v>679</v>
      </c>
      <c r="B681" s="235" t="s">
        <v>3822</v>
      </c>
      <c r="C681" s="243" t="s">
        <v>3823</v>
      </c>
      <c r="D681" s="235" t="s">
        <v>3824</v>
      </c>
      <c r="E681" s="235">
        <v>35</v>
      </c>
      <c r="F681" s="235" t="s">
        <v>75</v>
      </c>
      <c r="G681" s="235" t="s">
        <v>3825</v>
      </c>
      <c r="H681" s="237" t="s">
        <v>188</v>
      </c>
      <c r="I681" s="237"/>
      <c r="K681" s="240"/>
      <c r="L681" s="237"/>
      <c r="M681" s="237"/>
      <c r="N681" s="237"/>
      <c r="O681" s="237"/>
      <c r="P681" s="237"/>
      <c r="Q681" s="527">
        <v>45666</v>
      </c>
      <c r="R681" s="337" t="s">
        <v>309</v>
      </c>
      <c r="S681" s="330" t="s">
        <v>3715</v>
      </c>
      <c r="T681" s="339" t="s">
        <v>228</v>
      </c>
      <c r="U681" s="237" t="s">
        <v>234</v>
      </c>
      <c r="V681" s="237" t="s">
        <v>228</v>
      </c>
      <c r="W681" s="244" t="s">
        <v>228</v>
      </c>
      <c r="X681" s="237" t="s">
        <v>228</v>
      </c>
      <c r="Y681" s="237" t="s">
        <v>228</v>
      </c>
      <c r="Z681" s="237" t="s">
        <v>228</v>
      </c>
      <c r="AA681" s="237" t="s">
        <v>3826</v>
      </c>
      <c r="AB681" s="337" t="s">
        <v>228</v>
      </c>
      <c r="AC681" s="237" t="s">
        <v>228</v>
      </c>
      <c r="AD681" s="562"/>
      <c r="AE681" s="550"/>
      <c r="AF681" s="237"/>
    </row>
    <row r="682" spans="1:130" s="306" customFormat="1" ht="13.5" customHeight="1">
      <c r="A682" s="306">
        <v>680</v>
      </c>
      <c r="B682" s="306">
        <v>0</v>
      </c>
      <c r="C682" s="289" t="s">
        <v>3827</v>
      </c>
      <c r="D682" s="306" t="s">
        <v>3828</v>
      </c>
      <c r="E682" s="306">
        <v>65</v>
      </c>
      <c r="F682" s="306" t="s">
        <v>60</v>
      </c>
      <c r="G682" s="306" t="s">
        <v>3829</v>
      </c>
      <c r="H682" s="264" t="s">
        <v>3</v>
      </c>
      <c r="I682" s="264"/>
      <c r="J682" s="290" t="s">
        <v>886</v>
      </c>
      <c r="K682" s="290" t="s">
        <v>3830</v>
      </c>
      <c r="L682" s="264" t="s">
        <v>45</v>
      </c>
      <c r="M682" s="264" t="s">
        <v>426</v>
      </c>
      <c r="N682" s="264"/>
      <c r="O682" s="264"/>
      <c r="P682" s="264"/>
      <c r="Q682" s="575">
        <v>45667</v>
      </c>
      <c r="R682" s="364" t="s">
        <v>309</v>
      </c>
      <c r="S682" s="365" t="s">
        <v>3715</v>
      </c>
      <c r="T682" s="576">
        <v>8.6999999999999993</v>
      </c>
      <c r="U682" s="264" t="s">
        <v>234</v>
      </c>
      <c r="V682" s="264" t="s">
        <v>228</v>
      </c>
      <c r="W682" s="308" t="s">
        <v>228</v>
      </c>
      <c r="X682" s="264" t="s">
        <v>228</v>
      </c>
      <c r="Y682" s="264" t="s">
        <v>228</v>
      </c>
      <c r="Z682" s="264" t="s">
        <v>228</v>
      </c>
      <c r="AA682" s="264" t="s">
        <v>3831</v>
      </c>
      <c r="AB682" s="364" t="s">
        <v>228</v>
      </c>
      <c r="AC682" s="264" t="s">
        <v>228</v>
      </c>
      <c r="AD682" s="565"/>
      <c r="AE682" s="552"/>
      <c r="AF682" s="264"/>
      <c r="AG682" s="309"/>
      <c r="AH682" s="309"/>
      <c r="AI682" s="309"/>
      <c r="AJ682" s="309"/>
      <c r="AK682" s="309"/>
      <c r="AL682" s="309"/>
      <c r="AM682" s="309"/>
      <c r="AN682" s="309"/>
      <c r="AO682" s="309"/>
      <c r="AP682" s="309"/>
      <c r="AQ682" s="309"/>
      <c r="AR682" s="309"/>
      <c r="AS682" s="309"/>
      <c r="AT682" s="309"/>
      <c r="AU682" s="309"/>
      <c r="AV682" s="309"/>
      <c r="AW682" s="309"/>
      <c r="AX682" s="309"/>
      <c r="AY682" s="309"/>
      <c r="AZ682" s="309"/>
      <c r="BA682" s="309"/>
      <c r="BB682" s="309"/>
      <c r="BC682" s="309"/>
      <c r="BD682" s="309"/>
      <c r="BE682" s="309"/>
      <c r="BF682" s="309"/>
      <c r="BG682" s="309"/>
      <c r="BH682" s="309"/>
      <c r="BI682" s="309"/>
      <c r="BJ682" s="309"/>
      <c r="BK682" s="309"/>
      <c r="BL682" s="309"/>
      <c r="BM682" s="309"/>
      <c r="BN682" s="309"/>
      <c r="BO682" s="309"/>
      <c r="BP682" s="309"/>
      <c r="BQ682" s="309"/>
      <c r="BR682" s="309"/>
      <c r="BS682" s="309"/>
      <c r="BT682" s="309"/>
      <c r="BU682" s="309"/>
      <c r="BV682" s="309"/>
      <c r="BW682" s="309"/>
      <c r="BX682" s="309"/>
      <c r="BY682" s="309"/>
      <c r="BZ682" s="309"/>
      <c r="CA682" s="309"/>
      <c r="CB682" s="309"/>
      <c r="CC682" s="309"/>
      <c r="CD682" s="309"/>
      <c r="CE682" s="309"/>
      <c r="CF682" s="309"/>
      <c r="CG682" s="309"/>
      <c r="CH682" s="309"/>
      <c r="CI682" s="309"/>
      <c r="CJ682" s="309"/>
      <c r="CK682" s="309"/>
      <c r="CL682" s="309"/>
      <c r="CM682" s="309"/>
      <c r="CN682" s="309"/>
      <c r="CO682" s="309"/>
      <c r="CP682" s="309"/>
      <c r="CQ682" s="309"/>
      <c r="CR682" s="309"/>
      <c r="CS682" s="309"/>
      <c r="CT682" s="309"/>
      <c r="CU682" s="309"/>
      <c r="CV682" s="309"/>
      <c r="CW682" s="309"/>
      <c r="CX682" s="309"/>
      <c r="CY682" s="309"/>
      <c r="CZ682" s="309"/>
      <c r="DA682" s="309"/>
      <c r="DB682" s="309"/>
      <c r="DC682" s="309"/>
      <c r="DD682" s="309"/>
      <c r="DE682" s="309"/>
      <c r="DF682" s="309"/>
      <c r="DG682" s="309"/>
      <c r="DH682" s="309"/>
      <c r="DI682" s="309"/>
      <c r="DJ682" s="309"/>
      <c r="DK682" s="309"/>
      <c r="DL682" s="309"/>
      <c r="DM682" s="309"/>
      <c r="DN682" s="309"/>
      <c r="DO682" s="309"/>
      <c r="DP682" s="309"/>
      <c r="DQ682" s="309"/>
      <c r="DR682" s="309"/>
      <c r="DS682" s="309"/>
      <c r="DT682" s="309"/>
      <c r="DU682" s="309"/>
      <c r="DV682" s="309"/>
      <c r="DW682" s="309"/>
      <c r="DX682" s="309"/>
      <c r="DY682" s="309"/>
      <c r="DZ682" s="310"/>
    </row>
    <row r="683" spans="1:130" ht="13.5" customHeight="1">
      <c r="A683" s="235">
        <v>681</v>
      </c>
      <c r="B683" s="235" t="s">
        <v>3832</v>
      </c>
      <c r="C683" s="243" t="s">
        <v>3833</v>
      </c>
      <c r="D683" s="235" t="s">
        <v>3834</v>
      </c>
      <c r="E683" s="235">
        <v>32</v>
      </c>
      <c r="F683" s="235" t="s">
        <v>75</v>
      </c>
      <c r="G683" s="235" t="s">
        <v>3835</v>
      </c>
      <c r="H683" s="237" t="s">
        <v>188</v>
      </c>
      <c r="I683" s="237"/>
      <c r="J683" s="240"/>
      <c r="K683" s="240"/>
      <c r="L683" s="237"/>
      <c r="M683" s="237" t="s">
        <v>3836</v>
      </c>
      <c r="N683" s="237" t="s">
        <v>3837</v>
      </c>
      <c r="O683" s="237"/>
      <c r="P683" s="237"/>
      <c r="Q683" s="527">
        <v>45668</v>
      </c>
      <c r="R683" s="337" t="s">
        <v>309</v>
      </c>
      <c r="S683" s="330" t="s">
        <v>3715</v>
      </c>
      <c r="T683" s="339" t="s">
        <v>228</v>
      </c>
      <c r="U683" s="237" t="s">
        <v>234</v>
      </c>
      <c r="V683" s="237" t="s">
        <v>228</v>
      </c>
      <c r="W683" s="244" t="s">
        <v>228</v>
      </c>
      <c r="X683" s="237" t="s">
        <v>228</v>
      </c>
      <c r="Y683" s="237" t="s">
        <v>228</v>
      </c>
      <c r="Z683" s="237" t="s">
        <v>228</v>
      </c>
      <c r="AA683" s="237" t="s">
        <v>3838</v>
      </c>
      <c r="AB683" s="337" t="s">
        <v>228</v>
      </c>
      <c r="AC683" s="237" t="s">
        <v>228</v>
      </c>
      <c r="AD683" s="562"/>
      <c r="AE683" s="550"/>
      <c r="AF683" s="237"/>
    </row>
    <row r="684" spans="1:130" ht="13.5" customHeight="1">
      <c r="A684" s="235">
        <v>682</v>
      </c>
      <c r="B684" s="235" t="s">
        <v>3839</v>
      </c>
      <c r="C684" s="243" t="s">
        <v>3840</v>
      </c>
      <c r="D684" s="235" t="s">
        <v>3841</v>
      </c>
      <c r="E684" s="235">
        <v>82</v>
      </c>
      <c r="F684" s="235" t="s">
        <v>60</v>
      </c>
      <c r="G684" s="235" t="s">
        <v>3842</v>
      </c>
      <c r="H684" s="237" t="s">
        <v>15</v>
      </c>
      <c r="I684" s="237"/>
      <c r="J684" s="240" t="s">
        <v>886</v>
      </c>
      <c r="K684" s="240" t="s">
        <v>379</v>
      </c>
      <c r="L684" s="243" t="s">
        <v>348</v>
      </c>
      <c r="M684" s="237"/>
      <c r="N684" s="237" t="s">
        <v>3843</v>
      </c>
      <c r="O684" s="237"/>
      <c r="P684" s="237"/>
      <c r="Q684" s="527">
        <v>45628</v>
      </c>
      <c r="R684" s="337" t="s">
        <v>309</v>
      </c>
      <c r="S684" s="330" t="s">
        <v>233</v>
      </c>
      <c r="T684" s="339" t="s">
        <v>228</v>
      </c>
      <c r="U684" s="237" t="s">
        <v>234</v>
      </c>
      <c r="V684" s="237" t="s">
        <v>473</v>
      </c>
      <c r="W684" s="244">
        <v>45768</v>
      </c>
      <c r="X684" s="237" t="s">
        <v>3844</v>
      </c>
      <c r="Y684" s="237" t="s">
        <v>237</v>
      </c>
      <c r="Z684" s="237" t="s">
        <v>228</v>
      </c>
      <c r="AA684" s="237" t="s">
        <v>3845</v>
      </c>
      <c r="AB684" s="337" t="s">
        <v>228</v>
      </c>
      <c r="AC684" s="237" t="s">
        <v>228</v>
      </c>
      <c r="AD684" s="562"/>
      <c r="AE684" s="550"/>
      <c r="AF684" s="237"/>
    </row>
    <row r="685" spans="1:130" ht="13.5" customHeight="1">
      <c r="A685" s="235">
        <v>683</v>
      </c>
      <c r="B685" s="235">
        <v>0</v>
      </c>
      <c r="C685" s="243" t="s">
        <v>3846</v>
      </c>
      <c r="D685" s="235" t="s">
        <v>3847</v>
      </c>
      <c r="E685" s="235">
        <v>46</v>
      </c>
      <c r="F685" s="235" t="s">
        <v>75</v>
      </c>
      <c r="G685" s="235" t="s">
        <v>3848</v>
      </c>
      <c r="H685" s="267" t="s">
        <v>188</v>
      </c>
      <c r="I685" s="237"/>
      <c r="K685" s="240"/>
      <c r="L685" s="237"/>
      <c r="M685" s="237"/>
      <c r="N685" s="237"/>
      <c r="O685" s="237"/>
      <c r="P685" s="237"/>
      <c r="Q685" s="527">
        <v>45677</v>
      </c>
      <c r="R685" s="337" t="s">
        <v>309</v>
      </c>
      <c r="S685" s="330" t="s">
        <v>233</v>
      </c>
      <c r="T685" s="339">
        <v>0</v>
      </c>
      <c r="U685" s="237" t="s">
        <v>298</v>
      </c>
      <c r="V685" s="237" t="s">
        <v>228</v>
      </c>
      <c r="W685" s="244" t="s">
        <v>228</v>
      </c>
      <c r="X685" s="237" t="s">
        <v>228</v>
      </c>
      <c r="Y685" s="237" t="s">
        <v>228</v>
      </c>
      <c r="Z685" s="237" t="s">
        <v>228</v>
      </c>
      <c r="AA685" s="237" t="s">
        <v>3849</v>
      </c>
      <c r="AB685" s="337" t="s">
        <v>237</v>
      </c>
      <c r="AC685" s="237" t="s">
        <v>228</v>
      </c>
      <c r="AD685" s="562"/>
      <c r="AE685" s="550"/>
      <c r="AF685" s="237"/>
    </row>
    <row r="686" spans="1:130" ht="13.5" customHeight="1">
      <c r="A686" s="235">
        <v>684</v>
      </c>
      <c r="B686" s="235">
        <v>0</v>
      </c>
      <c r="C686" s="243" t="s">
        <v>3850</v>
      </c>
      <c r="D686" s="235" t="s">
        <v>3851</v>
      </c>
      <c r="E686" s="235">
        <v>41</v>
      </c>
      <c r="F686" s="235" t="s">
        <v>60</v>
      </c>
      <c r="G686" s="235" t="s">
        <v>3852</v>
      </c>
      <c r="H686" s="267" t="s">
        <v>188</v>
      </c>
      <c r="I686" s="237"/>
      <c r="K686" s="240"/>
      <c r="L686" s="237"/>
      <c r="M686" s="237"/>
      <c r="N686" s="237"/>
      <c r="O686" s="237"/>
      <c r="P686" s="237"/>
      <c r="Q686" s="527">
        <v>45684</v>
      </c>
      <c r="R686" s="337" t="s">
        <v>309</v>
      </c>
      <c r="S686" s="330" t="s">
        <v>233</v>
      </c>
      <c r="T686" s="339">
        <v>0</v>
      </c>
      <c r="U686" s="237" t="s">
        <v>298</v>
      </c>
      <c r="V686" s="237" t="s">
        <v>228</v>
      </c>
      <c r="W686" s="244" t="s">
        <v>228</v>
      </c>
      <c r="X686" s="237" t="s">
        <v>228</v>
      </c>
      <c r="Y686" s="237" t="s">
        <v>228</v>
      </c>
      <c r="Z686" s="237" t="s">
        <v>228</v>
      </c>
      <c r="AA686" s="237" t="s">
        <v>3853</v>
      </c>
      <c r="AB686" s="337" t="s">
        <v>237</v>
      </c>
      <c r="AC686" s="237" t="s">
        <v>353</v>
      </c>
      <c r="AD686" s="562"/>
      <c r="AE686" s="550"/>
      <c r="AF686" s="237"/>
    </row>
    <row r="687" spans="1:130" ht="13.5" customHeight="1">
      <c r="A687" s="235">
        <v>685</v>
      </c>
      <c r="B687" s="235">
        <v>0</v>
      </c>
      <c r="C687" s="243" t="s">
        <v>3854</v>
      </c>
      <c r="D687" s="235" t="s">
        <v>3855</v>
      </c>
      <c r="E687" s="235">
        <v>36</v>
      </c>
      <c r="F687" s="235" t="s">
        <v>60</v>
      </c>
      <c r="G687" s="235" t="s">
        <v>3856</v>
      </c>
      <c r="H687" s="267" t="s">
        <v>188</v>
      </c>
      <c r="I687" s="237"/>
      <c r="K687" s="240"/>
      <c r="L687" s="237"/>
      <c r="M687" s="237"/>
      <c r="N687" s="237"/>
      <c r="O687" s="237"/>
      <c r="P687" s="237"/>
      <c r="Q687" s="527">
        <v>45684</v>
      </c>
      <c r="R687" s="337" t="s">
        <v>309</v>
      </c>
      <c r="S687" s="330" t="s">
        <v>233</v>
      </c>
      <c r="T687" s="339">
        <v>0</v>
      </c>
      <c r="U687" s="237" t="s">
        <v>298</v>
      </c>
      <c r="V687" s="237" t="s">
        <v>228</v>
      </c>
      <c r="W687" s="244" t="s">
        <v>228</v>
      </c>
      <c r="X687" s="237" t="s">
        <v>228</v>
      </c>
      <c r="Y687" s="237" t="s">
        <v>228</v>
      </c>
      <c r="Z687" s="237" t="s">
        <v>228</v>
      </c>
      <c r="AA687" s="237" t="s">
        <v>3857</v>
      </c>
      <c r="AB687" s="337" t="s">
        <v>237</v>
      </c>
      <c r="AC687" s="237" t="s">
        <v>353</v>
      </c>
      <c r="AD687" s="562"/>
      <c r="AE687" s="550"/>
      <c r="AF687" s="237"/>
    </row>
    <row r="688" spans="1:130" ht="13.5" customHeight="1">
      <c r="A688" s="235">
        <v>686</v>
      </c>
      <c r="B688" s="235">
        <v>0</v>
      </c>
      <c r="C688" s="243" t="s">
        <v>3858</v>
      </c>
      <c r="D688" s="235" t="s">
        <v>3859</v>
      </c>
      <c r="E688" s="235">
        <v>36</v>
      </c>
      <c r="F688" s="235" t="s">
        <v>60</v>
      </c>
      <c r="G688" s="235" t="s">
        <v>3860</v>
      </c>
      <c r="H688" s="267" t="s">
        <v>188</v>
      </c>
      <c r="I688" s="237"/>
      <c r="K688" s="240"/>
      <c r="L688" s="237"/>
      <c r="M688" s="237"/>
      <c r="N688" s="237"/>
      <c r="O688" s="237"/>
      <c r="P688" s="237"/>
      <c r="Q688" s="527">
        <v>45684</v>
      </c>
      <c r="R688" s="337" t="s">
        <v>309</v>
      </c>
      <c r="S688" s="330" t="s">
        <v>233</v>
      </c>
      <c r="T688" s="339">
        <v>0</v>
      </c>
      <c r="U688" s="237" t="s">
        <v>298</v>
      </c>
      <c r="V688" s="237" t="s">
        <v>228</v>
      </c>
      <c r="W688" s="244" t="s">
        <v>228</v>
      </c>
      <c r="X688" s="237" t="s">
        <v>228</v>
      </c>
      <c r="Y688" s="237" t="s">
        <v>228</v>
      </c>
      <c r="Z688" s="237" t="s">
        <v>228</v>
      </c>
      <c r="AA688" s="237" t="s">
        <v>3861</v>
      </c>
      <c r="AB688" s="337" t="s">
        <v>237</v>
      </c>
      <c r="AC688" s="55" t="s">
        <v>353</v>
      </c>
      <c r="AD688" s="562"/>
      <c r="AE688" s="550"/>
      <c r="AF688" s="237"/>
    </row>
    <row r="689" spans="1:130" ht="13.5" customHeight="1">
      <c r="A689" s="235">
        <v>687</v>
      </c>
      <c r="B689" s="235">
        <v>0</v>
      </c>
      <c r="C689" s="243" t="s">
        <v>3862</v>
      </c>
      <c r="D689" s="235" t="s">
        <v>3863</v>
      </c>
      <c r="E689" s="235">
        <v>39</v>
      </c>
      <c r="F689" s="235" t="s">
        <v>75</v>
      </c>
      <c r="G689" s="235" t="s">
        <v>3864</v>
      </c>
      <c r="H689" s="267" t="s">
        <v>188</v>
      </c>
      <c r="I689" s="237"/>
      <c r="K689" s="240"/>
      <c r="L689" s="237"/>
      <c r="M689" s="237"/>
      <c r="N689" s="237"/>
      <c r="O689" s="237"/>
      <c r="P689" s="237"/>
      <c r="Q689" s="527">
        <v>45689</v>
      </c>
      <c r="R689" s="337" t="s">
        <v>309</v>
      </c>
      <c r="S689" s="330" t="s">
        <v>233</v>
      </c>
      <c r="T689" s="339">
        <v>0</v>
      </c>
      <c r="U689" s="237" t="s">
        <v>234</v>
      </c>
      <c r="V689" s="237" t="s">
        <v>228</v>
      </c>
      <c r="W689" s="244" t="s">
        <v>228</v>
      </c>
      <c r="X689" s="237" t="s">
        <v>228</v>
      </c>
      <c r="Y689" s="237" t="s">
        <v>228</v>
      </c>
      <c r="Z689" s="237" t="s">
        <v>228</v>
      </c>
      <c r="AA689" s="237" t="s">
        <v>3865</v>
      </c>
      <c r="AB689" s="337" t="s">
        <v>228</v>
      </c>
      <c r="AC689" s="237" t="s">
        <v>228</v>
      </c>
      <c r="AD689" s="562"/>
      <c r="AE689" s="550"/>
      <c r="AF689" s="237"/>
    </row>
    <row r="690" spans="1:130" ht="13.5" customHeight="1">
      <c r="A690" s="235">
        <v>688</v>
      </c>
      <c r="B690" s="235">
        <v>0</v>
      </c>
      <c r="C690" s="243" t="s">
        <v>3866</v>
      </c>
      <c r="D690" s="235" t="s">
        <v>3867</v>
      </c>
      <c r="E690" s="235">
        <v>51</v>
      </c>
      <c r="F690" s="235" t="s">
        <v>60</v>
      </c>
      <c r="G690" s="235" t="s">
        <v>3868</v>
      </c>
      <c r="H690" s="267" t="s">
        <v>188</v>
      </c>
      <c r="I690" s="237"/>
      <c r="K690" s="240"/>
      <c r="L690" s="237"/>
      <c r="M690" s="237"/>
      <c r="N690" s="237"/>
      <c r="O690" s="237"/>
      <c r="P690" s="237"/>
      <c r="Q690" s="527">
        <v>45693</v>
      </c>
      <c r="R690" s="337" t="s">
        <v>309</v>
      </c>
      <c r="S690" s="330" t="s">
        <v>233</v>
      </c>
      <c r="T690" s="339" t="s">
        <v>228</v>
      </c>
      <c r="U690" s="237" t="s">
        <v>442</v>
      </c>
      <c r="V690" s="237" t="s">
        <v>228</v>
      </c>
      <c r="W690" s="244" t="s">
        <v>228</v>
      </c>
      <c r="X690" s="237" t="s">
        <v>228</v>
      </c>
      <c r="Y690" s="237" t="s">
        <v>228</v>
      </c>
      <c r="Z690" s="237" t="s">
        <v>228</v>
      </c>
      <c r="AA690" s="237" t="s">
        <v>3869</v>
      </c>
      <c r="AB690" s="337" t="s">
        <v>228</v>
      </c>
      <c r="AC690" s="237" t="s">
        <v>228</v>
      </c>
      <c r="AD690" s="562"/>
      <c r="AE690" s="550"/>
      <c r="AF690" s="237"/>
    </row>
    <row r="691" spans="1:130" ht="13.5" customHeight="1">
      <c r="A691" s="235">
        <v>689</v>
      </c>
      <c r="B691" s="235">
        <v>0</v>
      </c>
      <c r="C691" s="243" t="s">
        <v>3870</v>
      </c>
      <c r="D691" s="235" t="s">
        <v>3871</v>
      </c>
      <c r="E691" s="235">
        <v>68</v>
      </c>
      <c r="F691" s="235" t="s">
        <v>60</v>
      </c>
      <c r="G691" s="235" t="s">
        <v>3872</v>
      </c>
      <c r="H691" s="237" t="s">
        <v>3</v>
      </c>
      <c r="I691" s="237"/>
      <c r="K691" s="240" t="s">
        <v>3873</v>
      </c>
      <c r="L691" s="237" t="s">
        <v>55</v>
      </c>
      <c r="M691" s="237" t="s">
        <v>32</v>
      </c>
      <c r="N691" s="237" t="s">
        <v>3874</v>
      </c>
      <c r="O691" s="237"/>
      <c r="P691" s="237"/>
      <c r="Q691" s="527">
        <v>45698</v>
      </c>
      <c r="R691" s="337" t="s">
        <v>309</v>
      </c>
      <c r="S691" s="330" t="s">
        <v>233</v>
      </c>
      <c r="T691" s="339">
        <v>8.6</v>
      </c>
      <c r="U691" s="237" t="s">
        <v>442</v>
      </c>
      <c r="V691" s="237" t="s">
        <v>228</v>
      </c>
      <c r="W691" s="244" t="s">
        <v>228</v>
      </c>
      <c r="X691" s="237" t="s">
        <v>228</v>
      </c>
      <c r="Y691" s="237" t="s">
        <v>228</v>
      </c>
      <c r="Z691" s="237" t="s">
        <v>228</v>
      </c>
      <c r="AA691" s="237" t="s">
        <v>3875</v>
      </c>
      <c r="AB691" s="337" t="s">
        <v>228</v>
      </c>
      <c r="AC691" s="237" t="s">
        <v>228</v>
      </c>
      <c r="AD691" s="562"/>
      <c r="AE691" s="550"/>
      <c r="AF691" s="237"/>
    </row>
    <row r="692" spans="1:130" ht="13.5" customHeight="1">
      <c r="A692" s="235">
        <v>690</v>
      </c>
      <c r="B692" s="235">
        <v>0</v>
      </c>
      <c r="C692" s="243" t="s">
        <v>3876</v>
      </c>
      <c r="D692" s="235" t="s">
        <v>3877</v>
      </c>
      <c r="E692" s="235">
        <v>48</v>
      </c>
      <c r="F692" s="235" t="s">
        <v>60</v>
      </c>
      <c r="G692" s="235" t="s">
        <v>3878</v>
      </c>
      <c r="H692" s="237" t="s">
        <v>188</v>
      </c>
      <c r="I692" s="237"/>
      <c r="K692" s="240"/>
      <c r="L692" s="237"/>
      <c r="M692" s="237"/>
      <c r="N692" s="237"/>
      <c r="O692" s="237"/>
      <c r="P692" s="237"/>
      <c r="Q692" s="527">
        <v>45700</v>
      </c>
      <c r="R692" s="337" t="s">
        <v>309</v>
      </c>
      <c r="S692" s="330" t="s">
        <v>233</v>
      </c>
      <c r="T692" s="339">
        <v>8.6</v>
      </c>
      <c r="U692" s="237" t="s">
        <v>442</v>
      </c>
      <c r="V692" s="237" t="s">
        <v>228</v>
      </c>
      <c r="W692" s="244" t="s">
        <v>228</v>
      </c>
      <c r="X692" s="237" t="s">
        <v>228</v>
      </c>
      <c r="Y692" s="237" t="s">
        <v>228</v>
      </c>
      <c r="Z692" s="237" t="s">
        <v>228</v>
      </c>
      <c r="AA692" s="237" t="s">
        <v>3879</v>
      </c>
      <c r="AB692" s="337" t="s">
        <v>228</v>
      </c>
      <c r="AC692" s="237" t="s">
        <v>228</v>
      </c>
      <c r="AD692" s="562"/>
      <c r="AE692" s="550"/>
      <c r="AF692" s="237"/>
    </row>
    <row r="693" spans="1:130" ht="13.5" customHeight="1">
      <c r="A693" s="235">
        <v>691</v>
      </c>
      <c r="B693" s="235">
        <v>10</v>
      </c>
      <c r="C693" s="237" t="s">
        <v>3880</v>
      </c>
      <c r="D693" s="235" t="s">
        <v>3881</v>
      </c>
      <c r="E693" s="235" t="s">
        <v>246</v>
      </c>
      <c r="F693" s="235" t="s">
        <v>60</v>
      </c>
      <c r="G693" s="235" t="s">
        <v>3882</v>
      </c>
      <c r="H693" s="237" t="s">
        <v>24</v>
      </c>
      <c r="I693" s="237"/>
      <c r="K693" s="237" t="s">
        <v>3883</v>
      </c>
      <c r="L693" s="237"/>
      <c r="M693" s="237"/>
      <c r="N693" s="237"/>
      <c r="O693" s="237" t="s">
        <v>228</v>
      </c>
      <c r="P693" s="237" t="s">
        <v>231</v>
      </c>
      <c r="Q693" s="527">
        <v>44698</v>
      </c>
      <c r="R693" s="337" t="s">
        <v>232</v>
      </c>
      <c r="S693" s="330" t="s">
        <v>233</v>
      </c>
      <c r="T693" s="339" t="s">
        <v>228</v>
      </c>
      <c r="U693" s="237" t="s">
        <v>234</v>
      </c>
      <c r="V693" s="237" t="s">
        <v>235</v>
      </c>
      <c r="W693" s="244" t="s">
        <v>228</v>
      </c>
      <c r="X693" s="237" t="s">
        <v>3884</v>
      </c>
      <c r="Y693" s="237" t="s">
        <v>237</v>
      </c>
      <c r="Z693" s="237" t="s">
        <v>237</v>
      </c>
      <c r="AA693" s="237" t="s">
        <v>3885</v>
      </c>
      <c r="AB693" s="337" t="s">
        <v>228</v>
      </c>
      <c r="AC693" s="237" t="s">
        <v>228</v>
      </c>
      <c r="AD693" s="561"/>
      <c r="AE693" s="337"/>
      <c r="AF693" s="237"/>
    </row>
    <row r="694" spans="1:130" ht="14.25" customHeight="1">
      <c r="A694" s="235">
        <v>692</v>
      </c>
      <c r="B694" s="235">
        <v>12</v>
      </c>
      <c r="C694" s="237" t="s">
        <v>3886</v>
      </c>
      <c r="D694" s="235" t="s">
        <v>3887</v>
      </c>
      <c r="E694" s="235" t="s">
        <v>246</v>
      </c>
      <c r="F694" s="235" t="s">
        <v>60</v>
      </c>
      <c r="G694" s="235" t="s">
        <v>3888</v>
      </c>
      <c r="H694" s="255" t="s">
        <v>24</v>
      </c>
      <c r="I694" s="237"/>
      <c r="K694" s="237" t="s">
        <v>3883</v>
      </c>
      <c r="L694" s="237"/>
      <c r="M694" s="237"/>
      <c r="N694" s="237"/>
      <c r="O694" s="237" t="s">
        <v>228</v>
      </c>
      <c r="P694" s="237" t="s">
        <v>231</v>
      </c>
      <c r="Q694" s="527">
        <v>44698</v>
      </c>
      <c r="R694" s="337" t="s">
        <v>232</v>
      </c>
      <c r="S694" s="330" t="s">
        <v>233</v>
      </c>
      <c r="T694" s="339" t="s">
        <v>228</v>
      </c>
      <c r="U694" s="237" t="s">
        <v>234</v>
      </c>
      <c r="V694" s="237" t="s">
        <v>235</v>
      </c>
      <c r="W694" s="244" t="s">
        <v>228</v>
      </c>
      <c r="X694" s="237" t="s">
        <v>3889</v>
      </c>
      <c r="Y694" s="237" t="s">
        <v>237</v>
      </c>
      <c r="Z694" s="237" t="s">
        <v>237</v>
      </c>
      <c r="AA694" s="237" t="s">
        <v>3890</v>
      </c>
      <c r="AB694" s="337" t="s">
        <v>228</v>
      </c>
      <c r="AC694" s="237" t="s">
        <v>228</v>
      </c>
      <c r="AD694" s="561"/>
      <c r="AE694" s="337"/>
      <c r="AF694" s="237"/>
    </row>
    <row r="695" spans="1:130" s="306" customFormat="1" ht="13.5" customHeight="1">
      <c r="A695" s="306">
        <v>693</v>
      </c>
      <c r="B695" s="306">
        <v>22</v>
      </c>
      <c r="C695" s="264" t="s">
        <v>3891</v>
      </c>
      <c r="D695" s="306" t="s">
        <v>3892</v>
      </c>
      <c r="E695" s="306">
        <v>61</v>
      </c>
      <c r="F695" s="306" t="s">
        <v>60</v>
      </c>
      <c r="G695" s="306" t="s">
        <v>3893</v>
      </c>
      <c r="H695" s="264" t="s">
        <v>20</v>
      </c>
      <c r="I695" s="264" t="s">
        <v>3894</v>
      </c>
      <c r="K695" s="290" t="s">
        <v>3895</v>
      </c>
      <c r="L695" s="264" t="s">
        <v>13</v>
      </c>
      <c r="M695" s="264"/>
      <c r="N695" s="264" t="s">
        <v>228</v>
      </c>
      <c r="O695" s="264" t="s">
        <v>228</v>
      </c>
      <c r="P695" s="264" t="s">
        <v>231</v>
      </c>
      <c r="Q695" s="575">
        <v>44744</v>
      </c>
      <c r="R695" s="364" t="s">
        <v>232</v>
      </c>
      <c r="S695" s="365" t="s">
        <v>233</v>
      </c>
      <c r="T695" s="576">
        <v>7.9</v>
      </c>
      <c r="U695" s="264" t="s">
        <v>234</v>
      </c>
      <c r="V695" s="264" t="s">
        <v>235</v>
      </c>
      <c r="W695" s="308" t="s">
        <v>228</v>
      </c>
      <c r="X695" s="264" t="s">
        <v>3896</v>
      </c>
      <c r="Y695" s="264" t="s">
        <v>237</v>
      </c>
      <c r="Z695" s="264" t="s">
        <v>237</v>
      </c>
      <c r="AA695" s="264" t="s">
        <v>3897</v>
      </c>
      <c r="AB695" s="364" t="s">
        <v>228</v>
      </c>
      <c r="AC695" s="264" t="s">
        <v>228</v>
      </c>
      <c r="AD695" s="577"/>
      <c r="AE695" s="364"/>
      <c r="AF695" s="264"/>
      <c r="AG695" s="309"/>
      <c r="AH695" s="309"/>
      <c r="AI695" s="309"/>
      <c r="AJ695" s="309"/>
      <c r="AK695" s="309"/>
      <c r="AL695" s="309"/>
      <c r="AM695" s="309"/>
      <c r="AN695" s="309"/>
      <c r="AO695" s="309"/>
      <c r="AP695" s="309"/>
      <c r="AQ695" s="309"/>
      <c r="AR695" s="309"/>
      <c r="AS695" s="309"/>
      <c r="AT695" s="309"/>
      <c r="AU695" s="309"/>
      <c r="AV695" s="309"/>
      <c r="AW695" s="309"/>
      <c r="AX695" s="309"/>
      <c r="AY695" s="309"/>
      <c r="AZ695" s="309"/>
      <c r="BA695" s="309"/>
      <c r="BB695" s="309"/>
      <c r="BC695" s="309"/>
      <c r="BD695" s="309"/>
      <c r="BE695" s="309"/>
      <c r="BF695" s="309"/>
      <c r="BG695" s="309"/>
      <c r="BH695" s="309"/>
      <c r="BI695" s="309"/>
      <c r="BJ695" s="309"/>
      <c r="BK695" s="309"/>
      <c r="BL695" s="309"/>
      <c r="BM695" s="309"/>
      <c r="BN695" s="309"/>
      <c r="BO695" s="309"/>
      <c r="BP695" s="309"/>
      <c r="BQ695" s="309"/>
      <c r="BR695" s="309"/>
      <c r="BS695" s="309"/>
      <c r="BT695" s="309"/>
      <c r="BU695" s="309"/>
      <c r="BV695" s="309"/>
      <c r="BW695" s="309"/>
      <c r="BX695" s="309"/>
      <c r="BY695" s="309"/>
      <c r="BZ695" s="309"/>
      <c r="CA695" s="309"/>
      <c r="CB695" s="309"/>
      <c r="CC695" s="309"/>
      <c r="CD695" s="309"/>
      <c r="CE695" s="309"/>
      <c r="CF695" s="309"/>
      <c r="CG695" s="309"/>
      <c r="CH695" s="309"/>
      <c r="CI695" s="309"/>
      <c r="CJ695" s="309"/>
      <c r="CK695" s="309"/>
      <c r="CL695" s="309"/>
      <c r="CM695" s="309"/>
      <c r="CN695" s="309"/>
      <c r="CO695" s="309"/>
      <c r="CP695" s="309"/>
      <c r="CQ695" s="309"/>
      <c r="CR695" s="309"/>
      <c r="CS695" s="309"/>
      <c r="CT695" s="309"/>
      <c r="CU695" s="309"/>
      <c r="CV695" s="309"/>
      <c r="CW695" s="309"/>
      <c r="CX695" s="309"/>
      <c r="CY695" s="309"/>
      <c r="CZ695" s="309"/>
      <c r="DA695" s="309"/>
      <c r="DB695" s="309"/>
      <c r="DC695" s="309"/>
      <c r="DD695" s="309"/>
      <c r="DE695" s="309"/>
      <c r="DF695" s="309"/>
      <c r="DG695" s="309"/>
      <c r="DH695" s="309"/>
      <c r="DI695" s="309"/>
      <c r="DJ695" s="309"/>
      <c r="DK695" s="309"/>
      <c r="DL695" s="309"/>
      <c r="DM695" s="309"/>
      <c r="DN695" s="309"/>
      <c r="DO695" s="309"/>
      <c r="DP695" s="309"/>
      <c r="DQ695" s="309"/>
      <c r="DR695" s="309"/>
      <c r="DS695" s="309"/>
      <c r="DT695" s="309"/>
      <c r="DU695" s="309"/>
      <c r="DV695" s="309"/>
      <c r="DW695" s="309"/>
      <c r="DX695" s="309"/>
      <c r="DY695" s="309"/>
      <c r="DZ695" s="310"/>
    </row>
    <row r="696" spans="1:130" s="306" customFormat="1" ht="13.5" customHeight="1">
      <c r="A696" s="306">
        <v>694</v>
      </c>
      <c r="B696" s="306">
        <v>23</v>
      </c>
      <c r="C696" s="264" t="s">
        <v>3898</v>
      </c>
      <c r="D696" s="306" t="s">
        <v>3899</v>
      </c>
      <c r="E696" s="306">
        <v>66</v>
      </c>
      <c r="F696" s="306" t="s">
        <v>75</v>
      </c>
      <c r="G696" s="306" t="s">
        <v>3900</v>
      </c>
      <c r="H696" s="264" t="s">
        <v>20</v>
      </c>
      <c r="I696" s="264" t="s">
        <v>3894</v>
      </c>
      <c r="K696" s="264" t="s">
        <v>16</v>
      </c>
      <c r="L696" s="264" t="s">
        <v>16</v>
      </c>
      <c r="M696" s="264"/>
      <c r="N696" s="264" t="s">
        <v>228</v>
      </c>
      <c r="O696" s="264" t="s">
        <v>228</v>
      </c>
      <c r="P696" s="264" t="s">
        <v>231</v>
      </c>
      <c r="Q696" s="575">
        <v>44724</v>
      </c>
      <c r="R696" s="364" t="s">
        <v>232</v>
      </c>
      <c r="S696" s="365" t="s">
        <v>233</v>
      </c>
      <c r="T696" s="576">
        <v>8.6</v>
      </c>
      <c r="U696" s="264" t="s">
        <v>234</v>
      </c>
      <c r="V696" s="264" t="s">
        <v>235</v>
      </c>
      <c r="W696" s="308" t="s">
        <v>228</v>
      </c>
      <c r="X696" s="264" t="s">
        <v>3901</v>
      </c>
      <c r="Y696" s="264" t="s">
        <v>237</v>
      </c>
      <c r="Z696" s="264" t="s">
        <v>237</v>
      </c>
      <c r="AA696" s="264" t="s">
        <v>3902</v>
      </c>
      <c r="AB696" s="364" t="s">
        <v>228</v>
      </c>
      <c r="AC696" s="264" t="s">
        <v>228</v>
      </c>
      <c r="AD696" s="577"/>
      <c r="AE696" s="364"/>
      <c r="AF696" s="264"/>
      <c r="AG696" s="309"/>
      <c r="AH696" s="309"/>
      <c r="AI696" s="309"/>
      <c r="AJ696" s="309"/>
      <c r="AK696" s="309"/>
      <c r="AL696" s="309"/>
      <c r="AM696" s="309"/>
      <c r="AN696" s="309"/>
      <c r="AO696" s="309"/>
      <c r="AP696" s="309"/>
      <c r="AQ696" s="309"/>
      <c r="AR696" s="309"/>
      <c r="AS696" s="309"/>
      <c r="AT696" s="309"/>
      <c r="AU696" s="309"/>
      <c r="AV696" s="309"/>
      <c r="AW696" s="309"/>
      <c r="AX696" s="309"/>
      <c r="AY696" s="309"/>
      <c r="AZ696" s="309"/>
      <c r="BA696" s="309"/>
      <c r="BB696" s="309"/>
      <c r="BC696" s="309"/>
      <c r="BD696" s="309"/>
      <c r="BE696" s="309"/>
      <c r="BF696" s="309"/>
      <c r="BG696" s="309"/>
      <c r="BH696" s="309"/>
      <c r="BI696" s="309"/>
      <c r="BJ696" s="309"/>
      <c r="BK696" s="309"/>
      <c r="BL696" s="309"/>
      <c r="BM696" s="309"/>
      <c r="BN696" s="309"/>
      <c r="BO696" s="309"/>
      <c r="BP696" s="309"/>
      <c r="BQ696" s="309"/>
      <c r="BR696" s="309"/>
      <c r="BS696" s="309"/>
      <c r="BT696" s="309"/>
      <c r="BU696" s="309"/>
      <c r="BV696" s="309"/>
      <c r="BW696" s="309"/>
      <c r="BX696" s="309"/>
      <c r="BY696" s="309"/>
      <c r="BZ696" s="309"/>
      <c r="CA696" s="309"/>
      <c r="CB696" s="309"/>
      <c r="CC696" s="309"/>
      <c r="CD696" s="309"/>
      <c r="CE696" s="309"/>
      <c r="CF696" s="309"/>
      <c r="CG696" s="309"/>
      <c r="CH696" s="309"/>
      <c r="CI696" s="309"/>
      <c r="CJ696" s="309"/>
      <c r="CK696" s="309"/>
      <c r="CL696" s="309"/>
      <c r="CM696" s="309"/>
      <c r="CN696" s="309"/>
      <c r="CO696" s="309"/>
      <c r="CP696" s="309"/>
      <c r="CQ696" s="309"/>
      <c r="CR696" s="309"/>
      <c r="CS696" s="309"/>
      <c r="CT696" s="309"/>
      <c r="CU696" s="309"/>
      <c r="CV696" s="309"/>
      <c r="CW696" s="309"/>
      <c r="CX696" s="309"/>
      <c r="CY696" s="309"/>
      <c r="CZ696" s="309"/>
      <c r="DA696" s="309"/>
      <c r="DB696" s="309"/>
      <c r="DC696" s="309"/>
      <c r="DD696" s="309"/>
      <c r="DE696" s="309"/>
      <c r="DF696" s="309"/>
      <c r="DG696" s="309"/>
      <c r="DH696" s="309"/>
      <c r="DI696" s="309"/>
      <c r="DJ696" s="309"/>
      <c r="DK696" s="309"/>
      <c r="DL696" s="309"/>
      <c r="DM696" s="309"/>
      <c r="DN696" s="309"/>
      <c r="DO696" s="309"/>
      <c r="DP696" s="309"/>
      <c r="DQ696" s="309"/>
      <c r="DR696" s="309"/>
      <c r="DS696" s="309"/>
      <c r="DT696" s="309"/>
      <c r="DU696" s="309"/>
      <c r="DV696" s="309"/>
      <c r="DW696" s="309"/>
      <c r="DX696" s="309"/>
      <c r="DY696" s="309"/>
      <c r="DZ696" s="310"/>
    </row>
    <row r="697" spans="1:130" s="306" customFormat="1" ht="13.5" customHeight="1">
      <c r="A697" s="306">
        <v>695</v>
      </c>
      <c r="B697" s="306">
        <v>29</v>
      </c>
      <c r="C697" s="264" t="s">
        <v>3903</v>
      </c>
      <c r="D697" s="306" t="s">
        <v>3904</v>
      </c>
      <c r="E697" s="306">
        <v>61</v>
      </c>
      <c r="F697" s="306" t="s">
        <v>75</v>
      </c>
      <c r="G697" s="306" t="s">
        <v>3905</v>
      </c>
      <c r="H697" s="264" t="s">
        <v>20</v>
      </c>
      <c r="I697" s="264" t="s">
        <v>3894</v>
      </c>
      <c r="K697" s="264" t="s">
        <v>3906</v>
      </c>
      <c r="L697" s="264" t="s">
        <v>3906</v>
      </c>
      <c r="M697" s="264"/>
      <c r="N697" s="264" t="s">
        <v>228</v>
      </c>
      <c r="O697" s="264" t="s">
        <v>237</v>
      </c>
      <c r="P697" s="264" t="s">
        <v>231</v>
      </c>
      <c r="Q697" s="575">
        <v>44789</v>
      </c>
      <c r="R697" s="364" t="s">
        <v>232</v>
      </c>
      <c r="S697" s="365" t="s">
        <v>233</v>
      </c>
      <c r="T697" s="576">
        <v>8.6999999999999993</v>
      </c>
      <c r="U697" s="264" t="s">
        <v>234</v>
      </c>
      <c r="V697" s="264" t="s">
        <v>235</v>
      </c>
      <c r="W697" s="308" t="s">
        <v>228</v>
      </c>
      <c r="X697" s="264" t="s">
        <v>3429</v>
      </c>
      <c r="Y697" s="264" t="s">
        <v>237</v>
      </c>
      <c r="Z697" s="264" t="s">
        <v>237</v>
      </c>
      <c r="AA697" s="264" t="s">
        <v>3907</v>
      </c>
      <c r="AB697" s="364" t="s">
        <v>228</v>
      </c>
      <c r="AC697" s="264" t="s">
        <v>228</v>
      </c>
      <c r="AD697" s="577"/>
      <c r="AE697" s="364"/>
      <c r="AF697" s="264"/>
      <c r="AG697" s="309"/>
      <c r="AH697" s="309"/>
      <c r="AI697" s="309"/>
      <c r="AJ697" s="309"/>
      <c r="AK697" s="309"/>
      <c r="AL697" s="309"/>
      <c r="AM697" s="309"/>
      <c r="AN697" s="309"/>
      <c r="AO697" s="309"/>
      <c r="AP697" s="309"/>
      <c r="AQ697" s="309"/>
      <c r="AR697" s="309"/>
      <c r="AS697" s="309"/>
      <c r="AT697" s="309"/>
      <c r="AU697" s="309"/>
      <c r="AV697" s="309"/>
      <c r="AW697" s="309"/>
      <c r="AX697" s="309"/>
      <c r="AY697" s="309"/>
      <c r="AZ697" s="309"/>
      <c r="BA697" s="309"/>
      <c r="BB697" s="309"/>
      <c r="BC697" s="309"/>
      <c r="BD697" s="309"/>
      <c r="BE697" s="309"/>
      <c r="BF697" s="309"/>
      <c r="BG697" s="309"/>
      <c r="BH697" s="309"/>
      <c r="BI697" s="309"/>
      <c r="BJ697" s="309"/>
      <c r="BK697" s="309"/>
      <c r="BL697" s="309"/>
      <c r="BM697" s="309"/>
      <c r="BN697" s="309"/>
      <c r="BO697" s="309"/>
      <c r="BP697" s="309"/>
      <c r="BQ697" s="309"/>
      <c r="BR697" s="309"/>
      <c r="BS697" s="309"/>
      <c r="BT697" s="309"/>
      <c r="BU697" s="309"/>
      <c r="BV697" s="309"/>
      <c r="BW697" s="309"/>
      <c r="BX697" s="309"/>
      <c r="BY697" s="309"/>
      <c r="BZ697" s="309"/>
      <c r="CA697" s="309"/>
      <c r="CB697" s="309"/>
      <c r="CC697" s="309"/>
      <c r="CD697" s="309"/>
      <c r="CE697" s="309"/>
      <c r="CF697" s="309"/>
      <c r="CG697" s="309"/>
      <c r="CH697" s="309"/>
      <c r="CI697" s="309"/>
      <c r="CJ697" s="309"/>
      <c r="CK697" s="309"/>
      <c r="CL697" s="309"/>
      <c r="CM697" s="309"/>
      <c r="CN697" s="309"/>
      <c r="CO697" s="309"/>
      <c r="CP697" s="309"/>
      <c r="CQ697" s="309"/>
      <c r="CR697" s="309"/>
      <c r="CS697" s="309"/>
      <c r="CT697" s="309"/>
      <c r="CU697" s="309"/>
      <c r="CV697" s="309"/>
      <c r="CW697" s="309"/>
      <c r="CX697" s="309"/>
      <c r="CY697" s="309"/>
      <c r="CZ697" s="309"/>
      <c r="DA697" s="309"/>
      <c r="DB697" s="309"/>
      <c r="DC697" s="309"/>
      <c r="DD697" s="309"/>
      <c r="DE697" s="309"/>
      <c r="DF697" s="309"/>
      <c r="DG697" s="309"/>
      <c r="DH697" s="309"/>
      <c r="DI697" s="309"/>
      <c r="DJ697" s="309"/>
      <c r="DK697" s="309"/>
      <c r="DL697" s="309"/>
      <c r="DM697" s="309"/>
      <c r="DN697" s="309"/>
      <c r="DO697" s="309"/>
      <c r="DP697" s="309"/>
      <c r="DQ697" s="309"/>
      <c r="DR697" s="309"/>
      <c r="DS697" s="309"/>
      <c r="DT697" s="309"/>
      <c r="DU697" s="309"/>
      <c r="DV697" s="309"/>
      <c r="DW697" s="309"/>
      <c r="DX697" s="309"/>
      <c r="DY697" s="309"/>
      <c r="DZ697" s="310"/>
    </row>
    <row r="698" spans="1:130" s="306" customFormat="1" ht="13.5" customHeight="1">
      <c r="A698" s="306">
        <v>696</v>
      </c>
      <c r="B698" s="306">
        <v>31</v>
      </c>
      <c r="C698" s="264" t="s">
        <v>3908</v>
      </c>
      <c r="D698" s="306" t="s">
        <v>3909</v>
      </c>
      <c r="E698" s="306">
        <v>51</v>
      </c>
      <c r="F698" s="306" t="s">
        <v>75</v>
      </c>
      <c r="G698" s="306" t="s">
        <v>3910</v>
      </c>
      <c r="H698" s="264" t="s">
        <v>20</v>
      </c>
      <c r="I698" s="264" t="s">
        <v>3894</v>
      </c>
      <c r="K698" s="290" t="s">
        <v>3911</v>
      </c>
      <c r="L698" s="264" t="s">
        <v>16</v>
      </c>
      <c r="M698" s="264"/>
      <c r="N698" s="264" t="s">
        <v>3912</v>
      </c>
      <c r="O698" s="264" t="s">
        <v>228</v>
      </c>
      <c r="P698" s="264" t="s">
        <v>231</v>
      </c>
      <c r="Q698" s="575">
        <v>44791</v>
      </c>
      <c r="R698" s="364" t="s">
        <v>232</v>
      </c>
      <c r="S698" s="365" t="s">
        <v>233</v>
      </c>
      <c r="T698" s="576">
        <v>9</v>
      </c>
      <c r="U698" s="264" t="s">
        <v>234</v>
      </c>
      <c r="V698" s="264" t="s">
        <v>235</v>
      </c>
      <c r="W698" s="308" t="s">
        <v>228</v>
      </c>
      <c r="X698" s="264" t="s">
        <v>3913</v>
      </c>
      <c r="Y698" s="264" t="s">
        <v>237</v>
      </c>
      <c r="Z698" s="264" t="s">
        <v>237</v>
      </c>
      <c r="AA698" s="264" t="s">
        <v>3914</v>
      </c>
      <c r="AB698" s="364" t="s">
        <v>228</v>
      </c>
      <c r="AC698" s="264" t="s">
        <v>228</v>
      </c>
      <c r="AD698" s="577"/>
      <c r="AE698" s="364"/>
      <c r="AF698" s="264"/>
      <c r="AG698" s="309"/>
      <c r="AH698" s="309"/>
      <c r="AI698" s="309"/>
      <c r="AJ698" s="309"/>
      <c r="AK698" s="309"/>
      <c r="AL698" s="309"/>
      <c r="AM698" s="309"/>
      <c r="AN698" s="309"/>
      <c r="AO698" s="309"/>
      <c r="AP698" s="309"/>
      <c r="AQ698" s="309"/>
      <c r="AR698" s="309"/>
      <c r="AS698" s="309"/>
      <c r="AT698" s="309"/>
      <c r="AU698" s="309"/>
      <c r="AV698" s="309"/>
      <c r="AW698" s="309"/>
      <c r="AX698" s="309"/>
      <c r="AY698" s="309"/>
      <c r="AZ698" s="309"/>
      <c r="BA698" s="309"/>
      <c r="BB698" s="309"/>
      <c r="BC698" s="309"/>
      <c r="BD698" s="309"/>
      <c r="BE698" s="309"/>
      <c r="BF698" s="309"/>
      <c r="BG698" s="309"/>
      <c r="BH698" s="309"/>
      <c r="BI698" s="309"/>
      <c r="BJ698" s="309"/>
      <c r="BK698" s="309"/>
      <c r="BL698" s="309"/>
      <c r="BM698" s="309"/>
      <c r="BN698" s="309"/>
      <c r="BO698" s="309"/>
      <c r="BP698" s="309"/>
      <c r="BQ698" s="309"/>
      <c r="BR698" s="309"/>
      <c r="BS698" s="309"/>
      <c r="BT698" s="309"/>
      <c r="BU698" s="309"/>
      <c r="BV698" s="309"/>
      <c r="BW698" s="309"/>
      <c r="BX698" s="309"/>
      <c r="BY698" s="309"/>
      <c r="BZ698" s="309"/>
      <c r="CA698" s="309"/>
      <c r="CB698" s="309"/>
      <c r="CC698" s="309"/>
      <c r="CD698" s="309"/>
      <c r="CE698" s="309"/>
      <c r="CF698" s="309"/>
      <c r="CG698" s="309"/>
      <c r="CH698" s="309"/>
      <c r="CI698" s="309"/>
      <c r="CJ698" s="309"/>
      <c r="CK698" s="309"/>
      <c r="CL698" s="309"/>
      <c r="CM698" s="309"/>
      <c r="CN698" s="309"/>
      <c r="CO698" s="309"/>
      <c r="CP698" s="309"/>
      <c r="CQ698" s="309"/>
      <c r="CR698" s="309"/>
      <c r="CS698" s="309"/>
      <c r="CT698" s="309"/>
      <c r="CU698" s="309"/>
      <c r="CV698" s="309"/>
      <c r="CW698" s="309"/>
      <c r="CX698" s="309"/>
      <c r="CY698" s="309"/>
      <c r="CZ698" s="309"/>
      <c r="DA698" s="309"/>
      <c r="DB698" s="309"/>
      <c r="DC698" s="309"/>
      <c r="DD698" s="309"/>
      <c r="DE698" s="309"/>
      <c r="DF698" s="309"/>
      <c r="DG698" s="309"/>
      <c r="DH698" s="309"/>
      <c r="DI698" s="309"/>
      <c r="DJ698" s="309"/>
      <c r="DK698" s="309"/>
      <c r="DL698" s="309"/>
      <c r="DM698" s="309"/>
      <c r="DN698" s="309"/>
      <c r="DO698" s="309"/>
      <c r="DP698" s="309"/>
      <c r="DQ698" s="309"/>
      <c r="DR698" s="309"/>
      <c r="DS698" s="309"/>
      <c r="DT698" s="309"/>
      <c r="DU698" s="309"/>
      <c r="DV698" s="309"/>
      <c r="DW698" s="309"/>
      <c r="DX698" s="309"/>
      <c r="DY698" s="309"/>
      <c r="DZ698" s="310"/>
    </row>
    <row r="699" spans="1:130" s="306" customFormat="1" ht="13.5" customHeight="1">
      <c r="A699" s="306">
        <v>697</v>
      </c>
      <c r="B699" s="306">
        <v>47</v>
      </c>
      <c r="C699" s="264" t="s">
        <v>3915</v>
      </c>
      <c r="D699" s="306" t="s">
        <v>3916</v>
      </c>
      <c r="E699" s="306">
        <v>53</v>
      </c>
      <c r="F699" s="306" t="s">
        <v>75</v>
      </c>
      <c r="G699" s="306" t="s">
        <v>3917</v>
      </c>
      <c r="H699" s="264" t="s">
        <v>20</v>
      </c>
      <c r="I699" s="264" t="s">
        <v>3894</v>
      </c>
      <c r="J699" s="290" t="s">
        <v>886</v>
      </c>
      <c r="K699" s="290" t="s">
        <v>3918</v>
      </c>
      <c r="L699" s="264" t="s">
        <v>45</v>
      </c>
      <c r="M699" s="264"/>
      <c r="N699" s="264" t="s">
        <v>3919</v>
      </c>
      <c r="O699" s="264"/>
      <c r="P699" s="264" t="s">
        <v>231</v>
      </c>
      <c r="Q699" s="575">
        <v>44883</v>
      </c>
      <c r="R699" s="364" t="s">
        <v>232</v>
      </c>
      <c r="S699" s="365" t="s">
        <v>233</v>
      </c>
      <c r="T699" s="576">
        <v>7.9</v>
      </c>
      <c r="U699" s="264" t="s">
        <v>234</v>
      </c>
      <c r="V699" s="264" t="s">
        <v>235</v>
      </c>
      <c r="W699" s="308" t="s">
        <v>228</v>
      </c>
      <c r="X699" s="264" t="s">
        <v>3920</v>
      </c>
      <c r="Y699" s="264" t="s">
        <v>237</v>
      </c>
      <c r="Z699" s="264" t="s">
        <v>228</v>
      </c>
      <c r="AA699" s="264" t="s">
        <v>3921</v>
      </c>
      <c r="AB699" s="364" t="s">
        <v>228</v>
      </c>
      <c r="AC699" s="264" t="s">
        <v>228</v>
      </c>
      <c r="AD699" s="577"/>
      <c r="AE699" s="364"/>
      <c r="AF699" s="264"/>
      <c r="AG699" s="309"/>
      <c r="AH699" s="309"/>
      <c r="AI699" s="309"/>
      <c r="AJ699" s="309"/>
      <c r="AK699" s="309"/>
      <c r="AL699" s="309"/>
      <c r="AM699" s="309"/>
      <c r="AN699" s="309"/>
      <c r="AO699" s="309"/>
      <c r="AP699" s="309"/>
      <c r="AQ699" s="309"/>
      <c r="AR699" s="309"/>
      <c r="AS699" s="309"/>
      <c r="AT699" s="309"/>
      <c r="AU699" s="309"/>
      <c r="AV699" s="309"/>
      <c r="AW699" s="309"/>
      <c r="AX699" s="309"/>
      <c r="AY699" s="309"/>
      <c r="AZ699" s="309"/>
      <c r="BA699" s="309"/>
      <c r="BB699" s="309"/>
      <c r="BC699" s="309"/>
      <c r="BD699" s="309"/>
      <c r="BE699" s="309"/>
      <c r="BF699" s="309"/>
      <c r="BG699" s="309"/>
      <c r="BH699" s="309"/>
      <c r="BI699" s="309"/>
      <c r="BJ699" s="309"/>
      <c r="BK699" s="309"/>
      <c r="BL699" s="309"/>
      <c r="BM699" s="309"/>
      <c r="BN699" s="309"/>
      <c r="BO699" s="309"/>
      <c r="BP699" s="309"/>
      <c r="BQ699" s="309"/>
      <c r="BR699" s="309"/>
      <c r="BS699" s="309"/>
      <c r="BT699" s="309"/>
      <c r="BU699" s="309"/>
      <c r="BV699" s="309"/>
      <c r="BW699" s="309"/>
      <c r="BX699" s="309"/>
      <c r="BY699" s="309"/>
      <c r="BZ699" s="309"/>
      <c r="CA699" s="309"/>
      <c r="CB699" s="309"/>
      <c r="CC699" s="309"/>
      <c r="CD699" s="309"/>
      <c r="CE699" s="309"/>
      <c r="CF699" s="309"/>
      <c r="CG699" s="309"/>
      <c r="CH699" s="309"/>
      <c r="CI699" s="309"/>
      <c r="CJ699" s="309"/>
      <c r="CK699" s="309"/>
      <c r="CL699" s="309"/>
      <c r="CM699" s="309"/>
      <c r="CN699" s="309"/>
      <c r="CO699" s="309"/>
      <c r="CP699" s="309"/>
      <c r="CQ699" s="309"/>
      <c r="CR699" s="309"/>
      <c r="CS699" s="309"/>
      <c r="CT699" s="309"/>
      <c r="CU699" s="309"/>
      <c r="CV699" s="309"/>
      <c r="CW699" s="309"/>
      <c r="CX699" s="309"/>
      <c r="CY699" s="309"/>
      <c r="CZ699" s="309"/>
      <c r="DA699" s="309"/>
      <c r="DB699" s="309"/>
      <c r="DC699" s="309"/>
      <c r="DD699" s="309"/>
      <c r="DE699" s="309"/>
      <c r="DF699" s="309"/>
      <c r="DG699" s="309"/>
      <c r="DH699" s="309"/>
      <c r="DI699" s="309"/>
      <c r="DJ699" s="309"/>
      <c r="DK699" s="309"/>
      <c r="DL699" s="309"/>
      <c r="DM699" s="309"/>
      <c r="DN699" s="309"/>
      <c r="DO699" s="309"/>
      <c r="DP699" s="309"/>
      <c r="DQ699" s="309"/>
      <c r="DR699" s="309"/>
      <c r="DS699" s="309"/>
      <c r="DT699" s="309"/>
      <c r="DU699" s="309"/>
      <c r="DV699" s="309"/>
      <c r="DW699" s="309"/>
      <c r="DX699" s="309"/>
      <c r="DY699" s="309"/>
      <c r="DZ699" s="310"/>
    </row>
    <row r="700" spans="1:130" s="306" customFormat="1" ht="13.5" customHeight="1">
      <c r="A700" s="306">
        <v>698</v>
      </c>
      <c r="B700" s="306">
        <v>49</v>
      </c>
      <c r="C700" s="264" t="s">
        <v>3922</v>
      </c>
      <c r="D700" s="306" t="s">
        <v>3923</v>
      </c>
      <c r="E700" s="306">
        <v>60</v>
      </c>
      <c r="F700" s="306" t="s">
        <v>75</v>
      </c>
      <c r="G700" s="306" t="s">
        <v>3924</v>
      </c>
      <c r="H700" s="264" t="s">
        <v>20</v>
      </c>
      <c r="I700" s="264" t="s">
        <v>3894</v>
      </c>
      <c r="K700" s="587" t="s">
        <v>3925</v>
      </c>
      <c r="L700" s="264" t="s">
        <v>16</v>
      </c>
      <c r="M700" s="264"/>
      <c r="N700" s="264" t="s">
        <v>3926</v>
      </c>
      <c r="O700" s="264" t="s">
        <v>228</v>
      </c>
      <c r="P700" s="264" t="s">
        <v>231</v>
      </c>
      <c r="Q700" s="575">
        <v>44880</v>
      </c>
      <c r="R700" s="364" t="s">
        <v>232</v>
      </c>
      <c r="S700" s="365" t="s">
        <v>233</v>
      </c>
      <c r="T700" s="576">
        <v>8.6999999999999993</v>
      </c>
      <c r="U700" s="264" t="s">
        <v>234</v>
      </c>
      <c r="V700" s="264" t="s">
        <v>235</v>
      </c>
      <c r="W700" s="308" t="s">
        <v>228</v>
      </c>
      <c r="X700" s="264" t="s">
        <v>3927</v>
      </c>
      <c r="Y700" s="264" t="s">
        <v>237</v>
      </c>
      <c r="Z700" s="264" t="s">
        <v>228</v>
      </c>
      <c r="AA700" s="264" t="s">
        <v>3928</v>
      </c>
      <c r="AB700" s="364" t="s">
        <v>228</v>
      </c>
      <c r="AC700" s="264" t="s">
        <v>228</v>
      </c>
      <c r="AD700" s="577"/>
      <c r="AE700" s="364"/>
      <c r="AF700" s="264"/>
      <c r="AG700" s="309"/>
      <c r="AH700" s="309"/>
      <c r="AI700" s="309"/>
      <c r="AJ700" s="309"/>
      <c r="AK700" s="309"/>
      <c r="AL700" s="309"/>
      <c r="AM700" s="309"/>
      <c r="AN700" s="309"/>
      <c r="AO700" s="309"/>
      <c r="AP700" s="309"/>
      <c r="AQ700" s="309"/>
      <c r="AR700" s="309"/>
      <c r="AS700" s="309"/>
      <c r="AT700" s="309"/>
      <c r="AU700" s="309"/>
      <c r="AV700" s="309"/>
      <c r="AW700" s="309"/>
      <c r="AX700" s="309"/>
      <c r="AY700" s="309"/>
      <c r="AZ700" s="309"/>
      <c r="BA700" s="309"/>
      <c r="BB700" s="309"/>
      <c r="BC700" s="309"/>
      <c r="BD700" s="309"/>
      <c r="BE700" s="309"/>
      <c r="BF700" s="309"/>
      <c r="BG700" s="309"/>
      <c r="BH700" s="309"/>
      <c r="BI700" s="309"/>
      <c r="BJ700" s="309"/>
      <c r="BK700" s="309"/>
      <c r="BL700" s="309"/>
      <c r="BM700" s="309"/>
      <c r="BN700" s="309"/>
      <c r="BO700" s="309"/>
      <c r="BP700" s="309"/>
      <c r="BQ700" s="309"/>
      <c r="BR700" s="309"/>
      <c r="BS700" s="309"/>
      <c r="BT700" s="309"/>
      <c r="BU700" s="309"/>
      <c r="BV700" s="309"/>
      <c r="BW700" s="309"/>
      <c r="BX700" s="309"/>
      <c r="BY700" s="309"/>
      <c r="BZ700" s="309"/>
      <c r="CA700" s="309"/>
      <c r="CB700" s="309"/>
      <c r="CC700" s="309"/>
      <c r="CD700" s="309"/>
      <c r="CE700" s="309"/>
      <c r="CF700" s="309"/>
      <c r="CG700" s="309"/>
      <c r="CH700" s="309"/>
      <c r="CI700" s="309"/>
      <c r="CJ700" s="309"/>
      <c r="CK700" s="309"/>
      <c r="CL700" s="309"/>
      <c r="CM700" s="309"/>
      <c r="CN700" s="309"/>
      <c r="CO700" s="309"/>
      <c r="CP700" s="309"/>
      <c r="CQ700" s="309"/>
      <c r="CR700" s="309"/>
      <c r="CS700" s="309"/>
      <c r="CT700" s="309"/>
      <c r="CU700" s="309"/>
      <c r="CV700" s="309"/>
      <c r="CW700" s="309"/>
      <c r="CX700" s="309"/>
      <c r="CY700" s="309"/>
      <c r="CZ700" s="309"/>
      <c r="DA700" s="309"/>
      <c r="DB700" s="309"/>
      <c r="DC700" s="309"/>
      <c r="DD700" s="309"/>
      <c r="DE700" s="309"/>
      <c r="DF700" s="309"/>
      <c r="DG700" s="309"/>
      <c r="DH700" s="309"/>
      <c r="DI700" s="309"/>
      <c r="DJ700" s="309"/>
      <c r="DK700" s="309"/>
      <c r="DL700" s="309"/>
      <c r="DM700" s="309"/>
      <c r="DN700" s="309"/>
      <c r="DO700" s="309"/>
      <c r="DP700" s="309"/>
      <c r="DQ700" s="309"/>
      <c r="DR700" s="309"/>
      <c r="DS700" s="309"/>
      <c r="DT700" s="309"/>
      <c r="DU700" s="309"/>
      <c r="DV700" s="309"/>
      <c r="DW700" s="309"/>
      <c r="DX700" s="309"/>
      <c r="DY700" s="309"/>
      <c r="DZ700" s="310"/>
    </row>
    <row r="701" spans="1:130" ht="13.5" customHeight="1">
      <c r="A701" s="235">
        <v>699</v>
      </c>
      <c r="B701" s="235">
        <v>0</v>
      </c>
      <c r="C701" s="256" t="s">
        <v>3929</v>
      </c>
      <c r="D701" s="235" t="s">
        <v>3930</v>
      </c>
      <c r="E701" s="235">
        <v>38</v>
      </c>
      <c r="F701" s="235" t="s">
        <v>60</v>
      </c>
      <c r="G701" s="235" t="s">
        <v>3931</v>
      </c>
      <c r="H701" s="237" t="s">
        <v>188</v>
      </c>
      <c r="I701" s="237"/>
      <c r="J701" s="235" t="s">
        <v>3932</v>
      </c>
      <c r="K701" s="240"/>
      <c r="L701" s="237"/>
      <c r="M701" s="237"/>
      <c r="N701" s="237"/>
      <c r="O701" s="237"/>
      <c r="P701" s="237"/>
      <c r="Q701" s="527">
        <v>45700</v>
      </c>
      <c r="R701" s="337" t="s">
        <v>309</v>
      </c>
      <c r="S701" s="330" t="s">
        <v>233</v>
      </c>
      <c r="T701" s="339">
        <v>7.9</v>
      </c>
      <c r="U701" s="237" t="s">
        <v>442</v>
      </c>
      <c r="V701" s="237" t="s">
        <v>228</v>
      </c>
      <c r="W701" s="244" t="s">
        <v>228</v>
      </c>
      <c r="X701" s="237" t="s">
        <v>228</v>
      </c>
      <c r="Y701" s="237" t="s">
        <v>228</v>
      </c>
      <c r="Z701" s="237" t="s">
        <v>228</v>
      </c>
      <c r="AA701" s="237" t="s">
        <v>3933</v>
      </c>
      <c r="AB701" s="337" t="s">
        <v>228</v>
      </c>
      <c r="AC701" s="237" t="s">
        <v>228</v>
      </c>
      <c r="AD701" s="566"/>
      <c r="AE701" s="551"/>
      <c r="AF701" s="237"/>
    </row>
    <row r="702" spans="1:130" ht="13.5" customHeight="1">
      <c r="A702" s="235">
        <v>700</v>
      </c>
      <c r="B702" s="235">
        <v>100</v>
      </c>
      <c r="C702" s="255" t="s">
        <v>3934</v>
      </c>
      <c r="D702" s="235" t="s">
        <v>3935</v>
      </c>
      <c r="E702" s="235">
        <v>48</v>
      </c>
      <c r="F702" s="235" t="s">
        <v>75</v>
      </c>
      <c r="G702" s="235" t="s">
        <v>3936</v>
      </c>
      <c r="H702" s="269" t="s">
        <v>188</v>
      </c>
      <c r="I702" s="237"/>
      <c r="J702" s="235" t="s">
        <v>3932</v>
      </c>
      <c r="K702" s="240"/>
      <c r="L702" s="237"/>
      <c r="M702" s="237"/>
      <c r="N702" s="237" t="s">
        <v>3937</v>
      </c>
      <c r="O702" s="237" t="s">
        <v>228</v>
      </c>
      <c r="P702" s="237" t="s">
        <v>231</v>
      </c>
      <c r="Q702" s="527">
        <v>44949</v>
      </c>
      <c r="R702" s="337" t="s">
        <v>309</v>
      </c>
      <c r="S702" s="330" t="s">
        <v>233</v>
      </c>
      <c r="T702" s="339">
        <v>8.9</v>
      </c>
      <c r="U702" s="237" t="s">
        <v>234</v>
      </c>
      <c r="V702" s="237" t="s">
        <v>235</v>
      </c>
      <c r="W702" s="244" t="s">
        <v>228</v>
      </c>
      <c r="X702" s="237" t="s">
        <v>3938</v>
      </c>
      <c r="Y702" s="237" t="s">
        <v>237</v>
      </c>
      <c r="Z702" s="237" t="s">
        <v>237</v>
      </c>
      <c r="AA702" s="237" t="s">
        <v>3939</v>
      </c>
      <c r="AB702" s="337" t="s">
        <v>228</v>
      </c>
      <c r="AC702" s="237" t="s">
        <v>228</v>
      </c>
      <c r="AD702" s="562"/>
      <c r="AE702" s="555"/>
      <c r="AF702" s="237"/>
    </row>
    <row r="703" spans="1:130" ht="13.5" customHeight="1">
      <c r="A703" s="235">
        <v>701</v>
      </c>
      <c r="B703" s="235" t="s">
        <v>3940</v>
      </c>
      <c r="C703" s="237" t="s">
        <v>3941</v>
      </c>
      <c r="D703" s="235" t="s">
        <v>3942</v>
      </c>
      <c r="E703" s="235">
        <v>49</v>
      </c>
      <c r="F703" s="235" t="s">
        <v>75</v>
      </c>
      <c r="G703" s="235" t="s">
        <v>3943</v>
      </c>
      <c r="H703" s="237" t="s">
        <v>188</v>
      </c>
      <c r="I703" s="237"/>
      <c r="J703" s="235" t="s">
        <v>3932</v>
      </c>
      <c r="K703" s="240"/>
      <c r="L703" s="237"/>
      <c r="M703" s="237"/>
      <c r="N703" s="237"/>
      <c r="O703" s="237"/>
      <c r="P703" s="237"/>
      <c r="Q703" s="527">
        <v>45758</v>
      </c>
      <c r="R703" s="337" t="s">
        <v>309</v>
      </c>
      <c r="S703" s="330" t="s">
        <v>233</v>
      </c>
      <c r="T703" s="339" t="s">
        <v>228</v>
      </c>
      <c r="U703" s="237" t="s">
        <v>515</v>
      </c>
      <c r="V703" s="237" t="s">
        <v>473</v>
      </c>
      <c r="W703" s="244">
        <v>45832</v>
      </c>
      <c r="X703" s="237" t="s">
        <v>3944</v>
      </c>
      <c r="Y703" s="237" t="s">
        <v>237</v>
      </c>
      <c r="Z703" s="237" t="s">
        <v>228</v>
      </c>
      <c r="AA703" s="237" t="s">
        <v>3945</v>
      </c>
      <c r="AB703" s="337" t="s">
        <v>228</v>
      </c>
      <c r="AC703" s="237" t="s">
        <v>228</v>
      </c>
      <c r="AD703" s="561"/>
      <c r="AE703" s="337"/>
      <c r="AF703" s="237"/>
    </row>
    <row r="704" spans="1:130" ht="13.5" customHeight="1">
      <c r="A704" s="235">
        <v>702</v>
      </c>
      <c r="B704" s="235">
        <v>0</v>
      </c>
      <c r="C704" s="256" t="s">
        <v>3946</v>
      </c>
      <c r="D704" s="235" t="s">
        <v>3947</v>
      </c>
      <c r="E704" s="235">
        <v>61</v>
      </c>
      <c r="F704" s="235" t="s">
        <v>60</v>
      </c>
      <c r="G704" s="235" t="s">
        <v>3948</v>
      </c>
      <c r="H704" s="237" t="s">
        <v>188</v>
      </c>
      <c r="I704" s="237"/>
      <c r="J704" s="235" t="s">
        <v>3932</v>
      </c>
      <c r="K704" s="240"/>
      <c r="L704" s="237"/>
      <c r="M704" s="237"/>
      <c r="N704" s="237"/>
      <c r="O704" s="237"/>
      <c r="P704" s="237"/>
      <c r="Q704" s="527">
        <v>45784</v>
      </c>
      <c r="R704" s="337" t="s">
        <v>309</v>
      </c>
      <c r="S704" s="330" t="s">
        <v>233</v>
      </c>
      <c r="T704" s="339">
        <v>9.1999999999999993</v>
      </c>
      <c r="U704" s="237" t="s">
        <v>3949</v>
      </c>
      <c r="V704" s="237" t="s">
        <v>228</v>
      </c>
      <c r="W704" s="244" t="s">
        <v>228</v>
      </c>
      <c r="X704" s="237" t="s">
        <v>228</v>
      </c>
      <c r="Y704" s="237" t="s">
        <v>228</v>
      </c>
      <c r="Z704" s="237" t="s">
        <v>228</v>
      </c>
      <c r="AA704" s="237" t="s">
        <v>3950</v>
      </c>
      <c r="AB704" s="337" t="s">
        <v>237</v>
      </c>
      <c r="AC704" s="237" t="s">
        <v>228</v>
      </c>
      <c r="AD704" s="566"/>
      <c r="AE704" s="551"/>
      <c r="AF704" s="237"/>
    </row>
    <row r="705" spans="1:32" ht="13.5" customHeight="1">
      <c r="A705" s="235">
        <v>703</v>
      </c>
      <c r="B705" s="235">
        <v>241</v>
      </c>
      <c r="C705" s="256" t="s">
        <v>3951</v>
      </c>
      <c r="D705" s="235" t="s">
        <v>3952</v>
      </c>
      <c r="E705" s="235">
        <v>46</v>
      </c>
      <c r="F705" s="235" t="s">
        <v>75</v>
      </c>
      <c r="G705" s="235" t="s">
        <v>3953</v>
      </c>
      <c r="H705" s="237" t="s">
        <v>188</v>
      </c>
      <c r="I705" s="237"/>
      <c r="J705" s="235" t="s">
        <v>3932</v>
      </c>
      <c r="K705" s="240"/>
      <c r="L705" s="237"/>
      <c r="M705" s="237"/>
      <c r="N705" s="237"/>
      <c r="O705" s="237"/>
      <c r="P705" s="237"/>
      <c r="Q705" s="527">
        <v>45584</v>
      </c>
      <c r="R705" s="337" t="s">
        <v>309</v>
      </c>
      <c r="S705" s="330" t="s">
        <v>233</v>
      </c>
      <c r="T705" s="339">
        <v>8.8000000000000007</v>
      </c>
      <c r="U705" s="237" t="s">
        <v>298</v>
      </c>
      <c r="V705" s="237" t="s">
        <v>235</v>
      </c>
      <c r="W705" s="244">
        <v>45631</v>
      </c>
      <c r="X705" s="237" t="s">
        <v>3954</v>
      </c>
      <c r="Y705" s="237" t="s">
        <v>237</v>
      </c>
      <c r="Z705" s="237" t="s">
        <v>237</v>
      </c>
      <c r="AA705" s="237" t="s">
        <v>3955</v>
      </c>
      <c r="AB705" s="337" t="s">
        <v>237</v>
      </c>
      <c r="AC705" s="237" t="s">
        <v>353</v>
      </c>
      <c r="AD705" s="562">
        <v>45656</v>
      </c>
      <c r="AE705" s="553"/>
      <c r="AF705" s="237"/>
    </row>
    <row r="706" spans="1:32" ht="13.5" customHeight="1">
      <c r="A706" s="235">
        <v>704</v>
      </c>
      <c r="B706" s="235">
        <v>244</v>
      </c>
      <c r="C706" s="256" t="s">
        <v>3956</v>
      </c>
      <c r="D706" s="235" t="s">
        <v>3957</v>
      </c>
      <c r="E706" s="235">
        <v>41</v>
      </c>
      <c r="F706" s="235" t="s">
        <v>60</v>
      </c>
      <c r="G706" s="235" t="s">
        <v>3958</v>
      </c>
      <c r="H706" s="237" t="s">
        <v>188</v>
      </c>
      <c r="I706" s="237"/>
      <c r="J706" s="235" t="s">
        <v>3932</v>
      </c>
      <c r="K706" s="240"/>
      <c r="L706" s="237"/>
      <c r="M706" s="237"/>
      <c r="N706" s="237"/>
      <c r="O706" s="237"/>
      <c r="P706" s="237"/>
      <c r="Q706" s="527">
        <v>45584</v>
      </c>
      <c r="R706" s="337" t="s">
        <v>309</v>
      </c>
      <c r="S706" s="330" t="s">
        <v>233</v>
      </c>
      <c r="T706" s="339">
        <v>8.4</v>
      </c>
      <c r="U706" s="237" t="s">
        <v>298</v>
      </c>
      <c r="V706" s="237" t="s">
        <v>235</v>
      </c>
      <c r="W706" s="244">
        <v>45631</v>
      </c>
      <c r="X706" s="237" t="s">
        <v>3959</v>
      </c>
      <c r="Y706" s="237" t="s">
        <v>237</v>
      </c>
      <c r="Z706" s="237" t="s">
        <v>237</v>
      </c>
      <c r="AA706" s="237" t="s">
        <v>3960</v>
      </c>
      <c r="AB706" s="337" t="s">
        <v>237</v>
      </c>
      <c r="AC706" s="55" t="s">
        <v>353</v>
      </c>
      <c r="AD706" s="563">
        <v>45656</v>
      </c>
      <c r="AE706" s="551"/>
      <c r="AF706" s="237"/>
    </row>
    <row r="707" spans="1:32" ht="13.5" customHeight="1">
      <c r="A707" s="235">
        <v>705</v>
      </c>
      <c r="B707" s="235">
        <v>248</v>
      </c>
      <c r="C707" s="256" t="s">
        <v>3961</v>
      </c>
      <c r="D707" s="235" t="s">
        <v>3962</v>
      </c>
      <c r="E707" s="235">
        <v>65</v>
      </c>
      <c r="F707" s="235" t="s">
        <v>60</v>
      </c>
      <c r="G707" s="235" t="s">
        <v>3963</v>
      </c>
      <c r="H707" s="237" t="s">
        <v>188</v>
      </c>
      <c r="I707" s="237"/>
      <c r="J707" s="235" t="s">
        <v>3932</v>
      </c>
      <c r="K707" s="240"/>
      <c r="L707" s="237"/>
      <c r="M707" s="237"/>
      <c r="N707" s="237"/>
      <c r="O707" s="237"/>
      <c r="P707" s="237"/>
      <c r="Q707" s="527">
        <v>45585</v>
      </c>
      <c r="R707" s="337" t="s">
        <v>309</v>
      </c>
      <c r="S707" s="330" t="s">
        <v>233</v>
      </c>
      <c r="T707" s="339">
        <v>8.1</v>
      </c>
      <c r="U707" s="237" t="s">
        <v>298</v>
      </c>
      <c r="V707" s="237" t="s">
        <v>235</v>
      </c>
      <c r="W707" s="244">
        <v>45631</v>
      </c>
      <c r="X707" s="237" t="s">
        <v>3964</v>
      </c>
      <c r="Y707" s="237" t="s">
        <v>237</v>
      </c>
      <c r="Z707" s="237" t="s">
        <v>237</v>
      </c>
      <c r="AA707" s="237" t="s">
        <v>3965</v>
      </c>
      <c r="AB707" s="337" t="s">
        <v>237</v>
      </c>
      <c r="AC707" s="55" t="s">
        <v>353</v>
      </c>
      <c r="AD707" s="563">
        <v>45656</v>
      </c>
      <c r="AE707" s="551"/>
      <c r="AF707" s="237"/>
    </row>
    <row r="708" spans="1:32" ht="13.5" customHeight="1">
      <c r="A708" s="235">
        <v>706</v>
      </c>
      <c r="B708" s="235">
        <v>299</v>
      </c>
      <c r="C708" s="256" t="s">
        <v>3966</v>
      </c>
      <c r="D708" s="235" t="s">
        <v>3967</v>
      </c>
      <c r="E708" s="235">
        <v>48</v>
      </c>
      <c r="F708" s="235" t="s">
        <v>75</v>
      </c>
      <c r="G708" s="235" t="s">
        <v>3968</v>
      </c>
      <c r="H708" s="237" t="s">
        <v>188</v>
      </c>
      <c r="I708" s="237"/>
      <c r="J708" s="235" t="s">
        <v>3932</v>
      </c>
      <c r="K708" s="240"/>
      <c r="L708" s="237"/>
      <c r="M708" s="237"/>
      <c r="N708" s="237"/>
      <c r="O708" s="237"/>
      <c r="P708" s="237"/>
      <c r="Q708" s="527">
        <v>45617</v>
      </c>
      <c r="R708" s="337" t="s">
        <v>309</v>
      </c>
      <c r="S708" s="330" t="s">
        <v>233</v>
      </c>
      <c r="T708" s="339">
        <v>8.9</v>
      </c>
      <c r="U708" s="237" t="s">
        <v>234</v>
      </c>
      <c r="V708" s="237" t="s">
        <v>235</v>
      </c>
      <c r="W708" s="244">
        <v>45677</v>
      </c>
      <c r="X708" s="237" t="s">
        <v>3969</v>
      </c>
      <c r="Y708" s="237" t="s">
        <v>237</v>
      </c>
      <c r="Z708" s="237" t="s">
        <v>237</v>
      </c>
      <c r="AA708" s="237" t="s">
        <v>3970</v>
      </c>
      <c r="AB708" s="337" t="s">
        <v>228</v>
      </c>
      <c r="AC708" s="237" t="s">
        <v>228</v>
      </c>
      <c r="AD708" s="566"/>
      <c r="AE708" s="551"/>
      <c r="AF708" s="237"/>
    </row>
    <row r="709" spans="1:32" ht="13.5" customHeight="1">
      <c r="A709" s="235">
        <v>707</v>
      </c>
      <c r="B709" s="235">
        <v>289</v>
      </c>
      <c r="C709" s="256" t="s">
        <v>3971</v>
      </c>
      <c r="D709" s="235" t="s">
        <v>3972</v>
      </c>
      <c r="E709" s="235">
        <v>45</v>
      </c>
      <c r="F709" s="235" t="s">
        <v>1099</v>
      </c>
      <c r="G709" s="235" t="s">
        <v>3973</v>
      </c>
      <c r="H709" s="237" t="s">
        <v>188</v>
      </c>
      <c r="I709" s="237"/>
      <c r="J709" s="235" t="s">
        <v>3932</v>
      </c>
      <c r="K709" s="240"/>
      <c r="L709" s="237"/>
      <c r="M709" s="237"/>
      <c r="N709" s="237"/>
      <c r="O709" s="237"/>
      <c r="P709" s="237"/>
      <c r="Q709" s="527">
        <v>45617</v>
      </c>
      <c r="R709" s="337" t="s">
        <v>309</v>
      </c>
      <c r="S709" s="330" t="s">
        <v>233</v>
      </c>
      <c r="T709" s="339">
        <v>8.3000000000000007</v>
      </c>
      <c r="U709" s="237" t="s">
        <v>3974</v>
      </c>
      <c r="V709" s="237" t="s">
        <v>235</v>
      </c>
      <c r="W709" s="244">
        <v>45666</v>
      </c>
      <c r="X709" s="237" t="s">
        <v>3975</v>
      </c>
      <c r="Y709" s="237" t="s">
        <v>237</v>
      </c>
      <c r="Z709" s="237" t="s">
        <v>228</v>
      </c>
      <c r="AA709" s="237" t="s">
        <v>3976</v>
      </c>
      <c r="AB709" s="337" t="s">
        <v>228</v>
      </c>
      <c r="AC709" s="237" t="s">
        <v>228</v>
      </c>
      <c r="AD709" s="566"/>
      <c r="AE709" s="551"/>
      <c r="AF709" s="237"/>
    </row>
    <row r="710" spans="1:32" ht="13.5" customHeight="1">
      <c r="A710" s="235">
        <v>708</v>
      </c>
      <c r="B710" s="235">
        <v>288</v>
      </c>
      <c r="C710" s="256" t="s">
        <v>3977</v>
      </c>
      <c r="D710" s="235" t="s">
        <v>3978</v>
      </c>
      <c r="E710" s="235">
        <v>43</v>
      </c>
      <c r="F710" s="235" t="s">
        <v>424</v>
      </c>
      <c r="G710" s="235" t="s">
        <v>3979</v>
      </c>
      <c r="H710" s="237" t="s">
        <v>188</v>
      </c>
      <c r="I710" s="237"/>
      <c r="J710" s="235" t="s">
        <v>3932</v>
      </c>
      <c r="K710" s="240"/>
      <c r="L710" s="237"/>
      <c r="M710" s="237"/>
      <c r="N710" s="237"/>
      <c r="O710" s="237"/>
      <c r="P710" s="237"/>
      <c r="Q710" s="527">
        <v>45617</v>
      </c>
      <c r="R710" s="337" t="s">
        <v>309</v>
      </c>
      <c r="S710" s="330" t="s">
        <v>233</v>
      </c>
      <c r="T710" s="339">
        <v>8.3000000000000007</v>
      </c>
      <c r="U710" s="237" t="s">
        <v>3974</v>
      </c>
      <c r="V710" s="237" t="s">
        <v>235</v>
      </c>
      <c r="W710" s="244">
        <v>45666</v>
      </c>
      <c r="X710" s="237" t="s">
        <v>3980</v>
      </c>
      <c r="Y710" s="237" t="s">
        <v>237</v>
      </c>
      <c r="Z710" s="237" t="s">
        <v>228</v>
      </c>
      <c r="AA710" s="237" t="s">
        <v>3981</v>
      </c>
      <c r="AB710" s="337" t="s">
        <v>237</v>
      </c>
      <c r="AC710" s="237" t="s">
        <v>228</v>
      </c>
      <c r="AD710" s="566"/>
      <c r="AE710" s="551"/>
      <c r="AF710" s="237"/>
    </row>
    <row r="711" spans="1:32" ht="13.5" customHeight="1">
      <c r="A711" s="235">
        <v>709</v>
      </c>
      <c r="B711" s="235">
        <v>245</v>
      </c>
      <c r="C711" s="256" t="s">
        <v>3982</v>
      </c>
      <c r="D711" s="235" t="s">
        <v>3983</v>
      </c>
      <c r="E711" s="235">
        <v>76</v>
      </c>
      <c r="F711" s="235" t="s">
        <v>60</v>
      </c>
      <c r="G711" s="235" t="s">
        <v>3984</v>
      </c>
      <c r="H711" s="237" t="s">
        <v>188</v>
      </c>
      <c r="I711" s="237"/>
      <c r="J711" s="235" t="s">
        <v>3932</v>
      </c>
      <c r="K711" s="240"/>
      <c r="L711" s="237"/>
      <c r="M711" s="237"/>
      <c r="N711" s="237"/>
      <c r="O711" s="237"/>
      <c r="P711" s="237"/>
      <c r="Q711" s="527">
        <v>45584</v>
      </c>
      <c r="R711" s="337" t="s">
        <v>309</v>
      </c>
      <c r="S711" s="330" t="s">
        <v>233</v>
      </c>
      <c r="T711" s="339">
        <v>8.4</v>
      </c>
      <c r="U711" s="237" t="s">
        <v>298</v>
      </c>
      <c r="V711" s="237" t="s">
        <v>235</v>
      </c>
      <c r="W711" s="244">
        <v>45631</v>
      </c>
      <c r="X711" s="237" t="s">
        <v>3985</v>
      </c>
      <c r="Y711" s="237" t="s">
        <v>237</v>
      </c>
      <c r="Z711" s="237" t="s">
        <v>228</v>
      </c>
      <c r="AA711" s="237" t="s">
        <v>3986</v>
      </c>
      <c r="AB711" s="337" t="s">
        <v>237</v>
      </c>
      <c r="AC711" s="237" t="s">
        <v>353</v>
      </c>
      <c r="AD711" s="562">
        <v>45656</v>
      </c>
      <c r="AE711" s="553"/>
      <c r="AF711" s="237"/>
    </row>
    <row r="712" spans="1:32" ht="13.5" customHeight="1">
      <c r="A712" s="235">
        <v>710</v>
      </c>
      <c r="B712" s="235">
        <v>179</v>
      </c>
      <c r="C712" s="256" t="s">
        <v>3987</v>
      </c>
      <c r="D712" s="235" t="s">
        <v>3988</v>
      </c>
      <c r="E712" s="235">
        <v>39</v>
      </c>
      <c r="F712" s="235" t="s">
        <v>75</v>
      </c>
      <c r="G712" s="235" t="s">
        <v>3989</v>
      </c>
      <c r="H712" s="237" t="s">
        <v>188</v>
      </c>
      <c r="I712" s="237" t="s">
        <v>1937</v>
      </c>
      <c r="J712" s="235" t="s">
        <v>3932</v>
      </c>
      <c r="K712" s="240"/>
      <c r="L712" s="237"/>
      <c r="M712" s="237"/>
      <c r="N712" s="237" t="s">
        <v>3990</v>
      </c>
      <c r="O712" s="237" t="s">
        <v>228</v>
      </c>
      <c r="P712" s="237" t="s">
        <v>231</v>
      </c>
      <c r="Q712" s="527">
        <v>45288</v>
      </c>
      <c r="R712" s="337" t="s">
        <v>309</v>
      </c>
      <c r="S712" s="330" t="s">
        <v>233</v>
      </c>
      <c r="T712" s="339">
        <v>9.1</v>
      </c>
      <c r="U712" s="237" t="s">
        <v>298</v>
      </c>
      <c r="V712" s="237" t="s">
        <v>235</v>
      </c>
      <c r="W712" s="244">
        <v>45320</v>
      </c>
      <c r="X712" s="237" t="s">
        <v>1035</v>
      </c>
      <c r="Y712" s="237" t="s">
        <v>237</v>
      </c>
      <c r="Z712" s="237" t="s">
        <v>237</v>
      </c>
      <c r="AA712" s="237" t="s">
        <v>3991</v>
      </c>
      <c r="AB712" s="337" t="s">
        <v>237</v>
      </c>
      <c r="AC712" s="55" t="s">
        <v>353</v>
      </c>
      <c r="AD712" s="563">
        <v>45356</v>
      </c>
      <c r="AE712" s="551"/>
      <c r="AF712" s="237"/>
    </row>
    <row r="713" spans="1:32" ht="13.5" customHeight="1">
      <c r="A713" s="235">
        <v>711</v>
      </c>
      <c r="B713" s="235">
        <v>0</v>
      </c>
      <c r="C713" s="256" t="s">
        <v>3992</v>
      </c>
      <c r="D713" s="235" t="s">
        <v>3993</v>
      </c>
      <c r="E713" s="235">
        <v>69</v>
      </c>
      <c r="F713" s="235" t="s">
        <v>75</v>
      </c>
      <c r="G713" s="235" t="s">
        <v>3994</v>
      </c>
      <c r="H713" s="237" t="s">
        <v>5</v>
      </c>
      <c r="I713" s="237"/>
      <c r="J713" s="235" t="s">
        <v>3932</v>
      </c>
      <c r="K713" s="240" t="s">
        <v>3995</v>
      </c>
      <c r="L713" s="237" t="s">
        <v>16</v>
      </c>
      <c r="M713" s="237" t="s">
        <v>3996</v>
      </c>
      <c r="N713" s="237" t="s">
        <v>3997</v>
      </c>
      <c r="O713" s="237"/>
      <c r="P713" s="237"/>
      <c r="Q713" s="527">
        <v>45694</v>
      </c>
      <c r="R713" s="337" t="s">
        <v>309</v>
      </c>
      <c r="S713" s="330" t="s">
        <v>233</v>
      </c>
      <c r="T713" s="339">
        <v>8.6</v>
      </c>
      <c r="U713" s="237" t="s">
        <v>442</v>
      </c>
      <c r="V713" s="237" t="s">
        <v>228</v>
      </c>
      <c r="W713" s="244" t="s">
        <v>228</v>
      </c>
      <c r="X713" s="237" t="s">
        <v>228</v>
      </c>
      <c r="Y713" s="237" t="s">
        <v>228</v>
      </c>
      <c r="Z713" s="237" t="s">
        <v>228</v>
      </c>
      <c r="AA713" s="237" t="s">
        <v>3998</v>
      </c>
      <c r="AB713" s="337" t="s">
        <v>237</v>
      </c>
      <c r="AC713" s="237" t="s">
        <v>228</v>
      </c>
      <c r="AD713" s="566"/>
      <c r="AE713" s="551"/>
      <c r="AF713" s="237"/>
    </row>
    <row r="714" spans="1:32" ht="13.5" customHeight="1">
      <c r="A714" s="235">
        <v>712</v>
      </c>
      <c r="B714" s="235" t="s">
        <v>3999</v>
      </c>
      <c r="C714" s="256" t="s">
        <v>4000</v>
      </c>
      <c r="D714" s="235" t="s">
        <v>4001</v>
      </c>
      <c r="E714" s="235">
        <v>52</v>
      </c>
      <c r="F714" s="235" t="s">
        <v>75</v>
      </c>
      <c r="G714" s="235" t="s">
        <v>4002</v>
      </c>
      <c r="H714" s="237" t="s">
        <v>5</v>
      </c>
      <c r="I714" s="237"/>
      <c r="J714" s="235" t="s">
        <v>3932</v>
      </c>
      <c r="K714" s="240" t="s">
        <v>4003</v>
      </c>
      <c r="L714" s="237" t="s">
        <v>16</v>
      </c>
      <c r="M714" s="237"/>
      <c r="N714" s="237" t="s">
        <v>4004</v>
      </c>
      <c r="O714" s="237"/>
      <c r="P714" s="237"/>
      <c r="Q714" s="527">
        <v>45731</v>
      </c>
      <c r="R714" s="337" t="s">
        <v>309</v>
      </c>
      <c r="S714" s="330" t="s">
        <v>233</v>
      </c>
      <c r="T714" s="339" t="s">
        <v>228</v>
      </c>
      <c r="U714" s="237" t="s">
        <v>298</v>
      </c>
      <c r="V714" s="237" t="s">
        <v>473</v>
      </c>
      <c r="W714" s="244">
        <v>45747</v>
      </c>
      <c r="X714" s="237" t="s">
        <v>4005</v>
      </c>
      <c r="Y714" s="237" t="s">
        <v>237</v>
      </c>
      <c r="Z714" s="237" t="s">
        <v>237</v>
      </c>
      <c r="AA714" s="237" t="s">
        <v>3999</v>
      </c>
      <c r="AB714" s="337" t="s">
        <v>237</v>
      </c>
      <c r="AC714" s="237" t="s">
        <v>353</v>
      </c>
      <c r="AD714" s="561" t="s">
        <v>4006</v>
      </c>
      <c r="AE714" s="554"/>
      <c r="AF714" s="237"/>
    </row>
    <row r="715" spans="1:32" ht="13.5" customHeight="1">
      <c r="A715" s="235">
        <v>713</v>
      </c>
      <c r="B715" s="235" t="s">
        <v>4007</v>
      </c>
      <c r="C715" s="256" t="s">
        <v>4008</v>
      </c>
      <c r="D715" s="235" t="s">
        <v>4009</v>
      </c>
      <c r="E715" s="235">
        <v>54</v>
      </c>
      <c r="F715" s="235" t="s">
        <v>424</v>
      </c>
      <c r="G715" s="235" t="s">
        <v>4010</v>
      </c>
      <c r="H715" s="237" t="s">
        <v>188</v>
      </c>
      <c r="I715" s="237"/>
      <c r="J715" s="235" t="s">
        <v>3932</v>
      </c>
      <c r="K715" s="240"/>
      <c r="L715" s="237"/>
      <c r="M715" s="237"/>
      <c r="N715" s="237"/>
      <c r="O715" s="237"/>
      <c r="P715" s="237"/>
      <c r="Q715" s="527">
        <v>45731</v>
      </c>
      <c r="R715" s="337" t="s">
        <v>309</v>
      </c>
      <c r="S715" s="330" t="s">
        <v>233</v>
      </c>
      <c r="T715" s="339" t="s">
        <v>228</v>
      </c>
      <c r="U715" s="237" t="s">
        <v>298</v>
      </c>
      <c r="V715" s="237" t="s">
        <v>473</v>
      </c>
      <c r="W715" s="244">
        <v>45747</v>
      </c>
      <c r="X715" s="237" t="s">
        <v>4011</v>
      </c>
      <c r="Y715" s="237" t="s">
        <v>237</v>
      </c>
      <c r="Z715" s="237" t="s">
        <v>237</v>
      </c>
      <c r="AA715" s="237" t="s">
        <v>4007</v>
      </c>
      <c r="AB715" s="337" t="s">
        <v>237</v>
      </c>
      <c r="AC715" s="237" t="s">
        <v>353</v>
      </c>
      <c r="AD715" s="561" t="s">
        <v>4006</v>
      </c>
      <c r="AE715" s="554"/>
      <c r="AF715" s="237"/>
    </row>
    <row r="716" spans="1:32" ht="13.5" customHeight="1">
      <c r="A716" s="235">
        <v>714</v>
      </c>
      <c r="B716" s="235">
        <v>247</v>
      </c>
      <c r="C716" s="255" t="s">
        <v>4012</v>
      </c>
      <c r="D716" s="235" t="s">
        <v>4013</v>
      </c>
      <c r="E716" s="235">
        <v>75</v>
      </c>
      <c r="F716" s="235" t="s">
        <v>60</v>
      </c>
      <c r="G716" s="235" t="s">
        <v>4014</v>
      </c>
      <c r="H716" s="237" t="s">
        <v>5</v>
      </c>
      <c r="I716" s="237"/>
      <c r="J716" s="235" t="s">
        <v>3932</v>
      </c>
      <c r="K716" s="240" t="s">
        <v>4015</v>
      </c>
      <c r="L716" s="237" t="s">
        <v>55</v>
      </c>
      <c r="M716" s="237" t="s">
        <v>4016</v>
      </c>
      <c r="N716" s="237" t="s">
        <v>4017</v>
      </c>
      <c r="O716" s="237"/>
      <c r="P716" s="237"/>
      <c r="Q716" s="527">
        <v>45584</v>
      </c>
      <c r="R716" s="337" t="s">
        <v>309</v>
      </c>
      <c r="S716" s="330" t="s">
        <v>233</v>
      </c>
      <c r="T716" s="339">
        <v>8.4</v>
      </c>
      <c r="U716" s="237" t="s">
        <v>298</v>
      </c>
      <c r="V716" s="237" t="s">
        <v>235</v>
      </c>
      <c r="W716" s="244">
        <v>45631</v>
      </c>
      <c r="X716" s="237" t="s">
        <v>4018</v>
      </c>
      <c r="Y716" s="237" t="s">
        <v>237</v>
      </c>
      <c r="Z716" s="237" t="s">
        <v>237</v>
      </c>
      <c r="AA716" s="237" t="s">
        <v>4019</v>
      </c>
      <c r="AB716" s="337" t="s">
        <v>237</v>
      </c>
      <c r="AC716" s="237" t="s">
        <v>353</v>
      </c>
      <c r="AD716" s="562">
        <v>45656</v>
      </c>
      <c r="AE716" s="553"/>
      <c r="AF716" s="237"/>
    </row>
    <row r="717" spans="1:32" ht="13.5" customHeight="1">
      <c r="A717" s="235">
        <v>715</v>
      </c>
      <c r="B717" s="235">
        <v>278</v>
      </c>
      <c r="C717" s="256" t="s">
        <v>4020</v>
      </c>
      <c r="D717" s="235" t="s">
        <v>4021</v>
      </c>
      <c r="E717" s="235">
        <v>56</v>
      </c>
      <c r="F717" s="235" t="s">
        <v>1099</v>
      </c>
      <c r="G717" s="235" t="s">
        <v>4022</v>
      </c>
      <c r="H717" s="237" t="s">
        <v>188</v>
      </c>
      <c r="I717" s="237"/>
      <c r="J717" s="235" t="s">
        <v>3932</v>
      </c>
      <c r="K717" s="240"/>
      <c r="L717" s="237"/>
      <c r="M717" s="237"/>
      <c r="N717" s="237"/>
      <c r="O717" s="237"/>
      <c r="P717" s="237"/>
      <c r="Q717" s="527">
        <v>45611</v>
      </c>
      <c r="R717" s="337" t="s">
        <v>309</v>
      </c>
      <c r="S717" s="330" t="s">
        <v>233</v>
      </c>
      <c r="T717" s="339" t="s">
        <v>228</v>
      </c>
      <c r="U717" s="237" t="s">
        <v>298</v>
      </c>
      <c r="V717" s="237" t="s">
        <v>235</v>
      </c>
      <c r="W717" s="244">
        <v>45659</v>
      </c>
      <c r="X717" s="237" t="s">
        <v>4023</v>
      </c>
      <c r="Y717" s="237" t="s">
        <v>237</v>
      </c>
      <c r="Z717" s="237" t="s">
        <v>237</v>
      </c>
      <c r="AA717" s="237" t="s">
        <v>4024</v>
      </c>
      <c r="AB717" s="337" t="s">
        <v>237</v>
      </c>
      <c r="AC717" s="55" t="s">
        <v>353</v>
      </c>
      <c r="AD717" s="563">
        <v>45667</v>
      </c>
      <c r="AE717" s="551"/>
      <c r="AF717" s="237"/>
    </row>
    <row r="718" spans="1:32" ht="13.5" customHeight="1">
      <c r="A718" s="235">
        <v>716</v>
      </c>
      <c r="B718" s="235">
        <v>292</v>
      </c>
      <c r="C718" s="256" t="s">
        <v>4025</v>
      </c>
      <c r="D718" s="235" t="s">
        <v>4026</v>
      </c>
      <c r="E718" s="235">
        <v>42</v>
      </c>
      <c r="F718" s="235" t="s">
        <v>424</v>
      </c>
      <c r="G718" s="235" t="s">
        <v>4027</v>
      </c>
      <c r="H718" s="237" t="s">
        <v>188</v>
      </c>
      <c r="I718" s="237"/>
      <c r="J718" s="235" t="s">
        <v>3932</v>
      </c>
      <c r="K718" s="240"/>
      <c r="L718" s="237"/>
      <c r="M718" s="237"/>
      <c r="N718" s="237"/>
      <c r="O718" s="237"/>
      <c r="P718" s="237"/>
      <c r="Q718" s="527">
        <v>45617</v>
      </c>
      <c r="R718" s="337" t="s">
        <v>309</v>
      </c>
      <c r="S718" s="330" t="s">
        <v>233</v>
      </c>
      <c r="T718" s="339">
        <v>8.3000000000000007</v>
      </c>
      <c r="U718" s="237" t="s">
        <v>234</v>
      </c>
      <c r="V718" s="237" t="s">
        <v>235</v>
      </c>
      <c r="W718" s="244">
        <v>45666</v>
      </c>
      <c r="X718" s="237" t="s">
        <v>4028</v>
      </c>
      <c r="Y718" s="237" t="s">
        <v>237</v>
      </c>
      <c r="Z718" s="237" t="s">
        <v>228</v>
      </c>
      <c r="AA718" s="237" t="s">
        <v>4029</v>
      </c>
      <c r="AB718" s="337" t="s">
        <v>228</v>
      </c>
      <c r="AC718" s="237" t="s">
        <v>228</v>
      </c>
      <c r="AD718" s="566"/>
      <c r="AE718" s="551"/>
      <c r="AF718" s="237"/>
    </row>
    <row r="719" spans="1:32" ht="13.5" customHeight="1">
      <c r="A719" s="235">
        <v>717</v>
      </c>
      <c r="B719" s="235">
        <v>295</v>
      </c>
      <c r="C719" s="256" t="s">
        <v>4030</v>
      </c>
      <c r="D719" s="235" t="s">
        <v>4031</v>
      </c>
      <c r="E719" s="235">
        <v>31</v>
      </c>
      <c r="F719" s="235" t="s">
        <v>60</v>
      </c>
      <c r="G719" s="235" t="s">
        <v>4032</v>
      </c>
      <c r="H719" s="237" t="s">
        <v>188</v>
      </c>
      <c r="I719" s="237"/>
      <c r="J719" s="235" t="s">
        <v>3932</v>
      </c>
      <c r="K719" s="240"/>
      <c r="L719" s="237"/>
      <c r="M719" s="237"/>
      <c r="N719" s="237"/>
      <c r="O719" s="237"/>
      <c r="P719" s="237"/>
      <c r="Q719" s="527">
        <v>45617</v>
      </c>
      <c r="R719" s="337" t="s">
        <v>309</v>
      </c>
      <c r="S719" s="330" t="s">
        <v>233</v>
      </c>
      <c r="T719" s="339">
        <v>8.3000000000000007</v>
      </c>
      <c r="U719" s="237" t="s">
        <v>234</v>
      </c>
      <c r="V719" s="237" t="s">
        <v>235</v>
      </c>
      <c r="W719" s="244">
        <v>45677</v>
      </c>
      <c r="X719" s="237" t="s">
        <v>4033</v>
      </c>
      <c r="Y719" s="237" t="s">
        <v>237</v>
      </c>
      <c r="Z719" s="237" t="s">
        <v>237</v>
      </c>
      <c r="AA719" s="237" t="s">
        <v>4034</v>
      </c>
      <c r="AB719" s="337" t="s">
        <v>237</v>
      </c>
      <c r="AC719" s="237" t="s">
        <v>228</v>
      </c>
      <c r="AD719" s="566"/>
      <c r="AE719" s="551"/>
      <c r="AF719" s="237"/>
    </row>
    <row r="720" spans="1:32" ht="13.5" customHeight="1">
      <c r="A720" s="235">
        <v>718</v>
      </c>
      <c r="B720" s="235">
        <v>200</v>
      </c>
      <c r="C720" s="256" t="s">
        <v>4035</v>
      </c>
      <c r="D720" s="235" t="s">
        <v>4036</v>
      </c>
      <c r="E720" s="235">
        <v>48</v>
      </c>
      <c r="F720" s="235" t="s">
        <v>75</v>
      </c>
      <c r="G720" s="235" t="s">
        <v>4037</v>
      </c>
      <c r="H720" s="237" t="s">
        <v>15</v>
      </c>
      <c r="I720" s="237"/>
      <c r="J720" s="235" t="s">
        <v>3932</v>
      </c>
      <c r="K720" s="240"/>
      <c r="L720" s="237" t="s">
        <v>4038</v>
      </c>
      <c r="M720" s="237"/>
      <c r="N720" s="248" t="s">
        <v>4039</v>
      </c>
      <c r="O720" s="237" t="s">
        <v>228</v>
      </c>
      <c r="P720" s="237"/>
      <c r="Q720" s="527">
        <v>45418</v>
      </c>
      <c r="R720" s="337" t="s">
        <v>309</v>
      </c>
      <c r="S720" s="330" t="s">
        <v>233</v>
      </c>
      <c r="T720" s="339" t="s">
        <v>827</v>
      </c>
      <c r="U720" s="237" t="s">
        <v>298</v>
      </c>
      <c r="V720" s="237" t="s">
        <v>235</v>
      </c>
      <c r="W720" s="244">
        <v>45456</v>
      </c>
      <c r="X720" s="237" t="s">
        <v>4040</v>
      </c>
      <c r="Y720" s="237" t="s">
        <v>237</v>
      </c>
      <c r="Z720" s="237" t="s">
        <v>237</v>
      </c>
      <c r="AA720" s="237" t="s">
        <v>4041</v>
      </c>
      <c r="AB720" s="337" t="s">
        <v>237</v>
      </c>
      <c r="AC720" s="55" t="s">
        <v>353</v>
      </c>
      <c r="AD720" s="563">
        <v>45467</v>
      </c>
      <c r="AE720" s="551"/>
      <c r="AF720" s="237"/>
    </row>
    <row r="721" spans="1:32" ht="13.5" customHeight="1">
      <c r="A721" s="235">
        <v>719</v>
      </c>
      <c r="B721" s="235">
        <v>0</v>
      </c>
      <c r="C721" s="243" t="s">
        <v>4042</v>
      </c>
      <c r="D721" s="235" t="s">
        <v>4043</v>
      </c>
      <c r="E721" s="235">
        <v>71</v>
      </c>
      <c r="F721" s="235" t="s">
        <v>60</v>
      </c>
      <c r="G721" s="235" t="s">
        <v>4044</v>
      </c>
      <c r="H721" s="237" t="s">
        <v>5</v>
      </c>
      <c r="I721" s="237"/>
      <c r="J721" s="235" t="s">
        <v>3932</v>
      </c>
      <c r="K721" s="240" t="s">
        <v>4045</v>
      </c>
      <c r="L721" s="237" t="s">
        <v>13</v>
      </c>
      <c r="M721" s="237" t="s">
        <v>4046</v>
      </c>
      <c r="N721" s="237" t="s">
        <v>4047</v>
      </c>
      <c r="O721" s="237"/>
      <c r="P721" s="237"/>
      <c r="Q721" s="527">
        <v>45796</v>
      </c>
      <c r="R721" s="337" t="s">
        <v>309</v>
      </c>
      <c r="S721" s="330" t="s">
        <v>233</v>
      </c>
      <c r="T721" s="339" t="s">
        <v>228</v>
      </c>
      <c r="U721" s="237" t="s">
        <v>234</v>
      </c>
      <c r="V721" s="237" t="s">
        <v>228</v>
      </c>
      <c r="W721" s="244" t="s">
        <v>228</v>
      </c>
      <c r="X721" s="237" t="s">
        <v>228</v>
      </c>
      <c r="Y721" s="237" t="s">
        <v>228</v>
      </c>
      <c r="Z721" s="237" t="s">
        <v>228</v>
      </c>
      <c r="AA721" s="237" t="s">
        <v>4048</v>
      </c>
      <c r="AB721" s="337" t="s">
        <v>237</v>
      </c>
      <c r="AC721" s="237" t="s">
        <v>228</v>
      </c>
      <c r="AD721" s="562"/>
      <c r="AE721" s="550"/>
      <c r="AF721" s="237"/>
    </row>
    <row r="722" spans="1:32" ht="13.5" customHeight="1">
      <c r="A722" s="235">
        <v>720</v>
      </c>
      <c r="B722" s="235">
        <v>176</v>
      </c>
      <c r="C722" s="255" t="s">
        <v>4049</v>
      </c>
      <c r="D722" s="235" t="s">
        <v>4050</v>
      </c>
      <c r="E722" s="235">
        <v>73</v>
      </c>
      <c r="F722" s="235" t="s">
        <v>75</v>
      </c>
      <c r="G722" s="235" t="s">
        <v>4051</v>
      </c>
      <c r="H722" s="237" t="s">
        <v>5</v>
      </c>
      <c r="I722" s="237"/>
      <c r="J722" s="235" t="s">
        <v>3932</v>
      </c>
      <c r="K722" s="240"/>
      <c r="L722" s="237" t="s">
        <v>16</v>
      </c>
      <c r="M722" s="237"/>
      <c r="N722" s="237" t="s">
        <v>4052</v>
      </c>
      <c r="O722" s="237" t="s">
        <v>228</v>
      </c>
      <c r="P722" s="237" t="s">
        <v>231</v>
      </c>
      <c r="Q722" s="527">
        <v>45283</v>
      </c>
      <c r="R722" s="337" t="s">
        <v>309</v>
      </c>
      <c r="S722" s="330" t="s">
        <v>233</v>
      </c>
      <c r="T722" s="339">
        <v>9</v>
      </c>
      <c r="U722" s="237" t="s">
        <v>298</v>
      </c>
      <c r="V722" s="237" t="s">
        <v>235</v>
      </c>
      <c r="W722" s="244">
        <v>45320</v>
      </c>
      <c r="X722" s="237" t="s">
        <v>4053</v>
      </c>
      <c r="Y722" s="237" t="s">
        <v>237</v>
      </c>
      <c r="Z722" s="237" t="s">
        <v>237</v>
      </c>
      <c r="AA722" s="237" t="s">
        <v>4054</v>
      </c>
      <c r="AB722" s="337" t="s">
        <v>237</v>
      </c>
      <c r="AC722" s="55" t="s">
        <v>353</v>
      </c>
      <c r="AD722" s="563">
        <v>45329</v>
      </c>
      <c r="AE722" s="555"/>
      <c r="AF722" s="237"/>
    </row>
    <row r="723" spans="1:32" ht="13.5" customHeight="1">
      <c r="A723" s="235">
        <v>721</v>
      </c>
      <c r="B723" s="235">
        <v>235</v>
      </c>
      <c r="C723" s="255" t="s">
        <v>4055</v>
      </c>
      <c r="D723" s="235" t="s">
        <v>4056</v>
      </c>
      <c r="E723" s="235">
        <v>61</v>
      </c>
      <c r="F723" s="235" t="s">
        <v>75</v>
      </c>
      <c r="G723" s="235" t="s">
        <v>4057</v>
      </c>
      <c r="H723" s="237" t="s">
        <v>27</v>
      </c>
      <c r="I723" s="237"/>
      <c r="J723" s="235" t="s">
        <v>4058</v>
      </c>
      <c r="K723" s="240"/>
      <c r="L723" s="237"/>
      <c r="M723" s="237"/>
      <c r="N723" s="237"/>
      <c r="O723" s="237"/>
      <c r="P723" s="237"/>
      <c r="Q723" s="527">
        <v>45576</v>
      </c>
      <c r="R723" s="337" t="s">
        <v>309</v>
      </c>
      <c r="S723" s="330" t="s">
        <v>233</v>
      </c>
      <c r="T723" s="339">
        <v>8.1</v>
      </c>
      <c r="U723" s="237" t="s">
        <v>298</v>
      </c>
      <c r="V723" s="237" t="s">
        <v>235</v>
      </c>
      <c r="W723" s="244">
        <v>45624</v>
      </c>
      <c r="X723" s="237" t="s">
        <v>4059</v>
      </c>
      <c r="Y723" s="237" t="s">
        <v>237</v>
      </c>
      <c r="Z723" s="237" t="s">
        <v>237</v>
      </c>
      <c r="AA723" s="237" t="s">
        <v>4060</v>
      </c>
      <c r="AB723" s="337" t="s">
        <v>237</v>
      </c>
      <c r="AC723" s="237" t="s">
        <v>874</v>
      </c>
      <c r="AD723" s="562"/>
      <c r="AE723" s="555"/>
      <c r="AF723" s="237"/>
    </row>
    <row r="724" spans="1:32" ht="13.5" customHeight="1">
      <c r="A724" s="235">
        <v>722</v>
      </c>
      <c r="B724" s="237"/>
      <c r="C724" s="237" t="s">
        <v>4061</v>
      </c>
      <c r="D724" s="243" t="s">
        <v>4062</v>
      </c>
      <c r="E724" s="237">
        <v>37</v>
      </c>
      <c r="F724" s="237" t="s">
        <v>75</v>
      </c>
      <c r="G724" s="267" t="s">
        <v>4063</v>
      </c>
      <c r="H724" s="237" t="s">
        <v>188</v>
      </c>
      <c r="I724" s="243"/>
      <c r="K724" s="240"/>
      <c r="L724" s="243" t="s">
        <v>231</v>
      </c>
      <c r="M724" s="243" t="s">
        <v>231</v>
      </c>
      <c r="N724" s="237"/>
      <c r="O724" s="237"/>
      <c r="P724" s="237"/>
      <c r="Q724" s="527">
        <v>45811</v>
      </c>
      <c r="R724" s="337" t="s">
        <v>309</v>
      </c>
      <c r="S724" s="330" t="s">
        <v>233</v>
      </c>
      <c r="T724" s="339"/>
      <c r="U724" s="237"/>
      <c r="V724" s="237"/>
      <c r="W724" s="244"/>
      <c r="X724" s="237"/>
      <c r="Y724" s="237"/>
      <c r="Z724" s="237" t="s">
        <v>228</v>
      </c>
      <c r="AA724" s="237"/>
      <c r="AB724" s="337" t="s">
        <v>228</v>
      </c>
      <c r="AC724" s="237" t="s">
        <v>228</v>
      </c>
      <c r="AD724" s="561"/>
      <c r="AE724" s="337"/>
      <c r="AF724" s="237"/>
    </row>
    <row r="725" spans="1:32" ht="13.5" customHeight="1">
      <c r="A725" s="235">
        <v>723</v>
      </c>
      <c r="B725" s="237"/>
      <c r="C725" s="237" t="s">
        <v>4064</v>
      </c>
      <c r="D725" s="243" t="s">
        <v>4065</v>
      </c>
      <c r="E725" s="237">
        <v>43</v>
      </c>
      <c r="F725" s="237" t="s">
        <v>60</v>
      </c>
      <c r="G725" s="267" t="s">
        <v>4066</v>
      </c>
      <c r="H725" s="237" t="s">
        <v>188</v>
      </c>
      <c r="I725" s="243"/>
      <c r="K725" s="240"/>
      <c r="L725" s="243" t="s">
        <v>231</v>
      </c>
      <c r="M725" s="243" t="s">
        <v>231</v>
      </c>
      <c r="N725" s="237"/>
      <c r="O725" s="237"/>
      <c r="P725" s="237"/>
      <c r="Q725" s="527">
        <v>45840</v>
      </c>
      <c r="R725" s="337" t="s">
        <v>309</v>
      </c>
      <c r="S725" s="330" t="s">
        <v>233</v>
      </c>
      <c r="T725" s="339"/>
      <c r="U725" s="237"/>
      <c r="V725" s="237"/>
      <c r="W725" s="244"/>
      <c r="X725" s="237"/>
      <c r="Y725" s="237"/>
      <c r="Z725" s="237" t="s">
        <v>228</v>
      </c>
      <c r="AA725" s="237"/>
      <c r="AB725" s="337" t="s">
        <v>228</v>
      </c>
      <c r="AC725" s="237" t="s">
        <v>228</v>
      </c>
      <c r="AD725" s="561"/>
      <c r="AE725" s="337"/>
      <c r="AF725" s="237"/>
    </row>
    <row r="726" spans="1:32" ht="13.5" customHeight="1">
      <c r="A726" s="235">
        <v>724</v>
      </c>
      <c r="B726" s="237"/>
      <c r="C726" s="237" t="s">
        <v>4067</v>
      </c>
      <c r="D726" s="243" t="s">
        <v>4068</v>
      </c>
      <c r="E726" s="255">
        <v>70</v>
      </c>
      <c r="F726" s="255" t="s">
        <v>60</v>
      </c>
      <c r="G726" s="255" t="s">
        <v>4069</v>
      </c>
      <c r="H726" s="237" t="s">
        <v>3</v>
      </c>
      <c r="I726" s="243"/>
      <c r="J726" s="235" t="s">
        <v>620</v>
      </c>
      <c r="K726" s="240" t="s">
        <v>123</v>
      </c>
      <c r="L726" s="243" t="s">
        <v>1642</v>
      </c>
      <c r="M726" s="243" t="s">
        <v>231</v>
      </c>
      <c r="N726" s="237"/>
      <c r="O726" s="237"/>
      <c r="P726" s="237"/>
      <c r="Q726" s="527">
        <v>45603</v>
      </c>
      <c r="R726" s="337" t="s">
        <v>309</v>
      </c>
      <c r="S726" s="330" t="s">
        <v>233</v>
      </c>
      <c r="T726" s="339" t="s">
        <v>228</v>
      </c>
      <c r="U726" s="237" t="s">
        <v>234</v>
      </c>
      <c r="V726" s="237" t="s">
        <v>235</v>
      </c>
      <c r="W726" s="244">
        <v>45659</v>
      </c>
      <c r="X726" s="237" t="s">
        <v>4070</v>
      </c>
      <c r="Y726" s="237" t="s">
        <v>237</v>
      </c>
      <c r="Z726" s="237" t="s">
        <v>237</v>
      </c>
      <c r="AA726" s="237" t="s">
        <v>4071</v>
      </c>
      <c r="AB726" s="337" t="s">
        <v>228</v>
      </c>
      <c r="AC726" s="237" t="s">
        <v>228</v>
      </c>
      <c r="AD726" s="561"/>
      <c r="AE726" s="337"/>
      <c r="AF726" s="237"/>
    </row>
    <row r="727" spans="1:32" ht="13.5" customHeight="1">
      <c r="A727" s="235">
        <v>725</v>
      </c>
      <c r="B727" s="237"/>
      <c r="C727" s="237" t="s">
        <v>4072</v>
      </c>
      <c r="D727" s="243" t="s">
        <v>4073</v>
      </c>
      <c r="E727" s="237">
        <v>60</v>
      </c>
      <c r="F727" s="237" t="s">
        <v>60</v>
      </c>
      <c r="G727" s="255" t="s">
        <v>4074</v>
      </c>
      <c r="H727" s="243" t="s">
        <v>18</v>
      </c>
      <c r="I727" s="243" t="s">
        <v>4075</v>
      </c>
      <c r="K727" s="240" t="s">
        <v>4076</v>
      </c>
      <c r="L727" s="243"/>
      <c r="M727" s="243" t="s">
        <v>231</v>
      </c>
      <c r="N727" s="237"/>
      <c r="O727" s="237"/>
      <c r="P727" s="237"/>
      <c r="Q727" s="527">
        <v>45284</v>
      </c>
      <c r="R727" s="337" t="s">
        <v>309</v>
      </c>
      <c r="S727" s="330" t="s">
        <v>233</v>
      </c>
      <c r="T727" s="339">
        <v>0</v>
      </c>
      <c r="U727" s="237" t="s">
        <v>234</v>
      </c>
      <c r="V727" s="237" t="s">
        <v>652</v>
      </c>
      <c r="W727" s="244">
        <v>46049</v>
      </c>
      <c r="X727" s="237" t="s">
        <v>4077</v>
      </c>
      <c r="Y727" s="237" t="s">
        <v>588</v>
      </c>
      <c r="Z727" s="237" t="s">
        <v>228</v>
      </c>
      <c r="AA727" s="237" t="s">
        <v>4078</v>
      </c>
      <c r="AB727" s="337" t="s">
        <v>237</v>
      </c>
      <c r="AC727" s="102" t="s">
        <v>353</v>
      </c>
      <c r="AD727" s="561">
        <v>45536</v>
      </c>
      <c r="AE727" s="555" t="s">
        <v>4079</v>
      </c>
      <c r="AF727" s="237"/>
    </row>
    <row r="728" spans="1:32" ht="13.5" customHeight="1">
      <c r="A728" s="235">
        <v>726</v>
      </c>
      <c r="B728" s="237"/>
      <c r="C728" s="237" t="s">
        <v>4080</v>
      </c>
      <c r="D728" s="243" t="s">
        <v>4081</v>
      </c>
      <c r="E728" s="237">
        <v>25</v>
      </c>
      <c r="F728" s="237" t="s">
        <v>75</v>
      </c>
      <c r="G728" s="271" t="s">
        <v>4082</v>
      </c>
      <c r="H728" s="237" t="s">
        <v>188</v>
      </c>
      <c r="I728" s="243"/>
      <c r="K728" s="240"/>
      <c r="L728" s="243" t="s">
        <v>231</v>
      </c>
      <c r="M728" s="243" t="s">
        <v>231</v>
      </c>
      <c r="N728" s="237"/>
      <c r="O728" s="237"/>
      <c r="P728" s="237"/>
      <c r="Q728" s="527">
        <v>45446</v>
      </c>
      <c r="R728" s="337" t="s">
        <v>309</v>
      </c>
      <c r="S728" s="330" t="s">
        <v>233</v>
      </c>
      <c r="T728" s="339">
        <v>0</v>
      </c>
      <c r="U728" s="237" t="s">
        <v>234</v>
      </c>
      <c r="V728" s="237" t="s">
        <v>652</v>
      </c>
      <c r="W728" s="244">
        <v>46049</v>
      </c>
      <c r="X728" s="237" t="s">
        <v>4083</v>
      </c>
      <c r="Y728" s="237" t="s">
        <v>588</v>
      </c>
      <c r="Z728" s="237" t="s">
        <v>228</v>
      </c>
      <c r="AA728" s="237" t="s">
        <v>4084</v>
      </c>
      <c r="AB728" s="337" t="s">
        <v>228</v>
      </c>
      <c r="AC728" s="237" t="s">
        <v>228</v>
      </c>
      <c r="AD728" s="561"/>
      <c r="AE728" s="337"/>
      <c r="AF728" s="237"/>
    </row>
    <row r="729" spans="1:32" ht="13.5" customHeight="1">
      <c r="A729" s="235">
        <v>727</v>
      </c>
      <c r="B729" s="237"/>
      <c r="C729" s="237" t="s">
        <v>4085</v>
      </c>
      <c r="D729" s="243" t="s">
        <v>4086</v>
      </c>
      <c r="E729" s="237">
        <v>21</v>
      </c>
      <c r="F729" s="237" t="s">
        <v>60</v>
      </c>
      <c r="G729" s="255" t="s">
        <v>4087</v>
      </c>
      <c r="H729" s="237" t="s">
        <v>188</v>
      </c>
      <c r="I729" s="243"/>
      <c r="K729" s="240"/>
      <c r="L729" s="243" t="s">
        <v>231</v>
      </c>
      <c r="M729" s="243" t="s">
        <v>231</v>
      </c>
      <c r="N729" s="237"/>
      <c r="O729" s="237"/>
      <c r="P729" s="237"/>
      <c r="Q729" s="527">
        <v>45456</v>
      </c>
      <c r="R729" s="337" t="s">
        <v>309</v>
      </c>
      <c r="S729" s="330" t="s">
        <v>233</v>
      </c>
      <c r="T729" s="339"/>
      <c r="U729" s="237"/>
      <c r="V729" s="237"/>
      <c r="W729" s="244"/>
      <c r="X729" s="237"/>
      <c r="Y729" s="237"/>
      <c r="Z729" s="237" t="s">
        <v>228</v>
      </c>
      <c r="AA729" s="237"/>
      <c r="AB729" s="337" t="s">
        <v>228</v>
      </c>
      <c r="AC729" s="237" t="s">
        <v>228</v>
      </c>
      <c r="AD729" s="561"/>
      <c r="AE729" s="337"/>
      <c r="AF729" s="237"/>
    </row>
    <row r="730" spans="1:32" ht="13.5" customHeight="1">
      <c r="A730" s="235">
        <v>728</v>
      </c>
      <c r="B730" s="237"/>
      <c r="C730" s="237" t="s">
        <v>4088</v>
      </c>
      <c r="D730" s="243" t="s">
        <v>4089</v>
      </c>
      <c r="E730" s="237">
        <v>22</v>
      </c>
      <c r="F730" s="237" t="s">
        <v>60</v>
      </c>
      <c r="G730" s="255" t="s">
        <v>4090</v>
      </c>
      <c r="H730" s="237" t="s">
        <v>188</v>
      </c>
      <c r="I730" s="243"/>
      <c r="K730" s="240"/>
      <c r="L730" s="243" t="s">
        <v>231</v>
      </c>
      <c r="M730" s="243" t="s">
        <v>231</v>
      </c>
      <c r="N730" s="237"/>
      <c r="O730" s="237"/>
      <c r="P730" s="237"/>
      <c r="Q730" s="527">
        <v>45456</v>
      </c>
      <c r="R730" s="337" t="s">
        <v>309</v>
      </c>
      <c r="S730" s="330" t="s">
        <v>233</v>
      </c>
      <c r="T730" s="339"/>
      <c r="U730" s="237"/>
      <c r="V730" s="237"/>
      <c r="W730" s="244"/>
      <c r="X730" s="237"/>
      <c r="Y730" s="237"/>
      <c r="Z730" s="237" t="s">
        <v>228</v>
      </c>
      <c r="AA730" s="237"/>
      <c r="AB730" s="337" t="s">
        <v>228</v>
      </c>
      <c r="AC730" s="237" t="s">
        <v>228</v>
      </c>
      <c r="AD730" s="561"/>
      <c r="AE730" s="337"/>
      <c r="AF730" s="237"/>
    </row>
    <row r="731" spans="1:32" ht="13.5" customHeight="1">
      <c r="A731" s="235">
        <v>729</v>
      </c>
      <c r="B731" s="237"/>
      <c r="C731" s="237" t="s">
        <v>4091</v>
      </c>
      <c r="D731" s="243" t="s">
        <v>4092</v>
      </c>
      <c r="E731" s="237">
        <v>18</v>
      </c>
      <c r="F731" s="237" t="s">
        <v>60</v>
      </c>
      <c r="G731" s="255" t="s">
        <v>4093</v>
      </c>
      <c r="H731" s="237" t="s">
        <v>188</v>
      </c>
      <c r="I731" s="243"/>
      <c r="K731" s="240"/>
      <c r="L731" s="243" t="s">
        <v>231</v>
      </c>
      <c r="M731" s="243" t="s">
        <v>231</v>
      </c>
      <c r="N731" s="237"/>
      <c r="O731" s="237"/>
      <c r="P731" s="237"/>
      <c r="Q731" s="527">
        <v>45456</v>
      </c>
      <c r="R731" s="337" t="s">
        <v>309</v>
      </c>
      <c r="S731" s="330" t="s">
        <v>233</v>
      </c>
      <c r="T731" s="339"/>
      <c r="U731" s="237"/>
      <c r="V731" s="237"/>
      <c r="W731" s="244"/>
      <c r="X731" s="237"/>
      <c r="Y731" s="237"/>
      <c r="Z731" s="237" t="s">
        <v>228</v>
      </c>
      <c r="AA731" s="237"/>
      <c r="AB731" s="337" t="s">
        <v>228</v>
      </c>
      <c r="AC731" s="237" t="s">
        <v>228</v>
      </c>
      <c r="AD731" s="561"/>
      <c r="AE731" s="337"/>
      <c r="AF731" s="237"/>
    </row>
    <row r="732" spans="1:32" ht="13.5" customHeight="1">
      <c r="A732" s="235">
        <v>730</v>
      </c>
      <c r="B732" s="237"/>
      <c r="C732" s="237" t="s">
        <v>4094</v>
      </c>
      <c r="D732" s="243" t="s">
        <v>4095</v>
      </c>
      <c r="E732" s="237">
        <v>23</v>
      </c>
      <c r="F732" s="237" t="s">
        <v>60</v>
      </c>
      <c r="G732" s="272" t="s">
        <v>4096</v>
      </c>
      <c r="H732" s="237" t="s">
        <v>188</v>
      </c>
      <c r="I732" s="243"/>
      <c r="K732" s="240"/>
      <c r="L732" s="243" t="s">
        <v>231</v>
      </c>
      <c r="M732" s="243" t="s">
        <v>231</v>
      </c>
      <c r="N732" s="237"/>
      <c r="O732" s="237"/>
      <c r="P732" s="237"/>
      <c r="Q732" s="527">
        <v>45456</v>
      </c>
      <c r="R732" s="337" t="s">
        <v>309</v>
      </c>
      <c r="S732" s="330" t="s">
        <v>233</v>
      </c>
      <c r="T732" s="339"/>
      <c r="U732" s="237"/>
      <c r="V732" s="237"/>
      <c r="W732" s="244"/>
      <c r="X732" s="237"/>
      <c r="Y732" s="237"/>
      <c r="Z732" s="237" t="s">
        <v>228</v>
      </c>
      <c r="AA732" s="237"/>
      <c r="AB732" s="337" t="s">
        <v>228</v>
      </c>
      <c r="AC732" s="237" t="s">
        <v>228</v>
      </c>
      <c r="AD732" s="561"/>
      <c r="AE732" s="337"/>
      <c r="AF732" s="237"/>
    </row>
    <row r="733" spans="1:32" ht="13.5" customHeight="1">
      <c r="A733" s="235">
        <v>731</v>
      </c>
      <c r="B733" s="237"/>
      <c r="C733" s="237" t="s">
        <v>4097</v>
      </c>
      <c r="D733" s="243" t="s">
        <v>4098</v>
      </c>
      <c r="E733" s="237">
        <v>24</v>
      </c>
      <c r="F733" s="237" t="s">
        <v>60</v>
      </c>
      <c r="G733" s="271" t="s">
        <v>4099</v>
      </c>
      <c r="H733" s="237" t="s">
        <v>188</v>
      </c>
      <c r="I733" s="243"/>
      <c r="K733" s="240"/>
      <c r="L733" s="243" t="s">
        <v>231</v>
      </c>
      <c r="M733" s="243" t="s">
        <v>231</v>
      </c>
      <c r="N733" s="237"/>
      <c r="O733" s="237"/>
      <c r="P733" s="237"/>
      <c r="Q733" s="527">
        <v>45456</v>
      </c>
      <c r="R733" s="337" t="s">
        <v>309</v>
      </c>
      <c r="S733" s="330" t="s">
        <v>233</v>
      </c>
      <c r="T733" s="339"/>
      <c r="U733" s="237"/>
      <c r="V733" s="237"/>
      <c r="W733" s="244"/>
      <c r="X733" s="237"/>
      <c r="Y733" s="237"/>
      <c r="Z733" s="237" t="s">
        <v>228</v>
      </c>
      <c r="AA733" s="237"/>
      <c r="AB733" s="337" t="s">
        <v>228</v>
      </c>
      <c r="AC733" s="237" t="s">
        <v>228</v>
      </c>
      <c r="AD733" s="561"/>
      <c r="AE733" s="337"/>
      <c r="AF733" s="237"/>
    </row>
    <row r="734" spans="1:32" ht="13.5" customHeight="1">
      <c r="A734" s="235">
        <v>732</v>
      </c>
      <c r="B734" s="237"/>
      <c r="C734" s="237" t="s">
        <v>4100</v>
      </c>
      <c r="D734" s="243" t="s">
        <v>4101</v>
      </c>
      <c r="E734" s="237">
        <v>18</v>
      </c>
      <c r="F734" s="237" t="s">
        <v>60</v>
      </c>
      <c r="G734" s="255" t="s">
        <v>4102</v>
      </c>
      <c r="H734" s="237" t="s">
        <v>188</v>
      </c>
      <c r="I734" s="243"/>
      <c r="K734" s="240"/>
      <c r="L734" s="243" t="s">
        <v>231</v>
      </c>
      <c r="M734" s="243" t="s">
        <v>231</v>
      </c>
      <c r="N734" s="237"/>
      <c r="O734" s="237"/>
      <c r="P734" s="237"/>
      <c r="Q734" s="527">
        <v>45456</v>
      </c>
      <c r="R734" s="337" t="s">
        <v>309</v>
      </c>
      <c r="S734" s="330" t="s">
        <v>233</v>
      </c>
      <c r="T734" s="339"/>
      <c r="U734" s="237"/>
      <c r="V734" s="237"/>
      <c r="W734" s="244"/>
      <c r="X734" s="237"/>
      <c r="Y734" s="237"/>
      <c r="Z734" s="237" t="s">
        <v>228</v>
      </c>
      <c r="AA734" s="237"/>
      <c r="AB734" s="337" t="s">
        <v>228</v>
      </c>
      <c r="AC734" s="237" t="s">
        <v>228</v>
      </c>
      <c r="AD734" s="561"/>
      <c r="AE734" s="337"/>
      <c r="AF734" s="237"/>
    </row>
    <row r="735" spans="1:32" ht="13.5" customHeight="1">
      <c r="A735" s="235">
        <v>733</v>
      </c>
      <c r="B735" s="237"/>
      <c r="C735" s="237" t="s">
        <v>4103</v>
      </c>
      <c r="D735" s="243" t="s">
        <v>4104</v>
      </c>
      <c r="E735" s="237">
        <v>18</v>
      </c>
      <c r="F735" s="237" t="s">
        <v>60</v>
      </c>
      <c r="G735" s="255" t="s">
        <v>4105</v>
      </c>
      <c r="H735" s="237" t="s">
        <v>188</v>
      </c>
      <c r="I735" s="243"/>
      <c r="K735" s="240"/>
      <c r="L735" s="243" t="s">
        <v>231</v>
      </c>
      <c r="M735" s="243" t="s">
        <v>231</v>
      </c>
      <c r="N735" s="237"/>
      <c r="O735" s="237"/>
      <c r="P735" s="237"/>
      <c r="Q735" s="527">
        <v>45456</v>
      </c>
      <c r="R735" s="337" t="s">
        <v>309</v>
      </c>
      <c r="S735" s="330" t="s">
        <v>233</v>
      </c>
      <c r="T735" s="339"/>
      <c r="U735" s="237"/>
      <c r="V735" s="237"/>
      <c r="W735" s="244"/>
      <c r="X735" s="237"/>
      <c r="Y735" s="237"/>
      <c r="Z735" s="237" t="s">
        <v>228</v>
      </c>
      <c r="AA735" s="237"/>
      <c r="AB735" s="337" t="s">
        <v>228</v>
      </c>
      <c r="AC735" s="237" t="s">
        <v>228</v>
      </c>
      <c r="AD735" s="561"/>
      <c r="AE735" s="337"/>
      <c r="AF735" s="237"/>
    </row>
    <row r="736" spans="1:32" ht="13.5" customHeight="1">
      <c r="A736" s="235">
        <v>734</v>
      </c>
      <c r="B736" s="237"/>
      <c r="C736" s="237" t="s">
        <v>4106</v>
      </c>
      <c r="D736" s="243" t="s">
        <v>4107</v>
      </c>
      <c r="E736" s="237">
        <v>23</v>
      </c>
      <c r="F736" s="237" t="s">
        <v>60</v>
      </c>
      <c r="G736" s="255" t="s">
        <v>4108</v>
      </c>
      <c r="H736" s="237" t="s">
        <v>188</v>
      </c>
      <c r="I736" s="243"/>
      <c r="K736" s="240"/>
      <c r="L736" s="243" t="s">
        <v>231</v>
      </c>
      <c r="M736" s="243" t="s">
        <v>231</v>
      </c>
      <c r="N736" s="237"/>
      <c r="O736" s="237"/>
      <c r="P736" s="237"/>
      <c r="Q736" s="527">
        <v>45456</v>
      </c>
      <c r="R736" s="337" t="s">
        <v>309</v>
      </c>
      <c r="S736" s="330" t="s">
        <v>233</v>
      </c>
      <c r="T736" s="339"/>
      <c r="U736" s="237"/>
      <c r="V736" s="237"/>
      <c r="W736" s="244"/>
      <c r="X736" s="237"/>
      <c r="Y736" s="237"/>
      <c r="Z736" s="237" t="s">
        <v>228</v>
      </c>
      <c r="AA736" s="237"/>
      <c r="AB736" s="337" t="s">
        <v>228</v>
      </c>
      <c r="AC736" s="237" t="s">
        <v>228</v>
      </c>
      <c r="AD736" s="561"/>
      <c r="AE736" s="337"/>
      <c r="AF736" s="237"/>
    </row>
    <row r="737" spans="1:32" ht="13.5" customHeight="1">
      <c r="A737" s="235">
        <v>735</v>
      </c>
      <c r="B737" s="237"/>
      <c r="C737" s="237" t="s">
        <v>4109</v>
      </c>
      <c r="D737" s="243" t="s">
        <v>4110</v>
      </c>
      <c r="E737" s="237">
        <v>18</v>
      </c>
      <c r="F737" s="237" t="s">
        <v>75</v>
      </c>
      <c r="G737" s="255" t="s">
        <v>4111</v>
      </c>
      <c r="H737" s="237" t="s">
        <v>188</v>
      </c>
      <c r="I737" s="243"/>
      <c r="K737" s="240"/>
      <c r="L737" s="243" t="s">
        <v>231</v>
      </c>
      <c r="M737" s="243" t="s">
        <v>231</v>
      </c>
      <c r="N737" s="237"/>
      <c r="O737" s="237"/>
      <c r="P737" s="237"/>
      <c r="Q737" s="527">
        <v>45460</v>
      </c>
      <c r="R737" s="337" t="s">
        <v>309</v>
      </c>
      <c r="S737" s="330" t="s">
        <v>233</v>
      </c>
      <c r="T737" s="339"/>
      <c r="U737" s="237"/>
      <c r="V737" s="237"/>
      <c r="W737" s="244"/>
      <c r="X737" s="237"/>
      <c r="Y737" s="237"/>
      <c r="Z737" s="237" t="s">
        <v>228</v>
      </c>
      <c r="AA737" s="237"/>
      <c r="AB737" s="337" t="s">
        <v>228</v>
      </c>
      <c r="AC737" s="237" t="s">
        <v>228</v>
      </c>
      <c r="AD737" s="561"/>
      <c r="AE737" s="337"/>
      <c r="AF737" s="237"/>
    </row>
    <row r="738" spans="1:32" ht="13.5" customHeight="1">
      <c r="A738" s="235">
        <v>736</v>
      </c>
      <c r="B738" s="237"/>
      <c r="C738" s="237" t="s">
        <v>4112</v>
      </c>
      <c r="D738" s="243" t="s">
        <v>4113</v>
      </c>
      <c r="E738" s="237">
        <v>29</v>
      </c>
      <c r="F738" s="237" t="s">
        <v>60</v>
      </c>
      <c r="G738" s="255" t="s">
        <v>4114</v>
      </c>
      <c r="H738" s="237" t="s">
        <v>188</v>
      </c>
      <c r="I738" s="243"/>
      <c r="K738" s="240"/>
      <c r="L738" s="243" t="s">
        <v>231</v>
      </c>
      <c r="M738" s="243" t="s">
        <v>231</v>
      </c>
      <c r="N738" s="237"/>
      <c r="O738" s="237"/>
      <c r="P738" s="237"/>
      <c r="Q738" s="527">
        <v>45461</v>
      </c>
      <c r="R738" s="337" t="s">
        <v>309</v>
      </c>
      <c r="S738" s="330" t="s">
        <v>233</v>
      </c>
      <c r="T738" s="339"/>
      <c r="U738" s="237"/>
      <c r="V738" s="237"/>
      <c r="W738" s="244"/>
      <c r="X738" s="237"/>
      <c r="Y738" s="237"/>
      <c r="Z738" s="237" t="s">
        <v>228</v>
      </c>
      <c r="AA738" s="237"/>
      <c r="AB738" s="337" t="s">
        <v>228</v>
      </c>
      <c r="AC738" s="237" t="s">
        <v>228</v>
      </c>
      <c r="AD738" s="561"/>
      <c r="AE738" s="337"/>
      <c r="AF738" s="237"/>
    </row>
    <row r="739" spans="1:32" ht="13.5" customHeight="1">
      <c r="A739" s="235">
        <v>737</v>
      </c>
      <c r="B739" s="237"/>
      <c r="C739" s="237" t="s">
        <v>4115</v>
      </c>
      <c r="D739" s="243" t="s">
        <v>4116</v>
      </c>
      <c r="E739" s="237">
        <v>27</v>
      </c>
      <c r="F739" s="237" t="s">
        <v>60</v>
      </c>
      <c r="G739" s="255" t="s">
        <v>4117</v>
      </c>
      <c r="H739" s="237" t="s">
        <v>188</v>
      </c>
      <c r="I739" s="243"/>
      <c r="K739" s="240"/>
      <c r="L739" s="243" t="s">
        <v>231</v>
      </c>
      <c r="M739" s="243" t="s">
        <v>231</v>
      </c>
      <c r="N739" s="237"/>
      <c r="O739" s="237"/>
      <c r="P739" s="237"/>
      <c r="Q739" s="527">
        <v>45461</v>
      </c>
      <c r="R739" s="337" t="s">
        <v>309</v>
      </c>
      <c r="S739" s="330" t="s">
        <v>233</v>
      </c>
      <c r="T739" s="339"/>
      <c r="U739" s="237"/>
      <c r="V739" s="237"/>
      <c r="W739" s="244"/>
      <c r="X739" s="237"/>
      <c r="Y739" s="237"/>
      <c r="Z739" s="237" t="s">
        <v>228</v>
      </c>
      <c r="AA739" s="237"/>
      <c r="AB739" s="337" t="s">
        <v>228</v>
      </c>
      <c r="AC739" s="237" t="s">
        <v>228</v>
      </c>
      <c r="AD739" s="561"/>
      <c r="AE739" s="337"/>
      <c r="AF739" s="237"/>
    </row>
    <row r="740" spans="1:32" ht="13.5" customHeight="1">
      <c r="A740" s="235">
        <v>738</v>
      </c>
      <c r="B740" s="237"/>
      <c r="C740" s="237" t="s">
        <v>4118</v>
      </c>
      <c r="D740" s="243" t="s">
        <v>4119</v>
      </c>
      <c r="E740" s="237">
        <v>24</v>
      </c>
      <c r="F740" s="237" t="s">
        <v>60</v>
      </c>
      <c r="G740" s="255" t="s">
        <v>4120</v>
      </c>
      <c r="H740" s="237" t="s">
        <v>188</v>
      </c>
      <c r="I740" s="243"/>
      <c r="K740" s="240"/>
      <c r="L740" s="243" t="s">
        <v>231</v>
      </c>
      <c r="M740" s="243" t="s">
        <v>231</v>
      </c>
      <c r="N740" s="237"/>
      <c r="O740" s="237"/>
      <c r="P740" s="237"/>
      <c r="Q740" s="527">
        <v>45461</v>
      </c>
      <c r="R740" s="337" t="s">
        <v>309</v>
      </c>
      <c r="S740" s="330" t="s">
        <v>233</v>
      </c>
      <c r="T740" s="339"/>
      <c r="U740" s="237"/>
      <c r="V740" s="237"/>
      <c r="W740" s="244"/>
      <c r="X740" s="237"/>
      <c r="Y740" s="237"/>
      <c r="Z740" s="237" t="s">
        <v>228</v>
      </c>
      <c r="AA740" s="237"/>
      <c r="AB740" s="337" t="s">
        <v>228</v>
      </c>
      <c r="AC740" s="237" t="s">
        <v>228</v>
      </c>
      <c r="AD740" s="561"/>
      <c r="AE740" s="337"/>
      <c r="AF740" s="237"/>
    </row>
    <row r="741" spans="1:32" ht="13.5" customHeight="1">
      <c r="A741" s="235">
        <v>739</v>
      </c>
      <c r="B741" s="237"/>
      <c r="C741" s="237" t="s">
        <v>4121</v>
      </c>
      <c r="D741" s="243" t="s">
        <v>4122</v>
      </c>
      <c r="E741" s="237">
        <v>25</v>
      </c>
      <c r="F741" s="237" t="s">
        <v>60</v>
      </c>
      <c r="G741" s="255" t="s">
        <v>4123</v>
      </c>
      <c r="H741" s="237" t="s">
        <v>188</v>
      </c>
      <c r="I741" s="243"/>
      <c r="K741" s="240"/>
      <c r="L741" s="243" t="s">
        <v>231</v>
      </c>
      <c r="M741" s="243" t="s">
        <v>231</v>
      </c>
      <c r="N741" s="237"/>
      <c r="O741" s="237"/>
      <c r="P741" s="237"/>
      <c r="Q741" s="527">
        <v>45461</v>
      </c>
      <c r="R741" s="337" t="s">
        <v>309</v>
      </c>
      <c r="S741" s="330" t="s">
        <v>233</v>
      </c>
      <c r="T741" s="339"/>
      <c r="U741" s="237"/>
      <c r="V741" s="237"/>
      <c r="W741" s="244"/>
      <c r="X741" s="237"/>
      <c r="Y741" s="237"/>
      <c r="Z741" s="237" t="s">
        <v>228</v>
      </c>
      <c r="AA741" s="237"/>
      <c r="AB741" s="337" t="s">
        <v>228</v>
      </c>
      <c r="AC741" s="237" t="s">
        <v>228</v>
      </c>
      <c r="AD741" s="561"/>
      <c r="AE741" s="337"/>
      <c r="AF741" s="237"/>
    </row>
    <row r="742" spans="1:32" ht="13.5" customHeight="1">
      <c r="A742" s="235">
        <v>740</v>
      </c>
      <c r="B742" s="237"/>
      <c r="C742" s="237" t="s">
        <v>4124</v>
      </c>
      <c r="D742" s="243" t="s">
        <v>4125</v>
      </c>
      <c r="E742" s="237">
        <v>25</v>
      </c>
      <c r="F742" s="237" t="s">
        <v>60</v>
      </c>
      <c r="G742" s="255" t="s">
        <v>4126</v>
      </c>
      <c r="H742" s="237" t="s">
        <v>188</v>
      </c>
      <c r="I742" s="243"/>
      <c r="K742" s="240"/>
      <c r="L742" s="243" t="s">
        <v>231</v>
      </c>
      <c r="M742" s="243" t="s">
        <v>231</v>
      </c>
      <c r="N742" s="237"/>
      <c r="O742" s="237"/>
      <c r="P742" s="237"/>
      <c r="Q742" s="527">
        <v>45462</v>
      </c>
      <c r="R742" s="337" t="s">
        <v>309</v>
      </c>
      <c r="S742" s="330" t="s">
        <v>233</v>
      </c>
      <c r="T742" s="339"/>
      <c r="U742" s="237"/>
      <c r="V742" s="237"/>
      <c r="W742" s="244"/>
      <c r="X742" s="237"/>
      <c r="Y742" s="237"/>
      <c r="Z742" s="237" t="s">
        <v>228</v>
      </c>
      <c r="AA742" s="237"/>
      <c r="AB742" s="337" t="s">
        <v>228</v>
      </c>
      <c r="AC742" s="237" t="s">
        <v>228</v>
      </c>
      <c r="AD742" s="561"/>
      <c r="AE742" s="337"/>
      <c r="AF742" s="237"/>
    </row>
    <row r="743" spans="1:32" ht="13.5" customHeight="1">
      <c r="A743" s="235">
        <v>741</v>
      </c>
      <c r="B743" s="237"/>
      <c r="C743" s="237" t="s">
        <v>4127</v>
      </c>
      <c r="D743" s="243" t="s">
        <v>4128</v>
      </c>
      <c r="E743" s="237">
        <v>25</v>
      </c>
      <c r="F743" s="237" t="s">
        <v>60</v>
      </c>
      <c r="G743" s="255" t="s">
        <v>4129</v>
      </c>
      <c r="H743" s="237" t="s">
        <v>188</v>
      </c>
      <c r="I743" s="243"/>
      <c r="K743" s="240"/>
      <c r="L743" s="243" t="s">
        <v>231</v>
      </c>
      <c r="M743" s="243" t="s">
        <v>231</v>
      </c>
      <c r="N743" s="237"/>
      <c r="O743" s="237"/>
      <c r="P743" s="237"/>
      <c r="Q743" s="527">
        <v>45462</v>
      </c>
      <c r="R743" s="337" t="s">
        <v>309</v>
      </c>
      <c r="S743" s="330" t="s">
        <v>233</v>
      </c>
      <c r="T743" s="339"/>
      <c r="U743" s="237"/>
      <c r="V743" s="237"/>
      <c r="W743" s="244"/>
      <c r="X743" s="237"/>
      <c r="Y743" s="237"/>
      <c r="Z743" s="237" t="s">
        <v>228</v>
      </c>
      <c r="AA743" s="237"/>
      <c r="AB743" s="337" t="s">
        <v>228</v>
      </c>
      <c r="AC743" s="237" t="s">
        <v>228</v>
      </c>
      <c r="AD743" s="561"/>
      <c r="AE743" s="337"/>
      <c r="AF743" s="237"/>
    </row>
    <row r="744" spans="1:32" ht="13.5" customHeight="1">
      <c r="A744" s="235">
        <v>742</v>
      </c>
      <c r="B744" s="237"/>
      <c r="C744" s="237" t="s">
        <v>4130</v>
      </c>
      <c r="D744" s="243" t="s">
        <v>4131</v>
      </c>
      <c r="E744" s="237">
        <v>25</v>
      </c>
      <c r="F744" s="237" t="s">
        <v>60</v>
      </c>
      <c r="G744" s="271" t="s">
        <v>4132</v>
      </c>
      <c r="H744" s="237" t="s">
        <v>188</v>
      </c>
      <c r="I744" s="243"/>
      <c r="K744" s="240"/>
      <c r="L744" s="243" t="s">
        <v>231</v>
      </c>
      <c r="M744" s="243" t="s">
        <v>231</v>
      </c>
      <c r="N744" s="237"/>
      <c r="O744" s="237"/>
      <c r="P744" s="237"/>
      <c r="Q744" s="527">
        <v>45462</v>
      </c>
      <c r="R744" s="337" t="s">
        <v>309</v>
      </c>
      <c r="S744" s="330" t="s">
        <v>233</v>
      </c>
      <c r="T744" s="339"/>
      <c r="U744" s="237"/>
      <c r="V744" s="237"/>
      <c r="W744" s="244"/>
      <c r="X744" s="237"/>
      <c r="Y744" s="237"/>
      <c r="Z744" s="237" t="s">
        <v>228</v>
      </c>
      <c r="AA744" s="237"/>
      <c r="AB744" s="337" t="s">
        <v>228</v>
      </c>
      <c r="AC744" s="237" t="s">
        <v>228</v>
      </c>
      <c r="AD744" s="561"/>
      <c r="AE744" s="337"/>
      <c r="AF744" s="237"/>
    </row>
    <row r="745" spans="1:32" ht="13.5" customHeight="1">
      <c r="A745" s="235">
        <v>743</v>
      </c>
      <c r="B745" s="237"/>
      <c r="C745" s="237" t="s">
        <v>4133</v>
      </c>
      <c r="D745" s="243" t="s">
        <v>4134</v>
      </c>
      <c r="E745" s="237">
        <v>25</v>
      </c>
      <c r="F745" s="237" t="s">
        <v>60</v>
      </c>
      <c r="G745" s="273" t="s">
        <v>4135</v>
      </c>
      <c r="H745" s="237" t="s">
        <v>188</v>
      </c>
      <c r="I745" s="243"/>
      <c r="K745" s="240"/>
      <c r="L745" s="243" t="s">
        <v>231</v>
      </c>
      <c r="M745" s="243" t="s">
        <v>231</v>
      </c>
      <c r="N745" s="237"/>
      <c r="O745" s="237"/>
      <c r="P745" s="237"/>
      <c r="Q745" s="527">
        <v>45462</v>
      </c>
      <c r="R745" s="337" t="s">
        <v>309</v>
      </c>
      <c r="S745" s="330" t="s">
        <v>233</v>
      </c>
      <c r="T745" s="339"/>
      <c r="U745" s="237"/>
      <c r="V745" s="237"/>
      <c r="W745" s="244"/>
      <c r="X745" s="237"/>
      <c r="Y745" s="237"/>
      <c r="Z745" s="237" t="s">
        <v>228</v>
      </c>
      <c r="AA745" s="237"/>
      <c r="AB745" s="337" t="s">
        <v>228</v>
      </c>
      <c r="AC745" s="237" t="s">
        <v>228</v>
      </c>
      <c r="AD745" s="561"/>
      <c r="AE745" s="337"/>
      <c r="AF745" s="237"/>
    </row>
    <row r="746" spans="1:32" ht="13.5" customHeight="1">
      <c r="A746" s="235">
        <v>744</v>
      </c>
      <c r="B746" s="237"/>
      <c r="C746" s="237" t="s">
        <v>4136</v>
      </c>
      <c r="D746" s="243" t="s">
        <v>4137</v>
      </c>
      <c r="E746" s="237">
        <v>29</v>
      </c>
      <c r="F746" s="237" t="s">
        <v>75</v>
      </c>
      <c r="G746" s="255" t="s">
        <v>4138</v>
      </c>
      <c r="H746" s="237" t="s">
        <v>188</v>
      </c>
      <c r="I746" s="243"/>
      <c r="K746" s="240"/>
      <c r="L746" s="243" t="s">
        <v>231</v>
      </c>
      <c r="M746" s="243" t="s">
        <v>231</v>
      </c>
      <c r="N746" s="237"/>
      <c r="O746" s="237"/>
      <c r="P746" s="237"/>
      <c r="Q746" s="527">
        <v>45463</v>
      </c>
      <c r="R746" s="337" t="s">
        <v>309</v>
      </c>
      <c r="S746" s="330" t="s">
        <v>233</v>
      </c>
      <c r="T746" s="339">
        <v>0</v>
      </c>
      <c r="U746" s="237" t="s">
        <v>234</v>
      </c>
      <c r="V746" s="237" t="s">
        <v>652</v>
      </c>
      <c r="W746" s="244">
        <v>46049</v>
      </c>
      <c r="X746" s="237" t="s">
        <v>4139</v>
      </c>
      <c r="Y746" s="237" t="s">
        <v>588</v>
      </c>
      <c r="Z746" s="237" t="s">
        <v>228</v>
      </c>
      <c r="AA746" s="237" t="s">
        <v>4140</v>
      </c>
      <c r="AB746" s="337" t="s">
        <v>228</v>
      </c>
      <c r="AC746" s="237" t="s">
        <v>228</v>
      </c>
      <c r="AD746" s="561"/>
      <c r="AE746" s="337"/>
      <c r="AF746" s="237"/>
    </row>
    <row r="747" spans="1:32" ht="13.5" customHeight="1">
      <c r="A747" s="235">
        <v>745</v>
      </c>
      <c r="B747" s="237"/>
      <c r="C747" s="237" t="s">
        <v>4141</v>
      </c>
      <c r="D747" s="243" t="s">
        <v>4142</v>
      </c>
      <c r="E747" s="237">
        <v>27</v>
      </c>
      <c r="F747" s="237" t="s">
        <v>75</v>
      </c>
      <c r="G747" s="271" t="s">
        <v>4143</v>
      </c>
      <c r="H747" s="237" t="s">
        <v>188</v>
      </c>
      <c r="I747" s="243"/>
      <c r="K747" s="240"/>
      <c r="L747" s="243" t="s">
        <v>231</v>
      </c>
      <c r="M747" s="243" t="s">
        <v>231</v>
      </c>
      <c r="N747" s="237"/>
      <c r="O747" s="237"/>
      <c r="P747" s="237"/>
      <c r="Q747" s="527">
        <v>45463</v>
      </c>
      <c r="R747" s="337" t="s">
        <v>309</v>
      </c>
      <c r="S747" s="330" t="s">
        <v>233</v>
      </c>
      <c r="T747" s="339">
        <v>0</v>
      </c>
      <c r="U747" s="237" t="s">
        <v>234</v>
      </c>
      <c r="V747" s="237" t="s">
        <v>652</v>
      </c>
      <c r="W747" s="244">
        <v>46049</v>
      </c>
      <c r="X747" s="237" t="s">
        <v>4144</v>
      </c>
      <c r="Y747" s="237" t="s">
        <v>588</v>
      </c>
      <c r="Z747" s="237" t="s">
        <v>228</v>
      </c>
      <c r="AA747" s="237" t="s">
        <v>4145</v>
      </c>
      <c r="AB747" s="337" t="s">
        <v>228</v>
      </c>
      <c r="AC747" s="237" t="s">
        <v>228</v>
      </c>
      <c r="AD747" s="561"/>
      <c r="AE747" s="337"/>
      <c r="AF747" s="237"/>
    </row>
    <row r="748" spans="1:32" ht="13.5" customHeight="1">
      <c r="A748" s="235">
        <v>746</v>
      </c>
      <c r="B748" s="237"/>
      <c r="C748" s="237" t="s">
        <v>4146</v>
      </c>
      <c r="D748" s="243" t="s">
        <v>4147</v>
      </c>
      <c r="E748" s="237">
        <v>28</v>
      </c>
      <c r="F748" s="237" t="s">
        <v>75</v>
      </c>
      <c r="G748" s="271" t="s">
        <v>4148</v>
      </c>
      <c r="H748" s="237" t="s">
        <v>188</v>
      </c>
      <c r="I748" s="243"/>
      <c r="K748" s="240"/>
      <c r="L748" s="243" t="s">
        <v>231</v>
      </c>
      <c r="M748" s="243" t="s">
        <v>231</v>
      </c>
      <c r="N748" s="237"/>
      <c r="O748" s="237"/>
      <c r="P748" s="237"/>
      <c r="Q748" s="527">
        <v>45463</v>
      </c>
      <c r="R748" s="337" t="s">
        <v>309</v>
      </c>
      <c r="S748" s="330" t="s">
        <v>233</v>
      </c>
      <c r="T748" s="339">
        <v>0</v>
      </c>
      <c r="U748" s="237" t="s">
        <v>234</v>
      </c>
      <c r="V748" s="237" t="s">
        <v>652</v>
      </c>
      <c r="W748" s="244">
        <v>46049</v>
      </c>
      <c r="X748" s="237" t="s">
        <v>4149</v>
      </c>
      <c r="Y748" s="237" t="s">
        <v>588</v>
      </c>
      <c r="Z748" s="237" t="s">
        <v>228</v>
      </c>
      <c r="AA748" s="237" t="s">
        <v>4150</v>
      </c>
      <c r="AB748" s="337" t="s">
        <v>228</v>
      </c>
      <c r="AC748" s="237" t="s">
        <v>228</v>
      </c>
      <c r="AD748" s="561"/>
      <c r="AE748" s="337"/>
      <c r="AF748" s="237"/>
    </row>
    <row r="749" spans="1:32" ht="13.5" customHeight="1">
      <c r="A749" s="235">
        <v>747</v>
      </c>
      <c r="B749" s="237"/>
      <c r="C749" s="237" t="s">
        <v>4151</v>
      </c>
      <c r="D749" s="243" t="s">
        <v>4152</v>
      </c>
      <c r="E749" s="237">
        <v>29</v>
      </c>
      <c r="F749" s="237" t="s">
        <v>75</v>
      </c>
      <c r="G749" s="255" t="s">
        <v>4153</v>
      </c>
      <c r="H749" s="237" t="s">
        <v>188</v>
      </c>
      <c r="I749" s="243"/>
      <c r="K749" s="240"/>
      <c r="L749" s="243" t="s">
        <v>231</v>
      </c>
      <c r="M749" s="243" t="s">
        <v>231</v>
      </c>
      <c r="N749" s="237"/>
      <c r="O749" s="237"/>
      <c r="P749" s="237"/>
      <c r="Q749" s="527">
        <v>45464</v>
      </c>
      <c r="R749" s="337" t="s">
        <v>309</v>
      </c>
      <c r="S749" s="330" t="s">
        <v>233</v>
      </c>
      <c r="T749" s="339">
        <v>0</v>
      </c>
      <c r="U749" s="237" t="s">
        <v>234</v>
      </c>
      <c r="V749" s="237" t="s">
        <v>652</v>
      </c>
      <c r="W749" s="244">
        <v>46049</v>
      </c>
      <c r="X749" s="237" t="s">
        <v>4154</v>
      </c>
      <c r="Y749" s="237" t="s">
        <v>588</v>
      </c>
      <c r="Z749" s="237" t="s">
        <v>228</v>
      </c>
      <c r="AA749" s="237" t="s">
        <v>4155</v>
      </c>
      <c r="AB749" s="337" t="s">
        <v>228</v>
      </c>
      <c r="AC749" s="237" t="s">
        <v>228</v>
      </c>
      <c r="AD749" s="561"/>
      <c r="AE749" s="337"/>
      <c r="AF749" s="237"/>
    </row>
    <row r="750" spans="1:32" ht="13.5" customHeight="1">
      <c r="A750" s="235">
        <v>748</v>
      </c>
      <c r="B750" s="237"/>
      <c r="C750" s="237" t="s">
        <v>4156</v>
      </c>
      <c r="D750" s="243" t="s">
        <v>4157</v>
      </c>
      <c r="E750" s="237">
        <v>29</v>
      </c>
      <c r="F750" s="237" t="s">
        <v>75</v>
      </c>
      <c r="G750" s="255" t="s">
        <v>4158</v>
      </c>
      <c r="H750" s="237" t="s">
        <v>188</v>
      </c>
      <c r="I750" s="243"/>
      <c r="K750" s="240"/>
      <c r="L750" s="243" t="s">
        <v>231</v>
      </c>
      <c r="M750" s="243" t="s">
        <v>231</v>
      </c>
      <c r="N750" s="237"/>
      <c r="O750" s="237"/>
      <c r="P750" s="237"/>
      <c r="Q750" s="527">
        <v>45464</v>
      </c>
      <c r="R750" s="337" t="s">
        <v>309</v>
      </c>
      <c r="S750" s="330" t="s">
        <v>233</v>
      </c>
      <c r="T750" s="339">
        <v>0</v>
      </c>
      <c r="U750" s="237" t="s">
        <v>234</v>
      </c>
      <c r="V750" s="237" t="s">
        <v>652</v>
      </c>
      <c r="W750" s="244">
        <v>46049</v>
      </c>
      <c r="X750" s="237" t="s">
        <v>3185</v>
      </c>
      <c r="Y750" s="237" t="s">
        <v>588</v>
      </c>
      <c r="Z750" s="237" t="s">
        <v>228</v>
      </c>
      <c r="AA750" s="237" t="s">
        <v>4159</v>
      </c>
      <c r="AB750" s="337" t="s">
        <v>228</v>
      </c>
      <c r="AC750" s="237" t="s">
        <v>228</v>
      </c>
      <c r="AD750" s="561"/>
      <c r="AE750" s="337"/>
      <c r="AF750" s="237"/>
    </row>
    <row r="751" spans="1:32" ht="13.5" customHeight="1">
      <c r="A751" s="235">
        <v>749</v>
      </c>
      <c r="B751" s="237"/>
      <c r="C751" s="237" t="s">
        <v>4160</v>
      </c>
      <c r="D751" s="243" t="s">
        <v>4161</v>
      </c>
      <c r="E751" s="237">
        <v>25</v>
      </c>
      <c r="F751" s="237" t="s">
        <v>75</v>
      </c>
      <c r="G751" s="273" t="s">
        <v>2952</v>
      </c>
      <c r="H751" s="237" t="s">
        <v>188</v>
      </c>
      <c r="I751" s="243"/>
      <c r="K751" s="240"/>
      <c r="L751" s="243" t="s">
        <v>231</v>
      </c>
      <c r="M751" s="243" t="s">
        <v>231</v>
      </c>
      <c r="N751" s="237"/>
      <c r="O751" s="237"/>
      <c r="P751" s="237"/>
      <c r="Q751" s="527">
        <v>45464</v>
      </c>
      <c r="R751" s="337" t="s">
        <v>309</v>
      </c>
      <c r="S751" s="330" t="s">
        <v>233</v>
      </c>
      <c r="T751" s="339">
        <v>0</v>
      </c>
      <c r="U751" s="237" t="s">
        <v>234</v>
      </c>
      <c r="V751" s="237" t="s">
        <v>652</v>
      </c>
      <c r="W751" s="244">
        <v>46049</v>
      </c>
      <c r="X751" s="237" t="s">
        <v>4162</v>
      </c>
      <c r="Y751" s="237" t="s">
        <v>588</v>
      </c>
      <c r="Z751" s="237" t="s">
        <v>228</v>
      </c>
      <c r="AA751" s="237" t="s">
        <v>4163</v>
      </c>
      <c r="AB751" s="337" t="s">
        <v>228</v>
      </c>
      <c r="AC751" s="237" t="s">
        <v>228</v>
      </c>
      <c r="AD751" s="561"/>
      <c r="AE751" s="337"/>
      <c r="AF751" s="237"/>
    </row>
    <row r="752" spans="1:32" ht="13.5" customHeight="1">
      <c r="A752" s="235">
        <v>750</v>
      </c>
      <c r="B752" s="237"/>
      <c r="C752" s="237" t="s">
        <v>4164</v>
      </c>
      <c r="D752" s="243" t="s">
        <v>4165</v>
      </c>
      <c r="E752" s="237">
        <v>25</v>
      </c>
      <c r="F752" s="237" t="s">
        <v>75</v>
      </c>
      <c r="G752" s="271" t="s">
        <v>4166</v>
      </c>
      <c r="H752" s="237" t="s">
        <v>188</v>
      </c>
      <c r="I752" s="243"/>
      <c r="K752" s="240"/>
      <c r="L752" s="243" t="s">
        <v>231</v>
      </c>
      <c r="M752" s="243" t="s">
        <v>231</v>
      </c>
      <c r="N752" s="237"/>
      <c r="O752" s="237"/>
      <c r="P752" s="237"/>
      <c r="Q752" s="527">
        <v>45464</v>
      </c>
      <c r="R752" s="337" t="s">
        <v>309</v>
      </c>
      <c r="S752" s="330" t="s">
        <v>233</v>
      </c>
      <c r="T752" s="339">
        <v>0</v>
      </c>
      <c r="U752" s="237" t="s">
        <v>234</v>
      </c>
      <c r="V752" s="237" t="s">
        <v>652</v>
      </c>
      <c r="W752" s="244">
        <v>46049</v>
      </c>
      <c r="X752" s="237" t="s">
        <v>4167</v>
      </c>
      <c r="Y752" s="237" t="s">
        <v>588</v>
      </c>
      <c r="Z752" s="237" t="s">
        <v>228</v>
      </c>
      <c r="AA752" s="237" t="s">
        <v>4168</v>
      </c>
      <c r="AB752" s="337" t="s">
        <v>228</v>
      </c>
      <c r="AC752" s="237" t="s">
        <v>228</v>
      </c>
      <c r="AD752" s="561"/>
      <c r="AE752" s="337"/>
      <c r="AF752" s="237"/>
    </row>
    <row r="753" spans="1:130" ht="13.5" customHeight="1">
      <c r="A753" s="235">
        <v>751</v>
      </c>
      <c r="B753" s="237"/>
      <c r="C753" s="237" t="s">
        <v>4169</v>
      </c>
      <c r="D753" s="243" t="s">
        <v>4170</v>
      </c>
      <c r="E753" s="237">
        <v>32</v>
      </c>
      <c r="F753" s="237" t="s">
        <v>60</v>
      </c>
      <c r="G753" s="271" t="s">
        <v>4171</v>
      </c>
      <c r="H753" s="237" t="s">
        <v>188</v>
      </c>
      <c r="I753" s="243"/>
      <c r="K753" s="240"/>
      <c r="L753" s="243" t="s">
        <v>231</v>
      </c>
      <c r="M753" s="243" t="s">
        <v>231</v>
      </c>
      <c r="N753" s="237"/>
      <c r="O753" s="237"/>
      <c r="P753" s="237"/>
      <c r="Q753" s="527">
        <v>45475</v>
      </c>
      <c r="R753" s="337" t="s">
        <v>309</v>
      </c>
      <c r="S753" s="330" t="s">
        <v>233</v>
      </c>
      <c r="T753" s="339">
        <v>0</v>
      </c>
      <c r="U753" s="237" t="s">
        <v>234</v>
      </c>
      <c r="V753" s="237" t="s">
        <v>652</v>
      </c>
      <c r="W753" s="244">
        <v>46049</v>
      </c>
      <c r="X753" s="237" t="s">
        <v>4172</v>
      </c>
      <c r="Y753" s="237" t="s">
        <v>588</v>
      </c>
      <c r="Z753" s="237" t="s">
        <v>228</v>
      </c>
      <c r="AA753" s="237" t="s">
        <v>4173</v>
      </c>
      <c r="AB753" s="337" t="s">
        <v>228</v>
      </c>
      <c r="AC753" s="237" t="s">
        <v>228</v>
      </c>
      <c r="AD753" s="561"/>
      <c r="AE753" s="337"/>
      <c r="AF753" s="237"/>
    </row>
    <row r="754" spans="1:130" ht="13.5" customHeight="1">
      <c r="A754" s="235">
        <v>752</v>
      </c>
      <c r="B754" s="237"/>
      <c r="C754" s="237" t="s">
        <v>4174</v>
      </c>
      <c r="D754" s="243" t="s">
        <v>4175</v>
      </c>
      <c r="E754" s="237">
        <v>35</v>
      </c>
      <c r="F754" s="237" t="s">
        <v>60</v>
      </c>
      <c r="G754" s="271" t="s">
        <v>4176</v>
      </c>
      <c r="H754" s="237" t="s">
        <v>188</v>
      </c>
      <c r="I754" s="243"/>
      <c r="K754" s="240"/>
      <c r="L754" s="243" t="s">
        <v>231</v>
      </c>
      <c r="M754" s="243" t="s">
        <v>231</v>
      </c>
      <c r="N754" s="237"/>
      <c r="O754" s="237"/>
      <c r="P754" s="237"/>
      <c r="Q754" s="527">
        <v>45475</v>
      </c>
      <c r="R754" s="337" t="s">
        <v>309</v>
      </c>
      <c r="S754" s="330" t="s">
        <v>233</v>
      </c>
      <c r="T754" s="339">
        <v>0</v>
      </c>
      <c r="U754" s="237" t="s">
        <v>234</v>
      </c>
      <c r="V754" s="237" t="s">
        <v>652</v>
      </c>
      <c r="W754" s="244">
        <v>46049</v>
      </c>
      <c r="X754" s="237" t="s">
        <v>4177</v>
      </c>
      <c r="Y754" s="237" t="s">
        <v>588</v>
      </c>
      <c r="Z754" s="237" t="s">
        <v>228</v>
      </c>
      <c r="AA754" s="237" t="s">
        <v>4178</v>
      </c>
      <c r="AB754" s="337" t="s">
        <v>228</v>
      </c>
      <c r="AC754" s="237" t="s">
        <v>228</v>
      </c>
      <c r="AD754" s="561"/>
      <c r="AE754" s="337"/>
      <c r="AF754" s="237"/>
    </row>
    <row r="755" spans="1:130" ht="13.5" customHeight="1">
      <c r="A755" s="235">
        <v>753</v>
      </c>
      <c r="B755" s="237"/>
      <c r="C755" s="237" t="s">
        <v>4179</v>
      </c>
      <c r="D755" s="243" t="s">
        <v>4180</v>
      </c>
      <c r="E755" s="237">
        <v>48</v>
      </c>
      <c r="F755" s="237" t="s">
        <v>75</v>
      </c>
      <c r="G755" s="255" t="s">
        <v>4181</v>
      </c>
      <c r="H755" s="237" t="s">
        <v>188</v>
      </c>
      <c r="I755" s="243"/>
      <c r="K755" s="240"/>
      <c r="L755" s="243" t="s">
        <v>231</v>
      </c>
      <c r="M755" s="243" t="s">
        <v>231</v>
      </c>
      <c r="N755" s="237"/>
      <c r="O755" s="237"/>
      <c r="P755" s="237"/>
      <c r="Q755" s="527">
        <v>45587</v>
      </c>
      <c r="R755" s="337" t="s">
        <v>309</v>
      </c>
      <c r="S755" s="330" t="s">
        <v>233</v>
      </c>
      <c r="T755" s="339">
        <v>0</v>
      </c>
      <c r="U755" s="237" t="s">
        <v>234</v>
      </c>
      <c r="V755" s="237" t="s">
        <v>652</v>
      </c>
      <c r="W755" s="244">
        <v>46049</v>
      </c>
      <c r="X755" s="237" t="s">
        <v>4182</v>
      </c>
      <c r="Y755" s="237" t="s">
        <v>588</v>
      </c>
      <c r="Z755" s="237" t="s">
        <v>228</v>
      </c>
      <c r="AA755" s="237" t="s">
        <v>4183</v>
      </c>
      <c r="AB755" s="337" t="s">
        <v>228</v>
      </c>
      <c r="AC755" s="237" t="s">
        <v>228</v>
      </c>
      <c r="AD755" s="561"/>
      <c r="AE755" s="337"/>
      <c r="AF755" s="237"/>
    </row>
    <row r="756" spans="1:130" ht="13.5" customHeight="1">
      <c r="A756" s="235">
        <v>754</v>
      </c>
      <c r="B756" s="237"/>
      <c r="C756" s="237" t="s">
        <v>4184</v>
      </c>
      <c r="D756" s="243" t="s">
        <v>4185</v>
      </c>
      <c r="E756" s="237">
        <v>46</v>
      </c>
      <c r="F756" s="237" t="s">
        <v>60</v>
      </c>
      <c r="G756" s="255" t="s">
        <v>4186</v>
      </c>
      <c r="H756" s="237" t="s">
        <v>188</v>
      </c>
      <c r="I756" s="243"/>
      <c r="K756" s="240"/>
      <c r="L756" s="243" t="s">
        <v>231</v>
      </c>
      <c r="M756" s="243" t="s">
        <v>231</v>
      </c>
      <c r="N756" s="237"/>
      <c r="O756" s="237"/>
      <c r="P756" s="237"/>
      <c r="Q756" s="527">
        <v>45516</v>
      </c>
      <c r="R756" s="337" t="s">
        <v>309</v>
      </c>
      <c r="S756" s="330" t="s">
        <v>233</v>
      </c>
      <c r="T756" s="339"/>
      <c r="U756" s="237"/>
      <c r="V756" s="237"/>
      <c r="W756" s="244"/>
      <c r="X756" s="237"/>
      <c r="Y756" s="237"/>
      <c r="Z756" s="237" t="s">
        <v>228</v>
      </c>
      <c r="AA756" s="237"/>
      <c r="AB756" s="337" t="s">
        <v>228</v>
      </c>
      <c r="AC756" s="237" t="s">
        <v>228</v>
      </c>
      <c r="AD756" s="561"/>
      <c r="AE756" s="337"/>
      <c r="AF756" s="237"/>
    </row>
    <row r="757" spans="1:130" ht="13.5" customHeight="1">
      <c r="A757" s="235">
        <v>755</v>
      </c>
      <c r="B757" s="237"/>
      <c r="C757" s="237" t="s">
        <v>4187</v>
      </c>
      <c r="D757" s="243" t="s">
        <v>4188</v>
      </c>
      <c r="E757" s="237">
        <v>48</v>
      </c>
      <c r="F757" s="237" t="s">
        <v>60</v>
      </c>
      <c r="G757" s="255" t="s">
        <v>4189</v>
      </c>
      <c r="H757" s="237" t="s">
        <v>188</v>
      </c>
      <c r="I757" s="243"/>
      <c r="K757" s="240"/>
      <c r="L757" s="243" t="s">
        <v>231</v>
      </c>
      <c r="M757" s="243" t="s">
        <v>231</v>
      </c>
      <c r="N757" s="237"/>
      <c r="O757" s="237"/>
      <c r="P757" s="237"/>
      <c r="Q757" s="527">
        <v>45587</v>
      </c>
      <c r="R757" s="337" t="s">
        <v>309</v>
      </c>
      <c r="S757" s="330" t="s">
        <v>233</v>
      </c>
      <c r="T757" s="339"/>
      <c r="U757" s="237"/>
      <c r="V757" s="237"/>
      <c r="W757" s="244"/>
      <c r="X757" s="237"/>
      <c r="Y757" s="237"/>
      <c r="Z757" s="237" t="s">
        <v>228</v>
      </c>
      <c r="AA757" s="237"/>
      <c r="AB757" s="337" t="s">
        <v>228</v>
      </c>
      <c r="AC757" s="237" t="s">
        <v>228</v>
      </c>
      <c r="AD757" s="561"/>
      <c r="AE757" s="337"/>
      <c r="AF757" s="237"/>
    </row>
    <row r="758" spans="1:130" ht="13.5" customHeight="1">
      <c r="A758" s="235">
        <v>756</v>
      </c>
      <c r="B758" s="237"/>
      <c r="C758" s="237" t="s">
        <v>4190</v>
      </c>
      <c r="D758" s="243" t="s">
        <v>4191</v>
      </c>
      <c r="E758" s="237">
        <v>68</v>
      </c>
      <c r="F758" s="237" t="s">
        <v>75</v>
      </c>
      <c r="G758" s="255" t="s">
        <v>4192</v>
      </c>
      <c r="H758" s="237" t="s">
        <v>3</v>
      </c>
      <c r="I758" s="243" t="s">
        <v>16</v>
      </c>
      <c r="J758" s="235" t="s">
        <v>3932</v>
      </c>
      <c r="K758" s="240" t="s">
        <v>4193</v>
      </c>
      <c r="L758" s="237" t="s">
        <v>16</v>
      </c>
      <c r="M758" s="243" t="s">
        <v>4194</v>
      </c>
      <c r="N758" s="237"/>
      <c r="O758" s="237"/>
      <c r="P758" s="237"/>
      <c r="Q758" s="527">
        <v>45524</v>
      </c>
      <c r="R758" s="337" t="s">
        <v>309</v>
      </c>
      <c r="S758" s="330" t="s">
        <v>233</v>
      </c>
      <c r="T758" s="339"/>
      <c r="U758" s="237"/>
      <c r="V758" s="237"/>
      <c r="W758" s="244"/>
      <c r="X758" s="237"/>
      <c r="Y758" s="237"/>
      <c r="Z758" s="237" t="s">
        <v>228</v>
      </c>
      <c r="AA758" s="237"/>
      <c r="AB758" s="337" t="s">
        <v>228</v>
      </c>
      <c r="AC758" s="237" t="s">
        <v>228</v>
      </c>
      <c r="AD758" s="561"/>
      <c r="AE758" s="337"/>
      <c r="AF758" s="237"/>
    </row>
    <row r="759" spans="1:130" ht="13.5" customHeight="1">
      <c r="A759" s="235">
        <v>757</v>
      </c>
      <c r="B759" s="237"/>
      <c r="C759" s="237" t="s">
        <v>4195</v>
      </c>
      <c r="D759" s="243" t="s">
        <v>4196</v>
      </c>
      <c r="E759" s="237">
        <v>41</v>
      </c>
      <c r="F759" s="237" t="s">
        <v>75</v>
      </c>
      <c r="G759" s="255" t="s">
        <v>4197</v>
      </c>
      <c r="H759" s="237" t="s">
        <v>5</v>
      </c>
      <c r="I759" s="243"/>
      <c r="K759" s="240" t="s">
        <v>1811</v>
      </c>
      <c r="L759" s="243" t="s">
        <v>13</v>
      </c>
      <c r="M759" s="243" t="s">
        <v>231</v>
      </c>
      <c r="N759" s="237"/>
      <c r="O759" s="237"/>
      <c r="P759" s="237"/>
      <c r="Q759" s="527">
        <v>45538</v>
      </c>
      <c r="R759" s="337" t="s">
        <v>309</v>
      </c>
      <c r="S759" s="330" t="s">
        <v>233</v>
      </c>
      <c r="T759" s="339"/>
      <c r="U759" s="237"/>
      <c r="V759" s="237"/>
      <c r="W759" s="244"/>
      <c r="X759" s="237"/>
      <c r="Y759" s="237"/>
      <c r="Z759" s="237" t="s">
        <v>228</v>
      </c>
      <c r="AA759" s="237"/>
      <c r="AB759" s="337" t="s">
        <v>237</v>
      </c>
      <c r="AC759" s="102" t="s">
        <v>353</v>
      </c>
      <c r="AD759" s="561">
        <v>45346</v>
      </c>
      <c r="AE759" s="550" t="s">
        <v>4198</v>
      </c>
      <c r="AF759" s="237"/>
    </row>
    <row r="760" spans="1:130" ht="13.5" customHeight="1">
      <c r="A760" s="235">
        <v>758</v>
      </c>
      <c r="B760" s="237"/>
      <c r="C760" s="237" t="s">
        <v>4199</v>
      </c>
      <c r="D760" s="243" t="s">
        <v>4200</v>
      </c>
      <c r="E760" s="237">
        <v>51</v>
      </c>
      <c r="F760" s="237" t="s">
        <v>60</v>
      </c>
      <c r="G760" s="255" t="s">
        <v>4201</v>
      </c>
      <c r="H760" s="237" t="s">
        <v>188</v>
      </c>
      <c r="I760" s="243"/>
      <c r="K760" s="240"/>
      <c r="L760" s="243" t="s">
        <v>231</v>
      </c>
      <c r="M760" s="243" t="s">
        <v>231</v>
      </c>
      <c r="N760" s="237"/>
      <c r="O760" s="237"/>
      <c r="P760" s="237"/>
      <c r="Q760" s="527">
        <v>45531</v>
      </c>
      <c r="R760" s="337" t="s">
        <v>309</v>
      </c>
      <c r="S760" s="330" t="s">
        <v>233</v>
      </c>
      <c r="T760" s="339"/>
      <c r="U760" s="237"/>
      <c r="V760" s="237"/>
      <c r="W760" s="244"/>
      <c r="X760" s="237"/>
      <c r="Y760" s="237"/>
      <c r="Z760" s="237" t="s">
        <v>228</v>
      </c>
      <c r="AA760" s="237"/>
      <c r="AB760" s="337" t="s">
        <v>228</v>
      </c>
      <c r="AC760" s="237" t="s">
        <v>228</v>
      </c>
      <c r="AD760" s="561"/>
      <c r="AE760" s="337"/>
      <c r="AF760" s="237"/>
    </row>
    <row r="761" spans="1:130" ht="13.5" customHeight="1">
      <c r="A761" s="235">
        <v>759</v>
      </c>
      <c r="B761" s="237"/>
      <c r="C761" s="237" t="s">
        <v>4202</v>
      </c>
      <c r="D761" s="243" t="s">
        <v>4203</v>
      </c>
      <c r="E761" s="237">
        <v>43</v>
      </c>
      <c r="F761" s="237" t="s">
        <v>60</v>
      </c>
      <c r="G761" s="255" t="s">
        <v>4204</v>
      </c>
      <c r="H761" s="237" t="s">
        <v>188</v>
      </c>
      <c r="I761" s="243"/>
      <c r="K761" s="240"/>
      <c r="L761" s="243" t="s">
        <v>231</v>
      </c>
      <c r="M761" s="243" t="s">
        <v>231</v>
      </c>
      <c r="N761" s="237"/>
      <c r="O761" s="237"/>
      <c r="P761" s="237"/>
      <c r="Q761" s="527">
        <v>45551</v>
      </c>
      <c r="R761" s="337" t="s">
        <v>309</v>
      </c>
      <c r="S761" s="330" t="s">
        <v>233</v>
      </c>
      <c r="T761" s="339"/>
      <c r="U761" s="237"/>
      <c r="V761" s="237"/>
      <c r="W761" s="244"/>
      <c r="X761" s="237"/>
      <c r="Y761" s="237"/>
      <c r="Z761" s="237" t="s">
        <v>228</v>
      </c>
      <c r="AA761" s="237"/>
      <c r="AB761" s="337" t="s">
        <v>228</v>
      </c>
      <c r="AC761" s="237" t="s">
        <v>228</v>
      </c>
      <c r="AD761" s="561"/>
      <c r="AE761" s="337"/>
      <c r="AF761" s="237"/>
    </row>
    <row r="762" spans="1:130" ht="13.5" customHeight="1">
      <c r="A762" s="235">
        <v>760</v>
      </c>
      <c r="B762" s="237"/>
      <c r="C762" s="237" t="s">
        <v>4205</v>
      </c>
      <c r="D762" s="243" t="s">
        <v>4206</v>
      </c>
      <c r="E762" s="237">
        <v>22</v>
      </c>
      <c r="F762" s="237" t="s">
        <v>75</v>
      </c>
      <c r="G762" s="255" t="s">
        <v>4207</v>
      </c>
      <c r="H762" s="237" t="s">
        <v>188</v>
      </c>
      <c r="I762" s="243"/>
      <c r="K762" s="240"/>
      <c r="L762" s="243" t="s">
        <v>231</v>
      </c>
      <c r="M762" s="243" t="s">
        <v>231</v>
      </c>
      <c r="N762" s="237"/>
      <c r="O762" s="237"/>
      <c r="P762" s="237"/>
      <c r="Q762" s="527">
        <v>45554</v>
      </c>
      <c r="R762" s="337" t="s">
        <v>309</v>
      </c>
      <c r="S762" s="330" t="s">
        <v>233</v>
      </c>
      <c r="T762" s="339"/>
      <c r="U762" s="237"/>
      <c r="V762" s="237"/>
      <c r="W762" s="244"/>
      <c r="X762" s="237"/>
      <c r="Y762" s="237"/>
      <c r="Z762" s="237" t="s">
        <v>228</v>
      </c>
      <c r="AA762" s="237"/>
      <c r="AB762" s="337" t="s">
        <v>237</v>
      </c>
      <c r="AC762" s="237" t="s">
        <v>228</v>
      </c>
      <c r="AD762" s="561"/>
      <c r="AE762" s="337"/>
      <c r="AF762" s="237"/>
    </row>
    <row r="763" spans="1:130" s="274" customFormat="1" ht="13.5" customHeight="1">
      <c r="A763" s="235">
        <v>761</v>
      </c>
      <c r="B763" s="235">
        <v>246</v>
      </c>
      <c r="C763" s="256" t="s">
        <v>4208</v>
      </c>
      <c r="D763" s="235" t="s">
        <v>4209</v>
      </c>
      <c r="E763" s="235">
        <v>59</v>
      </c>
      <c r="F763" s="235" t="s">
        <v>60</v>
      </c>
      <c r="G763" s="235" t="s">
        <v>4210</v>
      </c>
      <c r="H763" s="237" t="s">
        <v>188</v>
      </c>
      <c r="I763" s="237"/>
      <c r="J763" s="235" t="s">
        <v>3932</v>
      </c>
      <c r="K763" s="237"/>
      <c r="L763" s="237"/>
      <c r="M763" s="237"/>
      <c r="N763" s="237"/>
      <c r="O763" s="237"/>
      <c r="P763" s="275"/>
      <c r="Q763" s="527">
        <v>45584</v>
      </c>
      <c r="R763" s="337" t="s">
        <v>309</v>
      </c>
      <c r="S763" s="330" t="s">
        <v>233</v>
      </c>
      <c r="T763" s="339">
        <v>7.9</v>
      </c>
      <c r="U763" s="237" t="s">
        <v>298</v>
      </c>
      <c r="V763" s="237" t="s">
        <v>235</v>
      </c>
      <c r="W763" s="244">
        <v>45631</v>
      </c>
      <c r="X763" s="237" t="s">
        <v>4211</v>
      </c>
      <c r="Y763" s="237" t="s">
        <v>237</v>
      </c>
      <c r="Z763" s="237" t="s">
        <v>237</v>
      </c>
      <c r="AA763" s="237" t="s">
        <v>4212</v>
      </c>
      <c r="AB763" s="337" t="s">
        <v>237</v>
      </c>
      <c r="AC763" s="55" t="s">
        <v>353</v>
      </c>
      <c r="AD763" s="563">
        <v>45656</v>
      </c>
      <c r="AE763" s="551"/>
      <c r="AF763" s="275"/>
      <c r="AG763" s="300"/>
      <c r="AH763" s="300"/>
      <c r="AI763" s="300"/>
      <c r="AJ763" s="300"/>
      <c r="AK763" s="300"/>
      <c r="AL763" s="300"/>
      <c r="AM763" s="300"/>
      <c r="AN763" s="300"/>
      <c r="AO763" s="300"/>
      <c r="AP763" s="300"/>
      <c r="AQ763" s="300"/>
      <c r="AR763" s="300"/>
      <c r="AS763" s="300"/>
      <c r="AT763" s="300"/>
      <c r="AU763" s="300"/>
      <c r="AV763" s="300"/>
      <c r="AW763" s="300"/>
      <c r="AX763" s="300"/>
      <c r="AY763" s="300"/>
      <c r="AZ763" s="300"/>
      <c r="BA763" s="300"/>
      <c r="BB763" s="300"/>
      <c r="BC763" s="300"/>
      <c r="BD763" s="300"/>
      <c r="BE763" s="300"/>
      <c r="BF763" s="300"/>
      <c r="BG763" s="300"/>
      <c r="BH763" s="300"/>
      <c r="BI763" s="300"/>
      <c r="BJ763" s="300"/>
      <c r="BK763" s="300"/>
      <c r="BL763" s="300"/>
      <c r="BM763" s="300"/>
      <c r="BN763" s="300"/>
      <c r="BO763" s="300"/>
      <c r="BP763" s="300"/>
      <c r="BQ763" s="300"/>
      <c r="BR763" s="300"/>
      <c r="BS763" s="300"/>
      <c r="BT763" s="300"/>
      <c r="BU763" s="300"/>
      <c r="BV763" s="300"/>
      <c r="BW763" s="300"/>
      <c r="BX763" s="300"/>
      <c r="BY763" s="300"/>
      <c r="BZ763" s="300"/>
      <c r="CA763" s="300"/>
      <c r="CB763" s="300"/>
      <c r="CC763" s="300"/>
      <c r="CD763" s="300"/>
      <c r="CE763" s="300"/>
      <c r="CF763" s="300"/>
      <c r="CG763" s="300"/>
      <c r="CH763" s="300"/>
      <c r="CI763" s="300"/>
      <c r="CJ763" s="300"/>
      <c r="CK763" s="300"/>
      <c r="CL763" s="300"/>
      <c r="CM763" s="300"/>
      <c r="CN763" s="300"/>
      <c r="CO763" s="300"/>
      <c r="CP763" s="300"/>
      <c r="CQ763" s="300"/>
      <c r="CR763" s="300"/>
      <c r="CS763" s="300"/>
      <c r="CT763" s="300"/>
      <c r="CU763" s="300"/>
      <c r="CV763" s="300"/>
      <c r="CW763" s="300"/>
      <c r="CX763" s="300"/>
      <c r="CY763" s="300"/>
      <c r="CZ763" s="300"/>
      <c r="DA763" s="300"/>
      <c r="DB763" s="300"/>
      <c r="DC763" s="300"/>
      <c r="DD763" s="300"/>
      <c r="DE763" s="300"/>
      <c r="DF763" s="300"/>
      <c r="DG763" s="300"/>
      <c r="DH763" s="300"/>
      <c r="DI763" s="300"/>
      <c r="DJ763" s="300"/>
      <c r="DK763" s="300"/>
      <c r="DL763" s="300"/>
      <c r="DM763" s="300"/>
      <c r="DN763" s="300"/>
      <c r="DO763" s="300"/>
      <c r="DP763" s="300"/>
      <c r="DQ763" s="300"/>
      <c r="DR763" s="300"/>
      <c r="DS763" s="300"/>
      <c r="DT763" s="300"/>
      <c r="DU763" s="300"/>
      <c r="DV763" s="300"/>
      <c r="DW763" s="300"/>
      <c r="DX763" s="300"/>
      <c r="DY763" s="300"/>
      <c r="DZ763" s="305"/>
    </row>
    <row r="764" spans="1:130" ht="13.5" customHeight="1">
      <c r="A764" s="235">
        <v>762</v>
      </c>
      <c r="B764" s="237"/>
      <c r="C764" s="237" t="s">
        <v>4213</v>
      </c>
      <c r="D764" s="243" t="s">
        <v>4214</v>
      </c>
      <c r="E764" s="237">
        <v>41</v>
      </c>
      <c r="F764" s="237" t="s">
        <v>60</v>
      </c>
      <c r="G764" s="237" t="s">
        <v>4215</v>
      </c>
      <c r="H764" s="237" t="s">
        <v>188</v>
      </c>
      <c r="I764" s="243"/>
      <c r="K764" s="240"/>
      <c r="L764" s="243" t="s">
        <v>231</v>
      </c>
      <c r="M764" s="243" t="s">
        <v>231</v>
      </c>
      <c r="N764" s="237"/>
      <c r="O764" s="237"/>
      <c r="P764" s="237"/>
      <c r="Q764" s="527">
        <v>44897</v>
      </c>
      <c r="R764" s="337" t="s">
        <v>309</v>
      </c>
      <c r="S764" s="330" t="s">
        <v>233</v>
      </c>
      <c r="T764" s="339"/>
      <c r="U764" s="237"/>
      <c r="V764" s="237"/>
      <c r="W764" s="244"/>
      <c r="X764" s="237"/>
      <c r="Y764" s="237"/>
      <c r="Z764" s="237" t="s">
        <v>228</v>
      </c>
      <c r="AA764" s="237"/>
      <c r="AB764" s="337" t="s">
        <v>228</v>
      </c>
      <c r="AC764" s="237" t="s">
        <v>228</v>
      </c>
      <c r="AD764" s="561"/>
      <c r="AE764" s="337"/>
      <c r="AF764" s="237"/>
    </row>
    <row r="765" spans="1:130" ht="13.5" customHeight="1">
      <c r="A765" s="235">
        <v>763</v>
      </c>
      <c r="B765" s="237"/>
      <c r="C765" s="237" t="s">
        <v>4216</v>
      </c>
      <c r="D765" s="243" t="s">
        <v>4217</v>
      </c>
      <c r="E765" s="237">
        <v>21</v>
      </c>
      <c r="F765" s="237" t="s">
        <v>60</v>
      </c>
      <c r="G765" s="237" t="s">
        <v>4218</v>
      </c>
      <c r="H765" s="237" t="s">
        <v>4</v>
      </c>
      <c r="I765" s="243"/>
      <c r="J765" s="240" t="s">
        <v>886</v>
      </c>
      <c r="K765" s="240" t="s">
        <v>4219</v>
      </c>
      <c r="L765" s="243" t="s">
        <v>13</v>
      </c>
      <c r="M765" s="243" t="s">
        <v>231</v>
      </c>
      <c r="N765" s="237"/>
      <c r="O765" s="237"/>
      <c r="P765" s="237"/>
      <c r="Q765" s="527">
        <v>44897</v>
      </c>
      <c r="R765" s="337" t="s">
        <v>309</v>
      </c>
      <c r="S765" s="330" t="s">
        <v>233</v>
      </c>
      <c r="T765" s="339"/>
      <c r="U765" s="237"/>
      <c r="V765" s="237"/>
      <c r="W765" s="244"/>
      <c r="X765" s="237"/>
      <c r="Y765" s="237"/>
      <c r="Z765" s="237" t="s">
        <v>228</v>
      </c>
      <c r="AA765" s="237"/>
      <c r="AB765" s="337" t="s">
        <v>228</v>
      </c>
      <c r="AC765" s="237" t="s">
        <v>228</v>
      </c>
      <c r="AD765" s="561"/>
      <c r="AE765" s="337"/>
      <c r="AF765" s="237"/>
    </row>
    <row r="766" spans="1:130" ht="13.5" customHeight="1">
      <c r="A766" s="235">
        <v>764</v>
      </c>
      <c r="B766" s="237"/>
      <c r="C766" s="237" t="s">
        <v>4220</v>
      </c>
      <c r="D766" s="243" t="s">
        <v>4221</v>
      </c>
      <c r="E766" s="237">
        <v>46</v>
      </c>
      <c r="F766" s="237" t="s">
        <v>60</v>
      </c>
      <c r="G766" s="237" t="s">
        <v>4222</v>
      </c>
      <c r="H766" s="237" t="s">
        <v>4</v>
      </c>
      <c r="I766" s="243"/>
      <c r="J766" s="240" t="s">
        <v>886</v>
      </c>
      <c r="K766" s="240" t="s">
        <v>4223</v>
      </c>
      <c r="L766" s="237" t="s">
        <v>53</v>
      </c>
      <c r="M766" s="243" t="s">
        <v>231</v>
      </c>
      <c r="N766" s="237"/>
      <c r="O766" s="237"/>
      <c r="P766" s="237"/>
      <c r="Q766" s="527">
        <v>44900</v>
      </c>
      <c r="R766" s="337" t="s">
        <v>309</v>
      </c>
      <c r="S766" s="330" t="s">
        <v>233</v>
      </c>
      <c r="T766" s="339"/>
      <c r="U766" s="237"/>
      <c r="V766" s="237"/>
      <c r="W766" s="244"/>
      <c r="X766" s="237"/>
      <c r="Y766" s="237"/>
      <c r="Z766" s="237" t="s">
        <v>228</v>
      </c>
      <c r="AA766" s="237"/>
      <c r="AB766" s="337" t="s">
        <v>228</v>
      </c>
      <c r="AC766" s="237" t="s">
        <v>228</v>
      </c>
      <c r="AD766" s="561"/>
      <c r="AE766" s="337"/>
      <c r="AF766" s="237"/>
    </row>
    <row r="767" spans="1:130" ht="13.5" customHeight="1">
      <c r="A767" s="235">
        <v>765</v>
      </c>
      <c r="B767" s="237"/>
      <c r="C767" s="237" t="s">
        <v>4224</v>
      </c>
      <c r="D767" s="243" t="s">
        <v>4225</v>
      </c>
      <c r="E767" s="237">
        <v>39</v>
      </c>
      <c r="F767" s="237" t="s">
        <v>60</v>
      </c>
      <c r="G767" s="237" t="s">
        <v>4226</v>
      </c>
      <c r="H767" s="237" t="s">
        <v>188</v>
      </c>
      <c r="I767" s="243"/>
      <c r="J767" s="240"/>
      <c r="K767" s="240"/>
      <c r="L767" s="243" t="s">
        <v>231</v>
      </c>
      <c r="M767" s="243" t="s">
        <v>231</v>
      </c>
      <c r="N767" s="237"/>
      <c r="O767" s="237"/>
      <c r="P767" s="237"/>
      <c r="Q767" s="527">
        <v>44900</v>
      </c>
      <c r="R767" s="337" t="s">
        <v>309</v>
      </c>
      <c r="S767" s="330" t="s">
        <v>233</v>
      </c>
      <c r="T767" s="339"/>
      <c r="U767" s="237"/>
      <c r="V767" s="237"/>
      <c r="W767" s="244"/>
      <c r="X767" s="237"/>
      <c r="Y767" s="237"/>
      <c r="Z767" s="237" t="s">
        <v>228</v>
      </c>
      <c r="AA767" s="237"/>
      <c r="AB767" s="337" t="s">
        <v>228</v>
      </c>
      <c r="AC767" s="237" t="s">
        <v>228</v>
      </c>
      <c r="AD767" s="561"/>
      <c r="AE767" s="337"/>
      <c r="AF767" s="237"/>
    </row>
    <row r="768" spans="1:130" ht="13.5" customHeight="1">
      <c r="A768" s="235">
        <v>766</v>
      </c>
      <c r="B768" s="237"/>
      <c r="C768" s="237" t="s">
        <v>4227</v>
      </c>
      <c r="D768" s="243" t="s">
        <v>4228</v>
      </c>
      <c r="E768" s="237">
        <v>28</v>
      </c>
      <c r="F768" s="237" t="s">
        <v>75</v>
      </c>
      <c r="G768" s="237" t="s">
        <v>4229</v>
      </c>
      <c r="H768" s="237" t="s">
        <v>188</v>
      </c>
      <c r="I768" s="243"/>
      <c r="J768" s="240"/>
      <c r="K768" s="240"/>
      <c r="L768" s="243" t="s">
        <v>231</v>
      </c>
      <c r="M768" s="243" t="s">
        <v>231</v>
      </c>
      <c r="N768" s="237"/>
      <c r="O768" s="237"/>
      <c r="P768" s="237"/>
      <c r="Q768" s="527">
        <v>44900</v>
      </c>
      <c r="R768" s="337" t="s">
        <v>309</v>
      </c>
      <c r="S768" s="330" t="s">
        <v>233</v>
      </c>
      <c r="T768" s="339"/>
      <c r="U768" s="237"/>
      <c r="V768" s="237"/>
      <c r="W768" s="244"/>
      <c r="X768" s="237"/>
      <c r="Y768" s="237"/>
      <c r="Z768" s="237" t="s">
        <v>228</v>
      </c>
      <c r="AA768" s="237"/>
      <c r="AB768" s="337" t="s">
        <v>228</v>
      </c>
      <c r="AC768" s="237" t="s">
        <v>228</v>
      </c>
      <c r="AD768" s="561"/>
      <c r="AE768" s="337"/>
      <c r="AF768" s="237"/>
    </row>
    <row r="769" spans="1:130" s="306" customFormat="1" ht="13.5" customHeight="1">
      <c r="A769" s="306">
        <v>767</v>
      </c>
      <c r="B769" s="264"/>
      <c r="C769" s="264" t="s">
        <v>4230</v>
      </c>
      <c r="D769" s="289" t="s">
        <v>4231</v>
      </c>
      <c r="E769" s="264">
        <v>42</v>
      </c>
      <c r="F769" s="264" t="s">
        <v>60</v>
      </c>
      <c r="G769" s="264" t="s">
        <v>4232</v>
      </c>
      <c r="H769" s="264" t="s">
        <v>20</v>
      </c>
      <c r="I769" s="264" t="s">
        <v>3894</v>
      </c>
      <c r="J769" s="290"/>
      <c r="K769" s="290"/>
      <c r="L769" s="289" t="s">
        <v>20</v>
      </c>
      <c r="M769" s="289" t="s">
        <v>231</v>
      </c>
      <c r="N769" s="264"/>
      <c r="O769" s="264"/>
      <c r="P769" s="264"/>
      <c r="Q769" s="575">
        <v>44900</v>
      </c>
      <c r="R769" s="364" t="s">
        <v>309</v>
      </c>
      <c r="S769" s="365" t="s">
        <v>233</v>
      </c>
      <c r="T769" s="576"/>
      <c r="U769" s="264"/>
      <c r="V769" s="264"/>
      <c r="W769" s="308"/>
      <c r="X769" s="264"/>
      <c r="Y769" s="264"/>
      <c r="Z769" s="264" t="s">
        <v>228</v>
      </c>
      <c r="AA769" s="264"/>
      <c r="AB769" s="364" t="s">
        <v>228</v>
      </c>
      <c r="AC769" s="264" t="s">
        <v>228</v>
      </c>
      <c r="AD769" s="577"/>
      <c r="AE769" s="364"/>
      <c r="AF769" s="264"/>
      <c r="AG769" s="309"/>
      <c r="AH769" s="309"/>
      <c r="AI769" s="309"/>
      <c r="AJ769" s="309"/>
      <c r="AK769" s="309"/>
      <c r="AL769" s="309"/>
      <c r="AM769" s="309"/>
      <c r="AN769" s="309"/>
      <c r="AO769" s="309"/>
      <c r="AP769" s="309"/>
      <c r="AQ769" s="309"/>
      <c r="AR769" s="309"/>
      <c r="AS769" s="309"/>
      <c r="AT769" s="309"/>
      <c r="AU769" s="309"/>
      <c r="AV769" s="309"/>
      <c r="AW769" s="309"/>
      <c r="AX769" s="309"/>
      <c r="AY769" s="309"/>
      <c r="AZ769" s="309"/>
      <c r="BA769" s="309"/>
      <c r="BB769" s="309"/>
      <c r="BC769" s="309"/>
      <c r="BD769" s="309"/>
      <c r="BE769" s="309"/>
      <c r="BF769" s="309"/>
      <c r="BG769" s="309"/>
      <c r="BH769" s="309"/>
      <c r="BI769" s="309"/>
      <c r="BJ769" s="309"/>
      <c r="BK769" s="309"/>
      <c r="BL769" s="309"/>
      <c r="BM769" s="309"/>
      <c r="BN769" s="309"/>
      <c r="BO769" s="309"/>
      <c r="BP769" s="309"/>
      <c r="BQ769" s="309"/>
      <c r="BR769" s="309"/>
      <c r="BS769" s="309"/>
      <c r="BT769" s="309"/>
      <c r="BU769" s="309"/>
      <c r="BV769" s="309"/>
      <c r="BW769" s="309"/>
      <c r="BX769" s="309"/>
      <c r="BY769" s="309"/>
      <c r="BZ769" s="309"/>
      <c r="CA769" s="309"/>
      <c r="CB769" s="309"/>
      <c r="CC769" s="309"/>
      <c r="CD769" s="309"/>
      <c r="CE769" s="309"/>
      <c r="CF769" s="309"/>
      <c r="CG769" s="309"/>
      <c r="CH769" s="309"/>
      <c r="CI769" s="309"/>
      <c r="CJ769" s="309"/>
      <c r="CK769" s="309"/>
      <c r="CL769" s="309"/>
      <c r="CM769" s="309"/>
      <c r="CN769" s="309"/>
      <c r="CO769" s="309"/>
      <c r="CP769" s="309"/>
      <c r="CQ769" s="309"/>
      <c r="CR769" s="309"/>
      <c r="CS769" s="309"/>
      <c r="CT769" s="309"/>
      <c r="CU769" s="309"/>
      <c r="CV769" s="309"/>
      <c r="CW769" s="309"/>
      <c r="CX769" s="309"/>
      <c r="CY769" s="309"/>
      <c r="CZ769" s="309"/>
      <c r="DA769" s="309"/>
      <c r="DB769" s="309"/>
      <c r="DC769" s="309"/>
      <c r="DD769" s="309"/>
      <c r="DE769" s="309"/>
      <c r="DF769" s="309"/>
      <c r="DG769" s="309"/>
      <c r="DH769" s="309"/>
      <c r="DI769" s="309"/>
      <c r="DJ769" s="309"/>
      <c r="DK769" s="309"/>
      <c r="DL769" s="309"/>
      <c r="DM769" s="309"/>
      <c r="DN769" s="309"/>
      <c r="DO769" s="309"/>
      <c r="DP769" s="309"/>
      <c r="DQ769" s="309"/>
      <c r="DR769" s="309"/>
      <c r="DS769" s="309"/>
      <c r="DT769" s="309"/>
      <c r="DU769" s="309"/>
      <c r="DV769" s="309"/>
      <c r="DW769" s="309"/>
      <c r="DX769" s="309"/>
      <c r="DY769" s="309"/>
      <c r="DZ769" s="310"/>
    </row>
    <row r="770" spans="1:130" ht="13.5" customHeight="1">
      <c r="A770" s="235">
        <v>768</v>
      </c>
      <c r="B770" s="237"/>
      <c r="C770" s="237" t="s">
        <v>4233</v>
      </c>
      <c r="D770" s="243" t="s">
        <v>4234</v>
      </c>
      <c r="E770" s="237">
        <v>50</v>
      </c>
      <c r="F770" s="237" t="s">
        <v>60</v>
      </c>
      <c r="G770" s="237" t="s">
        <v>4235</v>
      </c>
      <c r="H770" s="237" t="s">
        <v>4</v>
      </c>
      <c r="I770" s="237"/>
      <c r="J770" s="240" t="s">
        <v>886</v>
      </c>
      <c r="K770" s="240" t="s">
        <v>3068</v>
      </c>
      <c r="L770" s="288" t="s">
        <v>926</v>
      </c>
      <c r="M770" s="243" t="s">
        <v>231</v>
      </c>
      <c r="N770" s="237"/>
      <c r="O770" s="237"/>
      <c r="P770" s="237"/>
      <c r="Q770" s="527">
        <v>44901</v>
      </c>
      <c r="R770" s="337" t="s">
        <v>309</v>
      </c>
      <c r="S770" s="330" t="s">
        <v>233</v>
      </c>
      <c r="T770" s="339"/>
      <c r="U770" s="237"/>
      <c r="V770" s="237"/>
      <c r="W770" s="244"/>
      <c r="X770" s="237"/>
      <c r="Y770" s="237"/>
      <c r="Z770" s="237" t="s">
        <v>228</v>
      </c>
      <c r="AA770" s="237"/>
      <c r="AB770" s="337" t="s">
        <v>228</v>
      </c>
      <c r="AC770" s="237" t="s">
        <v>228</v>
      </c>
      <c r="AD770" s="561"/>
      <c r="AE770" s="337"/>
      <c r="AF770" s="237"/>
    </row>
    <row r="771" spans="1:130" ht="13.5" customHeight="1">
      <c r="A771" s="235">
        <v>769</v>
      </c>
      <c r="B771" s="237"/>
      <c r="C771" s="237" t="s">
        <v>4236</v>
      </c>
      <c r="D771" s="243" t="s">
        <v>4237</v>
      </c>
      <c r="E771" s="237">
        <v>53</v>
      </c>
      <c r="F771" s="237" t="s">
        <v>60</v>
      </c>
      <c r="G771" s="237" t="s">
        <v>4238</v>
      </c>
      <c r="H771" s="237" t="s">
        <v>4</v>
      </c>
      <c r="I771" s="237"/>
      <c r="J771" s="240"/>
      <c r="K771" s="240" t="s">
        <v>4239</v>
      </c>
      <c r="L771" s="243" t="s">
        <v>926</v>
      </c>
      <c r="M771" s="243" t="s">
        <v>231</v>
      </c>
      <c r="N771" s="237"/>
      <c r="O771" s="237"/>
      <c r="P771" s="237"/>
      <c r="Q771" s="527">
        <v>44903</v>
      </c>
      <c r="R771" s="337" t="s">
        <v>309</v>
      </c>
      <c r="S771" s="330" t="s">
        <v>233</v>
      </c>
      <c r="T771" s="339"/>
      <c r="U771" s="237"/>
      <c r="V771" s="237"/>
      <c r="W771" s="244"/>
      <c r="X771" s="237"/>
      <c r="Y771" s="237"/>
      <c r="Z771" s="237" t="s">
        <v>228</v>
      </c>
      <c r="AA771" s="237"/>
      <c r="AB771" s="337" t="s">
        <v>228</v>
      </c>
      <c r="AC771" s="237" t="s">
        <v>228</v>
      </c>
      <c r="AD771" s="561"/>
      <c r="AE771" s="337"/>
      <c r="AF771" s="237"/>
    </row>
    <row r="772" spans="1:130" ht="13.5" customHeight="1">
      <c r="A772" s="235">
        <v>770</v>
      </c>
      <c r="B772" s="237"/>
      <c r="C772" s="237" t="s">
        <v>4240</v>
      </c>
      <c r="D772" s="243" t="s">
        <v>4241</v>
      </c>
      <c r="E772" s="237">
        <v>53</v>
      </c>
      <c r="F772" s="237" t="s">
        <v>60</v>
      </c>
      <c r="G772" s="237" t="s">
        <v>4242</v>
      </c>
      <c r="H772" s="237" t="s">
        <v>4</v>
      </c>
      <c r="I772" s="237"/>
      <c r="J772" s="240" t="s">
        <v>886</v>
      </c>
      <c r="K772" s="240" t="s">
        <v>4243</v>
      </c>
      <c r="L772" s="243" t="s">
        <v>22</v>
      </c>
      <c r="M772" s="243" t="s">
        <v>231</v>
      </c>
      <c r="N772" s="237"/>
      <c r="O772" s="237"/>
      <c r="P772" s="237"/>
      <c r="Q772" s="527">
        <v>44903</v>
      </c>
      <c r="R772" s="337" t="s">
        <v>309</v>
      </c>
      <c r="S772" s="330" t="s">
        <v>233</v>
      </c>
      <c r="T772" s="339"/>
      <c r="U772" s="237"/>
      <c r="V772" s="237"/>
      <c r="W772" s="244"/>
      <c r="X772" s="237"/>
      <c r="Y772" s="237"/>
      <c r="Z772" s="237" t="s">
        <v>228</v>
      </c>
      <c r="AA772" s="237"/>
      <c r="AB772" s="337" t="s">
        <v>228</v>
      </c>
      <c r="AC772" s="237" t="s">
        <v>228</v>
      </c>
      <c r="AD772" s="561"/>
      <c r="AE772" s="337"/>
      <c r="AF772" s="237"/>
    </row>
    <row r="773" spans="1:130" ht="13.5" customHeight="1">
      <c r="A773" s="235">
        <v>771</v>
      </c>
      <c r="B773" s="237"/>
      <c r="C773" s="237" t="s">
        <v>4244</v>
      </c>
      <c r="D773" s="243" t="s">
        <v>4245</v>
      </c>
      <c r="E773" s="237">
        <v>35</v>
      </c>
      <c r="F773" s="237" t="s">
        <v>60</v>
      </c>
      <c r="G773" s="271" t="s">
        <v>4246</v>
      </c>
      <c r="H773" s="237" t="s">
        <v>188</v>
      </c>
      <c r="I773" s="237"/>
      <c r="K773" s="240"/>
      <c r="L773" s="243" t="s">
        <v>231</v>
      </c>
      <c r="M773" s="243" t="s">
        <v>231</v>
      </c>
      <c r="N773" s="237"/>
      <c r="O773" s="237"/>
      <c r="P773" s="237"/>
      <c r="Q773" s="527">
        <v>45131</v>
      </c>
      <c r="R773" s="337" t="s">
        <v>309</v>
      </c>
      <c r="S773" s="330" t="s">
        <v>233</v>
      </c>
      <c r="T773" s="339"/>
      <c r="U773" s="237"/>
      <c r="V773" s="237"/>
      <c r="W773" s="244"/>
      <c r="X773" s="237"/>
      <c r="Y773" s="237"/>
      <c r="Z773" s="237" t="s">
        <v>228</v>
      </c>
      <c r="AA773" s="237"/>
      <c r="AB773" s="337" t="s">
        <v>228</v>
      </c>
      <c r="AC773" s="237" t="s">
        <v>228</v>
      </c>
      <c r="AD773" s="561"/>
      <c r="AE773" s="337"/>
      <c r="AF773" s="237"/>
    </row>
    <row r="774" spans="1:130" ht="13.5" customHeight="1">
      <c r="A774" s="235">
        <v>772</v>
      </c>
      <c r="B774" s="237"/>
      <c r="C774" s="237" t="s">
        <v>4247</v>
      </c>
      <c r="D774" s="243" t="s">
        <v>4248</v>
      </c>
      <c r="E774" s="237">
        <v>29</v>
      </c>
      <c r="F774" s="237" t="s">
        <v>60</v>
      </c>
      <c r="G774" s="255" t="s">
        <v>4249</v>
      </c>
      <c r="H774" s="237" t="s">
        <v>188</v>
      </c>
      <c r="I774" s="237"/>
      <c r="K774" s="240"/>
      <c r="L774" s="243" t="s">
        <v>231</v>
      </c>
      <c r="M774" s="243" t="s">
        <v>231</v>
      </c>
      <c r="N774" s="237"/>
      <c r="O774" s="237"/>
      <c r="P774" s="237"/>
      <c r="Q774" s="527">
        <v>45462</v>
      </c>
      <c r="R774" s="337" t="s">
        <v>309</v>
      </c>
      <c r="S774" s="330" t="s">
        <v>233</v>
      </c>
      <c r="T774" s="339"/>
      <c r="U774" s="237"/>
      <c r="V774" s="237"/>
      <c r="W774" s="244"/>
      <c r="X774" s="237"/>
      <c r="Y774" s="237"/>
      <c r="Z774" s="237" t="s">
        <v>228</v>
      </c>
      <c r="AA774" s="237"/>
      <c r="AB774" s="337" t="s">
        <v>228</v>
      </c>
      <c r="AC774" s="237" t="s">
        <v>228</v>
      </c>
      <c r="AD774" s="561"/>
      <c r="AE774" s="337"/>
      <c r="AF774" s="237"/>
    </row>
    <row r="775" spans="1:130" ht="13.5" customHeight="1">
      <c r="A775" s="235">
        <v>773</v>
      </c>
      <c r="B775" s="237"/>
      <c r="C775" s="237" t="s">
        <v>4250</v>
      </c>
      <c r="D775" s="243" t="s">
        <v>4251</v>
      </c>
      <c r="E775" s="237">
        <v>48</v>
      </c>
      <c r="F775" s="237" t="s">
        <v>60</v>
      </c>
      <c r="G775" s="255" t="s">
        <v>4252</v>
      </c>
      <c r="H775" s="237" t="s">
        <v>188</v>
      </c>
      <c r="I775" s="237"/>
      <c r="K775" s="240"/>
      <c r="L775" s="243" t="s">
        <v>231</v>
      </c>
      <c r="M775" s="243" t="s">
        <v>231</v>
      </c>
      <c r="N775" s="237"/>
      <c r="O775" s="237"/>
      <c r="P775" s="237"/>
      <c r="Q775" s="527">
        <v>45617</v>
      </c>
      <c r="R775" s="337" t="s">
        <v>309</v>
      </c>
      <c r="S775" s="330" t="s">
        <v>233</v>
      </c>
      <c r="T775" s="339"/>
      <c r="U775" s="237"/>
      <c r="V775" s="237"/>
      <c r="W775" s="244"/>
      <c r="X775" s="237"/>
      <c r="Y775" s="237"/>
      <c r="Z775" s="237" t="s">
        <v>228</v>
      </c>
      <c r="AA775" s="237"/>
      <c r="AB775" s="337" t="s">
        <v>228</v>
      </c>
      <c r="AC775" s="237" t="s">
        <v>228</v>
      </c>
      <c r="AD775" s="561"/>
      <c r="AE775" s="337"/>
      <c r="AF775" s="237"/>
    </row>
    <row r="776" spans="1:130" ht="13.5" customHeight="1">
      <c r="A776" s="235">
        <v>774</v>
      </c>
      <c r="B776" s="237"/>
      <c r="C776" s="237" t="s">
        <v>4253</v>
      </c>
      <c r="D776" s="243" t="s">
        <v>4254</v>
      </c>
      <c r="E776" s="237">
        <v>46</v>
      </c>
      <c r="F776" s="237" t="s">
        <v>60</v>
      </c>
      <c r="G776" s="255" t="s">
        <v>4255</v>
      </c>
      <c r="H776" s="237" t="s">
        <v>188</v>
      </c>
      <c r="I776" s="237"/>
      <c r="K776" s="240"/>
      <c r="L776" s="243" t="s">
        <v>231</v>
      </c>
      <c r="M776" s="243" t="s">
        <v>231</v>
      </c>
      <c r="N776" s="237"/>
      <c r="O776" s="237"/>
      <c r="P776" s="237"/>
      <c r="Q776" s="527">
        <v>45640</v>
      </c>
      <c r="R776" s="337" t="s">
        <v>309</v>
      </c>
      <c r="S776" s="330" t="s">
        <v>233</v>
      </c>
      <c r="T776" s="339"/>
      <c r="U776" s="237"/>
      <c r="V776" s="237"/>
      <c r="W776" s="244"/>
      <c r="X776" s="237"/>
      <c r="Y776" s="237"/>
      <c r="Z776" s="237" t="s">
        <v>228</v>
      </c>
      <c r="AA776" s="237"/>
      <c r="AB776" s="337" t="s">
        <v>228</v>
      </c>
      <c r="AC776" s="237" t="s">
        <v>228</v>
      </c>
      <c r="AD776" s="561"/>
      <c r="AE776" s="337"/>
      <c r="AF776" s="237"/>
    </row>
    <row r="777" spans="1:130" ht="13.5" customHeight="1">
      <c r="A777" s="235">
        <v>775</v>
      </c>
      <c r="B777" s="237"/>
      <c r="C777" s="237" t="s">
        <v>4256</v>
      </c>
      <c r="D777" s="243" t="s">
        <v>4257</v>
      </c>
      <c r="E777" s="255">
        <v>37</v>
      </c>
      <c r="F777" s="255" t="s">
        <v>60</v>
      </c>
      <c r="G777" s="255" t="s">
        <v>4258</v>
      </c>
      <c r="H777" s="237" t="s">
        <v>188</v>
      </c>
      <c r="I777" s="237"/>
      <c r="K777" s="240"/>
      <c r="L777" s="243" t="s">
        <v>231</v>
      </c>
      <c r="M777" s="243" t="s">
        <v>231</v>
      </c>
      <c r="N777" s="237"/>
      <c r="O777" s="237"/>
      <c r="P777" s="237"/>
      <c r="Q777" s="245" t="s">
        <v>228</v>
      </c>
      <c r="R777" s="337" t="s">
        <v>309</v>
      </c>
      <c r="S777" s="330" t="s">
        <v>233</v>
      </c>
      <c r="T777" s="339"/>
      <c r="U777" s="237"/>
      <c r="V777" s="237"/>
      <c r="W777" s="244"/>
      <c r="X777" s="237"/>
      <c r="Y777" s="237"/>
      <c r="Z777" s="237" t="s">
        <v>228</v>
      </c>
      <c r="AA777" s="237"/>
      <c r="AB777" s="337" t="s">
        <v>228</v>
      </c>
      <c r="AC777" s="237" t="s">
        <v>228</v>
      </c>
      <c r="AD777" s="561"/>
      <c r="AE777" s="337"/>
      <c r="AF777" s="237"/>
    </row>
    <row r="778" spans="1:130" s="306" customFormat="1" ht="13.5" customHeight="1">
      <c r="A778" s="306">
        <v>776</v>
      </c>
      <c r="B778" s="264"/>
      <c r="C778" s="264" t="s">
        <v>4259</v>
      </c>
      <c r="D778" s="289" t="s">
        <v>4260</v>
      </c>
      <c r="E778" s="264">
        <v>61</v>
      </c>
      <c r="F778" s="264" t="s">
        <v>75</v>
      </c>
      <c r="G778" s="307" t="s">
        <v>4261</v>
      </c>
      <c r="H778" s="264" t="s">
        <v>3</v>
      </c>
      <c r="I778" s="264" t="s">
        <v>4262</v>
      </c>
      <c r="J778" s="290" t="s">
        <v>3732</v>
      </c>
      <c r="K778" s="290" t="s">
        <v>4263</v>
      </c>
      <c r="L778" s="596" t="s">
        <v>926</v>
      </c>
      <c r="M778" s="264" t="s">
        <v>4264</v>
      </c>
      <c r="N778" s="264"/>
      <c r="O778" s="264"/>
      <c r="P778" s="264"/>
      <c r="Q778" s="575">
        <v>45964</v>
      </c>
      <c r="R778" s="364" t="s">
        <v>309</v>
      </c>
      <c r="S778" s="365" t="s">
        <v>233</v>
      </c>
      <c r="T778" s="576"/>
      <c r="U778" s="264" t="s">
        <v>234</v>
      </c>
      <c r="V778" s="264" t="s">
        <v>652</v>
      </c>
      <c r="W778" s="308">
        <v>46049</v>
      </c>
      <c r="X778" s="264" t="s">
        <v>4265</v>
      </c>
      <c r="Y778" s="264" t="s">
        <v>588</v>
      </c>
      <c r="Z778" s="264" t="s">
        <v>228</v>
      </c>
      <c r="AA778" s="264" t="s">
        <v>4266</v>
      </c>
      <c r="AB778" s="364" t="s">
        <v>228</v>
      </c>
      <c r="AC778" s="264" t="s">
        <v>228</v>
      </c>
      <c r="AD778" s="577"/>
      <c r="AE778" s="364"/>
      <c r="AF778" s="264"/>
      <c r="AG778" s="309"/>
      <c r="AH778" s="309"/>
      <c r="AI778" s="309"/>
      <c r="AJ778" s="309"/>
      <c r="AK778" s="309"/>
      <c r="AL778" s="309"/>
      <c r="AM778" s="309"/>
      <c r="AN778" s="309"/>
      <c r="AO778" s="309"/>
      <c r="AP778" s="309"/>
      <c r="AQ778" s="309"/>
      <c r="AR778" s="309"/>
      <c r="AS778" s="309"/>
      <c r="AT778" s="309"/>
      <c r="AU778" s="309"/>
      <c r="AV778" s="309"/>
      <c r="AW778" s="309"/>
      <c r="AX778" s="309"/>
      <c r="AY778" s="309"/>
      <c r="AZ778" s="309"/>
      <c r="BA778" s="309"/>
      <c r="BB778" s="309"/>
      <c r="BC778" s="309"/>
      <c r="BD778" s="309"/>
      <c r="BE778" s="309"/>
      <c r="BF778" s="309"/>
      <c r="BG778" s="309"/>
      <c r="BH778" s="309"/>
      <c r="BI778" s="309"/>
      <c r="BJ778" s="309"/>
      <c r="BK778" s="309"/>
      <c r="BL778" s="309"/>
      <c r="BM778" s="309"/>
      <c r="BN778" s="309"/>
      <c r="BO778" s="309"/>
      <c r="BP778" s="309"/>
      <c r="BQ778" s="309"/>
      <c r="BR778" s="309"/>
      <c r="BS778" s="309"/>
      <c r="BT778" s="309"/>
      <c r="BU778" s="309"/>
      <c r="BV778" s="309"/>
      <c r="BW778" s="309"/>
      <c r="BX778" s="309"/>
      <c r="BY778" s="309"/>
      <c r="BZ778" s="309"/>
      <c r="CA778" s="309"/>
      <c r="CB778" s="309"/>
      <c r="CC778" s="309"/>
      <c r="CD778" s="309"/>
      <c r="CE778" s="309"/>
      <c r="CF778" s="309"/>
      <c r="CG778" s="309"/>
      <c r="CH778" s="309"/>
      <c r="CI778" s="309"/>
      <c r="CJ778" s="309"/>
      <c r="CK778" s="309"/>
      <c r="CL778" s="309"/>
      <c r="CM778" s="309"/>
      <c r="CN778" s="309"/>
      <c r="CO778" s="309"/>
      <c r="CP778" s="309"/>
      <c r="CQ778" s="309"/>
      <c r="CR778" s="309"/>
      <c r="CS778" s="309"/>
      <c r="CT778" s="309"/>
      <c r="CU778" s="309"/>
      <c r="CV778" s="309"/>
      <c r="CW778" s="309"/>
      <c r="CX778" s="309"/>
      <c r="CY778" s="309"/>
      <c r="CZ778" s="309"/>
      <c r="DA778" s="309"/>
      <c r="DB778" s="309"/>
      <c r="DC778" s="309"/>
      <c r="DD778" s="309"/>
      <c r="DE778" s="309"/>
      <c r="DF778" s="309"/>
      <c r="DG778" s="309"/>
      <c r="DH778" s="309"/>
      <c r="DI778" s="309"/>
      <c r="DJ778" s="309"/>
      <c r="DK778" s="309"/>
      <c r="DL778" s="309"/>
      <c r="DM778" s="309"/>
      <c r="DN778" s="309"/>
      <c r="DO778" s="309"/>
      <c r="DP778" s="309"/>
      <c r="DQ778" s="309"/>
      <c r="DR778" s="309"/>
      <c r="DS778" s="309"/>
      <c r="DT778" s="309"/>
      <c r="DU778" s="309"/>
      <c r="DV778" s="309"/>
      <c r="DW778" s="309"/>
      <c r="DX778" s="309"/>
      <c r="DY778" s="309"/>
      <c r="DZ778" s="310"/>
    </row>
    <row r="779" spans="1:130" s="306" customFormat="1" ht="13.5" customHeight="1">
      <c r="A779" s="306">
        <v>777</v>
      </c>
      <c r="B779" s="264"/>
      <c r="C779" s="264" t="s">
        <v>4267</v>
      </c>
      <c r="D779" s="289" t="s">
        <v>4268</v>
      </c>
      <c r="E779" s="264">
        <v>42</v>
      </c>
      <c r="F779" s="264" t="s">
        <v>75</v>
      </c>
      <c r="G779" s="307" t="s">
        <v>4269</v>
      </c>
      <c r="H779" s="264" t="s">
        <v>3</v>
      </c>
      <c r="I779" s="264" t="s">
        <v>4262</v>
      </c>
      <c r="J779" s="290" t="s">
        <v>3732</v>
      </c>
      <c r="K779" s="579" t="s">
        <v>4270</v>
      </c>
      <c r="L779" s="264" t="s">
        <v>1190</v>
      </c>
      <c r="M779" s="264" t="s">
        <v>4271</v>
      </c>
      <c r="N779" s="264"/>
      <c r="O779" s="264"/>
      <c r="P779" s="264"/>
      <c r="Q779" s="575">
        <v>45964</v>
      </c>
      <c r="R779" s="364" t="s">
        <v>309</v>
      </c>
      <c r="S779" s="365" t="s">
        <v>233</v>
      </c>
      <c r="T779" s="576"/>
      <c r="U779" s="264" t="s">
        <v>234</v>
      </c>
      <c r="V779" s="264" t="s">
        <v>652</v>
      </c>
      <c r="W779" s="308">
        <v>46049</v>
      </c>
      <c r="X779" s="264" t="s">
        <v>4272</v>
      </c>
      <c r="Y779" s="264" t="s">
        <v>588</v>
      </c>
      <c r="Z779" s="264" t="s">
        <v>237</v>
      </c>
      <c r="AA779" s="264" t="s">
        <v>4273</v>
      </c>
      <c r="AB779" s="364" t="s">
        <v>228</v>
      </c>
      <c r="AC779" s="264" t="s">
        <v>228</v>
      </c>
      <c r="AD779" s="577"/>
      <c r="AE779" s="364"/>
      <c r="AF779" s="264"/>
      <c r="AG779" s="309"/>
      <c r="AH779" s="309"/>
      <c r="AI779" s="309"/>
      <c r="AJ779" s="309"/>
      <c r="AK779" s="309"/>
      <c r="AL779" s="309"/>
      <c r="AM779" s="309"/>
      <c r="AN779" s="309"/>
      <c r="AO779" s="309"/>
      <c r="AP779" s="309"/>
      <c r="AQ779" s="309"/>
      <c r="AR779" s="309"/>
      <c r="AS779" s="309"/>
      <c r="AT779" s="309"/>
      <c r="AU779" s="309"/>
      <c r="AV779" s="309"/>
      <c r="AW779" s="309"/>
      <c r="AX779" s="309"/>
      <c r="AY779" s="309"/>
      <c r="AZ779" s="309"/>
      <c r="BA779" s="309"/>
      <c r="BB779" s="309"/>
      <c r="BC779" s="309"/>
      <c r="BD779" s="309"/>
      <c r="BE779" s="309"/>
      <c r="BF779" s="309"/>
      <c r="BG779" s="309"/>
      <c r="BH779" s="309"/>
      <c r="BI779" s="309"/>
      <c r="BJ779" s="309"/>
      <c r="BK779" s="309"/>
      <c r="BL779" s="309"/>
      <c r="BM779" s="309"/>
      <c r="BN779" s="309"/>
      <c r="BO779" s="309"/>
      <c r="BP779" s="309"/>
      <c r="BQ779" s="309"/>
      <c r="BR779" s="309"/>
      <c r="BS779" s="309"/>
      <c r="BT779" s="309"/>
      <c r="BU779" s="309"/>
      <c r="BV779" s="309"/>
      <c r="BW779" s="309"/>
      <c r="BX779" s="309"/>
      <c r="BY779" s="309"/>
      <c r="BZ779" s="309"/>
      <c r="CA779" s="309"/>
      <c r="CB779" s="309"/>
      <c r="CC779" s="309"/>
      <c r="CD779" s="309"/>
      <c r="CE779" s="309"/>
      <c r="CF779" s="309"/>
      <c r="CG779" s="309"/>
      <c r="CH779" s="309"/>
      <c r="CI779" s="309"/>
      <c r="CJ779" s="309"/>
      <c r="CK779" s="309"/>
      <c r="CL779" s="309"/>
      <c r="CM779" s="309"/>
      <c r="CN779" s="309"/>
      <c r="CO779" s="309"/>
      <c r="CP779" s="309"/>
      <c r="CQ779" s="309"/>
      <c r="CR779" s="309"/>
      <c r="CS779" s="309"/>
      <c r="CT779" s="309"/>
      <c r="CU779" s="309"/>
      <c r="CV779" s="309"/>
      <c r="CW779" s="309"/>
      <c r="CX779" s="309"/>
      <c r="CY779" s="309"/>
      <c r="CZ779" s="309"/>
      <c r="DA779" s="309"/>
      <c r="DB779" s="309"/>
      <c r="DC779" s="309"/>
      <c r="DD779" s="309"/>
      <c r="DE779" s="309"/>
      <c r="DF779" s="309"/>
      <c r="DG779" s="309"/>
      <c r="DH779" s="309"/>
      <c r="DI779" s="309"/>
      <c r="DJ779" s="309"/>
      <c r="DK779" s="309"/>
      <c r="DL779" s="309"/>
      <c r="DM779" s="309"/>
      <c r="DN779" s="309"/>
      <c r="DO779" s="309"/>
      <c r="DP779" s="309"/>
      <c r="DQ779" s="309"/>
      <c r="DR779" s="309"/>
      <c r="DS779" s="309"/>
      <c r="DT779" s="309"/>
      <c r="DU779" s="309"/>
      <c r="DV779" s="309"/>
      <c r="DW779" s="309"/>
      <c r="DX779" s="309"/>
      <c r="DY779" s="309"/>
      <c r="DZ779" s="310"/>
    </row>
    <row r="780" spans="1:130" s="306" customFormat="1" ht="13.5" customHeight="1">
      <c r="A780" s="306">
        <v>778</v>
      </c>
      <c r="B780" s="264"/>
      <c r="C780" s="264" t="s">
        <v>4274</v>
      </c>
      <c r="D780" s="289" t="s">
        <v>4275</v>
      </c>
      <c r="E780" s="264">
        <v>55</v>
      </c>
      <c r="F780" s="264" t="s">
        <v>75</v>
      </c>
      <c r="G780" s="307" t="s">
        <v>4276</v>
      </c>
      <c r="H780" s="264" t="s">
        <v>5</v>
      </c>
      <c r="I780" s="264" t="s">
        <v>4262</v>
      </c>
      <c r="J780" s="290" t="s">
        <v>3732</v>
      </c>
      <c r="K780" s="290" t="s">
        <v>4277</v>
      </c>
      <c r="L780" s="264" t="s">
        <v>16</v>
      </c>
      <c r="M780" s="264" t="s">
        <v>4278</v>
      </c>
      <c r="N780" s="264" t="s">
        <v>4279</v>
      </c>
      <c r="O780" s="264"/>
      <c r="P780" s="264"/>
      <c r="Q780" s="575">
        <v>45966</v>
      </c>
      <c r="R780" s="364" t="s">
        <v>309</v>
      </c>
      <c r="S780" s="365" t="s">
        <v>233</v>
      </c>
      <c r="T780" s="576"/>
      <c r="U780" s="264" t="s">
        <v>234</v>
      </c>
      <c r="V780" s="264" t="s">
        <v>652</v>
      </c>
      <c r="W780" s="308">
        <v>46049</v>
      </c>
      <c r="X780" s="264" t="s">
        <v>4280</v>
      </c>
      <c r="Y780" s="264" t="s">
        <v>588</v>
      </c>
      <c r="Z780" s="264" t="s">
        <v>228</v>
      </c>
      <c r="AA780" s="264" t="s">
        <v>4281</v>
      </c>
      <c r="AB780" s="364" t="s">
        <v>228</v>
      </c>
      <c r="AC780" s="264" t="s">
        <v>228</v>
      </c>
      <c r="AD780" s="577"/>
      <c r="AE780" s="364"/>
      <c r="AF780" s="264"/>
      <c r="AG780" s="309"/>
      <c r="AH780" s="309"/>
      <c r="AI780" s="309"/>
      <c r="AJ780" s="309"/>
      <c r="AK780" s="309"/>
      <c r="AL780" s="309"/>
      <c r="AM780" s="309"/>
      <c r="AN780" s="309"/>
      <c r="AO780" s="309"/>
      <c r="AP780" s="309"/>
      <c r="AQ780" s="309"/>
      <c r="AR780" s="309"/>
      <c r="AS780" s="309"/>
      <c r="AT780" s="309"/>
      <c r="AU780" s="309"/>
      <c r="AV780" s="309"/>
      <c r="AW780" s="309"/>
      <c r="AX780" s="309"/>
      <c r="AY780" s="309"/>
      <c r="AZ780" s="309"/>
      <c r="BA780" s="309"/>
      <c r="BB780" s="309"/>
      <c r="BC780" s="309"/>
      <c r="BD780" s="309"/>
      <c r="BE780" s="309"/>
      <c r="BF780" s="309"/>
      <c r="BG780" s="309"/>
      <c r="BH780" s="309"/>
      <c r="BI780" s="309"/>
      <c r="BJ780" s="309"/>
      <c r="BK780" s="309"/>
      <c r="BL780" s="309"/>
      <c r="BM780" s="309"/>
      <c r="BN780" s="309"/>
      <c r="BO780" s="309"/>
      <c r="BP780" s="309"/>
      <c r="BQ780" s="309"/>
      <c r="BR780" s="309"/>
      <c r="BS780" s="309"/>
      <c r="BT780" s="309"/>
      <c r="BU780" s="309"/>
      <c r="BV780" s="309"/>
      <c r="BW780" s="309"/>
      <c r="BX780" s="309"/>
      <c r="BY780" s="309"/>
      <c r="BZ780" s="309"/>
      <c r="CA780" s="309"/>
      <c r="CB780" s="309"/>
      <c r="CC780" s="309"/>
      <c r="CD780" s="309"/>
      <c r="CE780" s="309"/>
      <c r="CF780" s="309"/>
      <c r="CG780" s="309"/>
      <c r="CH780" s="309"/>
      <c r="CI780" s="309"/>
      <c r="CJ780" s="309"/>
      <c r="CK780" s="309"/>
      <c r="CL780" s="309"/>
      <c r="CM780" s="309"/>
      <c r="CN780" s="309"/>
      <c r="CO780" s="309"/>
      <c r="CP780" s="309"/>
      <c r="CQ780" s="309"/>
      <c r="CR780" s="309"/>
      <c r="CS780" s="309"/>
      <c r="CT780" s="309"/>
      <c r="CU780" s="309"/>
      <c r="CV780" s="309"/>
      <c r="CW780" s="309"/>
      <c r="CX780" s="309"/>
      <c r="CY780" s="309"/>
      <c r="CZ780" s="309"/>
      <c r="DA780" s="309"/>
      <c r="DB780" s="309"/>
      <c r="DC780" s="309"/>
      <c r="DD780" s="309"/>
      <c r="DE780" s="309"/>
      <c r="DF780" s="309"/>
      <c r="DG780" s="309"/>
      <c r="DH780" s="309"/>
      <c r="DI780" s="309"/>
      <c r="DJ780" s="309"/>
      <c r="DK780" s="309"/>
      <c r="DL780" s="309"/>
      <c r="DM780" s="309"/>
      <c r="DN780" s="309"/>
      <c r="DO780" s="309"/>
      <c r="DP780" s="309"/>
      <c r="DQ780" s="309"/>
      <c r="DR780" s="309"/>
      <c r="DS780" s="309"/>
      <c r="DT780" s="309"/>
      <c r="DU780" s="309"/>
      <c r="DV780" s="309"/>
      <c r="DW780" s="309"/>
      <c r="DX780" s="309"/>
      <c r="DY780" s="309"/>
      <c r="DZ780" s="310"/>
    </row>
    <row r="781" spans="1:130" s="306" customFormat="1" ht="13.5" customHeight="1">
      <c r="A781" s="306">
        <v>779</v>
      </c>
      <c r="B781" s="264"/>
      <c r="C781" s="264" t="s">
        <v>4282</v>
      </c>
      <c r="D781" s="289" t="s">
        <v>4283</v>
      </c>
      <c r="E781" s="264">
        <v>60</v>
      </c>
      <c r="F781" s="264" t="s">
        <v>60</v>
      </c>
      <c r="G781" s="307" t="s">
        <v>4284</v>
      </c>
      <c r="H781" s="264" t="s">
        <v>3</v>
      </c>
      <c r="I781" s="264" t="s">
        <v>4262</v>
      </c>
      <c r="J781" s="290" t="s">
        <v>3732</v>
      </c>
      <c r="K781" s="290" t="s">
        <v>4285</v>
      </c>
      <c r="L781" s="264" t="s">
        <v>926</v>
      </c>
      <c r="M781" s="264" t="s">
        <v>4286</v>
      </c>
      <c r="N781" s="264"/>
      <c r="O781" s="264"/>
      <c r="P781" s="264"/>
      <c r="Q781" s="575">
        <v>45966</v>
      </c>
      <c r="R781" s="364" t="s">
        <v>309</v>
      </c>
      <c r="S781" s="365" t="s">
        <v>233</v>
      </c>
      <c r="T781" s="576"/>
      <c r="U781" s="264" t="s">
        <v>234</v>
      </c>
      <c r="V781" s="264" t="s">
        <v>652</v>
      </c>
      <c r="W781" s="308">
        <v>46049</v>
      </c>
      <c r="X781" s="264" t="s">
        <v>4287</v>
      </c>
      <c r="Y781" s="264" t="s">
        <v>588</v>
      </c>
      <c r="Z781" s="264" t="s">
        <v>237</v>
      </c>
      <c r="AA781" s="264" t="s">
        <v>4288</v>
      </c>
      <c r="AB781" s="364" t="s">
        <v>228</v>
      </c>
      <c r="AC781" s="264" t="s">
        <v>228</v>
      </c>
      <c r="AD781" s="577"/>
      <c r="AE781" s="364"/>
      <c r="AF781" s="264"/>
      <c r="AG781" s="309"/>
      <c r="AH781" s="309"/>
      <c r="AI781" s="309"/>
      <c r="AJ781" s="309"/>
      <c r="AK781" s="309"/>
      <c r="AL781" s="309"/>
      <c r="AM781" s="309"/>
      <c r="AN781" s="309"/>
      <c r="AO781" s="309"/>
      <c r="AP781" s="309"/>
      <c r="AQ781" s="309"/>
      <c r="AR781" s="309"/>
      <c r="AS781" s="309"/>
      <c r="AT781" s="309"/>
      <c r="AU781" s="309"/>
      <c r="AV781" s="309"/>
      <c r="AW781" s="309"/>
      <c r="AX781" s="309"/>
      <c r="AY781" s="309"/>
      <c r="AZ781" s="309"/>
      <c r="BA781" s="309"/>
      <c r="BB781" s="309"/>
      <c r="BC781" s="309"/>
      <c r="BD781" s="309"/>
      <c r="BE781" s="309"/>
      <c r="BF781" s="309"/>
      <c r="BG781" s="309"/>
      <c r="BH781" s="309"/>
      <c r="BI781" s="309"/>
      <c r="BJ781" s="309"/>
      <c r="BK781" s="309"/>
      <c r="BL781" s="309"/>
      <c r="BM781" s="309"/>
      <c r="BN781" s="309"/>
      <c r="BO781" s="309"/>
      <c r="BP781" s="309"/>
      <c r="BQ781" s="309"/>
      <c r="BR781" s="309"/>
      <c r="BS781" s="309"/>
      <c r="BT781" s="309"/>
      <c r="BU781" s="309"/>
      <c r="BV781" s="309"/>
      <c r="BW781" s="309"/>
      <c r="BX781" s="309"/>
      <c r="BY781" s="309"/>
      <c r="BZ781" s="309"/>
      <c r="CA781" s="309"/>
      <c r="CB781" s="309"/>
      <c r="CC781" s="309"/>
      <c r="CD781" s="309"/>
      <c r="CE781" s="309"/>
      <c r="CF781" s="309"/>
      <c r="CG781" s="309"/>
      <c r="CH781" s="309"/>
      <c r="CI781" s="309"/>
      <c r="CJ781" s="309"/>
      <c r="CK781" s="309"/>
      <c r="CL781" s="309"/>
      <c r="CM781" s="309"/>
      <c r="CN781" s="309"/>
      <c r="CO781" s="309"/>
      <c r="CP781" s="309"/>
      <c r="CQ781" s="309"/>
      <c r="CR781" s="309"/>
      <c r="CS781" s="309"/>
      <c r="CT781" s="309"/>
      <c r="CU781" s="309"/>
      <c r="CV781" s="309"/>
      <c r="CW781" s="309"/>
      <c r="CX781" s="309"/>
      <c r="CY781" s="309"/>
      <c r="CZ781" s="309"/>
      <c r="DA781" s="309"/>
      <c r="DB781" s="309"/>
      <c r="DC781" s="309"/>
      <c r="DD781" s="309"/>
      <c r="DE781" s="309"/>
      <c r="DF781" s="309"/>
      <c r="DG781" s="309"/>
      <c r="DH781" s="309"/>
      <c r="DI781" s="309"/>
      <c r="DJ781" s="309"/>
      <c r="DK781" s="309"/>
      <c r="DL781" s="309"/>
      <c r="DM781" s="309"/>
      <c r="DN781" s="309"/>
      <c r="DO781" s="309"/>
      <c r="DP781" s="309"/>
      <c r="DQ781" s="309"/>
      <c r="DR781" s="309"/>
      <c r="DS781" s="309"/>
      <c r="DT781" s="309"/>
      <c r="DU781" s="309"/>
      <c r="DV781" s="309"/>
      <c r="DW781" s="309"/>
      <c r="DX781" s="309"/>
      <c r="DY781" s="309"/>
      <c r="DZ781" s="310"/>
    </row>
    <row r="782" spans="1:130" ht="13.5" customHeight="1">
      <c r="A782" s="235">
        <v>780</v>
      </c>
      <c r="B782" s="237"/>
      <c r="C782" s="237" t="s">
        <v>4289</v>
      </c>
      <c r="D782" s="243" t="s">
        <v>4290</v>
      </c>
      <c r="E782" s="237">
        <v>75</v>
      </c>
      <c r="F782" s="237" t="s">
        <v>60</v>
      </c>
      <c r="G782" s="255" t="s">
        <v>4291</v>
      </c>
      <c r="H782" s="237" t="s">
        <v>3</v>
      </c>
      <c r="I782" s="237"/>
      <c r="J782" s="240" t="s">
        <v>886</v>
      </c>
      <c r="K782" s="240" t="s">
        <v>4292</v>
      </c>
      <c r="L782" s="237" t="s">
        <v>1357</v>
      </c>
      <c r="M782" s="237"/>
      <c r="N782" s="237"/>
      <c r="O782" s="237"/>
      <c r="P782" s="237"/>
      <c r="Q782" s="527">
        <v>45967</v>
      </c>
      <c r="R782" s="337" t="s">
        <v>309</v>
      </c>
      <c r="S782" s="330" t="s">
        <v>233</v>
      </c>
      <c r="T782" s="339"/>
      <c r="U782" s="237" t="s">
        <v>234</v>
      </c>
      <c r="V782" s="237" t="s">
        <v>652</v>
      </c>
      <c r="W782" s="244">
        <v>46049</v>
      </c>
      <c r="X782" s="237" t="s">
        <v>4293</v>
      </c>
      <c r="Y782" s="237" t="s">
        <v>588</v>
      </c>
      <c r="Z782" s="237" t="s">
        <v>237</v>
      </c>
      <c r="AA782" s="237" t="s">
        <v>4294</v>
      </c>
      <c r="AB782" s="337" t="s">
        <v>228</v>
      </c>
      <c r="AC782" s="237" t="s">
        <v>228</v>
      </c>
      <c r="AD782" s="561"/>
      <c r="AE782" s="337"/>
      <c r="AF782" s="237"/>
    </row>
    <row r="783" spans="1:130" ht="13.5" customHeight="1">
      <c r="A783" s="235">
        <v>781</v>
      </c>
      <c r="B783" s="237"/>
      <c r="C783" s="237" t="s">
        <v>4295</v>
      </c>
      <c r="D783" s="243" t="s">
        <v>4296</v>
      </c>
      <c r="E783" s="237">
        <v>61</v>
      </c>
      <c r="F783" s="237" t="s">
        <v>75</v>
      </c>
      <c r="G783" s="255" t="s">
        <v>4297</v>
      </c>
      <c r="H783" s="237" t="s">
        <v>3</v>
      </c>
      <c r="I783" s="237"/>
      <c r="J783" s="240" t="s">
        <v>886</v>
      </c>
      <c r="K783" s="240"/>
      <c r="L783" s="237" t="s">
        <v>16</v>
      </c>
      <c r="M783" s="237"/>
      <c r="N783" s="237"/>
      <c r="O783" s="237"/>
      <c r="P783" s="237"/>
      <c r="Q783" s="527">
        <v>45993</v>
      </c>
      <c r="R783" s="337" t="s">
        <v>309</v>
      </c>
      <c r="S783" s="330" t="s">
        <v>233</v>
      </c>
      <c r="T783" s="339"/>
      <c r="U783" s="237"/>
      <c r="V783" s="237"/>
      <c r="W783" s="244"/>
      <c r="X783" s="237"/>
      <c r="Y783" s="237"/>
      <c r="Z783" s="237" t="s">
        <v>228</v>
      </c>
      <c r="AA783" s="237"/>
      <c r="AB783" s="337" t="s">
        <v>228</v>
      </c>
      <c r="AC783" s="237" t="s">
        <v>228</v>
      </c>
      <c r="AD783" s="561"/>
      <c r="AE783" s="337"/>
      <c r="AF783" s="237"/>
    </row>
    <row r="784" spans="1:130" ht="13.5" customHeight="1">
      <c r="A784" s="235">
        <v>782</v>
      </c>
      <c r="B784" s="237"/>
      <c r="C784" s="237" t="s">
        <v>4298</v>
      </c>
      <c r="D784" s="243" t="s">
        <v>4299</v>
      </c>
      <c r="E784" s="237">
        <v>26</v>
      </c>
      <c r="F784" s="237" t="s">
        <v>60</v>
      </c>
      <c r="G784" s="237">
        <v>0</v>
      </c>
      <c r="H784" s="237" t="s">
        <v>27</v>
      </c>
      <c r="I784" s="237"/>
      <c r="J784" s="235" t="s">
        <v>433</v>
      </c>
      <c r="K784" s="240"/>
      <c r="L784" s="237"/>
      <c r="M784" s="237"/>
      <c r="N784" s="237"/>
      <c r="O784" s="237"/>
      <c r="P784" s="237"/>
      <c r="Q784" s="527">
        <v>46001</v>
      </c>
      <c r="R784" s="337" t="s">
        <v>309</v>
      </c>
      <c r="S784" s="330" t="s">
        <v>3715</v>
      </c>
      <c r="T784" s="339"/>
      <c r="U784" s="237"/>
      <c r="V784" s="237"/>
      <c r="W784" s="244"/>
      <c r="X784" s="237"/>
      <c r="Y784" s="237"/>
      <c r="Z784" s="237" t="s">
        <v>228</v>
      </c>
      <c r="AA784" s="237"/>
      <c r="AB784" s="337" t="s">
        <v>228</v>
      </c>
      <c r="AC784" s="237" t="s">
        <v>228</v>
      </c>
      <c r="AD784" s="561"/>
      <c r="AE784" s="337"/>
      <c r="AF784" s="237"/>
    </row>
    <row r="785" spans="1:130" ht="13.5" customHeight="1">
      <c r="A785" s="235">
        <v>783</v>
      </c>
      <c r="B785" s="237"/>
      <c r="C785" s="237" t="s">
        <v>4300</v>
      </c>
      <c r="D785" s="243" t="s">
        <v>4301</v>
      </c>
      <c r="E785" s="237">
        <v>62</v>
      </c>
      <c r="F785" s="237" t="s">
        <v>60</v>
      </c>
      <c r="G785" s="237">
        <v>0</v>
      </c>
      <c r="H785" s="237" t="s">
        <v>27</v>
      </c>
      <c r="I785" s="237"/>
      <c r="J785" s="235" t="s">
        <v>433</v>
      </c>
      <c r="K785" s="240"/>
      <c r="L785" s="237"/>
      <c r="M785" s="237"/>
      <c r="N785" s="237"/>
      <c r="O785" s="237"/>
      <c r="P785" s="237"/>
      <c r="Q785" s="527">
        <v>46002</v>
      </c>
      <c r="R785" s="337" t="s">
        <v>309</v>
      </c>
      <c r="S785" s="330" t="s">
        <v>3715</v>
      </c>
      <c r="T785" s="339"/>
      <c r="U785" s="237"/>
      <c r="V785" s="237"/>
      <c r="W785" s="244"/>
      <c r="X785" s="237"/>
      <c r="Y785" s="237"/>
      <c r="Z785" s="237" t="s">
        <v>228</v>
      </c>
      <c r="AA785" s="237"/>
      <c r="AB785" s="337" t="s">
        <v>228</v>
      </c>
      <c r="AC785" s="237" t="s">
        <v>228</v>
      </c>
      <c r="AD785" s="561"/>
      <c r="AE785" s="337"/>
      <c r="AF785" s="237"/>
    </row>
    <row r="786" spans="1:130" ht="13.5" customHeight="1">
      <c r="A786" s="235">
        <v>784</v>
      </c>
      <c r="B786" s="237"/>
      <c r="C786" s="237" t="s">
        <v>4302</v>
      </c>
      <c r="D786" s="243" t="s">
        <v>4303</v>
      </c>
      <c r="E786" s="237">
        <v>62</v>
      </c>
      <c r="F786" s="237" t="s">
        <v>60</v>
      </c>
      <c r="G786" s="276" t="s">
        <v>4304</v>
      </c>
      <c r="H786" s="237" t="s">
        <v>188</v>
      </c>
      <c r="I786" s="237"/>
      <c r="J786" s="240" t="s">
        <v>3661</v>
      </c>
      <c r="K786" s="240"/>
      <c r="L786" s="237"/>
      <c r="M786" s="237"/>
      <c r="N786" s="237"/>
      <c r="O786" s="237"/>
      <c r="P786" s="237"/>
      <c r="Q786" s="527">
        <v>46005</v>
      </c>
      <c r="R786" s="337" t="s">
        <v>309</v>
      </c>
      <c r="S786" s="330" t="s">
        <v>3715</v>
      </c>
      <c r="T786" s="339"/>
      <c r="U786" s="237"/>
      <c r="V786" s="237"/>
      <c r="W786" s="244"/>
      <c r="X786" s="237"/>
      <c r="Y786" s="237"/>
      <c r="Z786" s="237" t="s">
        <v>228</v>
      </c>
      <c r="AA786" s="237"/>
      <c r="AB786" s="337" t="s">
        <v>228</v>
      </c>
      <c r="AC786" s="237" t="s">
        <v>228</v>
      </c>
      <c r="AD786" s="561"/>
      <c r="AE786" s="337"/>
      <c r="AF786" s="237"/>
    </row>
    <row r="787" spans="1:130" ht="13.5" customHeight="1">
      <c r="A787" s="235">
        <v>785</v>
      </c>
      <c r="B787" s="237"/>
      <c r="C787" s="237" t="s">
        <v>4305</v>
      </c>
      <c r="D787" s="243" t="s">
        <v>4306</v>
      </c>
      <c r="E787" s="237">
        <v>59</v>
      </c>
      <c r="F787" s="237" t="s">
        <v>60</v>
      </c>
      <c r="G787" s="237">
        <v>0</v>
      </c>
      <c r="H787" s="237" t="s">
        <v>27</v>
      </c>
      <c r="I787" s="237"/>
      <c r="J787" s="235" t="s">
        <v>433</v>
      </c>
      <c r="K787" s="240"/>
      <c r="L787" s="237"/>
      <c r="M787" s="237"/>
      <c r="N787" s="237"/>
      <c r="O787" s="237"/>
      <c r="P787" s="237"/>
      <c r="Q787" s="527">
        <v>46006</v>
      </c>
      <c r="R787" s="337" t="s">
        <v>309</v>
      </c>
      <c r="S787" s="330" t="s">
        <v>3715</v>
      </c>
      <c r="T787" s="339"/>
      <c r="U787" s="237"/>
      <c r="V787" s="237"/>
      <c r="W787" s="244"/>
      <c r="X787" s="237"/>
      <c r="Y787" s="237"/>
      <c r="Z787" s="237" t="s">
        <v>228</v>
      </c>
      <c r="AA787" s="237"/>
      <c r="AB787" s="337" t="s">
        <v>228</v>
      </c>
      <c r="AC787" s="237" t="s">
        <v>228</v>
      </c>
      <c r="AD787" s="561"/>
      <c r="AE787" s="337"/>
      <c r="AF787" s="237"/>
    </row>
    <row r="788" spans="1:130" s="306" customFormat="1" ht="13.5" customHeight="1">
      <c r="A788" s="306">
        <v>786</v>
      </c>
      <c r="B788" s="264"/>
      <c r="C788" s="264" t="s">
        <v>4307</v>
      </c>
      <c r="D788" s="289" t="s">
        <v>4308</v>
      </c>
      <c r="E788" s="264">
        <v>43</v>
      </c>
      <c r="F788" s="264" t="s">
        <v>75</v>
      </c>
      <c r="G788" s="578" t="s">
        <v>4309</v>
      </c>
      <c r="H788" s="264" t="s">
        <v>3</v>
      </c>
      <c r="I788" s="264" t="s">
        <v>4262</v>
      </c>
      <c r="J788" s="290" t="s">
        <v>3732</v>
      </c>
      <c r="K788" s="290"/>
      <c r="L788" s="264" t="s">
        <v>4310</v>
      </c>
      <c r="M788" s="264" t="s">
        <v>4311</v>
      </c>
      <c r="N788" s="264"/>
      <c r="O788" s="264"/>
      <c r="P788" s="264"/>
      <c r="Q788" s="575">
        <v>46014</v>
      </c>
      <c r="R788" s="364" t="s">
        <v>309</v>
      </c>
      <c r="S788" s="365" t="s">
        <v>233</v>
      </c>
      <c r="T788" s="576"/>
      <c r="U788" s="264"/>
      <c r="V788" s="264"/>
      <c r="W788" s="308"/>
      <c r="X788" s="264"/>
      <c r="Y788" s="264"/>
      <c r="Z788" s="264" t="s">
        <v>228</v>
      </c>
      <c r="AA788" s="264"/>
      <c r="AB788" s="364" t="s">
        <v>228</v>
      </c>
      <c r="AC788" s="264" t="s">
        <v>228</v>
      </c>
      <c r="AD788" s="577"/>
      <c r="AE788" s="364"/>
      <c r="AF788" s="264"/>
      <c r="AG788" s="309"/>
      <c r="AH788" s="309"/>
      <c r="AI788" s="309"/>
      <c r="AJ788" s="309"/>
      <c r="AK788" s="309"/>
      <c r="AL788" s="309"/>
      <c r="AM788" s="309"/>
      <c r="AN788" s="309"/>
      <c r="AO788" s="309"/>
      <c r="AP788" s="309"/>
      <c r="AQ788" s="309"/>
      <c r="AR788" s="309"/>
      <c r="AS788" s="309"/>
      <c r="AT788" s="309"/>
      <c r="AU788" s="309"/>
      <c r="AV788" s="309"/>
      <c r="AW788" s="309"/>
      <c r="AX788" s="309"/>
      <c r="AY788" s="309"/>
      <c r="AZ788" s="309"/>
      <c r="BA788" s="309"/>
      <c r="BB788" s="309"/>
      <c r="BC788" s="309"/>
      <c r="BD788" s="309"/>
      <c r="BE788" s="309"/>
      <c r="BF788" s="309"/>
      <c r="BG788" s="309"/>
      <c r="BH788" s="309"/>
      <c r="BI788" s="309"/>
      <c r="BJ788" s="309"/>
      <c r="BK788" s="309"/>
      <c r="BL788" s="309"/>
      <c r="BM788" s="309"/>
      <c r="BN788" s="309"/>
      <c r="BO788" s="309"/>
      <c r="BP788" s="309"/>
      <c r="BQ788" s="309"/>
      <c r="BR788" s="309"/>
      <c r="BS788" s="309"/>
      <c r="BT788" s="309"/>
      <c r="BU788" s="309"/>
      <c r="BV788" s="309"/>
      <c r="BW788" s="309"/>
      <c r="BX788" s="309"/>
      <c r="BY788" s="309"/>
      <c r="BZ788" s="309"/>
      <c r="CA788" s="309"/>
      <c r="CB788" s="309"/>
      <c r="CC788" s="309"/>
      <c r="CD788" s="309"/>
      <c r="CE788" s="309"/>
      <c r="CF788" s="309"/>
      <c r="CG788" s="309"/>
      <c r="CH788" s="309"/>
      <c r="CI788" s="309"/>
      <c r="CJ788" s="309"/>
      <c r="CK788" s="309"/>
      <c r="CL788" s="309"/>
      <c r="CM788" s="309"/>
      <c r="CN788" s="309"/>
      <c r="CO788" s="309"/>
      <c r="CP788" s="309"/>
      <c r="CQ788" s="309"/>
      <c r="CR788" s="309"/>
      <c r="CS788" s="309"/>
      <c r="CT788" s="309"/>
      <c r="CU788" s="309"/>
      <c r="CV788" s="309"/>
      <c r="CW788" s="309"/>
      <c r="CX788" s="309"/>
      <c r="CY788" s="309"/>
      <c r="CZ788" s="309"/>
      <c r="DA788" s="309"/>
      <c r="DB788" s="309"/>
      <c r="DC788" s="309"/>
      <c r="DD788" s="309"/>
      <c r="DE788" s="309"/>
      <c r="DF788" s="309"/>
      <c r="DG788" s="309"/>
      <c r="DH788" s="309"/>
      <c r="DI788" s="309"/>
      <c r="DJ788" s="309"/>
      <c r="DK788" s="309"/>
      <c r="DL788" s="309"/>
      <c r="DM788" s="309"/>
      <c r="DN788" s="309"/>
      <c r="DO788" s="309"/>
      <c r="DP788" s="309"/>
      <c r="DQ788" s="309"/>
      <c r="DR788" s="309"/>
      <c r="DS788" s="309"/>
      <c r="DT788" s="309"/>
      <c r="DU788" s="309"/>
      <c r="DV788" s="309"/>
      <c r="DW788" s="309"/>
      <c r="DX788" s="309"/>
      <c r="DY788" s="309"/>
      <c r="DZ788" s="310"/>
    </row>
    <row r="789" spans="1:130" ht="13.5" customHeight="1">
      <c r="A789" s="235">
        <v>787</v>
      </c>
      <c r="B789" s="237"/>
      <c r="C789" s="237" t="s">
        <v>4312</v>
      </c>
      <c r="D789" s="243" t="s">
        <v>4313</v>
      </c>
      <c r="E789" s="237">
        <v>54</v>
      </c>
      <c r="F789" s="237" t="s">
        <v>60</v>
      </c>
      <c r="G789" s="255" t="s">
        <v>4314</v>
      </c>
      <c r="H789" s="237" t="s">
        <v>188</v>
      </c>
      <c r="I789" s="237"/>
      <c r="K789" s="240"/>
      <c r="L789" s="237"/>
      <c r="M789" s="237"/>
      <c r="N789" s="237"/>
      <c r="O789" s="237"/>
      <c r="P789" s="237"/>
      <c r="Q789" s="527">
        <v>45667</v>
      </c>
      <c r="R789" s="337" t="s">
        <v>309</v>
      </c>
      <c r="S789" s="330" t="s">
        <v>3715</v>
      </c>
      <c r="T789" s="339"/>
      <c r="U789" s="237"/>
      <c r="V789" s="237"/>
      <c r="W789" s="244"/>
      <c r="X789" s="237"/>
      <c r="Y789" s="237"/>
      <c r="Z789" s="237" t="s">
        <v>228</v>
      </c>
      <c r="AA789" s="237"/>
      <c r="AB789" s="337" t="s">
        <v>228</v>
      </c>
      <c r="AC789" s="237" t="s">
        <v>228</v>
      </c>
      <c r="AD789" s="561"/>
      <c r="AE789" s="337"/>
      <c r="AF789" s="237"/>
    </row>
    <row r="790" spans="1:130" ht="13.5" customHeight="1">
      <c r="A790" s="235">
        <v>788</v>
      </c>
      <c r="B790" s="237"/>
      <c r="C790" s="237" t="s">
        <v>4315</v>
      </c>
      <c r="D790" s="243" t="s">
        <v>4316</v>
      </c>
      <c r="E790" s="237">
        <v>57</v>
      </c>
      <c r="F790" s="237" t="s">
        <v>60</v>
      </c>
      <c r="G790" s="255" t="s">
        <v>4317</v>
      </c>
      <c r="H790" s="237" t="s">
        <v>188</v>
      </c>
      <c r="I790" s="237"/>
      <c r="K790" s="240"/>
      <c r="L790" s="237"/>
      <c r="M790" s="237"/>
      <c r="N790" s="237"/>
      <c r="O790" s="237"/>
      <c r="P790" s="237"/>
      <c r="Q790" s="527">
        <v>45667</v>
      </c>
      <c r="R790" s="337" t="s">
        <v>309</v>
      </c>
      <c r="S790" s="330" t="s">
        <v>3715</v>
      </c>
      <c r="T790" s="339"/>
      <c r="U790" s="237"/>
      <c r="V790" s="237"/>
      <c r="W790" s="244"/>
      <c r="X790" s="237"/>
      <c r="Y790" s="237"/>
      <c r="Z790" s="237" t="s">
        <v>228</v>
      </c>
      <c r="AA790" s="237"/>
      <c r="AB790" s="337" t="s">
        <v>228</v>
      </c>
      <c r="AC790" s="237" t="s">
        <v>228</v>
      </c>
      <c r="AD790" s="561"/>
      <c r="AE790" s="337"/>
      <c r="AF790" s="237"/>
    </row>
    <row r="791" spans="1:130" ht="13.5" customHeight="1">
      <c r="A791" s="235">
        <v>789</v>
      </c>
      <c r="B791" s="237"/>
      <c r="C791" s="237" t="s">
        <v>4318</v>
      </c>
      <c r="D791" s="243" t="s">
        <v>4319</v>
      </c>
      <c r="E791" s="237">
        <v>32</v>
      </c>
      <c r="F791" s="237" t="s">
        <v>75</v>
      </c>
      <c r="G791" s="255" t="s">
        <v>4320</v>
      </c>
      <c r="H791" s="237" t="s">
        <v>188</v>
      </c>
      <c r="I791" s="237"/>
      <c r="K791" s="240"/>
      <c r="L791" s="237"/>
      <c r="M791" s="237"/>
      <c r="N791" s="237"/>
      <c r="O791" s="237"/>
      <c r="P791" s="237"/>
      <c r="Q791" s="527">
        <v>45667</v>
      </c>
      <c r="R791" s="337" t="s">
        <v>309</v>
      </c>
      <c r="S791" s="330" t="s">
        <v>3715</v>
      </c>
      <c r="T791" s="339"/>
      <c r="U791" s="237"/>
      <c r="V791" s="237"/>
      <c r="W791" s="244"/>
      <c r="X791" s="237"/>
      <c r="Y791" s="237"/>
      <c r="Z791" s="237" t="s">
        <v>228</v>
      </c>
      <c r="AA791" s="237"/>
      <c r="AB791" s="337" t="s">
        <v>228</v>
      </c>
      <c r="AC791" s="237" t="s">
        <v>228</v>
      </c>
      <c r="AD791" s="561"/>
      <c r="AE791" s="337"/>
      <c r="AF791" s="237"/>
    </row>
    <row r="792" spans="1:130" ht="13.5" customHeight="1">
      <c r="A792" s="235">
        <v>790</v>
      </c>
      <c r="B792" s="278">
        <v>2026</v>
      </c>
      <c r="C792" s="268" t="s">
        <v>4321</v>
      </c>
      <c r="D792" s="235" t="s">
        <v>4322</v>
      </c>
      <c r="E792" s="240">
        <v>45</v>
      </c>
      <c r="F792" s="240" t="s">
        <v>60</v>
      </c>
      <c r="G792" s="235" t="s">
        <v>4323</v>
      </c>
      <c r="H792" s="237" t="s">
        <v>15</v>
      </c>
      <c r="I792" s="237"/>
      <c r="J792" s="240"/>
      <c r="K792" s="582" t="s">
        <v>4324</v>
      </c>
      <c r="L792" s="279" t="s">
        <v>4325</v>
      </c>
      <c r="N792" s="277" t="s">
        <v>4326</v>
      </c>
      <c r="Q792" s="529">
        <v>46024</v>
      </c>
      <c r="R792" s="337" t="s">
        <v>309</v>
      </c>
      <c r="S792" s="330" t="s">
        <v>3715</v>
      </c>
      <c r="T792" s="302"/>
      <c r="Z792" s="237" t="s">
        <v>228</v>
      </c>
      <c r="AB792" s="337" t="s">
        <v>228</v>
      </c>
      <c r="AC792" s="237" t="s">
        <v>228</v>
      </c>
      <c r="AD792" s="570"/>
      <c r="AE792" s="559"/>
      <c r="AF792" s="237"/>
    </row>
    <row r="793" spans="1:130" ht="13.5" customHeight="1">
      <c r="A793" s="235">
        <v>791</v>
      </c>
      <c r="C793" s="268" t="s">
        <v>4327</v>
      </c>
      <c r="D793" s="235" t="s">
        <v>4328</v>
      </c>
      <c r="E793" s="240">
        <v>18</v>
      </c>
      <c r="F793" s="240" t="s">
        <v>60</v>
      </c>
      <c r="G793" s="235" t="s">
        <v>4329</v>
      </c>
      <c r="H793" s="268" t="s">
        <v>188</v>
      </c>
      <c r="I793" s="237"/>
      <c r="J793" s="240"/>
      <c r="L793" s="279"/>
      <c r="Q793" s="529">
        <v>46029</v>
      </c>
      <c r="R793" s="337" t="s">
        <v>309</v>
      </c>
      <c r="S793" s="330" t="s">
        <v>3715</v>
      </c>
      <c r="T793" s="302"/>
      <c r="Z793" s="237" t="s">
        <v>228</v>
      </c>
      <c r="AB793" s="337" t="s">
        <v>228</v>
      </c>
      <c r="AC793" s="237" t="s">
        <v>228</v>
      </c>
      <c r="AD793" s="570"/>
      <c r="AE793" s="559"/>
      <c r="AF793" s="237"/>
    </row>
    <row r="794" spans="1:130" ht="13.5" customHeight="1">
      <c r="A794" s="235">
        <v>792</v>
      </c>
      <c r="C794" s="268" t="s">
        <v>4330</v>
      </c>
      <c r="D794" s="235" t="s">
        <v>4331</v>
      </c>
      <c r="E794" s="240">
        <v>35</v>
      </c>
      <c r="F794" s="240" t="s">
        <v>60</v>
      </c>
      <c r="G794" s="235" t="s">
        <v>4332</v>
      </c>
      <c r="H794" s="268" t="s">
        <v>188</v>
      </c>
      <c r="I794" s="237"/>
      <c r="J794" s="240"/>
      <c r="L794" s="279"/>
      <c r="Q794" s="529">
        <v>46038</v>
      </c>
      <c r="R794" s="337" t="s">
        <v>309</v>
      </c>
      <c r="S794" s="330" t="s">
        <v>3715</v>
      </c>
      <c r="T794" s="302"/>
      <c r="Z794" s="237" t="s">
        <v>228</v>
      </c>
      <c r="AB794" s="337" t="s">
        <v>228</v>
      </c>
      <c r="AC794" s="237" t="s">
        <v>228</v>
      </c>
      <c r="AD794" s="570"/>
      <c r="AE794" s="559"/>
      <c r="AF794" s="237"/>
    </row>
    <row r="795" spans="1:130" ht="13.5" customHeight="1">
      <c r="A795" s="235">
        <v>793</v>
      </c>
      <c r="C795" s="268" t="s">
        <v>4333</v>
      </c>
      <c r="D795" s="235" t="s">
        <v>4334</v>
      </c>
      <c r="E795" s="240">
        <v>31</v>
      </c>
      <c r="F795" s="240" t="s">
        <v>60</v>
      </c>
      <c r="G795" s="235" t="s">
        <v>4335</v>
      </c>
      <c r="H795" s="268" t="s">
        <v>188</v>
      </c>
      <c r="I795" s="237"/>
      <c r="J795" s="240"/>
      <c r="L795" s="279"/>
      <c r="Q795" s="529">
        <v>46038</v>
      </c>
      <c r="R795" s="337" t="s">
        <v>309</v>
      </c>
      <c r="S795" s="330" t="s">
        <v>3715</v>
      </c>
      <c r="T795" s="302"/>
      <c r="Z795" s="237" t="s">
        <v>228</v>
      </c>
      <c r="AB795" s="337" t="s">
        <v>228</v>
      </c>
      <c r="AC795" s="237" t="s">
        <v>228</v>
      </c>
      <c r="AD795" s="570"/>
      <c r="AE795" s="559"/>
      <c r="AF795" s="237"/>
    </row>
    <row r="796" spans="1:130" ht="13.5" customHeight="1">
      <c r="A796" s="235">
        <v>794</v>
      </c>
      <c r="C796" s="268" t="s">
        <v>4336</v>
      </c>
      <c r="D796" s="235" t="s">
        <v>4337</v>
      </c>
      <c r="E796" s="240">
        <v>55</v>
      </c>
      <c r="F796" s="240" t="s">
        <v>60</v>
      </c>
      <c r="G796" s="235" t="s">
        <v>4338</v>
      </c>
      <c r="H796" s="268" t="s">
        <v>188</v>
      </c>
      <c r="I796" s="237"/>
      <c r="J796" s="240"/>
      <c r="L796" s="279"/>
      <c r="Q796" s="529">
        <v>46038</v>
      </c>
      <c r="R796" s="337" t="s">
        <v>309</v>
      </c>
      <c r="S796" s="330" t="s">
        <v>3715</v>
      </c>
      <c r="T796" s="302"/>
      <c r="Z796" s="237" t="s">
        <v>228</v>
      </c>
      <c r="AB796" s="337" t="s">
        <v>228</v>
      </c>
      <c r="AC796" s="237" t="s">
        <v>228</v>
      </c>
      <c r="AD796" s="570"/>
      <c r="AE796" s="559"/>
      <c r="AF796" s="237"/>
    </row>
    <row r="797" spans="1:130" ht="13.5" customHeight="1">
      <c r="A797" s="235">
        <v>795</v>
      </c>
      <c r="C797" s="268" t="s">
        <v>4339</v>
      </c>
      <c r="D797" s="235" t="s">
        <v>4340</v>
      </c>
      <c r="E797" s="240">
        <v>34</v>
      </c>
      <c r="F797" s="240" t="s">
        <v>60</v>
      </c>
      <c r="G797" s="235" t="s">
        <v>4341</v>
      </c>
      <c r="H797" s="268" t="s">
        <v>188</v>
      </c>
      <c r="I797" s="237"/>
      <c r="J797" s="240"/>
      <c r="L797" s="279"/>
      <c r="Q797" s="529">
        <v>46038</v>
      </c>
      <c r="R797" s="337" t="s">
        <v>309</v>
      </c>
      <c r="S797" s="330" t="s">
        <v>3715</v>
      </c>
      <c r="T797" s="302"/>
      <c r="Z797" s="237" t="s">
        <v>228</v>
      </c>
      <c r="AB797" s="337" t="s">
        <v>228</v>
      </c>
      <c r="AC797" s="237" t="s">
        <v>228</v>
      </c>
      <c r="AD797" s="570"/>
      <c r="AE797" s="559"/>
      <c r="AF797" s="237"/>
    </row>
    <row r="798" spans="1:130" ht="13.5" customHeight="1">
      <c r="A798" s="235">
        <v>796</v>
      </c>
      <c r="C798" s="268" t="s">
        <v>4342</v>
      </c>
      <c r="D798" s="235" t="s">
        <v>4343</v>
      </c>
      <c r="E798" s="240">
        <v>56</v>
      </c>
      <c r="F798" s="240" t="s">
        <v>60</v>
      </c>
      <c r="G798" s="235" t="s">
        <v>4344</v>
      </c>
      <c r="H798" s="268" t="s">
        <v>188</v>
      </c>
      <c r="I798" s="237"/>
      <c r="J798" s="240"/>
      <c r="L798" s="279"/>
      <c r="Q798" s="529">
        <v>46039</v>
      </c>
      <c r="R798" s="337" t="s">
        <v>309</v>
      </c>
      <c r="S798" s="330" t="s">
        <v>3715</v>
      </c>
      <c r="T798" s="302"/>
      <c r="Z798" s="237" t="s">
        <v>228</v>
      </c>
      <c r="AB798" s="337" t="s">
        <v>228</v>
      </c>
      <c r="AC798" s="237" t="s">
        <v>228</v>
      </c>
      <c r="AD798" s="570"/>
      <c r="AE798" s="559"/>
      <c r="AF798" s="237"/>
    </row>
    <row r="799" spans="1:130" ht="13.5" customHeight="1">
      <c r="A799" s="235">
        <v>797</v>
      </c>
      <c r="C799" s="277" t="s">
        <v>4345</v>
      </c>
      <c r="D799" s="235" t="s">
        <v>4346</v>
      </c>
      <c r="E799" s="240">
        <v>76</v>
      </c>
      <c r="F799" s="240" t="s">
        <v>75</v>
      </c>
      <c r="G799" s="235" t="s">
        <v>4347</v>
      </c>
      <c r="H799" s="277" t="s">
        <v>4</v>
      </c>
      <c r="I799" s="277"/>
      <c r="J799" s="240"/>
      <c r="K799" s="277" t="s">
        <v>986</v>
      </c>
      <c r="L799" s="277" t="s">
        <v>22</v>
      </c>
      <c r="M799" s="572" t="s">
        <v>4348</v>
      </c>
      <c r="Q799" s="529">
        <v>46039</v>
      </c>
      <c r="R799" s="337" t="s">
        <v>309</v>
      </c>
      <c r="S799" s="330" t="s">
        <v>3715</v>
      </c>
      <c r="T799" s="302"/>
      <c r="Z799" s="237" t="s">
        <v>228</v>
      </c>
      <c r="AB799" s="337" t="s">
        <v>228</v>
      </c>
      <c r="AC799" s="237" t="s">
        <v>228</v>
      </c>
      <c r="AD799" s="562"/>
      <c r="AE799" s="555"/>
      <c r="AF799" s="237"/>
    </row>
    <row r="800" spans="1:130" ht="13.5" customHeight="1">
      <c r="A800" s="235">
        <v>798</v>
      </c>
      <c r="C800" s="268" t="s">
        <v>4349</v>
      </c>
      <c r="D800" s="235" t="s">
        <v>4350</v>
      </c>
      <c r="E800" s="240">
        <v>58</v>
      </c>
      <c r="F800" s="240" t="s">
        <v>60</v>
      </c>
      <c r="G800" s="235" t="s">
        <v>4351</v>
      </c>
      <c r="H800" s="268" t="s">
        <v>188</v>
      </c>
      <c r="J800" s="240"/>
      <c r="L800" s="279"/>
      <c r="Q800" s="529">
        <v>46042</v>
      </c>
      <c r="R800" s="337" t="s">
        <v>309</v>
      </c>
      <c r="S800" s="330" t="s">
        <v>3715</v>
      </c>
      <c r="T800" s="302"/>
      <c r="Z800" s="237" t="s">
        <v>228</v>
      </c>
      <c r="AB800" s="337" t="s">
        <v>228</v>
      </c>
      <c r="AC800" s="237" t="s">
        <v>228</v>
      </c>
      <c r="AD800" s="570"/>
      <c r="AE800" s="559"/>
      <c r="AF800" s="237"/>
    </row>
    <row r="801" spans="1:130" ht="13.5" customHeight="1">
      <c r="A801" s="235">
        <v>799</v>
      </c>
      <c r="C801" s="268" t="s">
        <v>4352</v>
      </c>
      <c r="D801" s="235" t="s">
        <v>4353</v>
      </c>
      <c r="E801" s="240">
        <v>50</v>
      </c>
      <c r="F801" s="240" t="s">
        <v>75</v>
      </c>
      <c r="G801" s="235" t="s">
        <v>4354</v>
      </c>
      <c r="H801" s="268" t="s">
        <v>188</v>
      </c>
      <c r="J801" s="240"/>
      <c r="L801" s="279"/>
      <c r="Q801" s="529">
        <v>46042</v>
      </c>
      <c r="R801" s="337" t="s">
        <v>309</v>
      </c>
      <c r="S801" s="330" t="s">
        <v>3715</v>
      </c>
      <c r="T801" s="302"/>
      <c r="Z801" s="237" t="s">
        <v>228</v>
      </c>
      <c r="AB801" s="337" t="s">
        <v>228</v>
      </c>
      <c r="AC801" s="237" t="s">
        <v>228</v>
      </c>
      <c r="AD801" s="570"/>
      <c r="AE801" s="559"/>
      <c r="AF801" s="237"/>
    </row>
    <row r="802" spans="1:130" ht="13.5" customHeight="1">
      <c r="A802" s="235">
        <v>800</v>
      </c>
      <c r="C802" s="268" t="s">
        <v>4355</v>
      </c>
      <c r="D802" s="235" t="s">
        <v>4356</v>
      </c>
      <c r="E802" s="240">
        <v>40</v>
      </c>
      <c r="F802" s="240" t="s">
        <v>75</v>
      </c>
      <c r="G802" s="235" t="s">
        <v>4357</v>
      </c>
      <c r="H802" s="268" t="s">
        <v>188</v>
      </c>
      <c r="J802" s="240"/>
      <c r="L802" s="279"/>
      <c r="Q802" s="529">
        <v>46042</v>
      </c>
      <c r="R802" s="337" t="s">
        <v>309</v>
      </c>
      <c r="S802" s="330" t="s">
        <v>3715</v>
      </c>
      <c r="T802" s="302"/>
      <c r="Z802" s="237" t="s">
        <v>228</v>
      </c>
      <c r="AB802" s="337" t="s">
        <v>228</v>
      </c>
      <c r="AC802" s="237" t="s">
        <v>228</v>
      </c>
      <c r="AD802" s="570"/>
      <c r="AE802" s="559"/>
      <c r="AF802" s="237"/>
    </row>
    <row r="803" spans="1:130" ht="13.5" customHeight="1">
      <c r="A803" s="235">
        <v>801</v>
      </c>
      <c r="C803" s="268" t="s">
        <v>4358</v>
      </c>
      <c r="D803" s="235" t="s">
        <v>4359</v>
      </c>
      <c r="E803" s="240">
        <v>53</v>
      </c>
      <c r="F803" s="240" t="s">
        <v>75</v>
      </c>
      <c r="G803" s="235" t="s">
        <v>4360</v>
      </c>
      <c r="H803" s="268" t="s">
        <v>188</v>
      </c>
      <c r="J803" s="240"/>
      <c r="L803" s="279"/>
      <c r="Q803" s="529">
        <v>46042</v>
      </c>
      <c r="R803" s="337" t="s">
        <v>309</v>
      </c>
      <c r="S803" s="330" t="s">
        <v>3715</v>
      </c>
      <c r="T803" s="302"/>
      <c r="Z803" s="237" t="s">
        <v>228</v>
      </c>
      <c r="AB803" s="337" t="s">
        <v>228</v>
      </c>
      <c r="AC803" s="237" t="s">
        <v>228</v>
      </c>
      <c r="AD803" s="570"/>
      <c r="AE803" s="559"/>
      <c r="AF803" s="237"/>
    </row>
    <row r="804" spans="1:130" ht="13.5" customHeight="1">
      <c r="A804" s="235">
        <v>802</v>
      </c>
      <c r="C804" s="268" t="s">
        <v>4361</v>
      </c>
      <c r="D804" s="235" t="s">
        <v>4362</v>
      </c>
      <c r="E804" s="240">
        <v>43</v>
      </c>
      <c r="F804" s="240" t="s">
        <v>60</v>
      </c>
      <c r="G804" s="235" t="s">
        <v>4363</v>
      </c>
      <c r="H804" s="268" t="s">
        <v>188</v>
      </c>
      <c r="J804" s="240"/>
      <c r="L804" s="279"/>
      <c r="Q804" s="529">
        <v>46042</v>
      </c>
      <c r="R804" s="337" t="s">
        <v>309</v>
      </c>
      <c r="S804" s="330" t="s">
        <v>3715</v>
      </c>
      <c r="T804" s="302"/>
      <c r="Z804" s="237" t="s">
        <v>228</v>
      </c>
      <c r="AB804" s="337" t="s">
        <v>228</v>
      </c>
      <c r="AC804" s="237" t="s">
        <v>228</v>
      </c>
      <c r="AD804" s="570"/>
      <c r="AE804" s="559"/>
      <c r="AF804" s="237"/>
    </row>
    <row r="805" spans="1:130" ht="13.5" customHeight="1">
      <c r="A805" s="235">
        <v>803</v>
      </c>
      <c r="C805" s="268" t="s">
        <v>4364</v>
      </c>
      <c r="D805" s="235" t="s">
        <v>4365</v>
      </c>
      <c r="E805" s="240">
        <v>43</v>
      </c>
      <c r="F805" s="240" t="s">
        <v>60</v>
      </c>
      <c r="G805" s="235" t="s">
        <v>4366</v>
      </c>
      <c r="H805" s="268" t="s">
        <v>188</v>
      </c>
      <c r="J805" s="240"/>
      <c r="L805" s="279"/>
      <c r="Q805" s="529">
        <v>46042</v>
      </c>
      <c r="R805" s="337" t="s">
        <v>309</v>
      </c>
      <c r="S805" s="330" t="s">
        <v>3715</v>
      </c>
      <c r="T805" s="302"/>
      <c r="Z805" s="237" t="s">
        <v>228</v>
      </c>
      <c r="AB805" s="337" t="s">
        <v>228</v>
      </c>
      <c r="AC805" s="237" t="s">
        <v>228</v>
      </c>
      <c r="AD805" s="570"/>
      <c r="AE805" s="559"/>
      <c r="AF805" s="237"/>
    </row>
    <row r="806" spans="1:130" ht="13.5" customHeight="1">
      <c r="A806" s="235">
        <v>804</v>
      </c>
      <c r="C806" s="268" t="s">
        <v>4367</v>
      </c>
      <c r="D806" s="235" t="s">
        <v>4368</v>
      </c>
      <c r="E806" s="240">
        <v>25</v>
      </c>
      <c r="F806" s="240" t="s">
        <v>60</v>
      </c>
      <c r="G806" s="235" t="s">
        <v>4369</v>
      </c>
      <c r="H806" s="268" t="s">
        <v>188</v>
      </c>
      <c r="J806" s="240"/>
      <c r="L806" s="279"/>
      <c r="Q806" s="529">
        <v>46042</v>
      </c>
      <c r="R806" s="337" t="s">
        <v>309</v>
      </c>
      <c r="S806" s="330" t="s">
        <v>3715</v>
      </c>
      <c r="T806" s="302"/>
      <c r="Z806" s="237" t="s">
        <v>228</v>
      </c>
      <c r="AB806" s="337" t="s">
        <v>228</v>
      </c>
      <c r="AC806" s="237" t="s">
        <v>228</v>
      </c>
      <c r="AD806" s="570"/>
      <c r="AE806" s="559"/>
      <c r="AF806" s="237"/>
    </row>
    <row r="807" spans="1:130" ht="13.5" customHeight="1">
      <c r="A807" s="235">
        <v>805</v>
      </c>
      <c r="C807" s="268" t="s">
        <v>4370</v>
      </c>
      <c r="D807" s="235" t="s">
        <v>4371</v>
      </c>
      <c r="E807" s="240">
        <v>42</v>
      </c>
      <c r="F807" s="240" t="s">
        <v>60</v>
      </c>
      <c r="H807" s="268" t="s">
        <v>188</v>
      </c>
      <c r="J807" s="240"/>
      <c r="L807" s="279"/>
      <c r="Q807" s="529">
        <v>46043</v>
      </c>
      <c r="R807" s="337" t="s">
        <v>309</v>
      </c>
      <c r="S807" s="330" t="s">
        <v>3715</v>
      </c>
      <c r="T807" s="302"/>
      <c r="Z807" s="237" t="s">
        <v>228</v>
      </c>
      <c r="AB807" s="337" t="s">
        <v>228</v>
      </c>
      <c r="AC807" s="237" t="s">
        <v>228</v>
      </c>
      <c r="AD807" s="570"/>
      <c r="AE807" s="559"/>
      <c r="AF807" s="237"/>
    </row>
    <row r="808" spans="1:130" ht="13.5" customHeight="1">
      <c r="A808" s="235">
        <v>806</v>
      </c>
      <c r="C808" s="268" t="s">
        <v>4372</v>
      </c>
      <c r="D808" s="235" t="s">
        <v>4373</v>
      </c>
      <c r="E808" s="240">
        <v>70</v>
      </c>
      <c r="F808" s="240" t="s">
        <v>75</v>
      </c>
      <c r="G808" s="235" t="s">
        <v>4374</v>
      </c>
      <c r="H808" s="268" t="s">
        <v>188</v>
      </c>
      <c r="J808" s="240" t="s">
        <v>4375</v>
      </c>
      <c r="L808" s="279"/>
      <c r="Q808" s="529">
        <v>46044</v>
      </c>
      <c r="R808" s="337" t="s">
        <v>309</v>
      </c>
      <c r="S808" s="330" t="s">
        <v>3715</v>
      </c>
      <c r="T808" s="302"/>
      <c r="Z808" s="237" t="s">
        <v>228</v>
      </c>
      <c r="AB808" s="337" t="s">
        <v>228</v>
      </c>
      <c r="AC808" s="237" t="s">
        <v>228</v>
      </c>
      <c r="AD808" s="570"/>
      <c r="AE808" s="559"/>
      <c r="AF808" s="237"/>
    </row>
    <row r="809" spans="1:130" ht="13.5" customHeight="1">
      <c r="A809" s="235">
        <v>807</v>
      </c>
      <c r="C809" s="268" t="s">
        <v>4376</v>
      </c>
      <c r="D809" s="235" t="s">
        <v>4377</v>
      </c>
      <c r="E809" s="240">
        <v>75</v>
      </c>
      <c r="F809" s="240" t="s">
        <v>75</v>
      </c>
      <c r="H809" s="268" t="s">
        <v>3</v>
      </c>
      <c r="J809" s="240" t="s">
        <v>886</v>
      </c>
      <c r="K809" s="268" t="s">
        <v>119</v>
      </c>
      <c r="L809" s="243" t="s">
        <v>45</v>
      </c>
      <c r="Q809" s="529">
        <v>46052</v>
      </c>
      <c r="R809" s="337" t="s">
        <v>309</v>
      </c>
      <c r="S809" s="330" t="s">
        <v>3715</v>
      </c>
      <c r="T809" s="302"/>
      <c r="Z809" s="237" t="s">
        <v>228</v>
      </c>
      <c r="AB809" s="337" t="s">
        <v>228</v>
      </c>
      <c r="AC809" s="237" t="s">
        <v>228</v>
      </c>
      <c r="AD809" s="570"/>
      <c r="AE809" s="559"/>
      <c r="AF809" s="237"/>
    </row>
    <row r="810" spans="1:130" s="306" customFormat="1" ht="13.5" customHeight="1">
      <c r="A810" s="306">
        <v>808</v>
      </c>
      <c r="C810" s="291" t="s">
        <v>4378</v>
      </c>
      <c r="D810" s="306" t="s">
        <v>4379</v>
      </c>
      <c r="E810" s="290">
        <v>37</v>
      </c>
      <c r="F810" s="290" t="s">
        <v>75</v>
      </c>
      <c r="H810" s="291" t="s">
        <v>3</v>
      </c>
      <c r="J810" s="290" t="s">
        <v>886</v>
      </c>
      <c r="L810" s="291" t="s">
        <v>16</v>
      </c>
      <c r="Q810" s="530">
        <v>46052</v>
      </c>
      <c r="R810" s="364" t="s">
        <v>309</v>
      </c>
      <c r="S810" s="365" t="s">
        <v>3715</v>
      </c>
      <c r="T810" s="310"/>
      <c r="Z810" s="264" t="s">
        <v>228</v>
      </c>
      <c r="AB810" s="364" t="s">
        <v>228</v>
      </c>
      <c r="AC810" s="264" t="s">
        <v>228</v>
      </c>
      <c r="AD810" s="565"/>
      <c r="AE810" s="557"/>
      <c r="AF810" s="264"/>
      <c r="AG810" s="309"/>
      <c r="AH810" s="309"/>
      <c r="AI810" s="309"/>
      <c r="AJ810" s="309"/>
      <c r="AK810" s="309"/>
      <c r="AL810" s="309"/>
      <c r="AM810" s="309"/>
      <c r="AN810" s="309"/>
      <c r="AO810" s="309"/>
      <c r="AP810" s="309"/>
      <c r="AQ810" s="309"/>
      <c r="AR810" s="309"/>
      <c r="AS810" s="309"/>
      <c r="AT810" s="309"/>
      <c r="AU810" s="309"/>
      <c r="AV810" s="309"/>
      <c r="AW810" s="309"/>
      <c r="AX810" s="309"/>
      <c r="AY810" s="309"/>
      <c r="AZ810" s="309"/>
      <c r="BA810" s="309"/>
      <c r="BB810" s="309"/>
      <c r="BC810" s="309"/>
      <c r="BD810" s="309"/>
      <c r="BE810" s="309"/>
      <c r="BF810" s="309"/>
      <c r="BG810" s="309"/>
      <c r="BH810" s="309"/>
      <c r="BI810" s="309"/>
      <c r="BJ810" s="309"/>
      <c r="BK810" s="309"/>
      <c r="BL810" s="309"/>
      <c r="BM810" s="309"/>
      <c r="BN810" s="309"/>
      <c r="BO810" s="309"/>
      <c r="BP810" s="309"/>
      <c r="BQ810" s="309"/>
      <c r="BR810" s="309"/>
      <c r="BS810" s="309"/>
      <c r="BT810" s="309"/>
      <c r="BU810" s="309"/>
      <c r="BV810" s="309"/>
      <c r="BW810" s="309"/>
      <c r="BX810" s="309"/>
      <c r="BY810" s="309"/>
      <c r="BZ810" s="309"/>
      <c r="CA810" s="309"/>
      <c r="CB810" s="309"/>
      <c r="CC810" s="309"/>
      <c r="CD810" s="309"/>
      <c r="CE810" s="309"/>
      <c r="CF810" s="309"/>
      <c r="CG810" s="309"/>
      <c r="CH810" s="309"/>
      <c r="CI810" s="309"/>
      <c r="CJ810" s="309"/>
      <c r="CK810" s="309"/>
      <c r="CL810" s="309"/>
      <c r="CM810" s="309"/>
      <c r="CN810" s="309"/>
      <c r="CO810" s="309"/>
      <c r="CP810" s="309"/>
      <c r="CQ810" s="309"/>
      <c r="CR810" s="309"/>
      <c r="CS810" s="309"/>
      <c r="CT810" s="309"/>
      <c r="CU810" s="309"/>
      <c r="CV810" s="309"/>
      <c r="CW810" s="309"/>
      <c r="CX810" s="309"/>
      <c r="CY810" s="309"/>
      <c r="CZ810" s="309"/>
      <c r="DA810" s="309"/>
      <c r="DB810" s="309"/>
      <c r="DC810" s="309"/>
      <c r="DD810" s="309"/>
      <c r="DE810" s="309"/>
      <c r="DF810" s="309"/>
      <c r="DG810" s="309"/>
      <c r="DH810" s="309"/>
      <c r="DI810" s="309"/>
      <c r="DJ810" s="309"/>
      <c r="DK810" s="309"/>
      <c r="DL810" s="309"/>
      <c r="DM810" s="309"/>
      <c r="DN810" s="309"/>
      <c r="DO810" s="309"/>
      <c r="DP810" s="309"/>
      <c r="DQ810" s="309"/>
      <c r="DR810" s="309"/>
      <c r="DS810" s="309"/>
      <c r="DT810" s="309"/>
      <c r="DU810" s="309"/>
      <c r="DV810" s="309"/>
      <c r="DW810" s="309"/>
      <c r="DX810" s="309"/>
      <c r="DY810" s="309"/>
      <c r="DZ810" s="310"/>
    </row>
    <row r="811" spans="1:130" ht="13.5" customHeight="1">
      <c r="A811" s="235">
        <v>809</v>
      </c>
      <c r="C811" s="268" t="s">
        <v>4380</v>
      </c>
      <c r="D811" s="235" t="s">
        <v>4381</v>
      </c>
      <c r="E811" s="240">
        <v>45</v>
      </c>
      <c r="F811" s="240" t="s">
        <v>75</v>
      </c>
      <c r="H811" s="268" t="s">
        <v>3</v>
      </c>
      <c r="J811" s="240" t="s">
        <v>886</v>
      </c>
      <c r="K811" s="268" t="s">
        <v>107</v>
      </c>
      <c r="L811" s="268" t="s">
        <v>59</v>
      </c>
      <c r="Q811" s="529">
        <v>46052</v>
      </c>
      <c r="R811" s="337" t="s">
        <v>309</v>
      </c>
      <c r="S811" s="330" t="s">
        <v>3715</v>
      </c>
      <c r="T811" s="302"/>
      <c r="Z811" s="237" t="s">
        <v>228</v>
      </c>
      <c r="AB811" s="337" t="s">
        <v>228</v>
      </c>
      <c r="AC811" s="237" t="s">
        <v>228</v>
      </c>
      <c r="AD811" s="570"/>
      <c r="AE811" s="559"/>
      <c r="AF811" s="237"/>
    </row>
    <row r="812" spans="1:130" ht="13.5" customHeight="1">
      <c r="A812" s="235">
        <v>810</v>
      </c>
      <c r="C812" s="268" t="s">
        <v>4382</v>
      </c>
      <c r="D812" s="235" t="s">
        <v>4383</v>
      </c>
      <c r="E812" s="240">
        <v>65</v>
      </c>
      <c r="F812" s="240" t="s">
        <v>75</v>
      </c>
      <c r="H812" s="268" t="s">
        <v>3</v>
      </c>
      <c r="J812" s="240" t="s">
        <v>886</v>
      </c>
      <c r="K812" s="268" t="s">
        <v>106</v>
      </c>
      <c r="L812" s="268" t="s">
        <v>59</v>
      </c>
      <c r="Q812" s="529">
        <v>46052</v>
      </c>
      <c r="R812" s="337" t="s">
        <v>309</v>
      </c>
      <c r="S812" s="330" t="s">
        <v>3715</v>
      </c>
      <c r="T812" s="302"/>
      <c r="Z812" s="237" t="s">
        <v>228</v>
      </c>
      <c r="AB812" s="337" t="s">
        <v>228</v>
      </c>
      <c r="AC812" s="237" t="s">
        <v>228</v>
      </c>
      <c r="AD812" s="570"/>
      <c r="AE812" s="559"/>
      <c r="AF812" s="237"/>
    </row>
    <row r="813" spans="1:130" ht="13.5" customHeight="1">
      <c r="Q813" s="529"/>
      <c r="R813" s="301"/>
      <c r="T813" s="302"/>
      <c r="AB813" s="337"/>
      <c r="AC813" s="237"/>
      <c r="AD813" s="561"/>
      <c r="AE813" s="337"/>
      <c r="AF813" s="237"/>
    </row>
    <row r="814" spans="1:130" ht="13.5" customHeight="1">
      <c r="S814" s="342"/>
      <c r="AB814" s="337"/>
      <c r="AC814" s="237"/>
      <c r="AD814" s="561"/>
      <c r="AE814" s="337"/>
      <c r="AF814" s="237"/>
    </row>
    <row r="815" spans="1:130" ht="13.5" customHeight="1">
      <c r="AB815" s="337"/>
      <c r="AC815" s="237"/>
      <c r="AD815" s="561"/>
      <c r="AE815" s="337"/>
      <c r="AF815" s="237"/>
    </row>
    <row r="816" spans="1:130" ht="13.5" customHeight="1">
      <c r="B816" s="237"/>
      <c r="C816" s="237"/>
      <c r="D816" s="255"/>
      <c r="E816" s="237"/>
      <c r="F816" s="237"/>
      <c r="G816" s="255"/>
      <c r="H816" s="237"/>
      <c r="I816" s="237"/>
      <c r="J816" s="237"/>
      <c r="K816" s="240"/>
      <c r="L816" s="237"/>
      <c r="M816" s="237"/>
      <c r="N816" s="237"/>
      <c r="O816" s="237"/>
      <c r="P816" s="237"/>
      <c r="Q816" s="245"/>
      <c r="R816" s="237"/>
      <c r="S816" s="237"/>
      <c r="T816" s="237"/>
      <c r="U816" s="237"/>
      <c r="V816" s="237"/>
      <c r="W816" s="237"/>
      <c r="X816" s="237"/>
      <c r="Y816" s="237"/>
      <c r="Z816" s="237"/>
      <c r="AA816" s="237"/>
      <c r="AB816" s="337"/>
      <c r="AC816" s="237"/>
      <c r="AD816" s="561"/>
      <c r="AE816" s="337"/>
      <c r="AF816" s="237"/>
    </row>
    <row r="817" spans="2:32" ht="13.5" customHeight="1">
      <c r="B817" s="237"/>
      <c r="C817" s="237"/>
      <c r="D817" s="255"/>
      <c r="E817" s="237"/>
      <c r="F817" s="237"/>
      <c r="G817" s="255"/>
      <c r="H817" s="237"/>
      <c r="I817" s="237"/>
      <c r="J817" s="237"/>
      <c r="K817" s="240"/>
      <c r="L817" s="237"/>
      <c r="M817" s="237"/>
      <c r="N817" s="237"/>
      <c r="O817" s="237"/>
      <c r="P817" s="237"/>
      <c r="Q817" s="245"/>
      <c r="R817" s="237"/>
      <c r="S817" s="237"/>
      <c r="T817" s="237"/>
      <c r="U817" s="237"/>
      <c r="V817" s="237"/>
      <c r="W817" s="237"/>
      <c r="X817" s="237"/>
      <c r="Y817" s="237"/>
      <c r="Z817" s="237"/>
      <c r="AA817" s="237"/>
      <c r="AB817" s="337"/>
      <c r="AC817" s="237"/>
      <c r="AD817" s="561"/>
      <c r="AE817" s="337"/>
      <c r="AF817" s="237"/>
    </row>
    <row r="818" spans="2:32" ht="13.5" customHeight="1">
      <c r="B818" s="237"/>
      <c r="C818" s="237"/>
      <c r="D818" s="255"/>
      <c r="E818" s="237"/>
      <c r="F818" s="237"/>
      <c r="G818" s="255"/>
      <c r="H818" s="237"/>
      <c r="I818" s="237"/>
      <c r="J818" s="237"/>
      <c r="K818" s="240"/>
      <c r="L818" s="237"/>
      <c r="M818" s="237"/>
      <c r="N818" s="237"/>
      <c r="O818" s="237"/>
      <c r="P818" s="237"/>
      <c r="Q818" s="245"/>
      <c r="R818" s="237"/>
      <c r="S818" s="237"/>
      <c r="T818" s="237"/>
      <c r="U818" s="237"/>
      <c r="V818" s="237"/>
      <c r="W818" s="237"/>
      <c r="X818" s="237"/>
      <c r="Y818" s="237"/>
      <c r="Z818" s="237"/>
      <c r="AA818" s="237"/>
      <c r="AB818" s="337"/>
      <c r="AC818" s="237"/>
      <c r="AD818" s="561"/>
      <c r="AE818" s="337"/>
      <c r="AF818" s="237"/>
    </row>
    <row r="819" spans="2:32" ht="13.5" customHeight="1">
      <c r="B819" s="237"/>
      <c r="C819" s="237"/>
      <c r="D819" s="255"/>
      <c r="E819" s="237"/>
      <c r="F819" s="237"/>
      <c r="G819" s="255"/>
      <c r="H819" s="237"/>
      <c r="I819" s="237"/>
      <c r="J819" s="237"/>
      <c r="K819" s="240"/>
      <c r="L819" s="237"/>
      <c r="M819" s="237"/>
      <c r="N819" s="237"/>
      <c r="O819" s="237"/>
      <c r="P819" s="237"/>
      <c r="Q819" s="245"/>
      <c r="R819" s="237"/>
      <c r="S819" s="237"/>
      <c r="T819" s="237"/>
      <c r="U819" s="237"/>
      <c r="V819" s="237"/>
      <c r="W819" s="237"/>
      <c r="X819" s="237"/>
      <c r="Y819" s="237"/>
      <c r="Z819" s="237"/>
      <c r="AA819" s="237"/>
      <c r="AB819" s="337"/>
      <c r="AC819" s="237"/>
      <c r="AD819" s="561"/>
      <c r="AE819" s="337"/>
      <c r="AF819" s="237"/>
    </row>
    <row r="820" spans="2:32" ht="13.5" customHeight="1">
      <c r="B820" s="237"/>
      <c r="C820" s="237"/>
      <c r="D820" s="255"/>
      <c r="E820" s="237"/>
      <c r="F820" s="237"/>
      <c r="G820" s="255"/>
      <c r="H820" s="237"/>
      <c r="I820" s="237"/>
      <c r="J820" s="237"/>
      <c r="K820" s="240"/>
      <c r="L820" s="237"/>
      <c r="M820" s="237"/>
      <c r="N820" s="237"/>
      <c r="O820" s="237"/>
      <c r="P820" s="237"/>
      <c r="Q820" s="245"/>
      <c r="R820" s="237"/>
      <c r="S820" s="237"/>
      <c r="T820" s="237"/>
      <c r="U820" s="237"/>
      <c r="V820" s="237"/>
      <c r="W820" s="237"/>
      <c r="X820" s="237"/>
      <c r="Y820" s="237"/>
      <c r="Z820" s="237"/>
      <c r="AA820" s="237"/>
      <c r="AB820" s="337"/>
      <c r="AC820" s="237"/>
      <c r="AD820" s="561"/>
      <c r="AE820" s="337"/>
      <c r="AF820" s="237"/>
    </row>
    <row r="821" spans="2:32" ht="13.5" customHeight="1">
      <c r="B821" s="237"/>
      <c r="C821" s="237"/>
      <c r="D821" s="255"/>
      <c r="E821" s="237"/>
      <c r="F821" s="237"/>
      <c r="G821" s="255"/>
      <c r="H821" s="237"/>
      <c r="I821" s="237"/>
      <c r="J821" s="237"/>
      <c r="K821" s="240"/>
      <c r="L821" s="237"/>
      <c r="M821" s="237"/>
      <c r="N821" s="237"/>
      <c r="O821" s="237"/>
      <c r="P821" s="237"/>
      <c r="Q821" s="245"/>
      <c r="R821" s="237"/>
      <c r="S821" s="237"/>
      <c r="T821" s="237"/>
      <c r="U821" s="237"/>
      <c r="V821" s="237"/>
      <c r="W821" s="237"/>
      <c r="X821" s="237"/>
      <c r="Y821" s="237"/>
      <c r="Z821" s="237"/>
      <c r="AA821" s="237"/>
      <c r="AB821" s="337"/>
      <c r="AC821" s="237"/>
      <c r="AD821" s="561"/>
      <c r="AE821" s="337"/>
      <c r="AF821" s="237"/>
    </row>
    <row r="822" spans="2:32" ht="13.5" customHeight="1">
      <c r="B822" s="237"/>
      <c r="C822" s="237"/>
      <c r="D822" s="255"/>
      <c r="E822" s="237"/>
      <c r="F822" s="237"/>
      <c r="G822" s="255"/>
      <c r="H822" s="237"/>
      <c r="I822" s="237"/>
      <c r="J822" s="237"/>
      <c r="K822" s="240"/>
      <c r="L822" s="237"/>
      <c r="M822" s="237"/>
      <c r="N822" s="237"/>
      <c r="O822" s="237"/>
      <c r="P822" s="237"/>
      <c r="Q822" s="245"/>
      <c r="R822" s="237"/>
      <c r="S822" s="237"/>
      <c r="T822" s="237"/>
      <c r="U822" s="237"/>
      <c r="V822" s="237"/>
      <c r="W822" s="237"/>
      <c r="X822" s="237"/>
      <c r="Y822" s="237"/>
      <c r="Z822" s="237"/>
      <c r="AA822" s="237"/>
      <c r="AB822" s="337"/>
      <c r="AC822" s="237"/>
      <c r="AD822" s="561"/>
      <c r="AE822" s="337"/>
      <c r="AF822" s="237"/>
    </row>
    <row r="823" spans="2:32" ht="13.5" customHeight="1">
      <c r="B823" s="237"/>
      <c r="C823" s="237"/>
      <c r="D823" s="255"/>
      <c r="E823" s="237"/>
      <c r="F823" s="237"/>
      <c r="G823" s="255"/>
      <c r="H823" s="237"/>
      <c r="I823" s="237"/>
      <c r="J823" s="237"/>
      <c r="K823" s="240"/>
      <c r="L823" s="237"/>
      <c r="M823" s="237"/>
      <c r="N823" s="237"/>
      <c r="O823" s="237"/>
      <c r="P823" s="237"/>
      <c r="Q823" s="245"/>
      <c r="R823" s="237"/>
      <c r="S823" s="237"/>
      <c r="T823" s="237"/>
      <c r="U823" s="237"/>
      <c r="V823" s="237"/>
      <c r="W823" s="237"/>
      <c r="X823" s="237"/>
      <c r="Y823" s="237"/>
      <c r="Z823" s="237"/>
      <c r="AA823" s="237"/>
      <c r="AB823" s="337"/>
      <c r="AC823" s="237"/>
      <c r="AD823" s="561"/>
      <c r="AE823" s="337"/>
      <c r="AF823" s="237"/>
    </row>
    <row r="824" spans="2:32" ht="13.5" customHeight="1">
      <c r="B824" s="237"/>
      <c r="C824" s="237"/>
      <c r="D824" s="255"/>
      <c r="E824" s="237"/>
      <c r="F824" s="237"/>
      <c r="G824" s="255"/>
      <c r="H824" s="237"/>
      <c r="I824" s="237"/>
      <c r="J824" s="237"/>
      <c r="K824" s="240"/>
      <c r="L824" s="237"/>
      <c r="M824" s="237"/>
      <c r="N824" s="237"/>
      <c r="O824" s="237"/>
      <c r="P824" s="237"/>
      <c r="Q824" s="245"/>
      <c r="R824" s="237"/>
      <c r="S824" s="237"/>
      <c r="T824" s="237"/>
      <c r="U824" s="237"/>
      <c r="V824" s="237"/>
      <c r="W824" s="237"/>
      <c r="X824" s="237"/>
      <c r="Y824" s="237"/>
      <c r="Z824" s="237"/>
      <c r="AA824" s="237"/>
      <c r="AB824" s="337"/>
      <c r="AC824" s="237"/>
      <c r="AD824" s="561"/>
      <c r="AE824" s="337"/>
      <c r="AF824" s="237"/>
    </row>
    <row r="825" spans="2:32" ht="13.5" customHeight="1">
      <c r="B825" s="237"/>
      <c r="C825" s="237"/>
      <c r="D825" s="255"/>
      <c r="E825" s="237"/>
      <c r="F825" s="237"/>
      <c r="G825" s="255"/>
      <c r="H825" s="237"/>
      <c r="I825" s="237"/>
      <c r="J825" s="237"/>
      <c r="K825" s="240"/>
      <c r="L825" s="237"/>
      <c r="M825" s="237"/>
      <c r="N825" s="237"/>
      <c r="O825" s="237"/>
      <c r="P825" s="237"/>
      <c r="Q825" s="245"/>
      <c r="R825" s="237"/>
      <c r="S825" s="237"/>
      <c r="T825" s="237"/>
      <c r="U825" s="237"/>
      <c r="V825" s="237"/>
      <c r="W825" s="237"/>
      <c r="X825" s="237"/>
      <c r="Y825" s="237"/>
      <c r="Z825" s="237"/>
      <c r="AA825" s="237"/>
      <c r="AB825" s="337"/>
      <c r="AC825" s="237"/>
      <c r="AD825" s="561"/>
      <c r="AE825" s="337"/>
      <c r="AF825" s="237"/>
    </row>
    <row r="826" spans="2:32" ht="13.5" customHeight="1">
      <c r="B826" s="237"/>
      <c r="C826" s="237"/>
      <c r="D826" s="255"/>
      <c r="E826" s="237"/>
      <c r="F826" s="237"/>
      <c r="G826" s="255"/>
      <c r="H826" s="237"/>
      <c r="I826" s="237"/>
      <c r="J826" s="237"/>
      <c r="K826" s="240"/>
      <c r="L826" s="237"/>
      <c r="M826" s="237"/>
      <c r="N826" s="237"/>
      <c r="O826" s="237"/>
      <c r="P826" s="237"/>
      <c r="Q826" s="245"/>
      <c r="R826" s="237"/>
      <c r="S826" s="237"/>
      <c r="T826" s="237"/>
      <c r="U826" s="237"/>
      <c r="V826" s="237"/>
      <c r="W826" s="237"/>
      <c r="X826" s="237"/>
      <c r="Y826" s="237"/>
      <c r="Z826" s="237"/>
      <c r="AA826" s="237"/>
      <c r="AB826" s="337"/>
      <c r="AC826" s="237"/>
      <c r="AD826" s="561"/>
      <c r="AE826" s="337"/>
      <c r="AF826" s="237"/>
    </row>
    <row r="827" spans="2:32" ht="13.5" customHeight="1">
      <c r="B827" s="237"/>
      <c r="C827" s="237"/>
      <c r="D827" s="255"/>
      <c r="E827" s="237"/>
      <c r="F827" s="237"/>
      <c r="G827" s="255"/>
      <c r="H827" s="237"/>
      <c r="I827" s="237"/>
      <c r="J827" s="237"/>
      <c r="K827" s="240"/>
      <c r="L827" s="237"/>
      <c r="M827" s="237"/>
      <c r="N827" s="237"/>
      <c r="O827" s="237"/>
      <c r="P827" s="237"/>
      <c r="Q827" s="245"/>
      <c r="R827" s="237"/>
      <c r="S827" s="237"/>
      <c r="T827" s="237"/>
      <c r="U827" s="237"/>
      <c r="V827" s="237"/>
      <c r="W827" s="237"/>
      <c r="X827" s="237"/>
      <c r="Y827" s="237"/>
      <c r="Z827" s="237"/>
      <c r="AA827" s="237"/>
      <c r="AB827" s="337"/>
      <c r="AC827" s="237"/>
      <c r="AD827" s="561"/>
      <c r="AE827" s="337"/>
      <c r="AF827" s="237"/>
    </row>
    <row r="828" spans="2:32" ht="13.5" customHeight="1">
      <c r="B828" s="237"/>
      <c r="C828" s="237"/>
      <c r="D828" s="255"/>
      <c r="E828" s="237"/>
      <c r="F828" s="237"/>
      <c r="G828" s="255"/>
      <c r="H828" s="237"/>
      <c r="I828" s="237"/>
      <c r="J828" s="237"/>
      <c r="K828" s="240"/>
      <c r="L828" s="237"/>
      <c r="M828" s="237"/>
      <c r="N828" s="237"/>
      <c r="O828" s="237"/>
      <c r="P828" s="237"/>
      <c r="Q828" s="245"/>
      <c r="R828" s="237"/>
      <c r="S828" s="237"/>
      <c r="T828" s="237"/>
      <c r="U828" s="237"/>
      <c r="V828" s="237"/>
      <c r="W828" s="237"/>
      <c r="X828" s="237"/>
      <c r="Y828" s="237"/>
      <c r="Z828" s="237"/>
      <c r="AA828" s="237"/>
      <c r="AB828" s="337"/>
      <c r="AC828" s="237"/>
      <c r="AD828" s="561"/>
      <c r="AE828" s="337"/>
      <c r="AF828" s="237"/>
    </row>
    <row r="829" spans="2:32" ht="13.5" customHeight="1">
      <c r="B829" s="237"/>
      <c r="C829" s="237"/>
      <c r="D829" s="255"/>
      <c r="E829" s="237"/>
      <c r="F829" s="237"/>
      <c r="G829" s="255"/>
      <c r="H829" s="237"/>
      <c r="I829" s="237"/>
      <c r="J829" s="237"/>
      <c r="K829" s="240"/>
      <c r="L829" s="237"/>
      <c r="M829" s="237"/>
      <c r="N829" s="237"/>
      <c r="O829" s="237"/>
      <c r="P829" s="237"/>
      <c r="Q829" s="245"/>
      <c r="R829" s="237"/>
      <c r="S829" s="237"/>
      <c r="T829" s="237"/>
      <c r="U829" s="237"/>
      <c r="V829" s="237"/>
      <c r="W829" s="237"/>
      <c r="X829" s="237"/>
      <c r="Y829" s="237"/>
      <c r="Z829" s="237"/>
      <c r="AA829" s="237"/>
      <c r="AB829" s="337"/>
      <c r="AC829" s="237"/>
      <c r="AD829" s="561"/>
      <c r="AE829" s="337"/>
      <c r="AF829" s="237"/>
    </row>
    <row r="830" spans="2:32" ht="13.5" customHeight="1">
      <c r="B830" s="237"/>
      <c r="C830" s="237"/>
      <c r="D830" s="255"/>
      <c r="E830" s="237"/>
      <c r="F830" s="237"/>
      <c r="G830" s="255"/>
      <c r="H830" s="237"/>
      <c r="I830" s="237"/>
      <c r="J830" s="237"/>
      <c r="K830" s="240"/>
      <c r="L830" s="237"/>
      <c r="M830" s="237"/>
      <c r="N830" s="237"/>
      <c r="O830" s="237"/>
      <c r="P830" s="237"/>
      <c r="Q830" s="245"/>
      <c r="R830" s="237"/>
      <c r="S830" s="237"/>
      <c r="T830" s="237"/>
      <c r="U830" s="237"/>
      <c r="V830" s="237"/>
      <c r="W830" s="237"/>
      <c r="X830" s="237"/>
      <c r="Y830" s="237"/>
      <c r="Z830" s="237"/>
      <c r="AA830" s="237"/>
      <c r="AB830" s="337"/>
      <c r="AC830" s="237"/>
      <c r="AD830" s="561"/>
      <c r="AE830" s="337"/>
      <c r="AF830" s="237"/>
    </row>
    <row r="831" spans="2:32" ht="13.5" customHeight="1">
      <c r="B831" s="237"/>
      <c r="C831" s="237"/>
      <c r="D831" s="255"/>
      <c r="E831" s="237"/>
      <c r="F831" s="237"/>
      <c r="G831" s="255"/>
      <c r="H831" s="237"/>
      <c r="I831" s="237"/>
      <c r="J831" s="237"/>
      <c r="K831" s="240"/>
      <c r="L831" s="237"/>
      <c r="M831" s="237"/>
      <c r="N831" s="237"/>
      <c r="O831" s="237"/>
      <c r="P831" s="237"/>
      <c r="Q831" s="245"/>
      <c r="R831" s="237"/>
      <c r="S831" s="237"/>
      <c r="T831" s="237"/>
      <c r="U831" s="237"/>
      <c r="V831" s="237"/>
      <c r="W831" s="237"/>
      <c r="X831" s="237"/>
      <c r="Y831" s="237"/>
      <c r="Z831" s="237"/>
      <c r="AA831" s="237"/>
      <c r="AB831" s="337"/>
      <c r="AC831" s="237"/>
      <c r="AD831" s="561"/>
      <c r="AE831" s="337"/>
      <c r="AF831" s="237"/>
    </row>
    <row r="832" spans="2:32" ht="13.5" customHeight="1">
      <c r="B832" s="237"/>
      <c r="C832" s="237"/>
      <c r="D832" s="255"/>
      <c r="E832" s="237"/>
      <c r="F832" s="237"/>
      <c r="G832" s="255"/>
      <c r="H832" s="237"/>
      <c r="I832" s="237"/>
      <c r="J832" s="237"/>
      <c r="K832" s="240"/>
      <c r="L832" s="237"/>
      <c r="M832" s="237"/>
      <c r="N832" s="237"/>
      <c r="O832" s="237"/>
      <c r="P832" s="237"/>
      <c r="Q832" s="245"/>
      <c r="R832" s="237"/>
      <c r="S832" s="237"/>
      <c r="T832" s="237"/>
      <c r="U832" s="237"/>
      <c r="V832" s="237"/>
      <c r="W832" s="237"/>
      <c r="X832" s="237"/>
      <c r="Y832" s="237"/>
      <c r="Z832" s="237"/>
      <c r="AA832" s="237"/>
      <c r="AB832" s="337"/>
      <c r="AC832" s="237"/>
      <c r="AD832" s="561"/>
      <c r="AE832" s="337"/>
      <c r="AF832" s="237"/>
    </row>
    <row r="833" spans="2:32" ht="13.5" customHeight="1">
      <c r="B833" s="237"/>
      <c r="C833" s="237"/>
      <c r="D833" s="255"/>
      <c r="E833" s="237"/>
      <c r="F833" s="237"/>
      <c r="G833" s="255"/>
      <c r="H833" s="237"/>
      <c r="I833" s="237"/>
      <c r="J833" s="237"/>
      <c r="K833" s="240"/>
      <c r="L833" s="237"/>
      <c r="M833" s="237"/>
      <c r="N833" s="237"/>
      <c r="O833" s="237"/>
      <c r="P833" s="237"/>
      <c r="Q833" s="245"/>
      <c r="R833" s="237"/>
      <c r="S833" s="237"/>
      <c r="T833" s="237"/>
      <c r="U833" s="237"/>
      <c r="V833" s="237"/>
      <c r="W833" s="237"/>
      <c r="X833" s="237"/>
      <c r="Y833" s="237"/>
      <c r="Z833" s="237"/>
      <c r="AA833" s="237"/>
      <c r="AB833" s="337"/>
      <c r="AC833" s="237"/>
      <c r="AD833" s="561"/>
      <c r="AE833" s="337"/>
      <c r="AF833" s="237"/>
    </row>
    <row r="834" spans="2:32" ht="13.5" customHeight="1">
      <c r="B834" s="237"/>
      <c r="C834" s="237"/>
      <c r="D834" s="255"/>
      <c r="E834" s="237"/>
      <c r="F834" s="237"/>
      <c r="G834" s="255"/>
      <c r="H834" s="237"/>
      <c r="I834" s="237"/>
      <c r="J834" s="237"/>
      <c r="K834" s="240"/>
      <c r="L834" s="237"/>
      <c r="M834" s="237"/>
      <c r="N834" s="237"/>
      <c r="O834" s="237"/>
      <c r="P834" s="237"/>
      <c r="Q834" s="245"/>
      <c r="R834" s="237"/>
      <c r="S834" s="237"/>
      <c r="T834" s="237"/>
      <c r="U834" s="237"/>
      <c r="V834" s="237"/>
      <c r="W834" s="237"/>
      <c r="X834" s="237"/>
      <c r="Y834" s="237"/>
      <c r="Z834" s="237"/>
      <c r="AA834" s="237"/>
      <c r="AB834" s="337"/>
      <c r="AC834" s="237"/>
      <c r="AD834" s="561"/>
      <c r="AE834" s="337"/>
      <c r="AF834" s="237"/>
    </row>
    <row r="835" spans="2:32" ht="13.5" customHeight="1">
      <c r="B835" s="237"/>
      <c r="C835" s="237"/>
      <c r="D835" s="255"/>
      <c r="E835" s="237"/>
      <c r="F835" s="237"/>
      <c r="G835" s="255"/>
      <c r="H835" s="237"/>
      <c r="I835" s="237"/>
      <c r="J835" s="237"/>
      <c r="K835" s="240"/>
      <c r="L835" s="237"/>
      <c r="M835" s="237"/>
      <c r="N835" s="237"/>
      <c r="O835" s="237"/>
      <c r="P835" s="237"/>
      <c r="Q835" s="245"/>
      <c r="R835" s="237"/>
      <c r="S835" s="237"/>
      <c r="T835" s="237"/>
      <c r="U835" s="237"/>
      <c r="V835" s="237"/>
      <c r="W835" s="237"/>
      <c r="X835" s="237"/>
      <c r="Y835" s="237"/>
      <c r="Z835" s="237"/>
      <c r="AA835" s="237"/>
      <c r="AB835" s="337"/>
      <c r="AC835" s="237"/>
      <c r="AD835" s="561"/>
      <c r="AE835" s="337"/>
      <c r="AF835" s="237"/>
    </row>
    <row r="836" spans="2:32" ht="13.5" customHeight="1">
      <c r="B836" s="237"/>
      <c r="C836" s="237"/>
      <c r="D836" s="255"/>
      <c r="E836" s="237"/>
      <c r="F836" s="237"/>
      <c r="G836" s="255"/>
      <c r="H836" s="237"/>
      <c r="I836" s="237"/>
      <c r="J836" s="237"/>
      <c r="K836" s="240"/>
      <c r="L836" s="237"/>
      <c r="M836" s="237"/>
      <c r="N836" s="237"/>
      <c r="O836" s="237"/>
      <c r="P836" s="237"/>
      <c r="Q836" s="245"/>
      <c r="R836" s="237"/>
      <c r="S836" s="237"/>
      <c r="T836" s="237"/>
      <c r="U836" s="237"/>
      <c r="V836" s="237"/>
      <c r="W836" s="237"/>
      <c r="X836" s="237"/>
      <c r="Y836" s="237"/>
      <c r="Z836" s="237"/>
      <c r="AA836" s="237"/>
      <c r="AB836" s="337"/>
      <c r="AC836" s="237"/>
      <c r="AD836" s="561"/>
      <c r="AE836" s="337"/>
      <c r="AF836" s="237"/>
    </row>
    <row r="837" spans="2:32" ht="13.5" customHeight="1">
      <c r="B837" s="237"/>
      <c r="C837" s="237"/>
      <c r="D837" s="255"/>
      <c r="E837" s="237"/>
      <c r="F837" s="237"/>
      <c r="G837" s="255"/>
      <c r="H837" s="237"/>
      <c r="I837" s="237"/>
      <c r="J837" s="237"/>
      <c r="K837" s="240"/>
      <c r="L837" s="237"/>
      <c r="M837" s="237"/>
      <c r="N837" s="237"/>
      <c r="O837" s="237"/>
      <c r="P837" s="237"/>
      <c r="Q837" s="245"/>
      <c r="R837" s="237"/>
      <c r="S837" s="237"/>
      <c r="T837" s="237"/>
      <c r="U837" s="237"/>
      <c r="V837" s="237"/>
      <c r="W837" s="237"/>
      <c r="X837" s="237"/>
      <c r="Y837" s="237"/>
      <c r="Z837" s="237"/>
      <c r="AA837" s="237"/>
      <c r="AB837" s="337"/>
      <c r="AC837" s="237"/>
      <c r="AD837" s="561"/>
      <c r="AE837" s="337"/>
      <c r="AF837" s="237"/>
    </row>
    <row r="838" spans="2:32" ht="13.5" customHeight="1">
      <c r="B838" s="237"/>
      <c r="C838" s="237"/>
      <c r="D838" s="255"/>
      <c r="E838" s="237"/>
      <c r="F838" s="237"/>
      <c r="G838" s="255"/>
      <c r="H838" s="237"/>
      <c r="I838" s="237"/>
      <c r="J838" s="237"/>
      <c r="K838" s="240"/>
      <c r="L838" s="237"/>
      <c r="M838" s="237"/>
      <c r="N838" s="237"/>
      <c r="O838" s="237"/>
      <c r="P838" s="237"/>
      <c r="Q838" s="245"/>
      <c r="R838" s="237"/>
      <c r="S838" s="237"/>
      <c r="T838" s="237"/>
      <c r="U838" s="237"/>
      <c r="V838" s="237"/>
      <c r="W838" s="237"/>
      <c r="X838" s="237"/>
      <c r="Y838" s="237"/>
      <c r="Z838" s="237"/>
      <c r="AA838" s="237"/>
      <c r="AB838" s="337"/>
      <c r="AC838" s="237"/>
      <c r="AD838" s="561"/>
      <c r="AE838" s="337"/>
      <c r="AF838" s="237"/>
    </row>
    <row r="839" spans="2:32" ht="13.5" customHeight="1">
      <c r="B839" s="237"/>
      <c r="C839" s="237"/>
      <c r="D839" s="255"/>
      <c r="E839" s="237"/>
      <c r="F839" s="237"/>
      <c r="G839" s="255"/>
      <c r="H839" s="237"/>
      <c r="I839" s="237"/>
      <c r="J839" s="237"/>
      <c r="K839" s="240"/>
      <c r="L839" s="237"/>
      <c r="M839" s="237"/>
      <c r="N839" s="237"/>
      <c r="O839" s="237"/>
      <c r="P839" s="237"/>
      <c r="Q839" s="245"/>
      <c r="R839" s="237"/>
      <c r="S839" s="237"/>
      <c r="T839" s="237"/>
      <c r="U839" s="237"/>
      <c r="V839" s="237"/>
      <c r="W839" s="237"/>
      <c r="X839" s="237"/>
      <c r="Y839" s="237"/>
      <c r="Z839" s="237"/>
      <c r="AA839" s="237"/>
      <c r="AB839" s="337"/>
      <c r="AC839" s="237"/>
      <c r="AD839" s="561"/>
      <c r="AE839" s="337"/>
      <c r="AF839" s="237"/>
    </row>
    <row r="840" spans="2:32" ht="13.5" customHeight="1">
      <c r="B840" s="237"/>
      <c r="C840" s="237"/>
      <c r="D840" s="255"/>
      <c r="E840" s="237"/>
      <c r="F840" s="237"/>
      <c r="G840" s="255"/>
      <c r="H840" s="237"/>
      <c r="I840" s="237"/>
      <c r="J840" s="237"/>
      <c r="K840" s="240"/>
      <c r="L840" s="237"/>
      <c r="M840" s="237"/>
      <c r="N840" s="237"/>
      <c r="O840" s="237"/>
      <c r="P840" s="237"/>
      <c r="Q840" s="245"/>
      <c r="R840" s="237"/>
      <c r="S840" s="237"/>
      <c r="T840" s="237"/>
      <c r="U840" s="237"/>
      <c r="V840" s="237"/>
      <c r="W840" s="237"/>
      <c r="X840" s="237"/>
      <c r="Y840" s="237"/>
      <c r="Z840" s="237"/>
      <c r="AA840" s="237"/>
      <c r="AB840" s="337"/>
      <c r="AC840" s="237"/>
      <c r="AD840" s="561"/>
      <c r="AE840" s="337"/>
      <c r="AF840" s="237"/>
    </row>
    <row r="841" spans="2:32" ht="13.5" customHeight="1">
      <c r="B841" s="237"/>
      <c r="C841" s="237"/>
      <c r="D841" s="255"/>
      <c r="E841" s="237"/>
      <c r="F841" s="237"/>
      <c r="G841" s="255"/>
      <c r="H841" s="237"/>
      <c r="I841" s="237"/>
      <c r="J841" s="237"/>
      <c r="K841" s="240"/>
      <c r="L841" s="237"/>
      <c r="M841" s="237"/>
      <c r="N841" s="237"/>
      <c r="O841" s="237"/>
      <c r="P841" s="237"/>
      <c r="Q841" s="245"/>
      <c r="R841" s="237"/>
      <c r="S841" s="237"/>
      <c r="T841" s="237"/>
      <c r="U841" s="237"/>
      <c r="V841" s="237"/>
      <c r="W841" s="237"/>
      <c r="X841" s="237"/>
      <c r="Y841" s="237"/>
      <c r="Z841" s="237"/>
      <c r="AA841" s="237"/>
      <c r="AB841" s="337"/>
      <c r="AC841" s="237"/>
      <c r="AD841" s="561"/>
      <c r="AE841" s="337"/>
      <c r="AF841" s="237"/>
    </row>
    <row r="842" spans="2:32" ht="13.5" customHeight="1">
      <c r="B842" s="237"/>
      <c r="C842" s="237"/>
      <c r="D842" s="255"/>
      <c r="E842" s="237"/>
      <c r="F842" s="237"/>
      <c r="G842" s="255"/>
      <c r="H842" s="237"/>
      <c r="I842" s="237"/>
      <c r="J842" s="237"/>
      <c r="K842" s="240"/>
      <c r="L842" s="237"/>
      <c r="M842" s="237"/>
      <c r="N842" s="237"/>
      <c r="O842" s="237"/>
      <c r="P842" s="237"/>
      <c r="Q842" s="245"/>
      <c r="R842" s="237"/>
      <c r="S842" s="237"/>
      <c r="T842" s="237"/>
      <c r="U842" s="237"/>
      <c r="V842" s="237"/>
      <c r="W842" s="237"/>
      <c r="X842" s="237"/>
      <c r="Y842" s="237"/>
      <c r="Z842" s="237"/>
      <c r="AA842" s="237"/>
      <c r="AB842" s="337"/>
      <c r="AC842" s="237"/>
      <c r="AD842" s="561"/>
      <c r="AE842" s="337"/>
      <c r="AF842" s="237"/>
    </row>
    <row r="843" spans="2:32" ht="13.5" customHeight="1">
      <c r="B843" s="237"/>
      <c r="C843" s="237"/>
      <c r="D843" s="255"/>
      <c r="E843" s="237"/>
      <c r="F843" s="237"/>
      <c r="G843" s="255"/>
      <c r="H843" s="237"/>
      <c r="I843" s="237"/>
      <c r="J843" s="237"/>
      <c r="K843" s="240"/>
      <c r="L843" s="237"/>
      <c r="M843" s="237"/>
      <c r="N843" s="237"/>
      <c r="O843" s="237"/>
      <c r="P843" s="237"/>
      <c r="Q843" s="245"/>
      <c r="R843" s="237"/>
      <c r="S843" s="237"/>
      <c r="T843" s="237"/>
      <c r="U843" s="237"/>
      <c r="V843" s="237"/>
      <c r="W843" s="237"/>
      <c r="X843" s="237"/>
      <c r="Y843" s="237"/>
      <c r="Z843" s="237"/>
      <c r="AA843" s="237"/>
      <c r="AB843" s="337"/>
      <c r="AC843" s="237"/>
      <c r="AD843" s="561"/>
      <c r="AE843" s="337"/>
      <c r="AF843" s="237"/>
    </row>
    <row r="844" spans="2:32" ht="13.5" customHeight="1">
      <c r="B844" s="237"/>
      <c r="C844" s="237"/>
      <c r="D844" s="255"/>
      <c r="E844" s="237"/>
      <c r="F844" s="237"/>
      <c r="G844" s="255"/>
      <c r="H844" s="237"/>
      <c r="I844" s="237"/>
      <c r="J844" s="237"/>
      <c r="K844" s="240"/>
      <c r="L844" s="237"/>
      <c r="M844" s="237"/>
      <c r="N844" s="237"/>
      <c r="O844" s="237"/>
      <c r="P844" s="237"/>
      <c r="Q844" s="245"/>
      <c r="R844" s="237"/>
      <c r="S844" s="237"/>
      <c r="T844" s="237"/>
      <c r="U844" s="237"/>
      <c r="V844" s="237"/>
      <c r="W844" s="237"/>
      <c r="X844" s="237"/>
      <c r="Y844" s="237"/>
      <c r="Z844" s="237"/>
      <c r="AA844" s="237"/>
      <c r="AB844" s="337"/>
      <c r="AC844" s="237"/>
      <c r="AD844" s="561"/>
      <c r="AE844" s="337"/>
      <c r="AF844" s="237"/>
    </row>
    <row r="845" spans="2:32" ht="13.5" customHeight="1">
      <c r="B845" s="237"/>
      <c r="C845" s="237"/>
      <c r="D845" s="255"/>
      <c r="E845" s="237"/>
      <c r="F845" s="237"/>
      <c r="G845" s="255"/>
      <c r="H845" s="237"/>
      <c r="I845" s="237"/>
      <c r="J845" s="237"/>
      <c r="K845" s="240"/>
      <c r="L845" s="237"/>
      <c r="M845" s="237"/>
      <c r="N845" s="237"/>
      <c r="O845" s="237"/>
      <c r="P845" s="237"/>
      <c r="Q845" s="245"/>
      <c r="R845" s="237"/>
      <c r="S845" s="237"/>
      <c r="T845" s="237"/>
      <c r="U845" s="237"/>
      <c r="V845" s="237"/>
      <c r="W845" s="237"/>
      <c r="X845" s="237"/>
      <c r="Y845" s="237"/>
      <c r="Z845" s="237"/>
      <c r="AA845" s="237"/>
      <c r="AB845" s="337"/>
      <c r="AC845" s="237"/>
      <c r="AD845" s="561"/>
      <c r="AE845" s="337"/>
      <c r="AF845" s="237"/>
    </row>
    <row r="846" spans="2:32" ht="13.5" customHeight="1">
      <c r="B846" s="237"/>
      <c r="C846" s="237"/>
      <c r="D846" s="255"/>
      <c r="E846" s="237"/>
      <c r="F846" s="237"/>
      <c r="G846" s="255"/>
      <c r="H846" s="237"/>
      <c r="I846" s="237"/>
      <c r="J846" s="237"/>
      <c r="K846" s="240"/>
      <c r="L846" s="237"/>
      <c r="M846" s="237"/>
      <c r="N846" s="237"/>
      <c r="O846" s="237"/>
      <c r="P846" s="237"/>
      <c r="Q846" s="245"/>
      <c r="R846" s="237"/>
      <c r="S846" s="237"/>
      <c r="T846" s="237"/>
      <c r="U846" s="237"/>
      <c r="V846" s="237"/>
      <c r="W846" s="237"/>
      <c r="X846" s="237"/>
      <c r="Y846" s="237"/>
      <c r="Z846" s="237"/>
      <c r="AA846" s="237"/>
      <c r="AB846" s="337"/>
      <c r="AC846" s="237"/>
      <c r="AD846" s="561"/>
      <c r="AE846" s="337"/>
      <c r="AF846" s="237"/>
    </row>
    <row r="847" spans="2:32" ht="13.5" customHeight="1">
      <c r="B847" s="237"/>
      <c r="C847" s="237"/>
      <c r="D847" s="255"/>
      <c r="E847" s="237"/>
      <c r="F847" s="237"/>
      <c r="G847" s="255"/>
      <c r="H847" s="237"/>
      <c r="I847" s="237"/>
      <c r="J847" s="237"/>
      <c r="K847" s="240"/>
      <c r="L847" s="237"/>
      <c r="M847" s="237"/>
      <c r="N847" s="237"/>
      <c r="O847" s="237"/>
      <c r="P847" s="237"/>
      <c r="Q847" s="245"/>
      <c r="R847" s="237"/>
      <c r="S847" s="237"/>
      <c r="T847" s="237"/>
      <c r="U847" s="237"/>
      <c r="V847" s="237"/>
      <c r="W847" s="237"/>
      <c r="X847" s="237"/>
      <c r="Y847" s="237"/>
      <c r="Z847" s="237"/>
      <c r="AA847" s="237"/>
      <c r="AB847" s="337"/>
      <c r="AC847" s="237"/>
      <c r="AD847" s="561"/>
      <c r="AE847" s="337"/>
      <c r="AF847" s="237"/>
    </row>
    <row r="848" spans="2:32" ht="13.5" customHeight="1">
      <c r="B848" s="237"/>
      <c r="C848" s="237"/>
      <c r="D848" s="255"/>
      <c r="E848" s="237"/>
      <c r="F848" s="237"/>
      <c r="G848" s="255"/>
      <c r="H848" s="237"/>
      <c r="I848" s="237"/>
      <c r="J848" s="237"/>
      <c r="K848" s="240"/>
      <c r="L848" s="237"/>
      <c r="M848" s="237"/>
      <c r="N848" s="237"/>
      <c r="O848" s="237"/>
      <c r="P848" s="237"/>
      <c r="Q848" s="245"/>
      <c r="R848" s="237"/>
      <c r="S848" s="237"/>
      <c r="T848" s="237"/>
      <c r="U848" s="237"/>
      <c r="V848" s="237"/>
      <c r="W848" s="237"/>
      <c r="X848" s="237"/>
      <c r="Y848" s="237"/>
      <c r="Z848" s="237"/>
      <c r="AA848" s="237"/>
      <c r="AB848" s="337"/>
      <c r="AC848" s="237"/>
      <c r="AD848" s="561"/>
      <c r="AE848" s="337"/>
      <c r="AF848" s="237"/>
    </row>
    <row r="849" spans="2:32" ht="13.5" customHeight="1">
      <c r="B849" s="237"/>
      <c r="C849" s="237"/>
      <c r="D849" s="255"/>
      <c r="E849" s="237"/>
      <c r="F849" s="237"/>
      <c r="G849" s="255"/>
      <c r="H849" s="237"/>
      <c r="I849" s="237"/>
      <c r="J849" s="237"/>
      <c r="K849" s="240"/>
      <c r="L849" s="237"/>
      <c r="M849" s="237"/>
      <c r="N849" s="237"/>
      <c r="O849" s="237"/>
      <c r="P849" s="237"/>
      <c r="Q849" s="245"/>
      <c r="R849" s="237"/>
      <c r="S849" s="237"/>
      <c r="T849" s="237"/>
      <c r="U849" s="237"/>
      <c r="V849" s="237"/>
      <c r="W849" s="237"/>
      <c r="X849" s="237"/>
      <c r="Y849" s="237"/>
      <c r="Z849" s="237"/>
      <c r="AA849" s="237"/>
      <c r="AB849" s="337"/>
      <c r="AC849" s="237"/>
      <c r="AD849" s="561"/>
      <c r="AE849" s="337"/>
      <c r="AF849" s="237"/>
    </row>
    <row r="850" spans="2:32" ht="13.5" customHeight="1">
      <c r="B850" s="237"/>
      <c r="C850" s="237"/>
      <c r="D850" s="255"/>
      <c r="E850" s="237"/>
      <c r="F850" s="237"/>
      <c r="G850" s="255"/>
      <c r="H850" s="237"/>
      <c r="I850" s="237"/>
      <c r="J850" s="237"/>
      <c r="K850" s="240"/>
      <c r="L850" s="237"/>
      <c r="M850" s="237"/>
      <c r="N850" s="237"/>
      <c r="O850" s="237"/>
      <c r="P850" s="237"/>
      <c r="Q850" s="245"/>
      <c r="R850" s="237"/>
      <c r="S850" s="237"/>
      <c r="T850" s="237"/>
      <c r="U850" s="237"/>
      <c r="V850" s="237"/>
      <c r="W850" s="237"/>
      <c r="X850" s="237"/>
      <c r="Y850" s="237"/>
      <c r="Z850" s="237"/>
      <c r="AA850" s="237"/>
      <c r="AB850" s="337"/>
      <c r="AC850" s="237"/>
      <c r="AD850" s="561"/>
      <c r="AE850" s="337"/>
      <c r="AF850" s="237"/>
    </row>
    <row r="851" spans="2:32" ht="13.5" customHeight="1">
      <c r="B851" s="237"/>
      <c r="C851" s="237"/>
      <c r="D851" s="255"/>
      <c r="E851" s="237"/>
      <c r="F851" s="237"/>
      <c r="G851" s="255"/>
      <c r="H851" s="237"/>
      <c r="I851" s="237"/>
      <c r="J851" s="237"/>
      <c r="K851" s="240"/>
      <c r="L851" s="237"/>
      <c r="M851" s="237"/>
      <c r="N851" s="237"/>
      <c r="O851" s="237"/>
      <c r="P851" s="237"/>
      <c r="Q851" s="245"/>
      <c r="R851" s="237"/>
      <c r="S851" s="237"/>
      <c r="T851" s="237"/>
      <c r="U851" s="237"/>
      <c r="V851" s="237"/>
      <c r="W851" s="237"/>
      <c r="X851" s="237"/>
      <c r="Y851" s="237"/>
      <c r="Z851" s="237"/>
      <c r="AA851" s="237"/>
      <c r="AB851" s="337"/>
      <c r="AC851" s="237"/>
      <c r="AD851" s="561"/>
      <c r="AE851" s="337"/>
      <c r="AF851" s="237"/>
    </row>
    <row r="852" spans="2:32" ht="13.5" customHeight="1">
      <c r="B852" s="237"/>
      <c r="C852" s="237"/>
      <c r="D852" s="255"/>
      <c r="E852" s="237"/>
      <c r="F852" s="237"/>
      <c r="G852" s="255"/>
      <c r="H852" s="237"/>
      <c r="I852" s="237"/>
      <c r="J852" s="237"/>
      <c r="K852" s="240"/>
      <c r="L852" s="237"/>
      <c r="M852" s="237"/>
      <c r="N852" s="237"/>
      <c r="O852" s="237"/>
      <c r="P852" s="237"/>
      <c r="Q852" s="245"/>
      <c r="R852" s="237"/>
      <c r="S852" s="237"/>
      <c r="T852" s="237"/>
      <c r="U852" s="237"/>
      <c r="V852" s="237"/>
      <c r="W852" s="237"/>
      <c r="X852" s="237"/>
      <c r="Y852" s="237"/>
      <c r="Z852" s="237"/>
      <c r="AA852" s="237"/>
      <c r="AB852" s="337"/>
      <c r="AC852" s="237"/>
      <c r="AD852" s="561"/>
      <c r="AE852" s="337"/>
      <c r="AF852" s="237"/>
    </row>
    <row r="853" spans="2:32" ht="13.5" customHeight="1">
      <c r="B853" s="237"/>
      <c r="C853" s="237"/>
      <c r="D853" s="255"/>
      <c r="E853" s="237"/>
      <c r="F853" s="237"/>
      <c r="G853" s="255"/>
      <c r="H853" s="237"/>
      <c r="I853" s="237"/>
      <c r="J853" s="237"/>
      <c r="K853" s="240"/>
      <c r="L853" s="237"/>
      <c r="M853" s="237"/>
      <c r="N853" s="237"/>
      <c r="O853" s="237"/>
      <c r="P853" s="237"/>
      <c r="Q853" s="245"/>
      <c r="R853" s="237"/>
      <c r="S853" s="237"/>
      <c r="T853" s="237"/>
      <c r="U853" s="237"/>
      <c r="V853" s="237"/>
      <c r="W853" s="237"/>
      <c r="X853" s="237"/>
      <c r="Y853" s="237"/>
      <c r="Z853" s="237"/>
      <c r="AA853" s="237"/>
      <c r="AB853" s="337"/>
      <c r="AC853" s="237"/>
      <c r="AD853" s="561"/>
      <c r="AE853" s="337"/>
      <c r="AF853" s="237"/>
    </row>
    <row r="854" spans="2:32" ht="13.5" customHeight="1">
      <c r="B854" s="237"/>
      <c r="C854" s="237"/>
      <c r="D854" s="255"/>
      <c r="E854" s="237"/>
      <c r="F854" s="237"/>
      <c r="G854" s="255"/>
      <c r="H854" s="237"/>
      <c r="I854" s="237"/>
      <c r="J854" s="237"/>
      <c r="K854" s="240"/>
      <c r="L854" s="237"/>
      <c r="M854" s="237"/>
      <c r="N854" s="237"/>
      <c r="O854" s="237"/>
      <c r="P854" s="237"/>
      <c r="Q854" s="245"/>
      <c r="R854" s="237"/>
      <c r="S854" s="237"/>
      <c r="T854" s="237"/>
      <c r="U854" s="237"/>
      <c r="V854" s="237"/>
      <c r="W854" s="237"/>
      <c r="X854" s="237"/>
      <c r="Y854" s="237"/>
      <c r="Z854" s="237"/>
      <c r="AA854" s="237"/>
      <c r="AB854" s="337"/>
      <c r="AC854" s="237"/>
      <c r="AD854" s="561"/>
      <c r="AE854" s="337"/>
      <c r="AF854" s="237"/>
    </row>
    <row r="855" spans="2:32" ht="13.5" customHeight="1">
      <c r="B855" s="237"/>
      <c r="C855" s="237"/>
      <c r="D855" s="255"/>
      <c r="E855" s="237"/>
      <c r="F855" s="237"/>
      <c r="G855" s="255"/>
      <c r="H855" s="237"/>
      <c r="I855" s="237"/>
      <c r="J855" s="237"/>
      <c r="K855" s="240"/>
      <c r="L855" s="237"/>
      <c r="M855" s="237"/>
      <c r="N855" s="237"/>
      <c r="O855" s="237"/>
      <c r="P855" s="237"/>
      <c r="Q855" s="245"/>
      <c r="R855" s="237"/>
      <c r="S855" s="237"/>
      <c r="T855" s="237"/>
      <c r="U855" s="237"/>
      <c r="V855" s="237"/>
      <c r="W855" s="237"/>
      <c r="X855" s="237"/>
      <c r="Y855" s="237"/>
      <c r="Z855" s="237"/>
      <c r="AA855" s="237"/>
      <c r="AB855" s="337"/>
      <c r="AC855" s="237"/>
      <c r="AD855" s="561"/>
      <c r="AE855" s="337"/>
      <c r="AF855" s="237"/>
    </row>
    <row r="856" spans="2:32" ht="13.5" customHeight="1">
      <c r="B856" s="237"/>
      <c r="C856" s="237"/>
      <c r="D856" s="255"/>
      <c r="E856" s="237"/>
      <c r="F856" s="237"/>
      <c r="G856" s="255"/>
      <c r="H856" s="237"/>
      <c r="I856" s="237"/>
      <c r="J856" s="237"/>
      <c r="K856" s="240"/>
      <c r="L856" s="237"/>
      <c r="M856" s="237"/>
      <c r="N856" s="237"/>
      <c r="O856" s="237"/>
      <c r="P856" s="237"/>
      <c r="Q856" s="245"/>
      <c r="R856" s="237"/>
      <c r="S856" s="237"/>
      <c r="T856" s="237"/>
      <c r="U856" s="237"/>
      <c r="V856" s="237"/>
      <c r="W856" s="237"/>
      <c r="X856" s="237"/>
      <c r="Y856" s="237"/>
      <c r="Z856" s="237"/>
      <c r="AA856" s="237"/>
      <c r="AB856" s="337"/>
      <c r="AC856" s="237"/>
      <c r="AD856" s="561"/>
      <c r="AE856" s="337"/>
      <c r="AF856" s="237"/>
    </row>
    <row r="857" spans="2:32" ht="13.5" customHeight="1">
      <c r="B857" s="237"/>
      <c r="C857" s="237"/>
      <c r="D857" s="255"/>
      <c r="E857" s="237"/>
      <c r="F857" s="237"/>
      <c r="G857" s="255"/>
      <c r="H857" s="237"/>
      <c r="I857" s="237"/>
      <c r="J857" s="237"/>
      <c r="K857" s="240"/>
      <c r="L857" s="237"/>
      <c r="M857" s="237"/>
      <c r="N857" s="237"/>
      <c r="O857" s="237"/>
      <c r="P857" s="237"/>
      <c r="Q857" s="245"/>
      <c r="R857" s="237"/>
      <c r="S857" s="237"/>
      <c r="T857" s="237"/>
      <c r="U857" s="237"/>
      <c r="V857" s="237"/>
      <c r="W857" s="237"/>
      <c r="X857" s="237"/>
      <c r="Y857" s="237"/>
      <c r="Z857" s="237"/>
      <c r="AA857" s="237"/>
      <c r="AB857" s="337"/>
      <c r="AC857" s="237"/>
      <c r="AD857" s="561"/>
      <c r="AE857" s="337"/>
      <c r="AF857" s="237"/>
    </row>
    <row r="858" spans="2:32" ht="13.5" customHeight="1">
      <c r="B858" s="237"/>
      <c r="C858" s="237"/>
      <c r="D858" s="255"/>
      <c r="E858" s="237"/>
      <c r="F858" s="237"/>
      <c r="G858" s="255"/>
      <c r="H858" s="237"/>
      <c r="I858" s="237"/>
      <c r="J858" s="237"/>
      <c r="K858" s="240"/>
      <c r="L858" s="237"/>
      <c r="M858" s="237"/>
      <c r="N858" s="237"/>
      <c r="O858" s="237"/>
      <c r="P858" s="237"/>
      <c r="Q858" s="245"/>
      <c r="R858" s="237"/>
      <c r="S858" s="237"/>
      <c r="T858" s="237"/>
      <c r="U858" s="237"/>
      <c r="V858" s="237"/>
      <c r="W858" s="237"/>
      <c r="X858" s="237"/>
      <c r="Y858" s="237"/>
      <c r="Z858" s="237"/>
      <c r="AA858" s="237"/>
      <c r="AB858" s="337"/>
      <c r="AC858" s="237"/>
      <c r="AD858" s="561"/>
      <c r="AE858" s="337"/>
      <c r="AF858" s="237"/>
    </row>
    <row r="859" spans="2:32" ht="13.5" customHeight="1">
      <c r="B859" s="237"/>
      <c r="C859" s="237"/>
      <c r="D859" s="255"/>
      <c r="E859" s="237"/>
      <c r="F859" s="237"/>
      <c r="G859" s="255"/>
      <c r="H859" s="237"/>
      <c r="I859" s="237"/>
      <c r="J859" s="237"/>
      <c r="K859" s="240"/>
      <c r="L859" s="237"/>
      <c r="M859" s="237"/>
      <c r="N859" s="237"/>
      <c r="O859" s="237"/>
      <c r="P859" s="237"/>
      <c r="Q859" s="245"/>
      <c r="R859" s="237"/>
      <c r="S859" s="237"/>
      <c r="T859" s="237"/>
      <c r="U859" s="237"/>
      <c r="V859" s="237"/>
      <c r="W859" s="237"/>
      <c r="X859" s="237"/>
      <c r="Y859" s="237"/>
      <c r="Z859" s="237"/>
      <c r="AA859" s="237"/>
      <c r="AB859" s="337"/>
      <c r="AC859" s="237"/>
      <c r="AD859" s="561"/>
      <c r="AE859" s="337"/>
      <c r="AF859" s="237"/>
    </row>
    <row r="860" spans="2:32" ht="13.5" customHeight="1">
      <c r="B860" s="237"/>
      <c r="C860" s="237"/>
      <c r="D860" s="255"/>
      <c r="E860" s="237"/>
      <c r="F860" s="237"/>
      <c r="G860" s="255"/>
      <c r="H860" s="237"/>
      <c r="I860" s="237"/>
      <c r="J860" s="237"/>
      <c r="K860" s="240"/>
      <c r="L860" s="237"/>
      <c r="M860" s="237"/>
      <c r="N860" s="237"/>
      <c r="O860" s="237"/>
      <c r="P860" s="237"/>
      <c r="Q860" s="245"/>
      <c r="R860" s="237"/>
      <c r="S860" s="237"/>
      <c r="T860" s="237"/>
      <c r="U860" s="237"/>
      <c r="V860" s="237"/>
      <c r="W860" s="237"/>
      <c r="X860" s="237"/>
      <c r="Y860" s="237"/>
      <c r="Z860" s="237"/>
      <c r="AA860" s="237"/>
      <c r="AB860" s="337"/>
      <c r="AC860" s="237"/>
      <c r="AD860" s="561"/>
      <c r="AE860" s="337"/>
      <c r="AF860" s="237"/>
    </row>
    <row r="861" spans="2:32" ht="13.5" customHeight="1">
      <c r="B861" s="237"/>
      <c r="C861" s="237"/>
      <c r="D861" s="255"/>
      <c r="E861" s="237"/>
      <c r="F861" s="237"/>
      <c r="G861" s="255"/>
      <c r="H861" s="237"/>
      <c r="I861" s="237"/>
      <c r="J861" s="237"/>
      <c r="K861" s="240"/>
      <c r="L861" s="237"/>
      <c r="M861" s="237"/>
      <c r="N861" s="237"/>
      <c r="O861" s="237"/>
      <c r="P861" s="237"/>
      <c r="Q861" s="245"/>
      <c r="R861" s="237"/>
      <c r="S861" s="237"/>
      <c r="T861" s="237"/>
      <c r="U861" s="237"/>
      <c r="V861" s="237"/>
      <c r="W861" s="237"/>
      <c r="X861" s="237"/>
      <c r="Y861" s="237"/>
      <c r="Z861" s="237"/>
      <c r="AA861" s="237"/>
      <c r="AB861" s="337"/>
      <c r="AC861" s="237"/>
      <c r="AD861" s="561"/>
      <c r="AE861" s="337"/>
      <c r="AF861" s="237"/>
    </row>
    <row r="862" spans="2:32" ht="13.5" customHeight="1">
      <c r="B862" s="237"/>
      <c r="C862" s="237"/>
      <c r="D862" s="255"/>
      <c r="E862" s="237"/>
      <c r="F862" s="237"/>
      <c r="G862" s="255"/>
      <c r="H862" s="237"/>
      <c r="I862" s="237"/>
      <c r="J862" s="237"/>
      <c r="K862" s="240"/>
      <c r="L862" s="237"/>
      <c r="M862" s="237"/>
      <c r="N862" s="237"/>
      <c r="O862" s="237"/>
      <c r="P862" s="237"/>
      <c r="Q862" s="245"/>
      <c r="R862" s="237"/>
      <c r="S862" s="237"/>
      <c r="T862" s="237"/>
      <c r="U862" s="237"/>
      <c r="V862" s="237"/>
      <c r="W862" s="237"/>
      <c r="X862" s="237"/>
      <c r="Y862" s="237"/>
      <c r="Z862" s="237"/>
      <c r="AA862" s="237"/>
      <c r="AB862" s="337"/>
      <c r="AC862" s="237"/>
      <c r="AD862" s="561"/>
      <c r="AE862" s="337"/>
      <c r="AF862" s="237"/>
    </row>
    <row r="863" spans="2:32" ht="13.5" customHeight="1">
      <c r="B863" s="237"/>
      <c r="C863" s="237"/>
      <c r="D863" s="255"/>
      <c r="E863" s="237"/>
      <c r="F863" s="237"/>
      <c r="G863" s="255"/>
      <c r="H863" s="237"/>
      <c r="I863" s="237"/>
      <c r="J863" s="237"/>
      <c r="K863" s="240"/>
      <c r="L863" s="237"/>
      <c r="M863" s="237"/>
      <c r="N863" s="237"/>
      <c r="O863" s="237"/>
      <c r="P863" s="237"/>
      <c r="Q863" s="245"/>
      <c r="R863" s="237"/>
      <c r="S863" s="237"/>
      <c r="T863" s="237"/>
      <c r="U863" s="237"/>
      <c r="V863" s="237"/>
      <c r="W863" s="237"/>
      <c r="X863" s="237"/>
      <c r="Y863" s="237"/>
      <c r="Z863" s="237"/>
      <c r="AA863" s="237"/>
      <c r="AB863" s="337"/>
      <c r="AC863" s="237"/>
      <c r="AD863" s="561"/>
      <c r="AE863" s="337"/>
      <c r="AF863" s="237"/>
    </row>
    <row r="864" spans="2:32" ht="13.5" customHeight="1">
      <c r="B864" s="237"/>
      <c r="C864" s="237"/>
      <c r="D864" s="255"/>
      <c r="E864" s="237"/>
      <c r="F864" s="237"/>
      <c r="G864" s="255"/>
      <c r="H864" s="237"/>
      <c r="I864" s="237"/>
      <c r="J864" s="237"/>
      <c r="K864" s="240"/>
      <c r="L864" s="237"/>
      <c r="M864" s="237"/>
      <c r="N864" s="237"/>
      <c r="O864" s="237"/>
      <c r="P864" s="237"/>
      <c r="Q864" s="245"/>
      <c r="R864" s="237"/>
      <c r="S864" s="237"/>
      <c r="T864" s="237"/>
      <c r="U864" s="237"/>
      <c r="V864" s="237"/>
      <c r="W864" s="237"/>
      <c r="X864" s="237"/>
      <c r="Y864" s="237"/>
      <c r="Z864" s="237"/>
      <c r="AA864" s="237"/>
      <c r="AB864" s="337"/>
      <c r="AC864" s="237"/>
      <c r="AD864" s="561"/>
      <c r="AE864" s="337"/>
      <c r="AF864" s="237"/>
    </row>
    <row r="865" spans="2:32" ht="13.5" customHeight="1">
      <c r="B865" s="237"/>
      <c r="C865" s="237"/>
      <c r="D865" s="255"/>
      <c r="E865" s="237"/>
      <c r="F865" s="237"/>
      <c r="G865" s="255"/>
      <c r="H865" s="237"/>
      <c r="I865" s="237"/>
      <c r="J865" s="237"/>
      <c r="K865" s="240"/>
      <c r="L865" s="237"/>
      <c r="M865" s="237"/>
      <c r="N865" s="237"/>
      <c r="O865" s="237"/>
      <c r="P865" s="237"/>
      <c r="Q865" s="245"/>
      <c r="R865" s="237"/>
      <c r="S865" s="237"/>
      <c r="T865" s="237"/>
      <c r="U865" s="237"/>
      <c r="V865" s="237"/>
      <c r="W865" s="237"/>
      <c r="X865" s="237"/>
      <c r="Y865" s="237"/>
      <c r="Z865" s="237"/>
      <c r="AA865" s="237"/>
      <c r="AB865" s="337"/>
      <c r="AC865" s="237"/>
      <c r="AD865" s="561"/>
      <c r="AE865" s="337"/>
      <c r="AF865" s="237"/>
    </row>
    <row r="866" spans="2:32" ht="13.5" customHeight="1">
      <c r="B866" s="237"/>
      <c r="C866" s="237"/>
      <c r="D866" s="255"/>
      <c r="E866" s="237"/>
      <c r="F866" s="237"/>
      <c r="G866" s="255"/>
      <c r="H866" s="237"/>
      <c r="I866" s="237"/>
      <c r="J866" s="237"/>
      <c r="K866" s="240"/>
      <c r="L866" s="237"/>
      <c r="M866" s="237"/>
      <c r="N866" s="237"/>
      <c r="O866" s="237"/>
      <c r="P866" s="237"/>
      <c r="Q866" s="245"/>
      <c r="R866" s="237"/>
      <c r="S866" s="237"/>
      <c r="T866" s="237"/>
      <c r="U866" s="237"/>
      <c r="V866" s="237"/>
      <c r="W866" s="237"/>
      <c r="X866" s="237"/>
      <c r="Y866" s="237"/>
      <c r="Z866" s="237"/>
      <c r="AA866" s="237"/>
      <c r="AB866" s="337"/>
      <c r="AC866" s="237"/>
      <c r="AD866" s="561"/>
      <c r="AE866" s="337"/>
      <c r="AF866" s="237"/>
    </row>
    <row r="867" spans="2:32" ht="13.5" customHeight="1">
      <c r="B867" s="237"/>
      <c r="C867" s="237"/>
      <c r="D867" s="255"/>
      <c r="E867" s="237"/>
      <c r="F867" s="237"/>
      <c r="G867" s="255"/>
      <c r="H867" s="237"/>
      <c r="I867" s="237"/>
      <c r="J867" s="237"/>
      <c r="K867" s="240"/>
      <c r="L867" s="237"/>
      <c r="M867" s="237"/>
      <c r="N867" s="237"/>
      <c r="O867" s="237"/>
      <c r="P867" s="237"/>
      <c r="Q867" s="245"/>
      <c r="R867" s="237"/>
      <c r="S867" s="237"/>
      <c r="T867" s="237"/>
      <c r="U867" s="237"/>
      <c r="V867" s="237"/>
      <c r="W867" s="237"/>
      <c r="X867" s="237"/>
      <c r="Y867" s="237"/>
      <c r="Z867" s="237"/>
      <c r="AA867" s="237"/>
      <c r="AB867" s="337"/>
      <c r="AC867" s="237"/>
      <c r="AD867" s="561"/>
      <c r="AE867" s="337"/>
      <c r="AF867" s="237"/>
    </row>
    <row r="868" spans="2:32" ht="13.5" customHeight="1">
      <c r="B868" s="237"/>
      <c r="C868" s="237"/>
      <c r="D868" s="255"/>
      <c r="E868" s="237"/>
      <c r="F868" s="237"/>
      <c r="G868" s="255"/>
      <c r="H868" s="237"/>
      <c r="I868" s="237"/>
      <c r="J868" s="237"/>
      <c r="K868" s="240"/>
      <c r="L868" s="237"/>
      <c r="M868" s="237"/>
      <c r="N868" s="237"/>
      <c r="O868" s="237"/>
      <c r="P868" s="237"/>
      <c r="Q868" s="245"/>
      <c r="R868" s="237"/>
      <c r="S868" s="237"/>
      <c r="T868" s="237"/>
      <c r="U868" s="237"/>
      <c r="V868" s="237"/>
      <c r="W868" s="237"/>
      <c r="X868" s="237"/>
      <c r="Y868" s="237"/>
      <c r="Z868" s="237"/>
      <c r="AA868" s="237"/>
      <c r="AB868" s="337"/>
      <c r="AC868" s="237"/>
      <c r="AD868" s="561"/>
      <c r="AE868" s="337"/>
      <c r="AF868" s="237"/>
    </row>
    <row r="869" spans="2:32" ht="13.5" customHeight="1">
      <c r="B869" s="237"/>
      <c r="C869" s="237"/>
      <c r="D869" s="255"/>
      <c r="E869" s="237"/>
      <c r="F869" s="237"/>
      <c r="G869" s="255"/>
      <c r="H869" s="237"/>
      <c r="I869" s="237"/>
      <c r="J869" s="237"/>
      <c r="K869" s="240"/>
      <c r="L869" s="237"/>
      <c r="M869" s="237"/>
      <c r="N869" s="237"/>
      <c r="O869" s="237"/>
      <c r="P869" s="237"/>
      <c r="Q869" s="245"/>
      <c r="R869" s="237"/>
      <c r="S869" s="237"/>
      <c r="T869" s="237"/>
      <c r="U869" s="237"/>
      <c r="V869" s="237"/>
      <c r="W869" s="237"/>
      <c r="X869" s="237"/>
      <c r="Y869" s="237"/>
      <c r="Z869" s="237"/>
      <c r="AA869" s="237"/>
      <c r="AB869" s="337"/>
      <c r="AC869" s="237"/>
      <c r="AD869" s="561"/>
      <c r="AE869" s="337"/>
      <c r="AF869" s="237"/>
    </row>
    <row r="870" spans="2:32" ht="13.5" customHeight="1">
      <c r="B870" s="237"/>
      <c r="C870" s="237"/>
      <c r="D870" s="255"/>
      <c r="E870" s="237"/>
      <c r="F870" s="237"/>
      <c r="G870" s="255"/>
      <c r="H870" s="237"/>
      <c r="I870" s="237"/>
      <c r="J870" s="237"/>
      <c r="K870" s="240"/>
      <c r="L870" s="237"/>
      <c r="M870" s="237"/>
      <c r="N870" s="237"/>
      <c r="O870" s="237"/>
      <c r="P870" s="237"/>
      <c r="Q870" s="245"/>
      <c r="R870" s="237"/>
      <c r="S870" s="237"/>
      <c r="T870" s="237"/>
      <c r="U870" s="237"/>
      <c r="V870" s="237"/>
      <c r="W870" s="237"/>
      <c r="X870" s="237"/>
      <c r="Y870" s="237"/>
      <c r="Z870" s="237"/>
      <c r="AA870" s="237"/>
      <c r="AB870" s="337"/>
      <c r="AC870" s="237"/>
      <c r="AD870" s="561"/>
      <c r="AE870" s="337"/>
      <c r="AF870" s="237"/>
    </row>
    <row r="871" spans="2:32" ht="13.5" customHeight="1">
      <c r="B871" s="237"/>
      <c r="C871" s="237"/>
      <c r="D871" s="255"/>
      <c r="E871" s="237"/>
      <c r="F871" s="237"/>
      <c r="G871" s="255"/>
      <c r="H871" s="237"/>
      <c r="I871" s="237"/>
      <c r="J871" s="237"/>
      <c r="K871" s="240"/>
      <c r="L871" s="237"/>
      <c r="M871" s="237"/>
      <c r="N871" s="237"/>
      <c r="O871" s="237"/>
      <c r="P871" s="237"/>
      <c r="Q871" s="245"/>
      <c r="R871" s="237"/>
      <c r="S871" s="237"/>
      <c r="T871" s="237"/>
      <c r="U871" s="237"/>
      <c r="V871" s="237"/>
      <c r="W871" s="237"/>
      <c r="X871" s="237"/>
      <c r="Y871" s="237"/>
      <c r="Z871" s="237"/>
      <c r="AA871" s="237"/>
      <c r="AB871" s="337"/>
      <c r="AC871" s="237"/>
      <c r="AD871" s="561"/>
      <c r="AE871" s="337"/>
      <c r="AF871" s="237"/>
    </row>
    <row r="872" spans="2:32" ht="13.5" customHeight="1">
      <c r="B872" s="237"/>
      <c r="C872" s="237"/>
      <c r="D872" s="255"/>
      <c r="E872" s="237"/>
      <c r="F872" s="237"/>
      <c r="G872" s="255"/>
      <c r="H872" s="237"/>
      <c r="I872" s="237"/>
      <c r="J872" s="237"/>
      <c r="K872" s="240"/>
      <c r="L872" s="237"/>
      <c r="M872" s="237"/>
      <c r="N872" s="237"/>
      <c r="O872" s="237"/>
      <c r="P872" s="237"/>
      <c r="Q872" s="245"/>
      <c r="R872" s="237"/>
      <c r="S872" s="237"/>
      <c r="T872" s="237"/>
      <c r="U872" s="237"/>
      <c r="V872" s="237"/>
      <c r="W872" s="237"/>
      <c r="X872" s="237"/>
      <c r="Y872" s="237"/>
      <c r="Z872" s="237"/>
      <c r="AA872" s="237"/>
      <c r="AB872" s="337"/>
      <c r="AC872" s="237"/>
      <c r="AD872" s="561"/>
      <c r="AE872" s="337"/>
      <c r="AF872" s="237"/>
    </row>
    <row r="873" spans="2:32" ht="13.5" customHeight="1">
      <c r="B873" s="237"/>
      <c r="C873" s="237"/>
      <c r="D873" s="255"/>
      <c r="E873" s="237"/>
      <c r="F873" s="237"/>
      <c r="G873" s="255"/>
      <c r="H873" s="237"/>
      <c r="I873" s="237"/>
      <c r="J873" s="237"/>
      <c r="K873" s="240"/>
      <c r="L873" s="237"/>
      <c r="M873" s="237"/>
      <c r="N873" s="237"/>
      <c r="O873" s="237"/>
      <c r="P873" s="237"/>
      <c r="Q873" s="245"/>
      <c r="R873" s="237"/>
      <c r="S873" s="237"/>
      <c r="T873" s="237"/>
      <c r="U873" s="237"/>
      <c r="V873" s="237"/>
      <c r="W873" s="237"/>
      <c r="X873" s="237"/>
      <c r="Y873" s="237"/>
      <c r="Z873" s="237"/>
      <c r="AA873" s="237"/>
      <c r="AB873" s="337"/>
      <c r="AC873" s="237"/>
      <c r="AD873" s="561"/>
      <c r="AE873" s="337"/>
      <c r="AF873" s="237"/>
    </row>
    <row r="874" spans="2:32" ht="13.5" customHeight="1">
      <c r="B874" s="237"/>
      <c r="C874" s="237"/>
      <c r="D874" s="255"/>
      <c r="E874" s="237"/>
      <c r="F874" s="237"/>
      <c r="G874" s="255"/>
      <c r="H874" s="237"/>
      <c r="I874" s="237"/>
      <c r="J874" s="237"/>
      <c r="K874" s="240"/>
      <c r="L874" s="237"/>
      <c r="M874" s="237"/>
      <c r="N874" s="237"/>
      <c r="O874" s="237"/>
      <c r="P874" s="237"/>
      <c r="Q874" s="245"/>
      <c r="R874" s="237"/>
      <c r="S874" s="237"/>
      <c r="T874" s="237"/>
      <c r="U874" s="237"/>
      <c r="V874" s="237"/>
      <c r="W874" s="237"/>
      <c r="X874" s="237"/>
      <c r="Y874" s="237"/>
      <c r="Z874" s="237"/>
      <c r="AA874" s="237"/>
      <c r="AB874" s="337"/>
      <c r="AC874" s="237"/>
      <c r="AD874" s="561"/>
      <c r="AE874" s="337"/>
      <c r="AF874" s="237"/>
    </row>
    <row r="875" spans="2:32" ht="13.5" customHeight="1">
      <c r="B875" s="237"/>
      <c r="C875" s="237"/>
      <c r="D875" s="255"/>
      <c r="E875" s="237"/>
      <c r="F875" s="237"/>
      <c r="G875" s="255"/>
      <c r="H875" s="237"/>
      <c r="I875" s="237"/>
      <c r="J875" s="237"/>
      <c r="K875" s="240"/>
      <c r="L875" s="237"/>
      <c r="M875" s="237"/>
      <c r="N875" s="237"/>
      <c r="O875" s="237"/>
      <c r="P875" s="237"/>
      <c r="Q875" s="245"/>
      <c r="R875" s="237"/>
      <c r="S875" s="237"/>
      <c r="T875" s="237"/>
      <c r="U875" s="237"/>
      <c r="V875" s="237"/>
      <c r="W875" s="237"/>
      <c r="X875" s="237"/>
      <c r="Y875" s="237"/>
      <c r="Z875" s="237"/>
      <c r="AA875" s="237"/>
      <c r="AB875" s="337"/>
      <c r="AC875" s="237"/>
      <c r="AD875" s="561"/>
      <c r="AE875" s="337"/>
      <c r="AF875" s="237"/>
    </row>
    <row r="876" spans="2:32" ht="13.5" customHeight="1">
      <c r="B876" s="237"/>
      <c r="C876" s="237"/>
      <c r="D876" s="255"/>
      <c r="E876" s="237"/>
      <c r="F876" s="237"/>
      <c r="G876" s="255"/>
      <c r="H876" s="237"/>
      <c r="I876" s="237"/>
      <c r="J876" s="237"/>
      <c r="K876" s="240"/>
      <c r="L876" s="237"/>
      <c r="M876" s="237"/>
      <c r="N876" s="237"/>
      <c r="O876" s="237"/>
      <c r="P876" s="237"/>
      <c r="Q876" s="245"/>
      <c r="R876" s="237"/>
      <c r="S876" s="237"/>
      <c r="T876" s="237"/>
      <c r="U876" s="237"/>
      <c r="V876" s="237"/>
      <c r="W876" s="237"/>
      <c r="X876" s="237"/>
      <c r="Y876" s="237"/>
      <c r="Z876" s="237"/>
      <c r="AA876" s="237"/>
      <c r="AB876" s="337"/>
      <c r="AC876" s="237"/>
      <c r="AD876" s="561"/>
      <c r="AE876" s="337"/>
      <c r="AF876" s="237"/>
    </row>
    <row r="877" spans="2:32" ht="13.5" customHeight="1">
      <c r="B877" s="237"/>
      <c r="C877" s="237"/>
      <c r="D877" s="255"/>
      <c r="E877" s="237"/>
      <c r="F877" s="237"/>
      <c r="G877" s="255"/>
      <c r="H877" s="237"/>
      <c r="I877" s="237"/>
      <c r="J877" s="237"/>
      <c r="K877" s="240"/>
      <c r="L877" s="237"/>
      <c r="M877" s="237"/>
      <c r="N877" s="237"/>
      <c r="O877" s="237"/>
      <c r="P877" s="237"/>
      <c r="Q877" s="245"/>
      <c r="R877" s="237"/>
      <c r="S877" s="237"/>
      <c r="T877" s="237"/>
      <c r="U877" s="237"/>
      <c r="V877" s="237"/>
      <c r="W877" s="237"/>
      <c r="X877" s="237"/>
      <c r="Y877" s="237"/>
      <c r="Z877" s="237"/>
      <c r="AA877" s="237"/>
      <c r="AB877" s="337"/>
      <c r="AC877" s="237"/>
      <c r="AD877" s="561"/>
      <c r="AE877" s="337"/>
      <c r="AF877" s="237"/>
    </row>
    <row r="878" spans="2:32" ht="13.5" customHeight="1">
      <c r="B878" s="237"/>
      <c r="C878" s="237"/>
      <c r="D878" s="255"/>
      <c r="E878" s="237"/>
      <c r="F878" s="237"/>
      <c r="G878" s="255"/>
      <c r="H878" s="237"/>
      <c r="I878" s="237"/>
      <c r="J878" s="237"/>
      <c r="K878" s="240"/>
      <c r="L878" s="237"/>
      <c r="M878" s="237"/>
      <c r="N878" s="237"/>
      <c r="O878" s="237"/>
      <c r="P878" s="237"/>
      <c r="Q878" s="245"/>
      <c r="R878" s="237"/>
      <c r="S878" s="237"/>
      <c r="T878" s="237"/>
      <c r="U878" s="237"/>
      <c r="V878" s="237"/>
      <c r="W878" s="237"/>
      <c r="X878" s="237"/>
      <c r="Y878" s="237"/>
      <c r="Z878" s="237"/>
      <c r="AA878" s="237"/>
      <c r="AB878" s="337"/>
      <c r="AC878" s="237"/>
      <c r="AD878" s="561"/>
      <c r="AE878" s="337"/>
      <c r="AF878" s="237"/>
    </row>
    <row r="879" spans="2:32" ht="13.5" customHeight="1">
      <c r="B879" s="237"/>
      <c r="C879" s="237"/>
      <c r="D879" s="255"/>
      <c r="E879" s="237"/>
      <c r="F879" s="237"/>
      <c r="G879" s="255"/>
      <c r="H879" s="237"/>
      <c r="I879" s="237"/>
      <c r="J879" s="237"/>
      <c r="K879" s="240"/>
      <c r="L879" s="237"/>
      <c r="M879" s="237"/>
      <c r="N879" s="237"/>
      <c r="O879" s="237"/>
      <c r="P879" s="237"/>
      <c r="Q879" s="245"/>
      <c r="R879" s="237"/>
      <c r="S879" s="237"/>
      <c r="T879" s="237"/>
      <c r="U879" s="237"/>
      <c r="V879" s="237"/>
      <c r="W879" s="237"/>
      <c r="X879" s="237"/>
      <c r="Y879" s="237"/>
      <c r="Z879" s="237"/>
      <c r="AA879" s="237"/>
      <c r="AB879" s="337"/>
      <c r="AC879" s="237"/>
      <c r="AD879" s="561"/>
      <c r="AE879" s="337"/>
      <c r="AF879" s="237"/>
    </row>
    <row r="880" spans="2:32" ht="13.5" customHeight="1">
      <c r="B880" s="237"/>
      <c r="C880" s="237"/>
      <c r="D880" s="255"/>
      <c r="E880" s="237"/>
      <c r="F880" s="237"/>
      <c r="G880" s="255"/>
      <c r="H880" s="237"/>
      <c r="I880" s="237"/>
      <c r="J880" s="237"/>
      <c r="K880" s="240"/>
      <c r="L880" s="237"/>
      <c r="M880" s="237"/>
      <c r="N880" s="237"/>
      <c r="O880" s="237"/>
      <c r="P880" s="237"/>
      <c r="Q880" s="245"/>
      <c r="R880" s="237"/>
      <c r="S880" s="237"/>
      <c r="T880" s="237"/>
      <c r="U880" s="237"/>
      <c r="V880" s="237"/>
      <c r="W880" s="237"/>
      <c r="X880" s="237"/>
      <c r="Y880" s="237"/>
      <c r="Z880" s="237"/>
      <c r="AA880" s="237"/>
      <c r="AB880" s="337"/>
      <c r="AC880" s="237"/>
      <c r="AD880" s="561"/>
      <c r="AE880" s="337"/>
      <c r="AF880" s="237"/>
    </row>
    <row r="881" spans="2:32" ht="13.5" customHeight="1">
      <c r="B881" s="237"/>
      <c r="C881" s="237"/>
      <c r="D881" s="255"/>
      <c r="E881" s="237"/>
      <c r="F881" s="237"/>
      <c r="G881" s="255"/>
      <c r="H881" s="237"/>
      <c r="I881" s="237"/>
      <c r="J881" s="237"/>
      <c r="K881" s="240"/>
      <c r="L881" s="237"/>
      <c r="M881" s="237"/>
      <c r="N881" s="237"/>
      <c r="O881" s="237"/>
      <c r="P881" s="237"/>
      <c r="Q881" s="245"/>
      <c r="R881" s="237"/>
      <c r="S881" s="237"/>
      <c r="T881" s="237"/>
      <c r="U881" s="237"/>
      <c r="V881" s="237"/>
      <c r="W881" s="237"/>
      <c r="X881" s="237"/>
      <c r="Y881" s="237"/>
      <c r="Z881" s="237"/>
      <c r="AA881" s="237"/>
      <c r="AB881" s="337"/>
      <c r="AC881" s="237"/>
      <c r="AD881" s="561"/>
      <c r="AE881" s="337"/>
      <c r="AF881" s="237"/>
    </row>
    <row r="882" spans="2:32" ht="13.5" customHeight="1">
      <c r="B882" s="237"/>
      <c r="C882" s="237"/>
      <c r="D882" s="255"/>
      <c r="E882" s="237"/>
      <c r="F882" s="237"/>
      <c r="G882" s="255"/>
      <c r="H882" s="237"/>
      <c r="I882" s="237"/>
      <c r="J882" s="237"/>
      <c r="K882" s="240"/>
      <c r="L882" s="237"/>
      <c r="M882" s="237"/>
      <c r="N882" s="237"/>
      <c r="O882" s="237"/>
      <c r="P882" s="237"/>
      <c r="Q882" s="245"/>
      <c r="R882" s="237"/>
      <c r="S882" s="237"/>
      <c r="T882" s="237"/>
      <c r="U882" s="237"/>
      <c r="V882" s="237"/>
      <c r="W882" s="237"/>
      <c r="X882" s="237"/>
      <c r="Y882" s="237"/>
      <c r="Z882" s="237"/>
      <c r="AA882" s="237"/>
      <c r="AB882" s="337"/>
      <c r="AC882" s="237"/>
      <c r="AD882" s="561"/>
      <c r="AE882" s="337"/>
      <c r="AF882" s="237"/>
    </row>
    <row r="883" spans="2:32" ht="13.5" customHeight="1">
      <c r="B883" s="237"/>
      <c r="C883" s="237"/>
      <c r="D883" s="255"/>
      <c r="E883" s="237"/>
      <c r="F883" s="237"/>
      <c r="G883" s="255"/>
      <c r="H883" s="237"/>
      <c r="I883" s="237"/>
      <c r="J883" s="237"/>
      <c r="K883" s="240"/>
      <c r="L883" s="237"/>
      <c r="M883" s="237"/>
      <c r="N883" s="237"/>
      <c r="O883" s="237"/>
      <c r="P883" s="237"/>
      <c r="Q883" s="245"/>
      <c r="R883" s="237"/>
      <c r="S883" s="237"/>
      <c r="T883" s="237"/>
      <c r="U883" s="237"/>
      <c r="V883" s="237"/>
      <c r="W883" s="237"/>
      <c r="X883" s="237"/>
      <c r="Y883" s="237"/>
      <c r="Z883" s="237"/>
      <c r="AA883" s="237"/>
      <c r="AB883" s="337"/>
      <c r="AC883" s="237"/>
      <c r="AD883" s="561"/>
      <c r="AE883" s="337"/>
      <c r="AF883" s="237"/>
    </row>
    <row r="884" spans="2:32" ht="13.5" customHeight="1">
      <c r="B884" s="237"/>
      <c r="C884" s="237"/>
      <c r="D884" s="255"/>
      <c r="E884" s="237"/>
      <c r="F884" s="237"/>
      <c r="G884" s="255"/>
      <c r="H884" s="237"/>
      <c r="I884" s="237"/>
      <c r="J884" s="237"/>
      <c r="K884" s="240"/>
      <c r="L884" s="237"/>
      <c r="M884" s="237"/>
      <c r="N884" s="237"/>
      <c r="O884" s="237"/>
      <c r="P884" s="237"/>
      <c r="Q884" s="245"/>
      <c r="R884" s="237"/>
      <c r="S884" s="237"/>
      <c r="T884" s="237"/>
      <c r="U884" s="237"/>
      <c r="V884" s="237"/>
      <c r="W884" s="237"/>
      <c r="X884" s="237"/>
      <c r="Y884" s="237"/>
      <c r="Z884" s="237"/>
      <c r="AA884" s="237"/>
      <c r="AB884" s="337"/>
      <c r="AC884" s="237"/>
      <c r="AD884" s="561"/>
      <c r="AE884" s="337"/>
      <c r="AF884" s="237"/>
    </row>
    <row r="885" spans="2:32" ht="13.5" customHeight="1">
      <c r="B885" s="237"/>
      <c r="C885" s="237"/>
      <c r="D885" s="255"/>
      <c r="E885" s="237"/>
      <c r="F885" s="237"/>
      <c r="G885" s="255"/>
      <c r="H885" s="237"/>
      <c r="I885" s="237"/>
      <c r="J885" s="237"/>
      <c r="K885" s="240"/>
      <c r="L885" s="237"/>
      <c r="M885" s="237"/>
      <c r="N885" s="237"/>
      <c r="O885" s="237"/>
      <c r="P885" s="237"/>
      <c r="Q885" s="245"/>
      <c r="R885" s="237"/>
      <c r="S885" s="237"/>
      <c r="T885" s="237"/>
      <c r="U885" s="237"/>
      <c r="V885" s="237"/>
      <c r="W885" s="237"/>
      <c r="X885" s="237"/>
      <c r="Y885" s="237"/>
      <c r="Z885" s="237"/>
      <c r="AA885" s="237"/>
      <c r="AB885" s="337"/>
      <c r="AC885" s="237"/>
      <c r="AD885" s="561"/>
      <c r="AE885" s="337"/>
      <c r="AF885" s="237"/>
    </row>
    <row r="886" spans="2:32" ht="13.5" customHeight="1">
      <c r="B886" s="237"/>
      <c r="C886" s="237"/>
      <c r="D886" s="255"/>
      <c r="E886" s="237"/>
      <c r="F886" s="237"/>
      <c r="G886" s="255"/>
      <c r="H886" s="237"/>
      <c r="I886" s="237"/>
      <c r="J886" s="237"/>
      <c r="K886" s="240"/>
      <c r="L886" s="237"/>
      <c r="M886" s="237"/>
      <c r="N886" s="237"/>
      <c r="O886" s="237"/>
      <c r="P886" s="237"/>
      <c r="Q886" s="245"/>
      <c r="R886" s="237"/>
      <c r="S886" s="237"/>
      <c r="T886" s="237"/>
      <c r="U886" s="237"/>
      <c r="V886" s="237"/>
      <c r="W886" s="237"/>
      <c r="X886" s="237"/>
      <c r="Y886" s="237"/>
      <c r="Z886" s="237"/>
      <c r="AA886" s="237"/>
      <c r="AB886" s="337"/>
      <c r="AC886" s="237"/>
      <c r="AD886" s="561"/>
      <c r="AE886" s="337"/>
      <c r="AF886" s="237"/>
    </row>
    <row r="887" spans="2:32" ht="13.5" customHeight="1">
      <c r="B887" s="237"/>
      <c r="C887" s="237"/>
      <c r="D887" s="255"/>
      <c r="E887" s="237"/>
      <c r="F887" s="237"/>
      <c r="G887" s="255"/>
      <c r="H887" s="237"/>
      <c r="I887" s="237"/>
      <c r="J887" s="237"/>
      <c r="K887" s="240"/>
      <c r="L887" s="237"/>
      <c r="M887" s="237"/>
      <c r="N887" s="237"/>
      <c r="O887" s="237"/>
      <c r="P887" s="237"/>
      <c r="Q887" s="245"/>
      <c r="R887" s="237"/>
      <c r="S887" s="237"/>
      <c r="T887" s="237"/>
      <c r="U887" s="237"/>
      <c r="V887" s="237"/>
      <c r="W887" s="237"/>
      <c r="X887" s="237"/>
      <c r="Y887" s="237"/>
      <c r="Z887" s="237"/>
      <c r="AA887" s="237"/>
      <c r="AB887" s="337"/>
      <c r="AC887" s="237"/>
      <c r="AD887" s="561"/>
      <c r="AE887" s="337"/>
      <c r="AF887" s="237"/>
    </row>
    <row r="888" spans="2:32" ht="13.5" customHeight="1">
      <c r="B888" s="237"/>
      <c r="C888" s="237"/>
      <c r="D888" s="255"/>
      <c r="E888" s="237"/>
      <c r="F888" s="237"/>
      <c r="G888" s="255"/>
      <c r="H888" s="237"/>
      <c r="I888" s="237"/>
      <c r="J888" s="237"/>
      <c r="K888" s="240"/>
      <c r="L888" s="237"/>
      <c r="M888" s="237"/>
      <c r="N888" s="237"/>
      <c r="O888" s="237"/>
      <c r="P888" s="237"/>
      <c r="Q888" s="245"/>
      <c r="R888" s="237"/>
      <c r="S888" s="237"/>
      <c r="T888" s="237"/>
      <c r="U888" s="237"/>
      <c r="V888" s="237"/>
      <c r="W888" s="237"/>
      <c r="X888" s="237"/>
      <c r="Y888" s="237"/>
      <c r="Z888" s="237"/>
      <c r="AA888" s="237"/>
      <c r="AB888" s="337"/>
      <c r="AC888" s="237"/>
      <c r="AD888" s="561"/>
      <c r="AE888" s="337"/>
      <c r="AF888" s="237"/>
    </row>
    <row r="889" spans="2:32" ht="13.5" customHeight="1">
      <c r="B889" s="237"/>
      <c r="C889" s="237"/>
      <c r="D889" s="255"/>
      <c r="E889" s="237"/>
      <c r="F889" s="237"/>
      <c r="G889" s="255"/>
      <c r="H889" s="237"/>
      <c r="I889" s="237"/>
      <c r="J889" s="237"/>
      <c r="K889" s="240"/>
      <c r="L889" s="237"/>
      <c r="M889" s="237"/>
      <c r="N889" s="237"/>
      <c r="O889" s="237"/>
      <c r="P889" s="237"/>
      <c r="Q889" s="245"/>
      <c r="R889" s="237"/>
      <c r="S889" s="237"/>
      <c r="T889" s="237"/>
      <c r="U889" s="237"/>
      <c r="V889" s="237"/>
      <c r="W889" s="237"/>
      <c r="X889" s="237"/>
      <c r="Y889" s="237"/>
      <c r="Z889" s="237"/>
      <c r="AA889" s="237"/>
      <c r="AB889" s="337"/>
      <c r="AC889" s="237"/>
      <c r="AD889" s="561"/>
      <c r="AE889" s="337"/>
      <c r="AF889" s="237"/>
    </row>
    <row r="890" spans="2:32" ht="13.5" customHeight="1">
      <c r="B890" s="237"/>
      <c r="C890" s="237"/>
      <c r="D890" s="255"/>
      <c r="E890" s="237"/>
      <c r="F890" s="237"/>
      <c r="G890" s="255"/>
      <c r="H890" s="237"/>
      <c r="I890" s="237"/>
      <c r="J890" s="237"/>
      <c r="K890" s="240"/>
      <c r="L890" s="237"/>
      <c r="M890" s="237"/>
      <c r="N890" s="237"/>
      <c r="O890" s="237"/>
      <c r="P890" s="237"/>
      <c r="Q890" s="245"/>
      <c r="R890" s="237"/>
      <c r="S890" s="237"/>
      <c r="T890" s="237"/>
      <c r="U890" s="237"/>
      <c r="V890" s="237"/>
      <c r="W890" s="237"/>
      <c r="X890" s="237"/>
      <c r="Y890" s="237"/>
      <c r="Z890" s="237"/>
      <c r="AA890" s="237"/>
      <c r="AB890" s="337"/>
      <c r="AC890" s="237"/>
      <c r="AD890" s="561"/>
      <c r="AE890" s="337"/>
      <c r="AF890" s="237"/>
    </row>
    <row r="891" spans="2:32" ht="13.5" customHeight="1">
      <c r="B891" s="237"/>
      <c r="C891" s="237"/>
      <c r="D891" s="255"/>
      <c r="E891" s="237"/>
      <c r="F891" s="237"/>
      <c r="G891" s="255"/>
      <c r="H891" s="237"/>
      <c r="I891" s="237"/>
      <c r="J891" s="237"/>
      <c r="K891" s="240"/>
      <c r="L891" s="237"/>
      <c r="M891" s="237"/>
      <c r="N891" s="237"/>
      <c r="O891" s="237"/>
      <c r="P891" s="237"/>
      <c r="Q891" s="245"/>
      <c r="R891" s="237"/>
      <c r="S891" s="237"/>
      <c r="T891" s="237"/>
      <c r="U891" s="237"/>
      <c r="V891" s="237"/>
      <c r="W891" s="237"/>
      <c r="X891" s="237"/>
      <c r="Y891" s="237"/>
      <c r="Z891" s="237"/>
      <c r="AA891" s="237"/>
      <c r="AB891" s="337"/>
      <c r="AC891" s="237"/>
      <c r="AD891" s="561"/>
      <c r="AE891" s="337"/>
      <c r="AF891" s="237"/>
    </row>
    <row r="892" spans="2:32" ht="13.5" customHeight="1">
      <c r="B892" s="237"/>
      <c r="C892" s="237"/>
      <c r="D892" s="255"/>
      <c r="E892" s="237"/>
      <c r="F892" s="237"/>
      <c r="G892" s="255"/>
      <c r="H892" s="237"/>
      <c r="I892" s="237"/>
      <c r="J892" s="237"/>
      <c r="K892" s="240"/>
      <c r="L892" s="237"/>
      <c r="M892" s="237"/>
      <c r="N892" s="237"/>
      <c r="O892" s="237"/>
      <c r="P892" s="237"/>
      <c r="Q892" s="245"/>
      <c r="R892" s="237"/>
      <c r="S892" s="237"/>
      <c r="T892" s="237"/>
      <c r="U892" s="237"/>
      <c r="V892" s="237"/>
      <c r="W892" s="237"/>
      <c r="X892" s="237"/>
      <c r="Y892" s="237"/>
      <c r="Z892" s="237"/>
      <c r="AA892" s="237"/>
      <c r="AB892" s="337"/>
      <c r="AC892" s="237"/>
      <c r="AD892" s="561"/>
      <c r="AE892" s="337"/>
      <c r="AF892" s="237"/>
    </row>
    <row r="893" spans="2:32" ht="13.5" customHeight="1">
      <c r="B893" s="237"/>
      <c r="C893" s="237"/>
      <c r="D893" s="255"/>
      <c r="E893" s="237"/>
      <c r="F893" s="237"/>
      <c r="G893" s="255"/>
      <c r="H893" s="237"/>
      <c r="I893" s="237"/>
      <c r="J893" s="237"/>
      <c r="K893" s="240"/>
      <c r="L893" s="237"/>
      <c r="M893" s="237"/>
      <c r="N893" s="237"/>
      <c r="O893" s="237"/>
      <c r="P893" s="237"/>
      <c r="Q893" s="245"/>
      <c r="R893" s="237"/>
      <c r="S893" s="237"/>
      <c r="T893" s="237"/>
      <c r="U893" s="237"/>
      <c r="V893" s="237"/>
      <c r="W893" s="237"/>
      <c r="X893" s="237"/>
      <c r="Y893" s="237"/>
      <c r="Z893" s="237"/>
      <c r="AA893" s="237"/>
      <c r="AB893" s="337"/>
      <c r="AC893" s="237"/>
      <c r="AD893" s="561"/>
      <c r="AE893" s="337"/>
      <c r="AF893" s="237"/>
    </row>
    <row r="894" spans="2:32" ht="13.5" customHeight="1">
      <c r="B894" s="237"/>
      <c r="C894" s="237"/>
      <c r="D894" s="255"/>
      <c r="E894" s="237"/>
      <c r="F894" s="237"/>
      <c r="G894" s="255"/>
      <c r="H894" s="237"/>
      <c r="I894" s="237"/>
      <c r="J894" s="237"/>
      <c r="K894" s="240"/>
      <c r="L894" s="237"/>
      <c r="M894" s="237"/>
      <c r="N894" s="237"/>
      <c r="O894" s="237"/>
      <c r="P894" s="237"/>
      <c r="Q894" s="245"/>
      <c r="R894" s="237"/>
      <c r="S894" s="237"/>
      <c r="T894" s="237"/>
      <c r="U894" s="237"/>
      <c r="V894" s="237"/>
      <c r="W894" s="237"/>
      <c r="X894" s="237"/>
      <c r="Y894" s="237"/>
      <c r="Z894" s="237"/>
      <c r="AA894" s="237"/>
      <c r="AB894" s="337"/>
      <c r="AC894" s="237"/>
      <c r="AD894" s="561"/>
      <c r="AE894" s="337"/>
      <c r="AF894" s="237"/>
    </row>
    <row r="895" spans="2:32" ht="13.5" customHeight="1">
      <c r="B895" s="237"/>
      <c r="C895" s="237"/>
      <c r="D895" s="255"/>
      <c r="E895" s="237"/>
      <c r="F895" s="237"/>
      <c r="G895" s="255"/>
      <c r="H895" s="237"/>
      <c r="I895" s="237"/>
      <c r="J895" s="237"/>
      <c r="K895" s="240"/>
      <c r="L895" s="237"/>
      <c r="M895" s="237"/>
      <c r="N895" s="237"/>
      <c r="O895" s="237"/>
      <c r="P895" s="237"/>
      <c r="Q895" s="245"/>
      <c r="R895" s="237"/>
      <c r="S895" s="237"/>
      <c r="T895" s="237"/>
      <c r="U895" s="237"/>
      <c r="V895" s="237"/>
      <c r="W895" s="237"/>
      <c r="X895" s="237"/>
      <c r="Y895" s="237"/>
      <c r="Z895" s="237"/>
      <c r="AA895" s="237"/>
      <c r="AB895" s="337"/>
      <c r="AC895" s="237"/>
      <c r="AD895" s="561"/>
      <c r="AE895" s="337"/>
      <c r="AF895" s="237"/>
    </row>
    <row r="896" spans="2:32" ht="13.5" customHeight="1">
      <c r="B896" s="237"/>
      <c r="C896" s="237"/>
      <c r="D896" s="255"/>
      <c r="E896" s="237"/>
      <c r="F896" s="237"/>
      <c r="G896" s="255"/>
      <c r="H896" s="237"/>
      <c r="I896" s="237"/>
      <c r="J896" s="237"/>
      <c r="K896" s="240"/>
      <c r="L896" s="237"/>
      <c r="M896" s="237"/>
      <c r="N896" s="237"/>
      <c r="O896" s="237"/>
      <c r="P896" s="237"/>
      <c r="Q896" s="245"/>
      <c r="R896" s="237"/>
      <c r="S896" s="237"/>
      <c r="T896" s="237"/>
      <c r="U896" s="237"/>
      <c r="V896" s="237"/>
      <c r="W896" s="237"/>
      <c r="X896" s="237"/>
      <c r="Y896" s="237"/>
      <c r="Z896" s="237"/>
      <c r="AA896" s="237"/>
      <c r="AB896" s="337"/>
      <c r="AC896" s="237"/>
      <c r="AD896" s="561"/>
      <c r="AE896" s="337"/>
      <c r="AF896" s="237"/>
    </row>
    <row r="897" spans="2:32" ht="13.5" customHeight="1">
      <c r="B897" s="237"/>
      <c r="C897" s="237"/>
      <c r="D897" s="255"/>
      <c r="E897" s="237"/>
      <c r="F897" s="237"/>
      <c r="G897" s="255"/>
      <c r="H897" s="237"/>
      <c r="I897" s="237"/>
      <c r="J897" s="237"/>
      <c r="K897" s="240"/>
      <c r="L897" s="237"/>
      <c r="M897" s="237"/>
      <c r="N897" s="237"/>
      <c r="O897" s="237"/>
      <c r="P897" s="237"/>
      <c r="Q897" s="245"/>
      <c r="R897" s="237"/>
      <c r="S897" s="237"/>
      <c r="T897" s="237"/>
      <c r="U897" s="237"/>
      <c r="V897" s="237"/>
      <c r="W897" s="237"/>
      <c r="X897" s="237"/>
      <c r="Y897" s="237"/>
      <c r="Z897" s="237"/>
      <c r="AA897" s="237"/>
      <c r="AB897" s="337"/>
      <c r="AC897" s="237"/>
      <c r="AD897" s="561"/>
      <c r="AE897" s="337"/>
      <c r="AF897" s="237"/>
    </row>
    <row r="898" spans="2:32" ht="13.5" customHeight="1">
      <c r="B898" s="237"/>
      <c r="C898" s="237"/>
      <c r="D898" s="255"/>
      <c r="E898" s="237"/>
      <c r="F898" s="237"/>
      <c r="G898" s="255"/>
      <c r="H898" s="237"/>
      <c r="I898" s="237"/>
      <c r="J898" s="237"/>
      <c r="K898" s="240"/>
      <c r="L898" s="237"/>
      <c r="M898" s="237"/>
      <c r="N898" s="237"/>
      <c r="O898" s="237"/>
      <c r="P898" s="237"/>
      <c r="Q898" s="245"/>
      <c r="R898" s="237"/>
      <c r="S898" s="237"/>
      <c r="T898" s="237"/>
      <c r="U898" s="237"/>
      <c r="V898" s="237"/>
      <c r="W898" s="237"/>
      <c r="X898" s="237"/>
      <c r="Y898" s="237"/>
      <c r="Z898" s="237"/>
      <c r="AA898" s="237"/>
      <c r="AB898" s="337"/>
      <c r="AC898" s="237"/>
      <c r="AD898" s="561"/>
      <c r="AE898" s="337"/>
      <c r="AF898" s="237"/>
    </row>
    <row r="899" spans="2:32" ht="13.5" customHeight="1">
      <c r="B899" s="237"/>
      <c r="C899" s="237"/>
      <c r="D899" s="255"/>
      <c r="E899" s="237"/>
      <c r="F899" s="237"/>
      <c r="G899" s="255"/>
      <c r="H899" s="237"/>
      <c r="I899" s="237"/>
      <c r="J899" s="237"/>
      <c r="K899" s="240"/>
      <c r="L899" s="237"/>
      <c r="M899" s="237"/>
      <c r="N899" s="237"/>
      <c r="O899" s="237"/>
      <c r="P899" s="237"/>
      <c r="Q899" s="245"/>
      <c r="R899" s="237"/>
      <c r="S899" s="237"/>
      <c r="T899" s="237"/>
      <c r="U899" s="237"/>
      <c r="V899" s="237"/>
      <c r="W899" s="237"/>
      <c r="X899" s="237"/>
      <c r="Y899" s="237"/>
      <c r="Z899" s="237"/>
      <c r="AA899" s="237"/>
      <c r="AB899" s="337"/>
      <c r="AC899" s="237"/>
      <c r="AD899" s="561"/>
      <c r="AE899" s="337"/>
      <c r="AF899" s="237"/>
    </row>
    <row r="900" spans="2:32" ht="13.5" customHeight="1">
      <c r="B900" s="237"/>
      <c r="C900" s="237"/>
      <c r="D900" s="255"/>
      <c r="E900" s="237"/>
      <c r="F900" s="237"/>
      <c r="G900" s="255"/>
      <c r="H900" s="237"/>
      <c r="I900" s="237"/>
      <c r="J900" s="237"/>
      <c r="K900" s="240"/>
      <c r="L900" s="237"/>
      <c r="M900" s="237"/>
      <c r="N900" s="237"/>
      <c r="O900" s="237"/>
      <c r="P900" s="237"/>
      <c r="Q900" s="245"/>
      <c r="R900" s="237"/>
      <c r="S900" s="237"/>
      <c r="T900" s="237"/>
      <c r="U900" s="237"/>
      <c r="V900" s="237"/>
      <c r="W900" s="237"/>
      <c r="X900" s="237"/>
      <c r="Y900" s="237"/>
      <c r="Z900" s="237"/>
      <c r="AA900" s="237"/>
      <c r="AB900" s="337"/>
      <c r="AC900" s="237"/>
      <c r="AD900" s="561"/>
      <c r="AE900" s="337"/>
      <c r="AF900" s="237"/>
    </row>
    <row r="901" spans="2:32" ht="13.5" customHeight="1">
      <c r="B901" s="237"/>
      <c r="C901" s="237"/>
      <c r="D901" s="255"/>
      <c r="E901" s="237"/>
      <c r="F901" s="237"/>
      <c r="G901" s="255"/>
      <c r="H901" s="237"/>
      <c r="I901" s="237"/>
      <c r="J901" s="237"/>
      <c r="K901" s="240"/>
      <c r="L901" s="237"/>
      <c r="M901" s="237"/>
      <c r="N901" s="237"/>
      <c r="O901" s="237"/>
      <c r="P901" s="237"/>
      <c r="Q901" s="245"/>
      <c r="R901" s="237"/>
      <c r="S901" s="237"/>
      <c r="T901" s="237"/>
      <c r="U901" s="237"/>
      <c r="V901" s="237"/>
      <c r="W901" s="237"/>
      <c r="X901" s="237"/>
      <c r="Y901" s="237"/>
      <c r="Z901" s="237"/>
      <c r="AA901" s="237"/>
      <c r="AB901" s="337"/>
      <c r="AC901" s="237"/>
      <c r="AD901" s="561"/>
      <c r="AE901" s="337"/>
      <c r="AF901" s="237"/>
    </row>
    <row r="902" spans="2:32" ht="13.5" customHeight="1">
      <c r="B902" s="237"/>
      <c r="C902" s="237"/>
      <c r="D902" s="255"/>
      <c r="E902" s="237"/>
      <c r="F902" s="237"/>
      <c r="G902" s="255"/>
      <c r="H902" s="237"/>
      <c r="I902" s="237"/>
      <c r="J902" s="237"/>
      <c r="K902" s="240"/>
      <c r="L902" s="237"/>
      <c r="M902" s="237"/>
      <c r="N902" s="237"/>
      <c r="O902" s="237"/>
      <c r="P902" s="237"/>
      <c r="Q902" s="245"/>
      <c r="R902" s="237"/>
      <c r="S902" s="237"/>
      <c r="T902" s="237"/>
      <c r="U902" s="237"/>
      <c r="V902" s="237"/>
      <c r="W902" s="237"/>
      <c r="X902" s="237"/>
      <c r="Y902" s="237"/>
      <c r="Z902" s="237"/>
      <c r="AA902" s="237"/>
      <c r="AB902" s="337"/>
      <c r="AC902" s="237"/>
      <c r="AD902" s="561"/>
      <c r="AE902" s="337"/>
      <c r="AF902" s="237"/>
    </row>
    <row r="903" spans="2:32" ht="13.5" customHeight="1">
      <c r="B903" s="237"/>
      <c r="C903" s="237"/>
      <c r="D903" s="255"/>
      <c r="E903" s="237"/>
      <c r="F903" s="237"/>
      <c r="G903" s="255"/>
      <c r="H903" s="237"/>
      <c r="I903" s="237"/>
      <c r="J903" s="237"/>
      <c r="K903" s="240"/>
      <c r="L903" s="237"/>
      <c r="M903" s="237"/>
      <c r="N903" s="237"/>
      <c r="O903" s="237"/>
      <c r="P903" s="237"/>
      <c r="Q903" s="245"/>
      <c r="R903" s="237"/>
      <c r="S903" s="237"/>
      <c r="T903" s="237"/>
      <c r="U903" s="237"/>
      <c r="V903" s="237"/>
      <c r="W903" s="237"/>
      <c r="X903" s="237"/>
      <c r="Y903" s="237"/>
      <c r="Z903" s="237"/>
      <c r="AA903" s="237"/>
      <c r="AB903" s="337"/>
      <c r="AC903" s="237"/>
      <c r="AD903" s="561"/>
      <c r="AE903" s="337"/>
      <c r="AF903" s="237"/>
    </row>
    <row r="904" spans="2:32" ht="13.5" customHeight="1">
      <c r="B904" s="237"/>
      <c r="C904" s="237"/>
      <c r="D904" s="255"/>
      <c r="E904" s="237"/>
      <c r="F904" s="237"/>
      <c r="G904" s="255"/>
      <c r="H904" s="237"/>
      <c r="I904" s="237"/>
      <c r="J904" s="237"/>
      <c r="K904" s="240"/>
      <c r="L904" s="237"/>
      <c r="M904" s="237"/>
      <c r="N904" s="237"/>
      <c r="O904" s="237"/>
      <c r="P904" s="237"/>
      <c r="Q904" s="245"/>
      <c r="R904" s="237"/>
      <c r="S904" s="237"/>
      <c r="T904" s="237"/>
      <c r="U904" s="237"/>
      <c r="V904" s="237"/>
      <c r="W904" s="237"/>
      <c r="X904" s="237"/>
      <c r="Y904" s="237"/>
      <c r="Z904" s="237"/>
      <c r="AA904" s="237"/>
      <c r="AB904" s="337"/>
      <c r="AC904" s="237"/>
      <c r="AD904" s="561"/>
      <c r="AE904" s="337"/>
      <c r="AF904" s="237"/>
    </row>
    <row r="905" spans="2:32" ht="13.5" customHeight="1">
      <c r="B905" s="237"/>
      <c r="C905" s="237"/>
      <c r="D905" s="255"/>
      <c r="E905" s="237"/>
      <c r="F905" s="237"/>
      <c r="G905" s="255"/>
      <c r="H905" s="237"/>
      <c r="I905" s="237"/>
      <c r="J905" s="237"/>
      <c r="K905" s="240"/>
      <c r="L905" s="237"/>
      <c r="M905" s="237"/>
      <c r="N905" s="237"/>
      <c r="O905" s="237"/>
      <c r="P905" s="237"/>
      <c r="Q905" s="245"/>
      <c r="R905" s="237"/>
      <c r="S905" s="237"/>
      <c r="T905" s="237"/>
      <c r="U905" s="237"/>
      <c r="V905" s="237"/>
      <c r="W905" s="237"/>
      <c r="X905" s="237"/>
      <c r="Y905" s="237"/>
      <c r="Z905" s="237"/>
      <c r="AA905" s="237"/>
      <c r="AB905" s="337"/>
      <c r="AC905" s="237"/>
      <c r="AD905" s="561"/>
      <c r="AE905" s="337"/>
      <c r="AF905" s="237"/>
    </row>
    <row r="906" spans="2:32" ht="13.5" customHeight="1">
      <c r="B906" s="237"/>
      <c r="C906" s="237"/>
      <c r="D906" s="255"/>
      <c r="E906" s="237"/>
      <c r="F906" s="237"/>
      <c r="G906" s="255"/>
      <c r="H906" s="237"/>
      <c r="I906" s="237"/>
      <c r="J906" s="237"/>
      <c r="K906" s="240"/>
      <c r="L906" s="237"/>
      <c r="M906" s="237"/>
      <c r="N906" s="237"/>
      <c r="O906" s="237"/>
      <c r="P906" s="237"/>
      <c r="Q906" s="245"/>
      <c r="R906" s="237"/>
      <c r="S906" s="237"/>
      <c r="T906" s="237"/>
      <c r="U906" s="237"/>
      <c r="V906" s="237"/>
      <c r="W906" s="237"/>
      <c r="X906" s="237"/>
      <c r="Y906" s="237"/>
      <c r="Z906" s="237"/>
      <c r="AA906" s="237"/>
      <c r="AB906" s="337"/>
      <c r="AC906" s="237"/>
      <c r="AD906" s="561"/>
      <c r="AE906" s="337"/>
      <c r="AF906" s="237"/>
    </row>
    <row r="907" spans="2:32" ht="13.5" customHeight="1">
      <c r="B907" s="237"/>
      <c r="C907" s="237"/>
      <c r="D907" s="255"/>
      <c r="E907" s="237"/>
      <c r="F907" s="237"/>
      <c r="G907" s="255"/>
      <c r="H907" s="237"/>
      <c r="I907" s="237"/>
      <c r="J907" s="237"/>
      <c r="K907" s="240"/>
      <c r="L907" s="237"/>
      <c r="M907" s="237"/>
      <c r="N907" s="237"/>
      <c r="O907" s="237"/>
      <c r="P907" s="237"/>
      <c r="Q907" s="245"/>
      <c r="R907" s="237"/>
      <c r="S907" s="237"/>
      <c r="T907" s="237"/>
      <c r="U907" s="237"/>
      <c r="V907" s="237"/>
      <c r="W907" s="237"/>
      <c r="X907" s="237"/>
      <c r="Y907" s="237"/>
      <c r="Z907" s="237"/>
      <c r="AA907" s="237"/>
      <c r="AB907" s="337"/>
      <c r="AC907" s="237"/>
      <c r="AD907" s="561"/>
      <c r="AE907" s="337"/>
      <c r="AF907" s="237"/>
    </row>
    <row r="908" spans="2:32" ht="13.5" customHeight="1">
      <c r="B908" s="237"/>
      <c r="C908" s="237"/>
      <c r="D908" s="255"/>
      <c r="E908" s="237"/>
      <c r="F908" s="237"/>
      <c r="G908" s="255"/>
      <c r="H908" s="237"/>
      <c r="I908" s="237"/>
      <c r="J908" s="237"/>
      <c r="K908" s="240"/>
      <c r="L908" s="237"/>
      <c r="M908" s="237"/>
      <c r="N908" s="237"/>
      <c r="O908" s="237"/>
      <c r="P908" s="237"/>
      <c r="Q908" s="245"/>
      <c r="R908" s="237"/>
      <c r="S908" s="237"/>
      <c r="T908" s="237"/>
      <c r="U908" s="237"/>
      <c r="V908" s="237"/>
      <c r="W908" s="237"/>
      <c r="X908" s="237"/>
      <c r="Y908" s="237"/>
      <c r="Z908" s="237"/>
      <c r="AA908" s="237"/>
      <c r="AB908" s="337"/>
      <c r="AC908" s="237"/>
      <c r="AD908" s="561"/>
      <c r="AE908" s="337"/>
      <c r="AF908" s="237"/>
    </row>
    <row r="909" spans="2:32" ht="13.5" customHeight="1">
      <c r="B909" s="237"/>
      <c r="C909" s="237"/>
      <c r="D909" s="255"/>
      <c r="E909" s="237"/>
      <c r="F909" s="237"/>
      <c r="G909" s="255"/>
      <c r="H909" s="237"/>
      <c r="I909" s="237"/>
      <c r="J909" s="237"/>
      <c r="K909" s="240"/>
      <c r="L909" s="237"/>
      <c r="M909" s="237"/>
      <c r="N909" s="237"/>
      <c r="O909" s="237"/>
      <c r="P909" s="237"/>
      <c r="Q909" s="245"/>
      <c r="R909" s="237"/>
      <c r="S909" s="237"/>
      <c r="T909" s="237"/>
      <c r="U909" s="237"/>
      <c r="V909" s="237"/>
      <c r="W909" s="237"/>
      <c r="X909" s="237"/>
      <c r="Y909" s="237"/>
      <c r="Z909" s="237"/>
      <c r="AA909" s="237"/>
      <c r="AB909" s="337"/>
      <c r="AC909" s="237"/>
      <c r="AD909" s="561"/>
      <c r="AE909" s="337"/>
      <c r="AF909" s="237"/>
    </row>
    <row r="910" spans="2:32" ht="13.5" customHeight="1">
      <c r="B910" s="237"/>
      <c r="C910" s="237"/>
      <c r="D910" s="255"/>
      <c r="E910" s="237"/>
      <c r="F910" s="237"/>
      <c r="G910" s="255"/>
      <c r="H910" s="237"/>
      <c r="I910" s="237"/>
      <c r="J910" s="237"/>
      <c r="K910" s="240"/>
      <c r="L910" s="237"/>
      <c r="M910" s="237"/>
      <c r="N910" s="237"/>
      <c r="O910" s="237"/>
      <c r="P910" s="237"/>
      <c r="Q910" s="245"/>
      <c r="R910" s="237"/>
      <c r="S910" s="237"/>
      <c r="T910" s="237"/>
      <c r="U910" s="237"/>
      <c r="V910" s="237"/>
      <c r="W910" s="237"/>
      <c r="X910" s="237"/>
      <c r="Y910" s="237"/>
      <c r="Z910" s="237"/>
      <c r="AA910" s="237"/>
      <c r="AB910" s="337"/>
      <c r="AC910" s="237"/>
      <c r="AD910" s="561"/>
      <c r="AE910" s="337"/>
      <c r="AF910" s="237"/>
    </row>
    <row r="911" spans="2:32" ht="13.5" customHeight="1">
      <c r="B911" s="237"/>
      <c r="C911" s="237"/>
      <c r="D911" s="255"/>
      <c r="E911" s="237"/>
      <c r="F911" s="237"/>
      <c r="G911" s="255"/>
      <c r="H911" s="237"/>
      <c r="I911" s="237"/>
      <c r="J911" s="237"/>
      <c r="K911" s="240"/>
      <c r="L911" s="237"/>
      <c r="M911" s="237"/>
      <c r="N911" s="237"/>
      <c r="O911" s="237"/>
      <c r="P911" s="237"/>
      <c r="Q911" s="245"/>
      <c r="R911" s="237"/>
      <c r="S911" s="237"/>
      <c r="T911" s="237"/>
      <c r="U911" s="237"/>
      <c r="V911" s="237"/>
      <c r="W911" s="237"/>
      <c r="X911" s="237"/>
      <c r="Y911" s="237"/>
      <c r="Z911" s="237"/>
      <c r="AA911" s="237"/>
      <c r="AB911" s="337"/>
      <c r="AC911" s="237"/>
      <c r="AD911" s="561"/>
      <c r="AE911" s="337"/>
      <c r="AF911" s="237"/>
    </row>
    <row r="912" spans="2:32" ht="13.5" customHeight="1">
      <c r="B912" s="237"/>
      <c r="C912" s="237"/>
      <c r="D912" s="255"/>
      <c r="E912" s="237"/>
      <c r="F912" s="237"/>
      <c r="G912" s="255"/>
      <c r="H912" s="237"/>
      <c r="I912" s="237"/>
      <c r="J912" s="237"/>
      <c r="K912" s="240"/>
      <c r="L912" s="237"/>
      <c r="M912" s="237"/>
      <c r="N912" s="237"/>
      <c r="O912" s="237"/>
      <c r="P912" s="237"/>
      <c r="Q912" s="245"/>
      <c r="R912" s="237"/>
      <c r="S912" s="237"/>
      <c r="T912" s="237"/>
      <c r="U912" s="237"/>
      <c r="V912" s="237"/>
      <c r="W912" s="237"/>
      <c r="X912" s="237"/>
      <c r="Y912" s="237"/>
      <c r="Z912" s="237"/>
      <c r="AA912" s="237"/>
      <c r="AB912" s="337"/>
      <c r="AC912" s="237"/>
      <c r="AD912" s="561"/>
      <c r="AE912" s="337"/>
      <c r="AF912" s="237"/>
    </row>
    <row r="913" spans="2:32" ht="13.5" customHeight="1">
      <c r="B913" s="237"/>
      <c r="C913" s="237"/>
      <c r="D913" s="255"/>
      <c r="E913" s="237"/>
      <c r="F913" s="237"/>
      <c r="G913" s="255"/>
      <c r="H913" s="237"/>
      <c r="I913" s="237"/>
      <c r="J913" s="237"/>
      <c r="K913" s="240"/>
      <c r="L913" s="237"/>
      <c r="M913" s="237"/>
      <c r="N913" s="237"/>
      <c r="O913" s="237"/>
      <c r="P913" s="237"/>
      <c r="Q913" s="245"/>
      <c r="R913" s="237"/>
      <c r="S913" s="237"/>
      <c r="T913" s="237"/>
      <c r="U913" s="237"/>
      <c r="V913" s="237"/>
      <c r="W913" s="237"/>
      <c r="X913" s="237"/>
      <c r="Y913" s="237"/>
      <c r="Z913" s="237"/>
      <c r="AA913" s="237"/>
      <c r="AB913" s="337"/>
      <c r="AC913" s="237"/>
      <c r="AD913" s="561"/>
      <c r="AE913" s="337"/>
      <c r="AF913" s="237"/>
    </row>
    <row r="914" spans="2:32" ht="13.5" customHeight="1">
      <c r="B914" s="237"/>
      <c r="C914" s="237"/>
      <c r="D914" s="255"/>
      <c r="E914" s="237"/>
      <c r="F914" s="237"/>
      <c r="G914" s="255"/>
      <c r="H914" s="237"/>
      <c r="I914" s="237"/>
      <c r="J914" s="237"/>
      <c r="K914" s="240"/>
      <c r="L914" s="237"/>
      <c r="M914" s="237"/>
      <c r="N914" s="237"/>
      <c r="O914" s="237"/>
      <c r="P914" s="237"/>
      <c r="Q914" s="245"/>
      <c r="R914" s="237"/>
      <c r="S914" s="237"/>
      <c r="T914" s="237"/>
      <c r="U914" s="237"/>
      <c r="V914" s="237"/>
      <c r="W914" s="237"/>
      <c r="X914" s="237"/>
      <c r="Y914" s="237"/>
      <c r="Z914" s="237"/>
      <c r="AA914" s="237"/>
      <c r="AB914" s="337"/>
      <c r="AC914" s="237"/>
      <c r="AD914" s="561"/>
      <c r="AE914" s="337"/>
      <c r="AF914" s="237"/>
    </row>
    <row r="915" spans="2:32" ht="13.5" customHeight="1">
      <c r="B915" s="237"/>
      <c r="C915" s="237"/>
      <c r="D915" s="255"/>
      <c r="E915" s="237"/>
      <c r="F915" s="237"/>
      <c r="G915" s="255"/>
      <c r="H915" s="237"/>
      <c r="I915" s="237"/>
      <c r="J915" s="237"/>
      <c r="K915" s="240"/>
      <c r="L915" s="237"/>
      <c r="M915" s="237"/>
      <c r="N915" s="237"/>
      <c r="O915" s="237"/>
      <c r="P915" s="237"/>
      <c r="Q915" s="245"/>
      <c r="R915" s="237"/>
      <c r="S915" s="237"/>
      <c r="T915" s="237"/>
      <c r="U915" s="237"/>
      <c r="V915" s="237"/>
      <c r="W915" s="237"/>
      <c r="X915" s="237"/>
      <c r="Y915" s="237"/>
      <c r="Z915" s="237"/>
      <c r="AA915" s="237"/>
      <c r="AB915" s="337"/>
      <c r="AC915" s="237"/>
      <c r="AD915" s="561"/>
      <c r="AE915" s="337"/>
      <c r="AF915" s="237"/>
    </row>
    <row r="916" spans="2:32" ht="13.5" customHeight="1">
      <c r="B916" s="237"/>
      <c r="C916" s="237"/>
      <c r="D916" s="255"/>
      <c r="E916" s="237"/>
      <c r="F916" s="237"/>
      <c r="G916" s="255"/>
      <c r="H916" s="237"/>
      <c r="I916" s="237"/>
      <c r="J916" s="237"/>
      <c r="K916" s="240"/>
      <c r="L916" s="237"/>
      <c r="M916" s="237"/>
      <c r="N916" s="237"/>
      <c r="O916" s="237"/>
      <c r="P916" s="237"/>
      <c r="Q916" s="245"/>
      <c r="R916" s="237"/>
      <c r="S916" s="237"/>
      <c r="T916" s="237"/>
      <c r="U916" s="237"/>
      <c r="V916" s="237"/>
      <c r="W916" s="237"/>
      <c r="X916" s="237"/>
      <c r="Y916" s="237"/>
      <c r="Z916" s="237"/>
      <c r="AA916" s="237"/>
      <c r="AB916" s="337"/>
      <c r="AC916" s="237"/>
      <c r="AD916" s="561"/>
      <c r="AE916" s="337"/>
      <c r="AF916" s="237"/>
    </row>
    <row r="917" spans="2:32" ht="13.5" customHeight="1">
      <c r="B917" s="237"/>
      <c r="C917" s="237"/>
      <c r="D917" s="255"/>
      <c r="E917" s="237"/>
      <c r="F917" s="237"/>
      <c r="G917" s="255"/>
      <c r="H917" s="237"/>
      <c r="I917" s="237"/>
      <c r="J917" s="237"/>
      <c r="K917" s="240"/>
      <c r="L917" s="237"/>
      <c r="M917" s="237"/>
      <c r="N917" s="237"/>
      <c r="O917" s="237"/>
      <c r="P917" s="237"/>
      <c r="Q917" s="245"/>
      <c r="R917" s="237"/>
      <c r="S917" s="237"/>
      <c r="T917" s="237"/>
      <c r="U917" s="237"/>
      <c r="V917" s="237"/>
      <c r="W917" s="237"/>
      <c r="X917" s="237"/>
      <c r="Y917" s="237"/>
      <c r="Z917" s="237"/>
      <c r="AA917" s="237"/>
      <c r="AB917" s="337"/>
      <c r="AC917" s="237"/>
      <c r="AD917" s="561"/>
      <c r="AE917" s="337"/>
      <c r="AF917" s="237"/>
    </row>
    <row r="918" spans="2:32" ht="13.5" customHeight="1">
      <c r="B918" s="237"/>
      <c r="C918" s="237"/>
      <c r="D918" s="255"/>
      <c r="E918" s="237"/>
      <c r="F918" s="237"/>
      <c r="G918" s="255"/>
      <c r="H918" s="237"/>
      <c r="I918" s="237"/>
      <c r="J918" s="237"/>
      <c r="K918" s="240"/>
      <c r="L918" s="237"/>
      <c r="M918" s="237"/>
      <c r="N918" s="237"/>
      <c r="O918" s="237"/>
      <c r="P918" s="237"/>
      <c r="Q918" s="245"/>
      <c r="R918" s="237"/>
      <c r="S918" s="237"/>
      <c r="T918" s="237"/>
      <c r="U918" s="237"/>
      <c r="V918" s="237"/>
      <c r="W918" s="237"/>
      <c r="X918" s="237"/>
      <c r="Y918" s="237"/>
      <c r="Z918" s="237"/>
      <c r="AA918" s="237"/>
      <c r="AB918" s="337"/>
      <c r="AC918" s="237"/>
      <c r="AD918" s="561"/>
      <c r="AE918" s="337"/>
      <c r="AF918" s="237"/>
    </row>
    <row r="919" spans="2:32" ht="13.5" customHeight="1">
      <c r="B919" s="237"/>
      <c r="C919" s="237"/>
      <c r="D919" s="255"/>
      <c r="E919" s="237"/>
      <c r="F919" s="237"/>
      <c r="G919" s="255"/>
      <c r="H919" s="237"/>
      <c r="I919" s="237"/>
      <c r="J919" s="237"/>
      <c r="K919" s="240"/>
      <c r="L919" s="237"/>
      <c r="M919" s="237"/>
      <c r="N919" s="237"/>
      <c r="O919" s="237"/>
      <c r="P919" s="237"/>
      <c r="Q919" s="245"/>
      <c r="R919" s="237"/>
      <c r="S919" s="237"/>
      <c r="T919" s="237"/>
      <c r="U919" s="237"/>
      <c r="V919" s="237"/>
      <c r="W919" s="237"/>
      <c r="X919" s="237"/>
      <c r="Y919" s="237"/>
      <c r="Z919" s="237"/>
      <c r="AA919" s="237"/>
      <c r="AB919" s="337"/>
      <c r="AC919" s="237"/>
      <c r="AD919" s="561"/>
      <c r="AE919" s="337"/>
      <c r="AF919" s="237"/>
    </row>
    <row r="920" spans="2:32" ht="13.5" customHeight="1">
      <c r="B920" s="237"/>
      <c r="C920" s="237"/>
      <c r="D920" s="255"/>
      <c r="E920" s="237"/>
      <c r="F920" s="237"/>
      <c r="G920" s="255"/>
      <c r="H920" s="237"/>
      <c r="I920" s="237"/>
      <c r="J920" s="237"/>
      <c r="K920" s="240"/>
      <c r="L920" s="237"/>
      <c r="M920" s="237"/>
      <c r="N920" s="237"/>
      <c r="O920" s="237"/>
      <c r="P920" s="237"/>
      <c r="Q920" s="245"/>
      <c r="R920" s="237"/>
      <c r="S920" s="237"/>
      <c r="T920" s="237"/>
      <c r="U920" s="237"/>
      <c r="V920" s="237"/>
      <c r="W920" s="237"/>
      <c r="X920" s="237"/>
      <c r="Y920" s="237"/>
      <c r="Z920" s="237"/>
      <c r="AA920" s="237"/>
      <c r="AB920" s="337"/>
      <c r="AC920" s="237"/>
      <c r="AD920" s="561"/>
      <c r="AE920" s="337"/>
      <c r="AF920" s="237"/>
    </row>
    <row r="921" spans="2:32" ht="13.5" customHeight="1">
      <c r="B921" s="237"/>
      <c r="C921" s="237"/>
      <c r="D921" s="255"/>
      <c r="E921" s="237"/>
      <c r="F921" s="237"/>
      <c r="G921" s="255"/>
      <c r="H921" s="237"/>
      <c r="I921" s="237"/>
      <c r="J921" s="237"/>
      <c r="K921" s="240"/>
      <c r="L921" s="237"/>
      <c r="M921" s="237"/>
      <c r="N921" s="237"/>
      <c r="O921" s="237"/>
      <c r="P921" s="237"/>
      <c r="Q921" s="245"/>
      <c r="R921" s="237"/>
      <c r="S921" s="237"/>
      <c r="T921" s="237"/>
      <c r="U921" s="237"/>
      <c r="V921" s="237"/>
      <c r="W921" s="237"/>
      <c r="X921" s="237"/>
      <c r="Y921" s="237"/>
      <c r="Z921" s="237"/>
      <c r="AA921" s="237"/>
      <c r="AB921" s="337"/>
      <c r="AC921" s="237"/>
      <c r="AD921" s="561"/>
      <c r="AE921" s="337"/>
      <c r="AF921" s="237"/>
    </row>
    <row r="922" spans="2:32" ht="13.5" customHeight="1">
      <c r="B922" s="237"/>
      <c r="C922" s="237"/>
      <c r="D922" s="255"/>
      <c r="E922" s="237"/>
      <c r="F922" s="237"/>
      <c r="G922" s="255"/>
      <c r="H922" s="237"/>
      <c r="I922" s="237"/>
      <c r="J922" s="237"/>
      <c r="K922" s="240"/>
      <c r="L922" s="237"/>
      <c r="M922" s="237"/>
      <c r="N922" s="237"/>
      <c r="O922" s="237"/>
      <c r="P922" s="237"/>
      <c r="Q922" s="245"/>
      <c r="R922" s="237"/>
      <c r="S922" s="237"/>
      <c r="T922" s="237"/>
      <c r="U922" s="237"/>
      <c r="V922" s="237"/>
      <c r="W922" s="237"/>
      <c r="X922" s="237"/>
      <c r="Y922" s="237"/>
      <c r="Z922" s="237"/>
      <c r="AA922" s="237"/>
      <c r="AB922" s="337"/>
      <c r="AC922" s="237"/>
      <c r="AD922" s="561"/>
      <c r="AE922" s="337"/>
      <c r="AF922" s="237"/>
    </row>
    <row r="923" spans="2:32" ht="13.5" customHeight="1">
      <c r="B923" s="237"/>
      <c r="C923" s="237"/>
      <c r="D923" s="255"/>
      <c r="E923" s="237"/>
      <c r="F923" s="237"/>
      <c r="G923" s="255"/>
      <c r="H923" s="237"/>
      <c r="I923" s="237"/>
      <c r="J923" s="237"/>
      <c r="K923" s="240"/>
      <c r="L923" s="237"/>
      <c r="M923" s="237"/>
      <c r="N923" s="237"/>
      <c r="O923" s="237"/>
      <c r="P923" s="237"/>
      <c r="Q923" s="245"/>
      <c r="R923" s="237"/>
      <c r="S923" s="237"/>
      <c r="T923" s="237"/>
      <c r="U923" s="237"/>
      <c r="V923" s="237"/>
      <c r="W923" s="237"/>
      <c r="X923" s="237"/>
      <c r="Y923" s="237"/>
      <c r="Z923" s="237"/>
      <c r="AA923" s="237"/>
      <c r="AB923" s="337"/>
      <c r="AC923" s="237"/>
      <c r="AD923" s="561"/>
      <c r="AE923" s="337"/>
      <c r="AF923" s="237"/>
    </row>
    <row r="924" spans="2:32" ht="13.5" customHeight="1">
      <c r="B924" s="237"/>
      <c r="C924" s="237"/>
      <c r="D924" s="255"/>
      <c r="E924" s="237"/>
      <c r="F924" s="237"/>
      <c r="G924" s="255"/>
      <c r="H924" s="237"/>
      <c r="I924" s="237"/>
      <c r="J924" s="237"/>
      <c r="K924" s="240"/>
      <c r="L924" s="237"/>
      <c r="M924" s="237"/>
      <c r="N924" s="237"/>
      <c r="O924" s="237"/>
      <c r="P924" s="237"/>
      <c r="Q924" s="245"/>
      <c r="R924" s="237"/>
      <c r="S924" s="237"/>
      <c r="T924" s="237"/>
      <c r="U924" s="237"/>
      <c r="V924" s="237"/>
      <c r="W924" s="237"/>
      <c r="X924" s="237"/>
      <c r="Y924" s="237"/>
      <c r="Z924" s="237"/>
      <c r="AA924" s="237"/>
      <c r="AB924" s="337"/>
      <c r="AC924" s="237"/>
      <c r="AD924" s="561"/>
      <c r="AE924" s="337"/>
      <c r="AF924" s="237"/>
    </row>
    <row r="925" spans="2:32" ht="13.5" customHeight="1">
      <c r="B925" s="237"/>
      <c r="C925" s="237"/>
      <c r="D925" s="255"/>
      <c r="E925" s="237"/>
      <c r="F925" s="237"/>
      <c r="G925" s="255"/>
      <c r="H925" s="237"/>
      <c r="I925" s="237"/>
      <c r="J925" s="237"/>
      <c r="K925" s="240"/>
      <c r="L925" s="237"/>
      <c r="M925" s="237"/>
      <c r="N925" s="237"/>
      <c r="O925" s="237"/>
      <c r="P925" s="237"/>
      <c r="Q925" s="245"/>
      <c r="R925" s="237"/>
      <c r="S925" s="237"/>
      <c r="T925" s="237"/>
      <c r="U925" s="237"/>
      <c r="V925" s="237"/>
      <c r="W925" s="237"/>
      <c r="X925" s="237"/>
      <c r="Y925" s="237"/>
      <c r="Z925" s="237"/>
      <c r="AA925" s="237"/>
      <c r="AB925" s="337"/>
      <c r="AC925" s="237"/>
      <c r="AD925" s="561"/>
      <c r="AE925" s="337"/>
      <c r="AF925" s="237"/>
    </row>
    <row r="926" spans="2:32" ht="13.5" customHeight="1">
      <c r="B926" s="237"/>
      <c r="C926" s="237"/>
      <c r="D926" s="255"/>
      <c r="E926" s="237"/>
      <c r="F926" s="237"/>
      <c r="G926" s="255"/>
      <c r="H926" s="237"/>
      <c r="I926" s="237"/>
      <c r="J926" s="237"/>
      <c r="K926" s="240"/>
      <c r="L926" s="237"/>
      <c r="M926" s="237"/>
      <c r="N926" s="237"/>
      <c r="O926" s="237"/>
      <c r="P926" s="237"/>
      <c r="Q926" s="245"/>
      <c r="R926" s="237"/>
      <c r="S926" s="237"/>
      <c r="T926" s="237"/>
      <c r="U926" s="237"/>
      <c r="V926" s="237"/>
      <c r="W926" s="237"/>
      <c r="X926" s="237"/>
      <c r="Y926" s="237"/>
      <c r="Z926" s="237"/>
      <c r="AA926" s="237"/>
      <c r="AB926" s="337"/>
      <c r="AC926" s="237"/>
      <c r="AD926" s="561"/>
      <c r="AE926" s="337"/>
      <c r="AF926" s="237"/>
    </row>
    <row r="927" spans="2:32" ht="13.5" customHeight="1">
      <c r="B927" s="237"/>
      <c r="C927" s="237"/>
      <c r="D927" s="255"/>
      <c r="E927" s="237"/>
      <c r="F927" s="237"/>
      <c r="G927" s="255"/>
      <c r="H927" s="237"/>
      <c r="I927" s="237"/>
      <c r="J927" s="237"/>
      <c r="K927" s="240"/>
      <c r="L927" s="237"/>
      <c r="M927" s="237"/>
      <c r="N927" s="237"/>
      <c r="O927" s="237"/>
      <c r="P927" s="237"/>
      <c r="Q927" s="245"/>
      <c r="R927" s="237"/>
      <c r="S927" s="237"/>
      <c r="T927" s="237"/>
      <c r="U927" s="237"/>
      <c r="V927" s="237"/>
      <c r="W927" s="237"/>
      <c r="X927" s="237"/>
      <c r="Y927" s="237"/>
      <c r="Z927" s="237"/>
      <c r="AA927" s="237"/>
      <c r="AB927" s="337"/>
      <c r="AC927" s="237"/>
      <c r="AD927" s="561"/>
      <c r="AE927" s="337"/>
      <c r="AF927" s="237"/>
    </row>
    <row r="928" spans="2:32" ht="13.5" customHeight="1">
      <c r="B928" s="237"/>
      <c r="C928" s="237"/>
      <c r="D928" s="255"/>
      <c r="E928" s="237"/>
      <c r="F928" s="237"/>
      <c r="G928" s="255"/>
      <c r="H928" s="237"/>
      <c r="I928" s="237"/>
      <c r="J928" s="237"/>
      <c r="K928" s="240"/>
      <c r="L928" s="237"/>
      <c r="M928" s="237"/>
      <c r="N928" s="237"/>
      <c r="O928" s="237"/>
      <c r="P928" s="237"/>
      <c r="Q928" s="245"/>
      <c r="R928" s="237"/>
      <c r="S928" s="237"/>
      <c r="T928" s="237"/>
      <c r="U928" s="237"/>
      <c r="V928" s="237"/>
      <c r="W928" s="237"/>
      <c r="X928" s="237"/>
      <c r="Y928" s="237"/>
      <c r="Z928" s="237"/>
      <c r="AA928" s="237"/>
      <c r="AB928" s="337"/>
      <c r="AC928" s="237"/>
      <c r="AD928" s="561"/>
      <c r="AE928" s="337"/>
      <c r="AF928" s="237"/>
    </row>
    <row r="929" spans="2:32" ht="13.5" customHeight="1">
      <c r="B929" s="237"/>
      <c r="C929" s="237"/>
      <c r="D929" s="255"/>
      <c r="E929" s="237"/>
      <c r="F929" s="237"/>
      <c r="G929" s="255"/>
      <c r="H929" s="237"/>
      <c r="I929" s="237"/>
      <c r="J929" s="237"/>
      <c r="K929" s="240"/>
      <c r="L929" s="237"/>
      <c r="M929" s="237"/>
      <c r="N929" s="237"/>
      <c r="O929" s="237"/>
      <c r="P929" s="237"/>
      <c r="Q929" s="245"/>
      <c r="R929" s="237"/>
      <c r="S929" s="237"/>
      <c r="T929" s="237"/>
      <c r="U929" s="237"/>
      <c r="V929" s="237"/>
      <c r="W929" s="237"/>
      <c r="X929" s="237"/>
      <c r="Y929" s="237"/>
      <c r="Z929" s="237"/>
      <c r="AA929" s="237"/>
      <c r="AB929" s="337"/>
      <c r="AC929" s="237"/>
      <c r="AD929" s="561"/>
      <c r="AE929" s="337"/>
      <c r="AF929" s="237"/>
    </row>
    <row r="930" spans="2:32" ht="13.5" customHeight="1">
      <c r="B930" s="237"/>
      <c r="C930" s="237"/>
      <c r="D930" s="255"/>
      <c r="E930" s="237"/>
      <c r="F930" s="237"/>
      <c r="G930" s="255"/>
      <c r="H930" s="237"/>
      <c r="I930" s="237"/>
      <c r="J930" s="237"/>
      <c r="K930" s="240"/>
      <c r="L930" s="237"/>
      <c r="M930" s="237"/>
      <c r="N930" s="237"/>
      <c r="O930" s="237"/>
      <c r="P930" s="237"/>
      <c r="Q930" s="245"/>
      <c r="R930" s="237"/>
      <c r="S930" s="237"/>
      <c r="T930" s="237"/>
      <c r="U930" s="237"/>
      <c r="V930" s="237"/>
      <c r="W930" s="237"/>
      <c r="X930" s="237"/>
      <c r="Y930" s="237"/>
      <c r="Z930" s="237"/>
      <c r="AA930" s="237"/>
      <c r="AB930" s="337"/>
      <c r="AC930" s="237"/>
      <c r="AD930" s="561"/>
      <c r="AE930" s="337"/>
      <c r="AF930" s="237"/>
    </row>
    <row r="931" spans="2:32" ht="13.5" customHeight="1">
      <c r="B931" s="237"/>
      <c r="C931" s="237"/>
      <c r="D931" s="255"/>
      <c r="E931" s="237"/>
      <c r="F931" s="237"/>
      <c r="G931" s="255"/>
      <c r="H931" s="237"/>
      <c r="I931" s="237"/>
      <c r="J931" s="237"/>
      <c r="K931" s="240"/>
      <c r="L931" s="237"/>
      <c r="M931" s="237"/>
      <c r="N931" s="237"/>
      <c r="O931" s="237"/>
      <c r="P931" s="237"/>
      <c r="Q931" s="245"/>
      <c r="R931" s="237"/>
      <c r="S931" s="237"/>
      <c r="T931" s="237"/>
      <c r="U931" s="237"/>
      <c r="V931" s="237"/>
      <c r="W931" s="237"/>
      <c r="X931" s="237"/>
      <c r="Y931" s="237"/>
      <c r="Z931" s="237"/>
      <c r="AA931" s="237"/>
      <c r="AB931" s="337"/>
      <c r="AC931" s="237"/>
      <c r="AD931" s="561"/>
      <c r="AE931" s="337"/>
      <c r="AF931" s="237"/>
    </row>
    <row r="932" spans="2:32" ht="13.5" customHeight="1">
      <c r="B932" s="237"/>
      <c r="C932" s="237"/>
      <c r="D932" s="255"/>
      <c r="E932" s="237"/>
      <c r="F932" s="237"/>
      <c r="G932" s="255"/>
      <c r="H932" s="237"/>
      <c r="I932" s="237"/>
      <c r="J932" s="237"/>
      <c r="K932" s="240"/>
      <c r="L932" s="237"/>
      <c r="M932" s="237"/>
      <c r="N932" s="237"/>
      <c r="O932" s="237"/>
      <c r="P932" s="237"/>
      <c r="Q932" s="245"/>
      <c r="R932" s="237"/>
      <c r="S932" s="237"/>
      <c r="T932" s="237"/>
      <c r="U932" s="237"/>
      <c r="V932" s="237"/>
      <c r="W932" s="237"/>
      <c r="X932" s="237"/>
      <c r="Y932" s="237"/>
      <c r="Z932" s="237"/>
      <c r="AA932" s="237"/>
      <c r="AB932" s="337"/>
      <c r="AC932" s="237"/>
      <c r="AD932" s="561"/>
      <c r="AE932" s="337"/>
      <c r="AF932" s="237"/>
    </row>
    <row r="933" spans="2:32" ht="13.5" customHeight="1">
      <c r="B933" s="237"/>
      <c r="C933" s="237"/>
      <c r="D933" s="255"/>
      <c r="E933" s="237"/>
      <c r="F933" s="237"/>
      <c r="G933" s="255"/>
      <c r="H933" s="237"/>
      <c r="I933" s="237"/>
      <c r="J933" s="237"/>
      <c r="K933" s="240"/>
      <c r="L933" s="237"/>
      <c r="M933" s="237"/>
      <c r="N933" s="237"/>
      <c r="O933" s="237"/>
      <c r="P933" s="237"/>
      <c r="Q933" s="245"/>
      <c r="R933" s="237"/>
      <c r="S933" s="237"/>
      <c r="T933" s="237"/>
      <c r="U933" s="237"/>
      <c r="V933" s="237"/>
      <c r="W933" s="237"/>
      <c r="X933" s="237"/>
      <c r="Y933" s="237"/>
      <c r="Z933" s="237"/>
      <c r="AA933" s="237"/>
      <c r="AB933" s="337"/>
      <c r="AC933" s="237"/>
      <c r="AD933" s="561"/>
      <c r="AE933" s="337"/>
      <c r="AF933" s="237"/>
    </row>
    <row r="934" spans="2:32" ht="13.5" customHeight="1">
      <c r="B934" s="237"/>
      <c r="C934" s="237"/>
      <c r="D934" s="255"/>
      <c r="E934" s="237"/>
      <c r="F934" s="237"/>
      <c r="G934" s="255"/>
      <c r="H934" s="237"/>
      <c r="I934" s="237"/>
      <c r="J934" s="237"/>
      <c r="K934" s="240"/>
      <c r="L934" s="237"/>
      <c r="M934" s="237"/>
      <c r="N934" s="237"/>
      <c r="O934" s="237"/>
      <c r="P934" s="237"/>
      <c r="Q934" s="245"/>
      <c r="R934" s="237"/>
      <c r="S934" s="237"/>
      <c r="T934" s="237"/>
      <c r="U934" s="237"/>
      <c r="V934" s="237"/>
      <c r="W934" s="237"/>
      <c r="X934" s="237"/>
      <c r="Y934" s="237"/>
      <c r="Z934" s="237"/>
      <c r="AA934" s="237"/>
      <c r="AB934" s="337"/>
      <c r="AC934" s="237"/>
      <c r="AD934" s="561"/>
      <c r="AE934" s="337"/>
      <c r="AF934" s="237"/>
    </row>
    <row r="935" spans="2:32" ht="13.5" customHeight="1">
      <c r="B935" s="237"/>
      <c r="C935" s="237"/>
      <c r="D935" s="255"/>
      <c r="E935" s="237"/>
      <c r="F935" s="237"/>
      <c r="G935" s="255"/>
      <c r="H935" s="237"/>
      <c r="I935" s="237"/>
      <c r="J935" s="237"/>
      <c r="K935" s="240"/>
      <c r="L935" s="237"/>
      <c r="M935" s="237"/>
      <c r="N935" s="237"/>
      <c r="O935" s="237"/>
      <c r="P935" s="237"/>
      <c r="Q935" s="245"/>
      <c r="R935" s="237"/>
      <c r="S935" s="237"/>
      <c r="T935" s="237"/>
      <c r="U935" s="237"/>
      <c r="V935" s="237"/>
      <c r="W935" s="237"/>
      <c r="X935" s="237"/>
      <c r="Y935" s="237"/>
      <c r="Z935" s="237"/>
      <c r="AA935" s="237"/>
      <c r="AB935" s="337"/>
      <c r="AC935" s="237"/>
      <c r="AD935" s="561"/>
      <c r="AE935" s="337"/>
      <c r="AF935" s="237"/>
    </row>
    <row r="936" spans="2:32" ht="13.5" customHeight="1">
      <c r="B936" s="237"/>
      <c r="C936" s="237"/>
      <c r="D936" s="255"/>
      <c r="E936" s="237"/>
      <c r="F936" s="237"/>
      <c r="G936" s="255"/>
      <c r="H936" s="237"/>
      <c r="I936" s="237"/>
      <c r="J936" s="237"/>
      <c r="K936" s="240"/>
      <c r="L936" s="237"/>
      <c r="M936" s="237"/>
      <c r="N936" s="237"/>
      <c r="O936" s="237"/>
      <c r="P936" s="237"/>
      <c r="Q936" s="245"/>
      <c r="R936" s="237"/>
      <c r="S936" s="237"/>
      <c r="T936" s="237"/>
      <c r="U936" s="237"/>
      <c r="V936" s="237"/>
      <c r="W936" s="237"/>
      <c r="X936" s="237"/>
      <c r="Y936" s="237"/>
      <c r="Z936" s="237"/>
      <c r="AA936" s="237"/>
      <c r="AB936" s="337"/>
      <c r="AC936" s="237"/>
      <c r="AD936" s="561"/>
      <c r="AE936" s="337"/>
      <c r="AF936" s="237"/>
    </row>
    <row r="937" spans="2:32" ht="13.5" customHeight="1">
      <c r="B937" s="237"/>
      <c r="C937" s="237"/>
      <c r="D937" s="255"/>
      <c r="E937" s="237"/>
      <c r="F937" s="237"/>
      <c r="G937" s="255"/>
      <c r="H937" s="237"/>
      <c r="I937" s="237"/>
      <c r="J937" s="237"/>
      <c r="K937" s="240"/>
      <c r="L937" s="237"/>
      <c r="M937" s="237"/>
      <c r="N937" s="237"/>
      <c r="O937" s="237"/>
      <c r="P937" s="237"/>
      <c r="Q937" s="245"/>
      <c r="R937" s="237"/>
      <c r="S937" s="237"/>
      <c r="T937" s="237"/>
      <c r="U937" s="237"/>
      <c r="V937" s="237"/>
      <c r="W937" s="237"/>
      <c r="X937" s="237"/>
      <c r="Y937" s="237"/>
      <c r="Z937" s="237"/>
      <c r="AA937" s="237"/>
      <c r="AB937" s="337"/>
      <c r="AC937" s="237"/>
      <c r="AD937" s="561"/>
      <c r="AE937" s="337"/>
      <c r="AF937" s="237"/>
    </row>
    <row r="938" spans="2:32" ht="13.5" customHeight="1">
      <c r="B938" s="237"/>
      <c r="C938" s="237"/>
      <c r="D938" s="255"/>
      <c r="E938" s="237"/>
      <c r="F938" s="237"/>
      <c r="G938" s="255"/>
      <c r="H938" s="237"/>
      <c r="I938" s="237"/>
      <c r="J938" s="237"/>
      <c r="K938" s="240"/>
      <c r="L938" s="237"/>
      <c r="M938" s="237"/>
      <c r="N938" s="237"/>
      <c r="O938" s="237"/>
      <c r="P938" s="237"/>
      <c r="Q938" s="245"/>
      <c r="R938" s="237"/>
      <c r="S938" s="237"/>
      <c r="T938" s="237"/>
      <c r="U938" s="237"/>
      <c r="V938" s="237"/>
      <c r="W938" s="237"/>
      <c r="X938" s="237"/>
      <c r="Y938" s="237"/>
      <c r="Z938" s="237"/>
      <c r="AA938" s="237"/>
      <c r="AB938" s="337"/>
      <c r="AC938" s="237"/>
      <c r="AD938" s="561"/>
      <c r="AE938" s="337"/>
      <c r="AF938" s="237"/>
    </row>
    <row r="939" spans="2:32" ht="13.5" customHeight="1">
      <c r="B939" s="237"/>
      <c r="C939" s="237"/>
      <c r="D939" s="255"/>
      <c r="E939" s="237"/>
      <c r="F939" s="237"/>
      <c r="G939" s="255"/>
      <c r="H939" s="237"/>
      <c r="I939" s="237"/>
      <c r="J939" s="237"/>
      <c r="K939" s="240"/>
      <c r="L939" s="237"/>
      <c r="M939" s="237"/>
      <c r="N939" s="237"/>
      <c r="O939" s="237"/>
      <c r="P939" s="237"/>
      <c r="Q939" s="245"/>
      <c r="R939" s="237"/>
      <c r="S939" s="237"/>
      <c r="T939" s="237"/>
      <c r="U939" s="237"/>
      <c r="V939" s="237"/>
      <c r="W939" s="237"/>
      <c r="X939" s="237"/>
      <c r="Y939" s="237"/>
      <c r="Z939" s="237"/>
      <c r="AA939" s="237"/>
      <c r="AB939" s="337"/>
      <c r="AC939" s="237"/>
      <c r="AD939" s="561"/>
      <c r="AE939" s="337"/>
      <c r="AF939" s="237"/>
    </row>
    <row r="940" spans="2:32" ht="13.5" customHeight="1">
      <c r="B940" s="237"/>
      <c r="C940" s="237"/>
      <c r="D940" s="255"/>
      <c r="E940" s="237"/>
      <c r="F940" s="237"/>
      <c r="G940" s="255"/>
      <c r="H940" s="237"/>
      <c r="I940" s="237"/>
      <c r="J940" s="237"/>
      <c r="K940" s="240"/>
      <c r="L940" s="237"/>
      <c r="M940" s="237"/>
      <c r="N940" s="237"/>
      <c r="O940" s="237"/>
      <c r="P940" s="237"/>
      <c r="Q940" s="245"/>
      <c r="R940" s="237"/>
      <c r="S940" s="237"/>
      <c r="T940" s="237"/>
      <c r="U940" s="237"/>
      <c r="V940" s="237"/>
      <c r="W940" s="237"/>
      <c r="X940" s="237"/>
      <c r="Y940" s="237"/>
      <c r="Z940" s="237"/>
      <c r="AA940" s="237"/>
      <c r="AB940" s="337"/>
      <c r="AC940" s="237"/>
      <c r="AD940" s="561"/>
      <c r="AE940" s="337"/>
      <c r="AF940" s="237"/>
    </row>
    <row r="941" spans="2:32" ht="13.5" customHeight="1">
      <c r="B941" s="237"/>
      <c r="C941" s="237"/>
      <c r="D941" s="255"/>
      <c r="E941" s="237"/>
      <c r="F941" s="237"/>
      <c r="G941" s="255"/>
      <c r="H941" s="237"/>
      <c r="I941" s="237"/>
      <c r="J941" s="237"/>
      <c r="K941" s="240"/>
      <c r="L941" s="237"/>
      <c r="M941" s="237"/>
      <c r="N941" s="237"/>
      <c r="O941" s="237"/>
      <c r="P941" s="237"/>
      <c r="Q941" s="245"/>
      <c r="R941" s="237"/>
      <c r="S941" s="237"/>
      <c r="T941" s="237"/>
      <c r="U941" s="237"/>
      <c r="V941" s="237"/>
      <c r="W941" s="237"/>
      <c r="X941" s="237"/>
      <c r="Y941" s="237"/>
      <c r="Z941" s="237"/>
      <c r="AA941" s="237"/>
      <c r="AB941" s="337"/>
      <c r="AC941" s="237"/>
      <c r="AD941" s="561"/>
      <c r="AE941" s="337"/>
      <c r="AF941" s="237"/>
    </row>
    <row r="942" spans="2:32" ht="13.5" customHeight="1">
      <c r="B942" s="237"/>
      <c r="C942" s="237"/>
      <c r="D942" s="255"/>
      <c r="E942" s="237"/>
      <c r="F942" s="237"/>
      <c r="G942" s="255"/>
      <c r="H942" s="237"/>
      <c r="I942" s="237"/>
      <c r="J942" s="237"/>
      <c r="K942" s="240"/>
      <c r="L942" s="237"/>
      <c r="M942" s="237"/>
      <c r="N942" s="237"/>
      <c r="O942" s="237"/>
      <c r="P942" s="237"/>
      <c r="Q942" s="245"/>
      <c r="R942" s="237"/>
      <c r="S942" s="237"/>
      <c r="T942" s="237"/>
      <c r="U942" s="237"/>
      <c r="V942" s="237"/>
      <c r="W942" s="237"/>
      <c r="X942" s="237"/>
      <c r="Y942" s="237"/>
      <c r="Z942" s="237"/>
      <c r="AA942" s="237"/>
      <c r="AB942" s="337"/>
      <c r="AC942" s="237"/>
      <c r="AD942" s="561"/>
      <c r="AE942" s="337"/>
      <c r="AF942" s="237"/>
    </row>
    <row r="943" spans="2:32" ht="13.5" customHeight="1">
      <c r="B943" s="237"/>
      <c r="C943" s="237"/>
      <c r="D943" s="255"/>
      <c r="E943" s="237"/>
      <c r="F943" s="237"/>
      <c r="G943" s="255"/>
      <c r="H943" s="237"/>
      <c r="I943" s="237"/>
      <c r="J943" s="237"/>
      <c r="K943" s="240"/>
      <c r="L943" s="237"/>
      <c r="M943" s="237"/>
      <c r="N943" s="237"/>
      <c r="O943" s="237"/>
      <c r="P943" s="237"/>
      <c r="Q943" s="245"/>
      <c r="R943" s="237"/>
      <c r="S943" s="237"/>
      <c r="T943" s="237"/>
      <c r="U943" s="237"/>
      <c r="V943" s="237"/>
      <c r="W943" s="237"/>
      <c r="X943" s="237"/>
      <c r="Y943" s="237"/>
      <c r="Z943" s="237"/>
      <c r="AA943" s="237"/>
      <c r="AB943" s="337"/>
      <c r="AC943" s="237"/>
      <c r="AD943" s="561"/>
      <c r="AE943" s="337"/>
      <c r="AF943" s="237"/>
    </row>
    <row r="944" spans="2:32" ht="13.5" customHeight="1">
      <c r="B944" s="237"/>
      <c r="C944" s="237"/>
      <c r="D944" s="255"/>
      <c r="E944" s="237"/>
      <c r="F944" s="237"/>
      <c r="G944" s="255"/>
      <c r="H944" s="237"/>
      <c r="I944" s="237"/>
      <c r="J944" s="237"/>
      <c r="K944" s="240"/>
      <c r="L944" s="237"/>
      <c r="M944" s="237"/>
      <c r="N944" s="237"/>
      <c r="O944" s="237"/>
      <c r="P944" s="237"/>
      <c r="Q944" s="245"/>
      <c r="R944" s="237"/>
      <c r="S944" s="237"/>
      <c r="T944" s="237"/>
      <c r="U944" s="237"/>
      <c r="V944" s="237"/>
      <c r="W944" s="237"/>
      <c r="X944" s="237"/>
      <c r="Y944" s="237"/>
      <c r="Z944" s="237"/>
      <c r="AA944" s="237"/>
      <c r="AB944" s="337"/>
      <c r="AC944" s="237"/>
      <c r="AD944" s="561"/>
      <c r="AE944" s="337"/>
      <c r="AF944" s="237"/>
    </row>
    <row r="945" spans="2:32" ht="13.5" customHeight="1">
      <c r="B945" s="237"/>
      <c r="C945" s="237"/>
      <c r="D945" s="255"/>
      <c r="E945" s="237"/>
      <c r="F945" s="237"/>
      <c r="G945" s="255"/>
      <c r="H945" s="237"/>
      <c r="I945" s="237"/>
      <c r="J945" s="237"/>
      <c r="K945" s="240"/>
      <c r="L945" s="237"/>
      <c r="M945" s="237"/>
      <c r="N945" s="237"/>
      <c r="O945" s="237"/>
      <c r="P945" s="237"/>
      <c r="Q945" s="245"/>
      <c r="R945" s="237"/>
      <c r="S945" s="237"/>
      <c r="T945" s="237"/>
      <c r="U945" s="237"/>
      <c r="V945" s="237"/>
      <c r="W945" s="237"/>
      <c r="X945" s="237"/>
      <c r="Y945" s="237"/>
      <c r="Z945" s="237"/>
      <c r="AA945" s="237"/>
      <c r="AB945" s="337"/>
      <c r="AC945" s="237"/>
      <c r="AD945" s="561"/>
      <c r="AE945" s="337"/>
      <c r="AF945" s="237"/>
    </row>
    <row r="946" spans="2:32" ht="13.5" customHeight="1">
      <c r="B946" s="237"/>
      <c r="C946" s="237"/>
      <c r="D946" s="255"/>
      <c r="E946" s="237"/>
      <c r="F946" s="237"/>
      <c r="G946" s="255"/>
      <c r="H946" s="237"/>
      <c r="I946" s="237"/>
      <c r="J946" s="237"/>
      <c r="K946" s="240"/>
      <c r="L946" s="237"/>
      <c r="M946" s="237"/>
      <c r="N946" s="237"/>
      <c r="O946" s="237"/>
      <c r="P946" s="237"/>
      <c r="Q946" s="245"/>
      <c r="R946" s="237"/>
      <c r="S946" s="237"/>
      <c r="T946" s="237"/>
      <c r="U946" s="237"/>
      <c r="V946" s="237"/>
      <c r="W946" s="237"/>
      <c r="X946" s="237"/>
      <c r="Y946" s="237"/>
      <c r="Z946" s="237"/>
      <c r="AA946" s="237"/>
      <c r="AB946" s="337"/>
      <c r="AC946" s="237"/>
      <c r="AD946" s="561"/>
      <c r="AE946" s="337"/>
      <c r="AF946" s="237"/>
    </row>
    <row r="947" spans="2:32" ht="13.5" customHeight="1">
      <c r="B947" s="237"/>
      <c r="C947" s="237"/>
      <c r="D947" s="255"/>
      <c r="E947" s="237"/>
      <c r="F947" s="237"/>
      <c r="G947" s="255"/>
      <c r="H947" s="237"/>
      <c r="I947" s="237"/>
      <c r="J947" s="237"/>
      <c r="K947" s="240"/>
      <c r="L947" s="237"/>
      <c r="M947" s="237"/>
      <c r="N947" s="237"/>
      <c r="O947" s="237"/>
      <c r="P947" s="237"/>
      <c r="Q947" s="245"/>
      <c r="R947" s="237"/>
      <c r="S947" s="237"/>
      <c r="T947" s="237"/>
      <c r="U947" s="237"/>
      <c r="V947" s="237"/>
      <c r="W947" s="237"/>
      <c r="X947" s="237"/>
      <c r="Y947" s="237"/>
      <c r="Z947" s="237"/>
      <c r="AA947" s="237"/>
      <c r="AB947" s="337"/>
      <c r="AC947" s="237"/>
      <c r="AD947" s="561"/>
      <c r="AE947" s="337"/>
      <c r="AF947" s="237"/>
    </row>
    <row r="948" spans="2:32" ht="13.5" customHeight="1">
      <c r="B948" s="237"/>
      <c r="C948" s="237"/>
      <c r="D948" s="255"/>
      <c r="E948" s="237"/>
      <c r="F948" s="237"/>
      <c r="G948" s="255"/>
      <c r="H948" s="237"/>
      <c r="I948" s="237"/>
      <c r="J948" s="237"/>
      <c r="K948" s="240"/>
      <c r="L948" s="237"/>
      <c r="M948" s="237"/>
      <c r="N948" s="237"/>
      <c r="O948" s="237"/>
      <c r="P948" s="237"/>
      <c r="Q948" s="245"/>
      <c r="R948" s="237"/>
      <c r="S948" s="237"/>
      <c r="T948" s="237"/>
      <c r="U948" s="237"/>
      <c r="V948" s="237"/>
      <c r="W948" s="237"/>
      <c r="X948" s="237"/>
      <c r="Y948" s="237"/>
      <c r="Z948" s="237"/>
      <c r="AA948" s="237"/>
      <c r="AB948" s="337"/>
      <c r="AC948" s="237"/>
      <c r="AD948" s="561"/>
      <c r="AE948" s="337"/>
      <c r="AF948" s="237"/>
    </row>
    <row r="949" spans="2:32" ht="13.5" customHeight="1">
      <c r="B949" s="237"/>
      <c r="C949" s="237"/>
      <c r="D949" s="255"/>
      <c r="E949" s="237"/>
      <c r="F949" s="237"/>
      <c r="G949" s="255"/>
      <c r="H949" s="237"/>
      <c r="I949" s="237"/>
      <c r="J949" s="237"/>
      <c r="K949" s="240"/>
      <c r="L949" s="237"/>
      <c r="M949" s="237"/>
      <c r="N949" s="237"/>
      <c r="O949" s="237"/>
      <c r="P949" s="237"/>
      <c r="Q949" s="245"/>
      <c r="R949" s="237"/>
      <c r="S949" s="237"/>
      <c r="T949" s="237"/>
      <c r="U949" s="237"/>
      <c r="V949" s="237"/>
      <c r="W949" s="237"/>
      <c r="X949" s="237"/>
      <c r="Y949" s="237"/>
      <c r="Z949" s="237"/>
      <c r="AA949" s="237"/>
      <c r="AB949" s="337"/>
      <c r="AC949" s="237"/>
      <c r="AD949" s="561"/>
      <c r="AE949" s="337"/>
      <c r="AF949" s="237"/>
    </row>
    <row r="950" spans="2:32" ht="13.5" customHeight="1">
      <c r="B950" s="237"/>
      <c r="C950" s="237"/>
      <c r="D950" s="255"/>
      <c r="E950" s="237"/>
      <c r="F950" s="237"/>
      <c r="G950" s="255"/>
      <c r="H950" s="237"/>
      <c r="I950" s="237"/>
      <c r="J950" s="237"/>
      <c r="K950" s="240"/>
      <c r="L950" s="237"/>
      <c r="M950" s="237"/>
      <c r="N950" s="237"/>
      <c r="O950" s="237"/>
      <c r="P950" s="237"/>
      <c r="Q950" s="245"/>
      <c r="R950" s="237"/>
      <c r="S950" s="237"/>
      <c r="T950" s="237"/>
      <c r="U950" s="237"/>
      <c r="V950" s="237"/>
      <c r="W950" s="237"/>
      <c r="X950" s="237"/>
      <c r="Y950" s="237"/>
      <c r="Z950" s="237"/>
      <c r="AA950" s="237"/>
      <c r="AB950" s="337"/>
      <c r="AC950" s="237"/>
      <c r="AD950" s="561"/>
      <c r="AE950" s="337"/>
      <c r="AF950" s="237"/>
    </row>
    <row r="951" spans="2:32" ht="13.5" customHeight="1">
      <c r="B951" s="237"/>
      <c r="C951" s="237"/>
      <c r="D951" s="255"/>
      <c r="E951" s="237"/>
      <c r="F951" s="237"/>
      <c r="G951" s="255"/>
      <c r="H951" s="237"/>
      <c r="I951" s="237"/>
      <c r="J951" s="237"/>
      <c r="K951" s="240"/>
      <c r="L951" s="237"/>
      <c r="M951" s="237"/>
      <c r="N951" s="237"/>
      <c r="O951" s="237"/>
      <c r="P951" s="237"/>
      <c r="Q951" s="245"/>
      <c r="R951" s="237"/>
      <c r="S951" s="237"/>
      <c r="T951" s="237"/>
      <c r="U951" s="237"/>
      <c r="V951" s="237"/>
      <c r="W951" s="237"/>
      <c r="X951" s="237"/>
      <c r="Y951" s="237"/>
      <c r="Z951" s="237"/>
      <c r="AA951" s="237"/>
      <c r="AB951" s="337"/>
      <c r="AC951" s="237"/>
      <c r="AD951" s="561"/>
      <c r="AE951" s="337"/>
      <c r="AF951" s="237"/>
    </row>
    <row r="952" spans="2:32" ht="13.5" customHeight="1">
      <c r="B952" s="237"/>
      <c r="C952" s="237"/>
      <c r="D952" s="255"/>
      <c r="E952" s="237"/>
      <c r="F952" s="237"/>
      <c r="G952" s="255"/>
      <c r="H952" s="237"/>
      <c r="I952" s="237"/>
      <c r="J952" s="237"/>
      <c r="K952" s="240"/>
      <c r="L952" s="237"/>
      <c r="M952" s="237"/>
      <c r="N952" s="237"/>
      <c r="O952" s="237"/>
      <c r="P952" s="237"/>
      <c r="Q952" s="245"/>
      <c r="R952" s="237"/>
      <c r="S952" s="237"/>
      <c r="T952" s="237"/>
      <c r="U952" s="237"/>
      <c r="V952" s="237"/>
      <c r="W952" s="237"/>
      <c r="X952" s="237"/>
      <c r="Y952" s="237"/>
      <c r="Z952" s="237"/>
      <c r="AA952" s="237"/>
      <c r="AB952" s="337"/>
      <c r="AC952" s="237"/>
      <c r="AD952" s="561"/>
      <c r="AE952" s="337"/>
      <c r="AF952" s="237"/>
    </row>
    <row r="953" spans="2:32" ht="13.5" customHeight="1">
      <c r="B953" s="237"/>
      <c r="C953" s="237"/>
      <c r="D953" s="255"/>
      <c r="E953" s="237"/>
      <c r="F953" s="237"/>
      <c r="G953" s="255"/>
      <c r="H953" s="237"/>
      <c r="I953" s="237"/>
      <c r="J953" s="237"/>
      <c r="K953" s="240"/>
      <c r="L953" s="237"/>
      <c r="M953" s="237"/>
      <c r="N953" s="237"/>
      <c r="O953" s="237"/>
      <c r="P953" s="237"/>
      <c r="Q953" s="245"/>
      <c r="R953" s="237"/>
      <c r="S953" s="237"/>
      <c r="T953" s="237"/>
      <c r="U953" s="237"/>
      <c r="V953" s="237"/>
      <c r="W953" s="237"/>
      <c r="X953" s="237"/>
      <c r="Y953" s="237"/>
      <c r="Z953" s="237"/>
      <c r="AA953" s="237"/>
      <c r="AB953" s="337"/>
      <c r="AC953" s="237"/>
      <c r="AD953" s="561"/>
      <c r="AE953" s="337"/>
      <c r="AF953" s="237"/>
    </row>
    <row r="954" spans="2:32" ht="13.5" customHeight="1">
      <c r="B954" s="237"/>
      <c r="C954" s="237"/>
      <c r="D954" s="255"/>
      <c r="E954" s="237"/>
      <c r="F954" s="237"/>
      <c r="G954" s="255"/>
      <c r="H954" s="237"/>
      <c r="I954" s="237"/>
      <c r="J954" s="237"/>
      <c r="K954" s="240"/>
      <c r="L954" s="237"/>
      <c r="M954" s="237"/>
      <c r="N954" s="237"/>
      <c r="O954" s="237"/>
      <c r="P954" s="237"/>
      <c r="Q954" s="245"/>
      <c r="R954" s="237"/>
      <c r="S954" s="237"/>
      <c r="T954" s="237"/>
      <c r="U954" s="237"/>
      <c r="V954" s="237"/>
      <c r="W954" s="237"/>
      <c r="X954" s="237"/>
      <c r="Y954" s="237"/>
      <c r="Z954" s="237"/>
      <c r="AA954" s="237"/>
      <c r="AB954" s="337"/>
      <c r="AC954" s="237"/>
      <c r="AD954" s="561"/>
      <c r="AE954" s="337"/>
      <c r="AF954" s="237"/>
    </row>
    <row r="955" spans="2:32" ht="13.5" customHeight="1">
      <c r="B955" s="237"/>
      <c r="C955" s="237"/>
      <c r="D955" s="255"/>
      <c r="E955" s="237"/>
      <c r="F955" s="237"/>
      <c r="G955" s="255"/>
      <c r="H955" s="237"/>
      <c r="I955" s="237"/>
      <c r="J955" s="237"/>
      <c r="K955" s="240"/>
      <c r="L955" s="237"/>
      <c r="M955" s="237"/>
      <c r="N955" s="237"/>
      <c r="O955" s="237"/>
      <c r="P955" s="237"/>
      <c r="Q955" s="245"/>
      <c r="R955" s="237"/>
      <c r="S955" s="237"/>
      <c r="T955" s="237"/>
      <c r="U955" s="237"/>
      <c r="V955" s="237"/>
      <c r="W955" s="237"/>
      <c r="X955" s="237"/>
      <c r="Y955" s="237"/>
      <c r="Z955" s="237"/>
      <c r="AA955" s="237"/>
      <c r="AB955" s="337"/>
      <c r="AC955" s="237"/>
      <c r="AD955" s="561"/>
      <c r="AE955" s="337"/>
      <c r="AF955" s="237"/>
    </row>
    <row r="956" spans="2:32" ht="13.5" customHeight="1">
      <c r="B956" s="237"/>
      <c r="C956" s="237"/>
      <c r="D956" s="255"/>
      <c r="E956" s="237"/>
      <c r="F956" s="237"/>
      <c r="G956" s="255"/>
      <c r="H956" s="237"/>
      <c r="I956" s="237"/>
      <c r="J956" s="237"/>
      <c r="K956" s="240"/>
      <c r="L956" s="237"/>
      <c r="M956" s="237"/>
      <c r="N956" s="237"/>
      <c r="O956" s="237"/>
      <c r="P956" s="237"/>
      <c r="Q956" s="245"/>
      <c r="R956" s="237"/>
      <c r="S956" s="237"/>
      <c r="T956" s="237"/>
      <c r="U956" s="237"/>
      <c r="V956" s="237"/>
      <c r="W956" s="237"/>
      <c r="X956" s="237"/>
      <c r="Y956" s="237"/>
      <c r="Z956" s="237"/>
      <c r="AA956" s="237"/>
      <c r="AB956" s="337"/>
      <c r="AC956" s="237"/>
      <c r="AD956" s="561"/>
      <c r="AE956" s="337"/>
      <c r="AF956" s="237"/>
    </row>
    <row r="957" spans="2:32" ht="13.5" customHeight="1">
      <c r="B957" s="237"/>
      <c r="C957" s="237"/>
      <c r="D957" s="255"/>
      <c r="E957" s="237"/>
      <c r="F957" s="237"/>
      <c r="G957" s="255"/>
      <c r="H957" s="237"/>
      <c r="I957" s="237"/>
      <c r="J957" s="237"/>
      <c r="K957" s="240"/>
      <c r="L957" s="237"/>
      <c r="M957" s="237"/>
      <c r="N957" s="237"/>
      <c r="O957" s="237"/>
      <c r="P957" s="237"/>
      <c r="Q957" s="245"/>
      <c r="R957" s="237"/>
      <c r="S957" s="237"/>
      <c r="T957" s="237"/>
      <c r="U957" s="237"/>
      <c r="V957" s="237"/>
      <c r="W957" s="237"/>
      <c r="X957" s="237"/>
      <c r="Y957" s="237"/>
      <c r="Z957" s="237"/>
      <c r="AA957" s="237"/>
      <c r="AB957" s="337"/>
      <c r="AC957" s="237"/>
      <c r="AD957" s="561"/>
      <c r="AE957" s="337"/>
      <c r="AF957" s="237"/>
    </row>
    <row r="958" spans="2:32" ht="13.5" customHeight="1">
      <c r="B958" s="237"/>
      <c r="C958" s="237"/>
      <c r="D958" s="255"/>
      <c r="E958" s="237"/>
      <c r="F958" s="237"/>
      <c r="G958" s="255"/>
      <c r="H958" s="237"/>
      <c r="I958" s="237"/>
      <c r="J958" s="237"/>
      <c r="K958" s="240"/>
      <c r="L958" s="237"/>
      <c r="M958" s="237"/>
      <c r="N958" s="237"/>
      <c r="O958" s="237"/>
      <c r="P958" s="237"/>
      <c r="Q958" s="245"/>
      <c r="R958" s="237"/>
      <c r="S958" s="237"/>
      <c r="T958" s="237"/>
      <c r="U958" s="237"/>
      <c r="V958" s="237"/>
      <c r="W958" s="237"/>
      <c r="X958" s="237"/>
      <c r="Y958" s="237"/>
      <c r="Z958" s="237"/>
      <c r="AA958" s="237"/>
      <c r="AB958" s="337"/>
      <c r="AC958" s="237"/>
      <c r="AD958" s="561"/>
      <c r="AE958" s="337"/>
      <c r="AF958" s="237"/>
    </row>
    <row r="959" spans="2:32" ht="13.5" customHeight="1">
      <c r="B959" s="237"/>
      <c r="C959" s="237"/>
      <c r="D959" s="255"/>
      <c r="E959" s="237"/>
      <c r="F959" s="237"/>
      <c r="G959" s="255"/>
      <c r="H959" s="237"/>
      <c r="I959" s="237"/>
      <c r="J959" s="237"/>
      <c r="K959" s="240"/>
      <c r="L959" s="237"/>
      <c r="M959" s="237"/>
      <c r="N959" s="237"/>
      <c r="O959" s="237"/>
      <c r="P959" s="237"/>
      <c r="Q959" s="245"/>
      <c r="R959" s="237"/>
      <c r="S959" s="237"/>
      <c r="T959" s="237"/>
      <c r="U959" s="237"/>
      <c r="V959" s="237"/>
      <c r="W959" s="237"/>
      <c r="X959" s="237"/>
      <c r="Y959" s="237"/>
      <c r="Z959" s="237"/>
      <c r="AA959" s="237"/>
      <c r="AB959" s="337"/>
      <c r="AC959" s="237"/>
      <c r="AD959" s="561"/>
      <c r="AE959" s="337"/>
      <c r="AF959" s="237"/>
    </row>
    <row r="960" spans="2:32" ht="13.5" customHeight="1">
      <c r="B960" s="237"/>
      <c r="C960" s="237"/>
      <c r="D960" s="255"/>
      <c r="E960" s="237"/>
      <c r="F960" s="237"/>
      <c r="G960" s="255"/>
      <c r="H960" s="237"/>
      <c r="I960" s="237"/>
      <c r="J960" s="237"/>
      <c r="K960" s="240"/>
      <c r="L960" s="237"/>
      <c r="M960" s="237"/>
      <c r="N960" s="237"/>
      <c r="O960" s="237"/>
      <c r="P960" s="237"/>
      <c r="Q960" s="245"/>
      <c r="R960" s="237"/>
      <c r="S960" s="237"/>
      <c r="T960" s="237"/>
      <c r="U960" s="237"/>
      <c r="V960" s="237"/>
      <c r="W960" s="237"/>
      <c r="X960" s="237"/>
      <c r="Y960" s="237"/>
      <c r="Z960" s="237"/>
      <c r="AA960" s="237"/>
      <c r="AB960" s="337"/>
      <c r="AC960" s="237"/>
      <c r="AD960" s="561"/>
      <c r="AE960" s="337"/>
      <c r="AF960" s="237"/>
    </row>
    <row r="961" spans="2:32" ht="13.5" customHeight="1">
      <c r="B961" s="237"/>
      <c r="C961" s="237"/>
      <c r="D961" s="255"/>
      <c r="E961" s="237"/>
      <c r="F961" s="237"/>
      <c r="G961" s="255"/>
      <c r="H961" s="237"/>
      <c r="I961" s="237"/>
      <c r="J961" s="237"/>
      <c r="K961" s="240"/>
      <c r="L961" s="237"/>
      <c r="M961" s="237"/>
      <c r="N961" s="237"/>
      <c r="O961" s="237"/>
      <c r="P961" s="237"/>
      <c r="Q961" s="245"/>
      <c r="R961" s="237"/>
      <c r="S961" s="237"/>
      <c r="T961" s="237"/>
      <c r="U961" s="237"/>
      <c r="V961" s="237"/>
      <c r="W961" s="237"/>
      <c r="X961" s="237"/>
      <c r="Y961" s="237"/>
      <c r="Z961" s="237"/>
      <c r="AA961" s="237"/>
      <c r="AB961" s="337"/>
      <c r="AC961" s="237"/>
      <c r="AD961" s="561"/>
      <c r="AE961" s="337"/>
      <c r="AF961" s="237"/>
    </row>
    <row r="962" spans="2:32" ht="13.5" customHeight="1">
      <c r="B962" s="237"/>
      <c r="C962" s="237"/>
      <c r="D962" s="255"/>
      <c r="E962" s="237"/>
      <c r="F962" s="237"/>
      <c r="G962" s="255"/>
      <c r="H962" s="237"/>
      <c r="I962" s="237"/>
      <c r="J962" s="237"/>
      <c r="K962" s="240"/>
      <c r="L962" s="237"/>
      <c r="M962" s="237"/>
      <c r="N962" s="237"/>
      <c r="O962" s="237"/>
      <c r="P962" s="237"/>
      <c r="Q962" s="245"/>
      <c r="R962" s="237"/>
      <c r="S962" s="237"/>
      <c r="T962" s="237"/>
      <c r="U962" s="237"/>
      <c r="V962" s="237"/>
      <c r="W962" s="237"/>
      <c r="X962" s="237"/>
      <c r="Y962" s="237"/>
      <c r="Z962" s="237"/>
      <c r="AA962" s="237"/>
      <c r="AB962" s="337"/>
      <c r="AC962" s="237"/>
      <c r="AD962" s="561"/>
      <c r="AE962" s="337"/>
      <c r="AF962" s="237"/>
    </row>
    <row r="963" spans="2:32" ht="13.5" customHeight="1">
      <c r="B963" s="237"/>
      <c r="C963" s="237"/>
      <c r="D963" s="255"/>
      <c r="E963" s="237"/>
      <c r="F963" s="237"/>
      <c r="G963" s="255"/>
      <c r="H963" s="237"/>
      <c r="I963" s="237"/>
      <c r="J963" s="237"/>
      <c r="K963" s="240"/>
      <c r="L963" s="237"/>
      <c r="M963" s="237"/>
      <c r="N963" s="237"/>
      <c r="O963" s="237"/>
      <c r="P963" s="237"/>
      <c r="Q963" s="245"/>
      <c r="R963" s="237"/>
      <c r="S963" s="237"/>
      <c r="T963" s="237"/>
      <c r="U963" s="237"/>
      <c r="V963" s="237"/>
      <c r="W963" s="237"/>
      <c r="X963" s="237"/>
      <c r="Y963" s="237"/>
      <c r="Z963" s="237"/>
      <c r="AA963" s="237"/>
      <c r="AB963" s="337"/>
      <c r="AC963" s="237"/>
      <c r="AD963" s="561"/>
      <c r="AE963" s="337"/>
      <c r="AF963" s="237"/>
    </row>
    <row r="964" spans="2:32" ht="13.5" customHeight="1">
      <c r="B964" s="237"/>
      <c r="C964" s="237"/>
      <c r="D964" s="255"/>
      <c r="E964" s="237"/>
      <c r="F964" s="237"/>
      <c r="G964" s="255"/>
      <c r="H964" s="237"/>
      <c r="I964" s="237"/>
      <c r="J964" s="237"/>
      <c r="K964" s="240"/>
      <c r="L964" s="237"/>
      <c r="M964" s="237"/>
      <c r="N964" s="237"/>
      <c r="O964" s="237"/>
      <c r="P964" s="237"/>
      <c r="Q964" s="245"/>
      <c r="R964" s="237"/>
      <c r="S964" s="237"/>
      <c r="T964" s="237"/>
      <c r="U964" s="237"/>
      <c r="V964" s="237"/>
      <c r="W964" s="237"/>
      <c r="X964" s="237"/>
      <c r="Y964" s="237"/>
      <c r="Z964" s="237"/>
      <c r="AA964" s="237"/>
      <c r="AB964" s="337"/>
      <c r="AC964" s="237"/>
      <c r="AD964" s="561"/>
      <c r="AE964" s="337"/>
      <c r="AF964" s="237"/>
    </row>
    <row r="965" spans="2:32" ht="13.5" customHeight="1">
      <c r="B965" s="237"/>
      <c r="C965" s="237"/>
      <c r="D965" s="255"/>
      <c r="E965" s="237"/>
      <c r="F965" s="237"/>
      <c r="G965" s="255"/>
      <c r="H965" s="237"/>
      <c r="I965" s="237"/>
      <c r="J965" s="237"/>
      <c r="K965" s="240"/>
      <c r="L965" s="237"/>
      <c r="M965" s="237"/>
      <c r="N965" s="237"/>
      <c r="O965" s="237"/>
      <c r="P965" s="237"/>
      <c r="Q965" s="245"/>
      <c r="R965" s="237"/>
      <c r="S965" s="237"/>
      <c r="T965" s="237"/>
      <c r="U965" s="237"/>
      <c r="V965" s="237"/>
      <c r="W965" s="237"/>
      <c r="X965" s="237"/>
      <c r="Y965" s="237"/>
      <c r="Z965" s="237"/>
      <c r="AA965" s="237"/>
      <c r="AB965" s="337"/>
      <c r="AC965" s="237"/>
      <c r="AD965" s="561"/>
      <c r="AE965" s="337"/>
      <c r="AF965" s="237"/>
    </row>
    <row r="966" spans="2:32" ht="13.5" customHeight="1">
      <c r="B966" s="237"/>
      <c r="C966" s="237"/>
      <c r="D966" s="255"/>
      <c r="E966" s="237"/>
      <c r="F966" s="237"/>
      <c r="G966" s="255"/>
      <c r="H966" s="237"/>
      <c r="I966" s="237"/>
      <c r="J966" s="237"/>
      <c r="K966" s="240"/>
      <c r="L966" s="237"/>
      <c r="M966" s="237"/>
      <c r="N966" s="237"/>
      <c r="O966" s="237"/>
      <c r="P966" s="237"/>
      <c r="Q966" s="245"/>
      <c r="R966" s="237"/>
      <c r="S966" s="237"/>
      <c r="T966" s="237"/>
      <c r="U966" s="237"/>
      <c r="V966" s="237"/>
      <c r="W966" s="237"/>
      <c r="X966" s="237"/>
      <c r="Y966" s="237"/>
      <c r="Z966" s="237"/>
      <c r="AA966" s="237"/>
      <c r="AB966" s="337"/>
      <c r="AC966" s="237"/>
      <c r="AD966" s="561"/>
      <c r="AE966" s="337"/>
      <c r="AF966" s="237"/>
    </row>
    <row r="967" spans="2:32" ht="13.5" customHeight="1">
      <c r="B967" s="237"/>
      <c r="C967" s="237"/>
      <c r="D967" s="255"/>
      <c r="E967" s="237"/>
      <c r="F967" s="237"/>
      <c r="G967" s="255"/>
      <c r="H967" s="237"/>
      <c r="I967" s="237"/>
      <c r="J967" s="237"/>
      <c r="K967" s="240"/>
      <c r="L967" s="237"/>
      <c r="M967" s="237"/>
      <c r="N967" s="237"/>
      <c r="O967" s="237"/>
      <c r="P967" s="237"/>
      <c r="Q967" s="245"/>
      <c r="R967" s="237"/>
      <c r="S967" s="237"/>
      <c r="T967" s="237"/>
      <c r="U967" s="237"/>
      <c r="V967" s="237"/>
      <c r="W967" s="237"/>
      <c r="X967" s="237"/>
      <c r="Y967" s="237"/>
      <c r="Z967" s="237"/>
      <c r="AA967" s="237"/>
      <c r="AB967" s="337"/>
      <c r="AC967" s="237"/>
      <c r="AD967" s="561"/>
      <c r="AE967" s="337"/>
      <c r="AF967" s="237"/>
    </row>
    <row r="968" spans="2:32" ht="13.5" customHeight="1">
      <c r="B968" s="237"/>
      <c r="C968" s="237"/>
      <c r="D968" s="255"/>
      <c r="E968" s="237"/>
      <c r="F968" s="237"/>
      <c r="G968" s="255"/>
      <c r="H968" s="237"/>
      <c r="I968" s="237"/>
      <c r="J968" s="237"/>
      <c r="K968" s="240"/>
      <c r="L968" s="237"/>
      <c r="M968" s="237"/>
      <c r="N968" s="237"/>
      <c r="O968" s="237"/>
      <c r="P968" s="237"/>
      <c r="Q968" s="245"/>
      <c r="R968" s="237"/>
      <c r="S968" s="237"/>
      <c r="T968" s="237"/>
      <c r="U968" s="237"/>
      <c r="V968" s="237"/>
      <c r="W968" s="237"/>
      <c r="X968" s="237"/>
      <c r="Y968" s="237"/>
      <c r="Z968" s="237"/>
      <c r="AA968" s="237"/>
      <c r="AB968" s="337"/>
      <c r="AC968" s="237"/>
      <c r="AD968" s="561"/>
      <c r="AE968" s="337"/>
      <c r="AF968" s="237"/>
    </row>
    <row r="969" spans="2:32" ht="13.5" customHeight="1">
      <c r="B969" s="237"/>
      <c r="C969" s="237"/>
      <c r="D969" s="255"/>
      <c r="E969" s="237"/>
      <c r="F969" s="237"/>
      <c r="G969" s="255"/>
      <c r="H969" s="237"/>
      <c r="I969" s="237"/>
      <c r="J969" s="237"/>
      <c r="K969" s="240"/>
      <c r="L969" s="237"/>
      <c r="M969" s="237"/>
      <c r="N969" s="237"/>
      <c r="O969" s="237"/>
      <c r="P969" s="237"/>
      <c r="Q969" s="245"/>
      <c r="R969" s="237"/>
      <c r="S969" s="237"/>
      <c r="T969" s="237"/>
      <c r="U969" s="237"/>
      <c r="V969" s="237"/>
      <c r="W969" s="237"/>
      <c r="X969" s="237"/>
      <c r="Y969" s="237"/>
      <c r="Z969" s="237"/>
      <c r="AA969" s="237"/>
      <c r="AB969" s="337"/>
      <c r="AC969" s="237"/>
      <c r="AD969" s="561"/>
      <c r="AE969" s="337"/>
      <c r="AF969" s="237"/>
    </row>
    <row r="970" spans="2:32" ht="13.5" customHeight="1">
      <c r="B970" s="237"/>
      <c r="C970" s="237"/>
      <c r="D970" s="255"/>
      <c r="E970" s="237"/>
      <c r="F970" s="237"/>
      <c r="G970" s="255"/>
      <c r="H970" s="237"/>
      <c r="I970" s="237"/>
      <c r="J970" s="237"/>
      <c r="K970" s="240"/>
      <c r="L970" s="237"/>
      <c r="M970" s="237"/>
      <c r="N970" s="237"/>
      <c r="O970" s="237"/>
      <c r="P970" s="237"/>
      <c r="Q970" s="245"/>
      <c r="R970" s="237"/>
      <c r="S970" s="237"/>
      <c r="T970" s="237"/>
      <c r="U970" s="237"/>
      <c r="V970" s="237"/>
      <c r="W970" s="237"/>
      <c r="X970" s="237"/>
      <c r="Y970" s="237"/>
      <c r="Z970" s="237"/>
      <c r="AA970" s="237"/>
      <c r="AB970" s="337"/>
      <c r="AC970" s="237"/>
      <c r="AD970" s="561"/>
      <c r="AE970" s="337"/>
      <c r="AF970" s="237"/>
    </row>
    <row r="971" spans="2:32" ht="13.5" customHeight="1">
      <c r="B971" s="237"/>
      <c r="C971" s="237"/>
      <c r="D971" s="255"/>
      <c r="E971" s="237"/>
      <c r="F971" s="237"/>
      <c r="G971" s="255"/>
      <c r="H971" s="237"/>
      <c r="I971" s="237"/>
      <c r="J971" s="237"/>
      <c r="K971" s="240"/>
      <c r="L971" s="237"/>
      <c r="M971" s="237"/>
      <c r="N971" s="237"/>
      <c r="O971" s="237"/>
      <c r="P971" s="237"/>
      <c r="Q971" s="245"/>
      <c r="R971" s="237"/>
      <c r="S971" s="237"/>
      <c r="T971" s="237"/>
      <c r="U971" s="237"/>
      <c r="V971" s="237"/>
      <c r="W971" s="237"/>
      <c r="X971" s="237"/>
      <c r="Y971" s="237"/>
      <c r="Z971" s="237"/>
      <c r="AA971" s="237"/>
      <c r="AB971" s="337"/>
      <c r="AC971" s="237"/>
      <c r="AD971" s="561"/>
      <c r="AE971" s="337"/>
      <c r="AF971" s="237"/>
    </row>
    <row r="972" spans="2:32" ht="13.5" customHeight="1">
      <c r="B972" s="237"/>
      <c r="C972" s="237"/>
      <c r="D972" s="255"/>
      <c r="E972" s="237"/>
      <c r="F972" s="237"/>
      <c r="G972" s="255"/>
      <c r="H972" s="237"/>
      <c r="I972" s="237"/>
      <c r="J972" s="237"/>
      <c r="K972" s="240"/>
      <c r="L972" s="237"/>
      <c r="M972" s="237"/>
      <c r="N972" s="237"/>
      <c r="O972" s="237"/>
      <c r="P972" s="237"/>
      <c r="Q972" s="245"/>
      <c r="R972" s="237"/>
      <c r="S972" s="237"/>
      <c r="T972" s="237"/>
      <c r="U972" s="237"/>
      <c r="V972" s="237"/>
      <c r="W972" s="237"/>
      <c r="X972" s="237"/>
      <c r="Y972" s="237"/>
      <c r="Z972" s="237"/>
      <c r="AA972" s="237"/>
      <c r="AB972" s="337"/>
      <c r="AC972" s="237"/>
      <c r="AD972" s="561"/>
      <c r="AE972" s="337"/>
      <c r="AF972" s="237"/>
    </row>
    <row r="973" spans="2:32" ht="13.5" customHeight="1">
      <c r="B973" s="237"/>
      <c r="C973" s="237"/>
      <c r="D973" s="255"/>
      <c r="E973" s="237"/>
      <c r="F973" s="237"/>
      <c r="G973" s="255"/>
      <c r="H973" s="237"/>
      <c r="I973" s="237"/>
      <c r="J973" s="237"/>
      <c r="K973" s="240"/>
      <c r="L973" s="237"/>
      <c r="M973" s="237"/>
      <c r="N973" s="237"/>
      <c r="O973" s="237"/>
      <c r="P973" s="237"/>
      <c r="Q973" s="245"/>
      <c r="R973" s="237"/>
      <c r="S973" s="237"/>
      <c r="T973" s="237"/>
      <c r="U973" s="237"/>
      <c r="V973" s="237"/>
      <c r="W973" s="237"/>
      <c r="X973" s="237"/>
      <c r="Y973" s="237"/>
      <c r="Z973" s="237"/>
      <c r="AA973" s="237"/>
      <c r="AB973" s="337"/>
      <c r="AC973" s="237"/>
      <c r="AD973" s="561"/>
      <c r="AE973" s="337"/>
      <c r="AF973" s="237"/>
    </row>
    <row r="974" spans="2:32" ht="13.5" customHeight="1">
      <c r="B974" s="237"/>
      <c r="C974" s="237"/>
      <c r="D974" s="255"/>
      <c r="E974" s="237"/>
      <c r="F974" s="237"/>
      <c r="G974" s="255"/>
      <c r="H974" s="237"/>
      <c r="I974" s="237"/>
      <c r="J974" s="237"/>
      <c r="K974" s="240"/>
      <c r="L974" s="237"/>
      <c r="M974" s="237"/>
      <c r="N974" s="237"/>
      <c r="O974" s="237"/>
      <c r="P974" s="237"/>
      <c r="Q974" s="245"/>
      <c r="R974" s="237"/>
      <c r="S974" s="237"/>
      <c r="T974" s="237"/>
      <c r="U974" s="237"/>
      <c r="V974" s="237"/>
      <c r="W974" s="237"/>
      <c r="X974" s="237"/>
      <c r="Y974" s="237"/>
      <c r="Z974" s="237"/>
      <c r="AA974" s="237"/>
      <c r="AB974" s="337"/>
      <c r="AC974" s="237"/>
      <c r="AD974" s="561"/>
      <c r="AE974" s="337"/>
      <c r="AF974" s="237"/>
    </row>
    <row r="975" spans="2:32" ht="13.5" customHeight="1">
      <c r="B975" s="237"/>
      <c r="C975" s="237"/>
      <c r="D975" s="255"/>
      <c r="E975" s="237"/>
      <c r="F975" s="237"/>
      <c r="G975" s="255"/>
      <c r="H975" s="237"/>
      <c r="I975" s="237"/>
      <c r="J975" s="237"/>
      <c r="K975" s="240"/>
      <c r="L975" s="237"/>
      <c r="M975" s="237"/>
      <c r="N975" s="237"/>
      <c r="O975" s="237"/>
      <c r="P975" s="237"/>
      <c r="Q975" s="245"/>
      <c r="R975" s="237"/>
      <c r="S975" s="237"/>
      <c r="T975" s="237"/>
      <c r="U975" s="237"/>
      <c r="V975" s="237"/>
      <c r="W975" s="237"/>
      <c r="X975" s="237"/>
      <c r="Y975" s="237"/>
      <c r="Z975" s="237"/>
      <c r="AA975" s="237"/>
      <c r="AB975" s="337"/>
      <c r="AC975" s="237"/>
      <c r="AD975" s="561"/>
      <c r="AE975" s="337"/>
      <c r="AF975" s="237"/>
    </row>
    <row r="976" spans="2:32" ht="13.5" customHeight="1">
      <c r="B976" s="237"/>
      <c r="C976" s="237"/>
      <c r="D976" s="255"/>
      <c r="E976" s="237"/>
      <c r="F976" s="237"/>
      <c r="G976" s="255"/>
      <c r="H976" s="237"/>
      <c r="I976" s="237"/>
      <c r="J976" s="237"/>
      <c r="K976" s="240"/>
      <c r="L976" s="237"/>
      <c r="M976" s="237"/>
      <c r="N976" s="237"/>
      <c r="O976" s="237"/>
      <c r="P976" s="237"/>
      <c r="Q976" s="245"/>
      <c r="R976" s="237"/>
      <c r="S976" s="237"/>
      <c r="T976" s="237"/>
      <c r="U976" s="237"/>
      <c r="V976" s="237"/>
      <c r="W976" s="237"/>
      <c r="X976" s="237"/>
      <c r="Y976" s="237"/>
      <c r="Z976" s="237"/>
      <c r="AA976" s="237"/>
      <c r="AB976" s="337"/>
      <c r="AC976" s="237"/>
      <c r="AD976" s="561"/>
      <c r="AE976" s="337"/>
      <c r="AF976" s="237"/>
    </row>
    <row r="977" spans="2:32" ht="13.5" customHeight="1">
      <c r="B977" s="237"/>
      <c r="C977" s="237"/>
      <c r="D977" s="255"/>
      <c r="E977" s="237"/>
      <c r="F977" s="237"/>
      <c r="G977" s="255"/>
      <c r="H977" s="237"/>
      <c r="I977" s="237"/>
      <c r="J977" s="237"/>
      <c r="K977" s="240"/>
      <c r="L977" s="237"/>
      <c r="M977" s="237"/>
      <c r="N977" s="237"/>
      <c r="O977" s="237"/>
      <c r="P977" s="237"/>
      <c r="Q977" s="245"/>
      <c r="R977" s="237"/>
      <c r="S977" s="237"/>
      <c r="T977" s="237"/>
      <c r="U977" s="237"/>
      <c r="V977" s="237"/>
      <c r="W977" s="237"/>
      <c r="X977" s="237"/>
      <c r="Y977" s="237"/>
      <c r="Z977" s="237"/>
      <c r="AA977" s="237"/>
      <c r="AB977" s="337"/>
      <c r="AC977" s="237"/>
      <c r="AD977" s="561"/>
      <c r="AE977" s="337"/>
      <c r="AF977" s="237"/>
    </row>
    <row r="978" spans="2:32" ht="13.5" customHeight="1">
      <c r="B978" s="237"/>
      <c r="C978" s="237"/>
      <c r="D978" s="255"/>
      <c r="E978" s="237"/>
      <c r="F978" s="237"/>
      <c r="G978" s="255"/>
      <c r="H978" s="237"/>
      <c r="I978" s="237"/>
      <c r="J978" s="237"/>
      <c r="K978" s="240"/>
      <c r="L978" s="237"/>
      <c r="M978" s="237"/>
      <c r="N978" s="237"/>
      <c r="O978" s="237"/>
      <c r="P978" s="237"/>
      <c r="Q978" s="245"/>
      <c r="R978" s="237"/>
      <c r="S978" s="237"/>
      <c r="T978" s="237"/>
      <c r="U978" s="237"/>
      <c r="V978" s="237"/>
      <c r="W978" s="237"/>
      <c r="X978" s="237"/>
      <c r="Y978" s="237"/>
      <c r="Z978" s="237"/>
      <c r="AA978" s="237"/>
      <c r="AB978" s="337"/>
      <c r="AC978" s="237"/>
      <c r="AD978" s="561"/>
      <c r="AE978" s="337"/>
      <c r="AF978" s="237"/>
    </row>
    <row r="979" spans="2:32" ht="13.5" customHeight="1">
      <c r="B979" s="237"/>
      <c r="C979" s="237"/>
      <c r="D979" s="255"/>
      <c r="E979" s="237"/>
      <c r="F979" s="237"/>
      <c r="G979" s="255"/>
      <c r="H979" s="237"/>
      <c r="I979" s="237"/>
      <c r="J979" s="237"/>
      <c r="K979" s="240"/>
      <c r="L979" s="237"/>
      <c r="M979" s="237"/>
      <c r="N979" s="237"/>
      <c r="O979" s="237"/>
      <c r="P979" s="237"/>
      <c r="Q979" s="245"/>
      <c r="R979" s="237"/>
      <c r="S979" s="237"/>
      <c r="T979" s="237"/>
      <c r="U979" s="237"/>
      <c r="V979" s="237"/>
      <c r="W979" s="237"/>
      <c r="X979" s="237"/>
      <c r="Y979" s="237"/>
      <c r="Z979" s="237"/>
      <c r="AA979" s="237"/>
      <c r="AB979" s="337"/>
      <c r="AC979" s="237"/>
      <c r="AD979" s="561"/>
      <c r="AE979" s="337"/>
      <c r="AF979" s="237"/>
    </row>
    <row r="980" spans="2:32" ht="13.5" customHeight="1">
      <c r="B980" s="237"/>
      <c r="C980" s="237"/>
      <c r="D980" s="255"/>
      <c r="E980" s="237"/>
      <c r="F980" s="237"/>
      <c r="G980" s="255"/>
      <c r="H980" s="237"/>
      <c r="I980" s="237"/>
      <c r="J980" s="237"/>
      <c r="K980" s="240"/>
      <c r="L980" s="237"/>
      <c r="M980" s="237"/>
      <c r="N980" s="237"/>
      <c r="O980" s="237"/>
      <c r="P980" s="237"/>
      <c r="Q980" s="245"/>
      <c r="R980" s="237"/>
      <c r="S980" s="237"/>
      <c r="T980" s="237"/>
      <c r="U980" s="237"/>
      <c r="V980" s="237"/>
      <c r="W980" s="237"/>
      <c r="X980" s="237"/>
      <c r="Y980" s="237"/>
      <c r="Z980" s="237"/>
      <c r="AA980" s="237"/>
      <c r="AB980" s="337"/>
      <c r="AC980" s="237"/>
      <c r="AD980" s="561"/>
      <c r="AE980" s="337"/>
      <c r="AF980" s="237"/>
    </row>
    <row r="981" spans="2:32" ht="13.5" customHeight="1">
      <c r="B981" s="237"/>
      <c r="C981" s="237"/>
      <c r="D981" s="255"/>
      <c r="E981" s="237"/>
      <c r="F981" s="237"/>
      <c r="G981" s="255"/>
      <c r="H981" s="237"/>
      <c r="I981" s="237"/>
      <c r="J981" s="237"/>
      <c r="K981" s="240"/>
      <c r="L981" s="237"/>
      <c r="M981" s="237"/>
      <c r="N981" s="237"/>
      <c r="O981" s="237"/>
      <c r="P981" s="237"/>
      <c r="Q981" s="245"/>
      <c r="R981" s="237"/>
      <c r="S981" s="237"/>
      <c r="T981" s="237"/>
      <c r="U981" s="237"/>
      <c r="V981" s="237"/>
      <c r="W981" s="237"/>
      <c r="X981" s="237"/>
      <c r="Y981" s="237"/>
      <c r="Z981" s="237"/>
      <c r="AA981" s="237"/>
      <c r="AB981" s="337"/>
      <c r="AC981" s="237"/>
      <c r="AD981" s="561"/>
      <c r="AE981" s="337"/>
      <c r="AF981" s="237"/>
    </row>
    <row r="982" spans="2:32" ht="13.5" customHeight="1">
      <c r="B982" s="237"/>
      <c r="C982" s="237"/>
      <c r="D982" s="255"/>
      <c r="E982" s="237"/>
      <c r="F982" s="237"/>
      <c r="G982" s="255"/>
      <c r="H982" s="237"/>
      <c r="I982" s="237"/>
      <c r="J982" s="237"/>
      <c r="K982" s="240"/>
      <c r="L982" s="237"/>
      <c r="M982" s="237"/>
      <c r="N982" s="237"/>
      <c r="O982" s="237"/>
      <c r="P982" s="237"/>
      <c r="Q982" s="245"/>
      <c r="R982" s="237"/>
      <c r="S982" s="237"/>
      <c r="T982" s="237"/>
      <c r="U982" s="237"/>
      <c r="V982" s="237"/>
      <c r="W982" s="237"/>
      <c r="X982" s="237"/>
      <c r="Y982" s="237"/>
      <c r="Z982" s="237"/>
      <c r="AA982" s="237"/>
      <c r="AB982" s="337"/>
      <c r="AC982" s="237"/>
      <c r="AD982" s="561"/>
      <c r="AE982" s="337"/>
      <c r="AF982" s="237"/>
    </row>
    <row r="983" spans="2:32" ht="13.5" customHeight="1">
      <c r="B983" s="237"/>
      <c r="C983" s="237"/>
      <c r="D983" s="255"/>
      <c r="E983" s="237"/>
      <c r="F983" s="237"/>
      <c r="G983" s="255"/>
      <c r="H983" s="237"/>
      <c r="I983" s="237"/>
      <c r="J983" s="237"/>
      <c r="K983" s="240"/>
      <c r="L983" s="237"/>
      <c r="M983" s="237"/>
      <c r="N983" s="237"/>
      <c r="O983" s="237"/>
      <c r="P983" s="237"/>
      <c r="Q983" s="245"/>
      <c r="R983" s="237"/>
      <c r="S983" s="237"/>
      <c r="T983" s="237"/>
      <c r="U983" s="237"/>
      <c r="V983" s="237"/>
      <c r="W983" s="237"/>
      <c r="X983" s="237"/>
      <c r="Y983" s="237"/>
      <c r="Z983" s="237"/>
      <c r="AA983" s="237"/>
      <c r="AB983" s="337"/>
      <c r="AC983" s="237"/>
      <c r="AD983" s="561"/>
      <c r="AE983" s="337"/>
      <c r="AF983" s="237"/>
    </row>
    <row r="984" spans="2:32" ht="13.5" customHeight="1">
      <c r="B984" s="237"/>
      <c r="C984" s="237"/>
      <c r="D984" s="255"/>
      <c r="E984" s="237"/>
      <c r="F984" s="237"/>
      <c r="G984" s="255"/>
      <c r="H984" s="237"/>
      <c r="I984" s="237"/>
      <c r="J984" s="237"/>
      <c r="K984" s="240"/>
      <c r="L984" s="237"/>
      <c r="M984" s="237"/>
      <c r="N984" s="237"/>
      <c r="O984" s="237"/>
      <c r="P984" s="237"/>
      <c r="Q984" s="245"/>
      <c r="R984" s="237"/>
      <c r="S984" s="237"/>
      <c r="T984" s="237"/>
      <c r="U984" s="237"/>
      <c r="V984" s="237"/>
      <c r="W984" s="237"/>
      <c r="X984" s="237"/>
      <c r="Y984" s="237"/>
      <c r="Z984" s="237"/>
      <c r="AA984" s="237"/>
      <c r="AB984" s="337"/>
      <c r="AC984" s="237"/>
      <c r="AD984" s="561"/>
      <c r="AE984" s="337"/>
      <c r="AF984" s="237"/>
    </row>
    <row r="985" spans="2:32" ht="13.5" customHeight="1">
      <c r="B985" s="237"/>
      <c r="C985" s="237"/>
      <c r="D985" s="255"/>
      <c r="E985" s="237"/>
      <c r="F985" s="237"/>
      <c r="G985" s="255"/>
      <c r="H985" s="237"/>
      <c r="I985" s="237"/>
      <c r="J985" s="237"/>
      <c r="K985" s="240"/>
      <c r="L985" s="237"/>
      <c r="M985" s="237"/>
      <c r="N985" s="237"/>
      <c r="O985" s="237"/>
      <c r="P985" s="237"/>
      <c r="Q985" s="245"/>
      <c r="R985" s="237"/>
      <c r="S985" s="237"/>
      <c r="T985" s="237"/>
      <c r="U985" s="237"/>
      <c r="V985" s="237"/>
      <c r="W985" s="237"/>
      <c r="X985" s="237"/>
      <c r="Y985" s="237"/>
      <c r="Z985" s="237"/>
      <c r="AA985" s="237"/>
      <c r="AB985" s="337"/>
      <c r="AC985" s="237"/>
      <c r="AD985" s="561"/>
      <c r="AE985" s="337"/>
      <c r="AF985" s="237"/>
    </row>
    <row r="986" spans="2:32" ht="13.5" customHeight="1">
      <c r="B986" s="237"/>
      <c r="C986" s="237"/>
      <c r="D986" s="255"/>
      <c r="E986" s="237"/>
      <c r="F986" s="237"/>
      <c r="G986" s="255"/>
      <c r="H986" s="237"/>
      <c r="I986" s="237"/>
      <c r="J986" s="237"/>
      <c r="K986" s="240"/>
      <c r="L986" s="237"/>
      <c r="M986" s="237"/>
      <c r="N986" s="237"/>
      <c r="O986" s="237"/>
      <c r="P986" s="237"/>
      <c r="Q986" s="245"/>
      <c r="R986" s="237"/>
      <c r="S986" s="237"/>
      <c r="T986" s="237"/>
      <c r="U986" s="237"/>
      <c r="V986" s="237"/>
      <c r="W986" s="237"/>
      <c r="X986" s="237"/>
      <c r="Y986" s="237"/>
      <c r="Z986" s="237"/>
      <c r="AA986" s="237"/>
      <c r="AB986" s="337"/>
      <c r="AC986" s="237"/>
      <c r="AD986" s="561"/>
      <c r="AE986" s="337"/>
      <c r="AF986" s="237"/>
    </row>
    <row r="987" spans="2:32" ht="13.5" customHeight="1">
      <c r="B987" s="237"/>
      <c r="C987" s="237"/>
      <c r="D987" s="255"/>
      <c r="E987" s="237"/>
      <c r="F987" s="237"/>
      <c r="G987" s="255"/>
      <c r="H987" s="237"/>
      <c r="I987" s="237"/>
      <c r="J987" s="237"/>
      <c r="K987" s="240"/>
      <c r="L987" s="237"/>
      <c r="M987" s="237"/>
      <c r="N987" s="237"/>
      <c r="O987" s="237"/>
      <c r="P987" s="237"/>
      <c r="Q987" s="245"/>
      <c r="R987" s="237"/>
      <c r="S987" s="237"/>
      <c r="T987" s="237"/>
      <c r="U987" s="237"/>
      <c r="V987" s="237"/>
      <c r="W987" s="237"/>
      <c r="X987" s="237"/>
      <c r="Y987" s="237"/>
      <c r="Z987" s="237"/>
      <c r="AA987" s="237"/>
      <c r="AB987" s="337"/>
      <c r="AC987" s="237"/>
      <c r="AD987" s="561"/>
      <c r="AE987" s="337"/>
      <c r="AF987" s="237"/>
    </row>
    <row r="988" spans="2:32" ht="13.5" customHeight="1">
      <c r="B988" s="237"/>
      <c r="C988" s="237"/>
      <c r="D988" s="255"/>
      <c r="E988" s="237"/>
      <c r="F988" s="237"/>
      <c r="G988" s="255"/>
      <c r="H988" s="237"/>
      <c r="I988" s="237"/>
      <c r="J988" s="237"/>
      <c r="K988" s="240"/>
      <c r="L988" s="237"/>
      <c r="M988" s="237"/>
      <c r="N988" s="237"/>
      <c r="O988" s="237"/>
      <c r="P988" s="237"/>
      <c r="Q988" s="245"/>
      <c r="R988" s="237"/>
      <c r="S988" s="237"/>
      <c r="T988" s="237"/>
      <c r="U988" s="237"/>
      <c r="V988" s="237"/>
      <c r="W988" s="237"/>
      <c r="X988" s="237"/>
      <c r="Y988" s="237"/>
      <c r="Z988" s="237"/>
      <c r="AA988" s="237"/>
      <c r="AB988" s="337"/>
      <c r="AC988" s="237"/>
      <c r="AD988" s="561"/>
      <c r="AE988" s="337"/>
      <c r="AF988" s="237"/>
    </row>
    <row r="989" spans="2:32" ht="13.5" customHeight="1">
      <c r="B989" s="237"/>
      <c r="C989" s="237"/>
      <c r="D989" s="255"/>
      <c r="E989" s="237"/>
      <c r="F989" s="237"/>
      <c r="G989" s="255"/>
      <c r="H989" s="237"/>
      <c r="I989" s="237"/>
      <c r="J989" s="237"/>
      <c r="K989" s="240"/>
      <c r="L989" s="237"/>
      <c r="M989" s="237"/>
      <c r="N989" s="237"/>
      <c r="O989" s="237"/>
      <c r="P989" s="237"/>
      <c r="Q989" s="245"/>
      <c r="R989" s="237"/>
      <c r="S989" s="237"/>
      <c r="T989" s="237"/>
      <c r="U989" s="237"/>
      <c r="V989" s="237"/>
      <c r="W989" s="237"/>
      <c r="X989" s="237"/>
      <c r="Y989" s="237"/>
      <c r="Z989" s="237"/>
      <c r="AA989" s="237"/>
      <c r="AB989" s="337"/>
      <c r="AC989" s="237"/>
      <c r="AD989" s="561"/>
      <c r="AE989" s="337"/>
      <c r="AF989" s="237"/>
    </row>
    <row r="990" spans="2:32" ht="13.5" customHeight="1">
      <c r="B990" s="237"/>
      <c r="C990" s="237"/>
      <c r="D990" s="255"/>
      <c r="E990" s="237"/>
      <c r="F990" s="237"/>
      <c r="G990" s="255"/>
      <c r="H990" s="237"/>
      <c r="I990" s="237"/>
      <c r="J990" s="237"/>
      <c r="K990" s="240"/>
      <c r="L990" s="237"/>
      <c r="M990" s="237"/>
      <c r="N990" s="237"/>
      <c r="O990" s="237"/>
      <c r="P990" s="237"/>
      <c r="Q990" s="245"/>
      <c r="R990" s="237"/>
      <c r="S990" s="237"/>
      <c r="T990" s="237"/>
      <c r="U990" s="237"/>
      <c r="V990" s="237"/>
      <c r="W990" s="237"/>
      <c r="X990" s="237"/>
      <c r="Y990" s="237"/>
      <c r="Z990" s="237"/>
      <c r="AA990" s="237"/>
      <c r="AB990" s="337"/>
      <c r="AC990" s="237"/>
      <c r="AD990" s="561"/>
      <c r="AE990" s="337"/>
      <c r="AF990" s="237"/>
    </row>
    <row r="991" spans="2:32" ht="13.5" customHeight="1">
      <c r="B991" s="237"/>
      <c r="C991" s="237"/>
      <c r="D991" s="255"/>
      <c r="E991" s="237"/>
      <c r="F991" s="237"/>
      <c r="G991" s="255"/>
      <c r="H991" s="237"/>
      <c r="I991" s="237"/>
      <c r="J991" s="237"/>
      <c r="K991" s="240"/>
      <c r="L991" s="237"/>
      <c r="M991" s="237"/>
      <c r="N991" s="237"/>
      <c r="O991" s="237"/>
      <c r="P991" s="237"/>
      <c r="Q991" s="245"/>
      <c r="R991" s="237"/>
      <c r="S991" s="237"/>
      <c r="T991" s="237"/>
      <c r="U991" s="237"/>
      <c r="V991" s="237"/>
      <c r="W991" s="237"/>
      <c r="X991" s="237"/>
      <c r="Y991" s="237"/>
      <c r="Z991" s="237"/>
      <c r="AA991" s="237"/>
      <c r="AB991" s="337"/>
      <c r="AC991" s="237"/>
      <c r="AD991" s="561"/>
      <c r="AE991" s="337"/>
      <c r="AF991" s="237"/>
    </row>
    <row r="992" spans="2:32" ht="13.5" customHeight="1">
      <c r="B992" s="237"/>
      <c r="C992" s="237"/>
      <c r="D992" s="255"/>
      <c r="E992" s="237"/>
      <c r="F992" s="237"/>
      <c r="G992" s="255"/>
      <c r="H992" s="237"/>
      <c r="I992" s="237"/>
      <c r="J992" s="237"/>
      <c r="K992" s="240"/>
      <c r="L992" s="237"/>
      <c r="M992" s="237"/>
      <c r="N992" s="237"/>
      <c r="O992" s="237"/>
      <c r="P992" s="237"/>
      <c r="Q992" s="245"/>
      <c r="R992" s="237"/>
      <c r="S992" s="237"/>
      <c r="T992" s="237"/>
      <c r="U992" s="237"/>
      <c r="V992" s="237"/>
      <c r="W992" s="237"/>
      <c r="X992" s="237"/>
      <c r="Y992" s="237"/>
      <c r="Z992" s="237"/>
      <c r="AA992" s="237"/>
      <c r="AB992" s="337"/>
      <c r="AC992" s="237"/>
      <c r="AD992" s="561"/>
      <c r="AE992" s="337"/>
      <c r="AF992" s="237"/>
    </row>
    <row r="993" spans="2:32" ht="13.5" customHeight="1">
      <c r="B993" s="237"/>
      <c r="C993" s="237"/>
      <c r="D993" s="255"/>
      <c r="E993" s="237"/>
      <c r="F993" s="237"/>
      <c r="G993" s="255"/>
      <c r="H993" s="237"/>
      <c r="I993" s="237"/>
      <c r="J993" s="237"/>
      <c r="K993" s="240"/>
      <c r="L993" s="237"/>
      <c r="M993" s="237"/>
      <c r="N993" s="237"/>
      <c r="O993" s="237"/>
      <c r="P993" s="237"/>
      <c r="Q993" s="245"/>
      <c r="R993" s="237"/>
      <c r="S993" s="237"/>
      <c r="T993" s="237"/>
      <c r="U993" s="237"/>
      <c r="V993" s="237"/>
      <c r="W993" s="237"/>
      <c r="X993" s="237"/>
      <c r="Y993" s="237"/>
      <c r="Z993" s="237"/>
      <c r="AA993" s="237"/>
      <c r="AB993" s="337"/>
      <c r="AC993" s="237"/>
      <c r="AD993" s="561"/>
      <c r="AE993" s="337"/>
      <c r="AF993" s="237"/>
    </row>
    <row r="994" spans="2:32" ht="13.5" customHeight="1">
      <c r="B994" s="237"/>
      <c r="C994" s="237"/>
      <c r="D994" s="255"/>
      <c r="E994" s="237"/>
      <c r="F994" s="237"/>
      <c r="G994" s="255"/>
      <c r="H994" s="237"/>
      <c r="I994" s="237"/>
      <c r="J994" s="237"/>
      <c r="K994" s="240"/>
      <c r="L994" s="237"/>
      <c r="M994" s="237"/>
      <c r="N994" s="237"/>
      <c r="O994" s="237"/>
      <c r="P994" s="237"/>
      <c r="Q994" s="245"/>
      <c r="R994" s="237"/>
      <c r="S994" s="237"/>
      <c r="T994" s="237"/>
      <c r="U994" s="237"/>
      <c r="V994" s="237"/>
      <c r="W994" s="237"/>
      <c r="X994" s="237"/>
      <c r="Y994" s="237"/>
      <c r="Z994" s="237"/>
      <c r="AA994" s="237"/>
      <c r="AB994" s="337"/>
      <c r="AC994" s="237"/>
      <c r="AD994" s="561"/>
      <c r="AE994" s="337"/>
      <c r="AF994" s="237"/>
    </row>
    <row r="995" spans="2:32" ht="13.5" customHeight="1">
      <c r="B995" s="237"/>
      <c r="C995" s="237"/>
      <c r="D995" s="255"/>
      <c r="E995" s="237"/>
      <c r="F995" s="237"/>
      <c r="G995" s="255"/>
      <c r="H995" s="237"/>
      <c r="I995" s="237"/>
      <c r="J995" s="237"/>
      <c r="K995" s="240"/>
      <c r="L995" s="237"/>
      <c r="M995" s="237"/>
      <c r="N995" s="237"/>
      <c r="O995" s="237"/>
      <c r="P995" s="237"/>
      <c r="Q995" s="245"/>
      <c r="R995" s="237"/>
      <c r="S995" s="237"/>
      <c r="T995" s="237"/>
      <c r="U995" s="237"/>
      <c r="V995" s="237"/>
      <c r="W995" s="237"/>
      <c r="X995" s="237"/>
      <c r="Y995" s="237"/>
      <c r="Z995" s="237"/>
      <c r="AA995" s="237"/>
      <c r="AB995" s="337"/>
      <c r="AC995" s="237"/>
      <c r="AD995" s="561"/>
      <c r="AE995" s="337"/>
      <c r="AF995" s="237"/>
    </row>
    <row r="996" spans="2:32" ht="13.5" customHeight="1">
      <c r="B996" s="237"/>
      <c r="C996" s="237"/>
      <c r="D996" s="255"/>
      <c r="E996" s="237"/>
      <c r="F996" s="237"/>
      <c r="G996" s="255"/>
      <c r="H996" s="237"/>
      <c r="I996" s="237"/>
      <c r="J996" s="237"/>
      <c r="K996" s="240"/>
      <c r="L996" s="237"/>
      <c r="M996" s="237"/>
      <c r="N996" s="237"/>
      <c r="O996" s="237"/>
      <c r="P996" s="237"/>
      <c r="Q996" s="245"/>
      <c r="R996" s="237"/>
      <c r="S996" s="237"/>
      <c r="T996" s="237"/>
      <c r="U996" s="237"/>
      <c r="V996" s="237"/>
      <c r="W996" s="237"/>
      <c r="X996" s="237"/>
      <c r="Y996" s="237"/>
      <c r="Z996" s="237"/>
      <c r="AA996" s="237"/>
      <c r="AB996" s="337"/>
      <c r="AC996" s="237"/>
      <c r="AD996" s="561"/>
      <c r="AE996" s="337"/>
      <c r="AF996" s="237"/>
    </row>
    <row r="997" spans="2:32" ht="13.5" customHeight="1">
      <c r="B997" s="237"/>
      <c r="C997" s="237"/>
      <c r="D997" s="255"/>
      <c r="E997" s="237"/>
      <c r="F997" s="237"/>
      <c r="G997" s="255"/>
      <c r="H997" s="237"/>
      <c r="I997" s="237"/>
      <c r="J997" s="237"/>
      <c r="K997" s="240"/>
      <c r="L997" s="237"/>
      <c r="M997" s="237"/>
      <c r="N997" s="237"/>
      <c r="O997" s="237"/>
      <c r="P997" s="237"/>
      <c r="Q997" s="245"/>
      <c r="R997" s="237"/>
      <c r="S997" s="237"/>
      <c r="T997" s="237"/>
      <c r="U997" s="237"/>
      <c r="V997" s="237"/>
      <c r="W997" s="237"/>
      <c r="X997" s="237"/>
      <c r="Y997" s="237"/>
      <c r="Z997" s="237"/>
      <c r="AA997" s="237"/>
      <c r="AB997" s="337"/>
      <c r="AC997" s="237"/>
      <c r="AD997" s="561"/>
      <c r="AE997" s="337"/>
      <c r="AF997" s="237"/>
    </row>
    <row r="998" spans="2:32" ht="13.5" customHeight="1">
      <c r="B998" s="237"/>
      <c r="C998" s="237"/>
      <c r="D998" s="255"/>
      <c r="E998" s="237"/>
      <c r="F998" s="237"/>
      <c r="G998" s="255"/>
      <c r="H998" s="237"/>
      <c r="I998" s="237"/>
      <c r="J998" s="237"/>
      <c r="K998" s="240"/>
      <c r="L998" s="237"/>
      <c r="M998" s="237"/>
      <c r="N998" s="237"/>
      <c r="O998" s="237"/>
      <c r="P998" s="237"/>
      <c r="Q998" s="245"/>
      <c r="R998" s="237"/>
      <c r="S998" s="237"/>
      <c r="T998" s="237"/>
      <c r="U998" s="237"/>
      <c r="V998" s="237"/>
      <c r="W998" s="237"/>
      <c r="X998" s="237"/>
      <c r="Y998" s="237"/>
      <c r="Z998" s="237"/>
      <c r="AA998" s="237"/>
      <c r="AB998" s="337"/>
      <c r="AC998" s="237"/>
      <c r="AD998" s="561"/>
      <c r="AE998" s="337"/>
      <c r="AF998" s="237"/>
    </row>
    <row r="999" spans="2:32" ht="13.5" customHeight="1">
      <c r="B999" s="237"/>
      <c r="C999" s="237"/>
      <c r="D999" s="255"/>
      <c r="E999" s="237"/>
      <c r="F999" s="237"/>
      <c r="G999" s="255"/>
      <c r="H999" s="237"/>
      <c r="I999" s="237"/>
      <c r="J999" s="237"/>
      <c r="K999" s="240"/>
      <c r="L999" s="237"/>
      <c r="M999" s="237"/>
      <c r="N999" s="237"/>
      <c r="O999" s="237"/>
      <c r="P999" s="237"/>
      <c r="Q999" s="245"/>
      <c r="R999" s="237"/>
      <c r="S999" s="237"/>
      <c r="T999" s="237"/>
      <c r="U999" s="237"/>
      <c r="V999" s="237"/>
      <c r="W999" s="237"/>
      <c r="X999" s="237"/>
      <c r="Y999" s="237"/>
      <c r="Z999" s="237"/>
      <c r="AA999" s="237"/>
      <c r="AB999" s="337"/>
      <c r="AC999" s="237"/>
      <c r="AD999" s="561"/>
      <c r="AE999" s="337"/>
      <c r="AF999" s="237"/>
    </row>
    <row r="1000" spans="2:32" ht="13.5" customHeight="1">
      <c r="B1000" s="237"/>
      <c r="C1000" s="237"/>
      <c r="D1000" s="255"/>
      <c r="E1000" s="237"/>
      <c r="F1000" s="237"/>
      <c r="G1000" s="255"/>
      <c r="H1000" s="237"/>
      <c r="I1000" s="237"/>
      <c r="J1000" s="237"/>
      <c r="K1000" s="240"/>
      <c r="L1000" s="237"/>
      <c r="M1000" s="237"/>
      <c r="N1000" s="237"/>
      <c r="O1000" s="237"/>
      <c r="P1000" s="237"/>
      <c r="Q1000" s="245"/>
      <c r="R1000" s="237"/>
      <c r="S1000" s="237"/>
      <c r="T1000" s="237"/>
      <c r="U1000" s="237"/>
      <c r="V1000" s="237"/>
      <c r="W1000" s="237"/>
      <c r="X1000" s="237"/>
      <c r="Y1000" s="237"/>
      <c r="Z1000" s="237"/>
      <c r="AA1000" s="237"/>
      <c r="AB1000" s="337"/>
      <c r="AC1000" s="237"/>
      <c r="AD1000" s="561"/>
      <c r="AE1000" s="337"/>
      <c r="AF1000" s="237"/>
    </row>
    <row r="1001" spans="2:32" ht="13.5" customHeight="1">
      <c r="B1001" s="237"/>
      <c r="C1001" s="237"/>
      <c r="D1001" s="255"/>
      <c r="E1001" s="237"/>
      <c r="F1001" s="237"/>
      <c r="G1001" s="255"/>
      <c r="H1001" s="237"/>
      <c r="I1001" s="237"/>
      <c r="J1001" s="237"/>
      <c r="K1001" s="240"/>
      <c r="L1001" s="237"/>
      <c r="M1001" s="237"/>
      <c r="N1001" s="237"/>
      <c r="O1001" s="237"/>
      <c r="P1001" s="237"/>
      <c r="Q1001" s="245"/>
      <c r="R1001" s="237"/>
      <c r="S1001" s="237"/>
      <c r="T1001" s="237"/>
      <c r="U1001" s="237"/>
      <c r="V1001" s="237"/>
      <c r="W1001" s="237"/>
      <c r="X1001" s="237"/>
      <c r="Y1001" s="237"/>
      <c r="Z1001" s="237"/>
      <c r="AA1001" s="237"/>
      <c r="AB1001" s="337"/>
      <c r="AC1001" s="237"/>
      <c r="AD1001" s="561"/>
      <c r="AE1001" s="337"/>
      <c r="AF1001" s="237"/>
    </row>
    <row r="1002" spans="2:32" ht="13.5" customHeight="1">
      <c r="B1002" s="237"/>
      <c r="C1002" s="237"/>
      <c r="D1002" s="255"/>
      <c r="E1002" s="237"/>
      <c r="F1002" s="237"/>
      <c r="G1002" s="255"/>
      <c r="H1002" s="237"/>
      <c r="I1002" s="237"/>
      <c r="J1002" s="237"/>
      <c r="K1002" s="240"/>
      <c r="L1002" s="237"/>
      <c r="M1002" s="237"/>
      <c r="N1002" s="237"/>
      <c r="O1002" s="237"/>
      <c r="P1002" s="237"/>
      <c r="Q1002" s="245"/>
      <c r="R1002" s="237"/>
      <c r="S1002" s="237"/>
      <c r="T1002" s="237"/>
      <c r="U1002" s="237"/>
      <c r="V1002" s="237"/>
      <c r="W1002" s="237"/>
      <c r="X1002" s="237"/>
      <c r="Y1002" s="237"/>
      <c r="Z1002" s="237"/>
      <c r="AA1002" s="237"/>
      <c r="AB1002" s="337"/>
      <c r="AC1002" s="237"/>
      <c r="AD1002" s="561"/>
      <c r="AE1002" s="337"/>
      <c r="AF1002" s="237"/>
    </row>
    <row r="1003" spans="2:32" ht="13.5" customHeight="1">
      <c r="B1003" s="237"/>
      <c r="C1003" s="237"/>
      <c r="D1003" s="255"/>
      <c r="E1003" s="237"/>
      <c r="F1003" s="237"/>
      <c r="G1003" s="255"/>
      <c r="H1003" s="237"/>
      <c r="I1003" s="237"/>
      <c r="J1003" s="237"/>
      <c r="K1003" s="240"/>
      <c r="L1003" s="237"/>
      <c r="M1003" s="237"/>
      <c r="N1003" s="237"/>
      <c r="O1003" s="237"/>
      <c r="P1003" s="237"/>
      <c r="Q1003" s="245"/>
      <c r="R1003" s="237"/>
      <c r="S1003" s="237"/>
      <c r="T1003" s="237"/>
      <c r="U1003" s="237"/>
      <c r="V1003" s="237"/>
      <c r="W1003" s="237"/>
      <c r="X1003" s="237"/>
      <c r="Y1003" s="237"/>
      <c r="Z1003" s="237"/>
      <c r="AA1003" s="237"/>
      <c r="AB1003" s="337"/>
      <c r="AC1003" s="237"/>
      <c r="AD1003" s="561"/>
      <c r="AE1003" s="337"/>
      <c r="AF1003" s="237"/>
    </row>
    <row r="1004" spans="2:32" ht="13.5" customHeight="1">
      <c r="B1004" s="237"/>
      <c r="C1004" s="237"/>
      <c r="D1004" s="255"/>
      <c r="E1004" s="237"/>
      <c r="F1004" s="237"/>
      <c r="G1004" s="255"/>
      <c r="H1004" s="237"/>
      <c r="I1004" s="237"/>
      <c r="J1004" s="237"/>
      <c r="K1004" s="240"/>
      <c r="L1004" s="237"/>
      <c r="M1004" s="237"/>
      <c r="N1004" s="237"/>
      <c r="O1004" s="237"/>
      <c r="P1004" s="237"/>
      <c r="Q1004" s="245"/>
      <c r="R1004" s="237"/>
      <c r="S1004" s="237"/>
      <c r="T1004" s="237"/>
      <c r="U1004" s="237"/>
      <c r="V1004" s="237"/>
      <c r="W1004" s="237"/>
      <c r="X1004" s="237"/>
      <c r="Y1004" s="237"/>
      <c r="Z1004" s="237"/>
      <c r="AA1004" s="237"/>
      <c r="AB1004" s="337"/>
      <c r="AC1004" s="237"/>
      <c r="AD1004" s="561"/>
      <c r="AE1004" s="337"/>
      <c r="AF1004" s="237"/>
    </row>
    <row r="1005" spans="2:32" ht="13.5" customHeight="1">
      <c r="B1005" s="237"/>
      <c r="C1005" s="237"/>
      <c r="D1005" s="255"/>
      <c r="E1005" s="237"/>
      <c r="F1005" s="237"/>
      <c r="G1005" s="255"/>
      <c r="H1005" s="237"/>
      <c r="I1005" s="237"/>
      <c r="J1005" s="237"/>
      <c r="K1005" s="240"/>
      <c r="L1005" s="237"/>
      <c r="M1005" s="237"/>
      <c r="N1005" s="237"/>
      <c r="O1005" s="237"/>
      <c r="P1005" s="237"/>
      <c r="Q1005" s="245"/>
      <c r="R1005" s="237"/>
      <c r="S1005" s="237"/>
      <c r="T1005" s="237"/>
      <c r="U1005" s="237"/>
      <c r="V1005" s="237"/>
      <c r="W1005" s="237"/>
      <c r="X1005" s="237"/>
      <c r="Y1005" s="237"/>
      <c r="Z1005" s="237"/>
      <c r="AA1005" s="237"/>
      <c r="AB1005" s="337"/>
      <c r="AC1005" s="237"/>
      <c r="AD1005" s="561"/>
      <c r="AE1005" s="337"/>
      <c r="AF1005" s="237"/>
    </row>
    <row r="1006" spans="2:32" ht="13.5" customHeight="1">
      <c r="B1006" s="237"/>
      <c r="C1006" s="237"/>
      <c r="D1006" s="255"/>
      <c r="E1006" s="237"/>
      <c r="F1006" s="237"/>
      <c r="G1006" s="255"/>
      <c r="H1006" s="237"/>
      <c r="I1006" s="237"/>
      <c r="J1006" s="237"/>
      <c r="K1006" s="240"/>
      <c r="L1006" s="237"/>
      <c r="M1006" s="237"/>
      <c r="N1006" s="237"/>
      <c r="O1006" s="237"/>
      <c r="P1006" s="237"/>
      <c r="Q1006" s="245"/>
      <c r="R1006" s="237"/>
      <c r="S1006" s="237"/>
      <c r="T1006" s="237"/>
      <c r="U1006" s="237"/>
      <c r="V1006" s="237"/>
      <c r="W1006" s="237"/>
      <c r="X1006" s="237"/>
      <c r="Y1006" s="237"/>
      <c r="Z1006" s="237"/>
      <c r="AA1006" s="237"/>
      <c r="AB1006" s="337"/>
      <c r="AC1006" s="237"/>
      <c r="AD1006" s="561"/>
      <c r="AE1006" s="337"/>
      <c r="AF1006" s="237"/>
    </row>
    <row r="1007" spans="2:32" ht="13.5" customHeight="1">
      <c r="B1007" s="237"/>
      <c r="C1007" s="237"/>
      <c r="D1007" s="255"/>
      <c r="E1007" s="237"/>
      <c r="F1007" s="237"/>
      <c r="G1007" s="255"/>
      <c r="H1007" s="237"/>
      <c r="I1007" s="237"/>
      <c r="J1007" s="237"/>
      <c r="K1007" s="240"/>
      <c r="L1007" s="237"/>
      <c r="M1007" s="237"/>
      <c r="N1007" s="237"/>
      <c r="O1007" s="237"/>
      <c r="P1007" s="237"/>
      <c r="Q1007" s="245"/>
      <c r="R1007" s="237"/>
      <c r="S1007" s="237"/>
      <c r="T1007" s="237"/>
      <c r="U1007" s="237"/>
      <c r="V1007" s="237"/>
      <c r="W1007" s="237"/>
      <c r="X1007" s="237"/>
      <c r="Y1007" s="237"/>
      <c r="Z1007" s="237"/>
      <c r="AA1007" s="237"/>
      <c r="AB1007" s="337"/>
      <c r="AC1007" s="237"/>
      <c r="AD1007" s="561"/>
      <c r="AE1007" s="337"/>
      <c r="AF1007" s="237"/>
    </row>
    <row r="1008" spans="2:32" ht="13.5" customHeight="1">
      <c r="B1008" s="237"/>
      <c r="C1008" s="237"/>
      <c r="D1008" s="255"/>
      <c r="E1008" s="237"/>
      <c r="F1008" s="237"/>
      <c r="G1008" s="255"/>
      <c r="H1008" s="237"/>
      <c r="I1008" s="237"/>
      <c r="J1008" s="237"/>
      <c r="K1008" s="240"/>
      <c r="L1008" s="237"/>
      <c r="M1008" s="237"/>
      <c r="N1008" s="237"/>
      <c r="O1008" s="237"/>
      <c r="P1008" s="237"/>
      <c r="Q1008" s="245"/>
      <c r="R1008" s="237"/>
      <c r="S1008" s="237"/>
      <c r="T1008" s="237"/>
      <c r="U1008" s="237"/>
      <c r="V1008" s="237"/>
      <c r="W1008" s="237"/>
      <c r="X1008" s="237"/>
      <c r="Y1008" s="237"/>
      <c r="Z1008" s="237"/>
      <c r="AA1008" s="237"/>
      <c r="AB1008" s="337"/>
      <c r="AC1008" s="237"/>
      <c r="AD1008" s="561"/>
      <c r="AE1008" s="337"/>
      <c r="AF1008" s="237"/>
    </row>
    <row r="1009" spans="2:32" ht="13.5" customHeight="1">
      <c r="B1009" s="237"/>
      <c r="C1009" s="237"/>
      <c r="D1009" s="255"/>
      <c r="E1009" s="237"/>
      <c r="F1009" s="237"/>
      <c r="G1009" s="255"/>
      <c r="H1009" s="237"/>
      <c r="I1009" s="237"/>
      <c r="J1009" s="237"/>
      <c r="K1009" s="240"/>
      <c r="L1009" s="237"/>
      <c r="M1009" s="237"/>
      <c r="N1009" s="237"/>
      <c r="O1009" s="237"/>
      <c r="P1009" s="237"/>
      <c r="Q1009" s="245"/>
      <c r="R1009" s="237"/>
      <c r="S1009" s="237"/>
      <c r="T1009" s="237"/>
      <c r="U1009" s="237"/>
      <c r="V1009" s="237"/>
      <c r="W1009" s="237"/>
      <c r="X1009" s="237"/>
      <c r="Y1009" s="237"/>
      <c r="Z1009" s="237"/>
      <c r="AA1009" s="237"/>
      <c r="AB1009" s="337"/>
      <c r="AC1009" s="237"/>
      <c r="AD1009" s="561"/>
      <c r="AE1009" s="337"/>
      <c r="AF1009" s="237"/>
    </row>
    <row r="1010" spans="2:32" ht="13.5" customHeight="1">
      <c r="B1010" s="237"/>
      <c r="C1010" s="237"/>
      <c r="D1010" s="255"/>
      <c r="E1010" s="237"/>
      <c r="F1010" s="237"/>
      <c r="G1010" s="255"/>
      <c r="H1010" s="237"/>
      <c r="I1010" s="237"/>
      <c r="J1010" s="237"/>
      <c r="K1010" s="240"/>
      <c r="L1010" s="237"/>
      <c r="M1010" s="237"/>
      <c r="N1010" s="237"/>
      <c r="O1010" s="237"/>
      <c r="P1010" s="237"/>
      <c r="Q1010" s="245"/>
      <c r="R1010" s="237"/>
      <c r="S1010" s="237"/>
      <c r="T1010" s="237"/>
      <c r="U1010" s="237"/>
      <c r="V1010" s="237"/>
      <c r="W1010" s="237"/>
      <c r="X1010" s="237"/>
      <c r="Y1010" s="237"/>
      <c r="Z1010" s="237"/>
      <c r="AA1010" s="237"/>
      <c r="AB1010" s="337"/>
      <c r="AC1010" s="237"/>
      <c r="AD1010" s="561"/>
      <c r="AE1010" s="337"/>
      <c r="AF1010" s="237"/>
    </row>
    <row r="1011" spans="2:32" ht="13.5" customHeight="1">
      <c r="B1011" s="237"/>
      <c r="C1011" s="237"/>
      <c r="D1011" s="255"/>
      <c r="E1011" s="237"/>
      <c r="F1011" s="237"/>
      <c r="G1011" s="255"/>
      <c r="H1011" s="237"/>
      <c r="I1011" s="237"/>
      <c r="J1011" s="237"/>
      <c r="K1011" s="240"/>
      <c r="L1011" s="237"/>
      <c r="M1011" s="237"/>
      <c r="N1011" s="237"/>
      <c r="O1011" s="237"/>
      <c r="P1011" s="237"/>
      <c r="Q1011" s="245"/>
      <c r="R1011" s="237"/>
      <c r="S1011" s="237"/>
      <c r="T1011" s="237"/>
      <c r="U1011" s="237"/>
      <c r="V1011" s="237"/>
      <c r="W1011" s="237"/>
      <c r="X1011" s="237"/>
      <c r="Y1011" s="237"/>
      <c r="Z1011" s="237"/>
      <c r="AA1011" s="237"/>
      <c r="AB1011" s="337"/>
      <c r="AC1011" s="237"/>
      <c r="AD1011" s="561"/>
      <c r="AE1011" s="337"/>
      <c r="AF1011" s="237"/>
    </row>
    <row r="1012" spans="2:32" ht="13.5" customHeight="1">
      <c r="B1012" s="237"/>
      <c r="C1012" s="237"/>
      <c r="D1012" s="255"/>
      <c r="E1012" s="237"/>
      <c r="F1012" s="237"/>
      <c r="G1012" s="255"/>
      <c r="H1012" s="237"/>
      <c r="I1012" s="237"/>
      <c r="J1012" s="237"/>
      <c r="K1012" s="240"/>
      <c r="L1012" s="237"/>
      <c r="M1012" s="237"/>
      <c r="N1012" s="237"/>
      <c r="O1012" s="237"/>
      <c r="P1012" s="237"/>
      <c r="Q1012" s="245"/>
      <c r="R1012" s="237"/>
      <c r="S1012" s="237"/>
      <c r="T1012" s="237"/>
      <c r="U1012" s="237"/>
      <c r="V1012" s="237"/>
      <c r="W1012" s="237"/>
      <c r="X1012" s="237"/>
      <c r="Y1012" s="237"/>
      <c r="Z1012" s="237"/>
      <c r="AA1012" s="237"/>
      <c r="AB1012" s="337"/>
      <c r="AC1012" s="237"/>
      <c r="AD1012" s="561"/>
      <c r="AE1012" s="337"/>
      <c r="AF1012" s="237"/>
    </row>
    <row r="1013" spans="2:32" ht="13.5" customHeight="1">
      <c r="B1013" s="237"/>
      <c r="C1013" s="237"/>
      <c r="D1013" s="255"/>
      <c r="E1013" s="237"/>
      <c r="F1013" s="237"/>
      <c r="G1013" s="255"/>
      <c r="H1013" s="237"/>
      <c r="I1013" s="237"/>
      <c r="J1013" s="237"/>
      <c r="K1013" s="240"/>
      <c r="L1013" s="237"/>
      <c r="M1013" s="237"/>
      <c r="N1013" s="237"/>
      <c r="O1013" s="237"/>
      <c r="P1013" s="237"/>
      <c r="Q1013" s="245"/>
      <c r="R1013" s="237"/>
      <c r="S1013" s="237"/>
      <c r="T1013" s="237"/>
      <c r="U1013" s="237"/>
      <c r="V1013" s="237"/>
      <c r="W1013" s="237"/>
      <c r="X1013" s="237"/>
      <c r="Y1013" s="237"/>
      <c r="Z1013" s="237"/>
      <c r="AA1013" s="237"/>
      <c r="AB1013" s="337"/>
      <c r="AC1013" s="237"/>
      <c r="AD1013" s="561"/>
      <c r="AE1013" s="337"/>
      <c r="AF1013" s="237"/>
    </row>
    <row r="1014" spans="2:32" ht="13.5" customHeight="1">
      <c r="B1014" s="237"/>
      <c r="C1014" s="237"/>
      <c r="D1014" s="255"/>
      <c r="E1014" s="237"/>
      <c r="F1014" s="237"/>
      <c r="G1014" s="255"/>
      <c r="H1014" s="237"/>
      <c r="I1014" s="237"/>
      <c r="J1014" s="237"/>
      <c r="K1014" s="240"/>
      <c r="L1014" s="237"/>
      <c r="M1014" s="237"/>
      <c r="N1014" s="237"/>
      <c r="O1014" s="237"/>
      <c r="P1014" s="237"/>
      <c r="Q1014" s="245"/>
      <c r="R1014" s="237"/>
      <c r="S1014" s="237"/>
      <c r="T1014" s="237"/>
      <c r="U1014" s="237"/>
      <c r="V1014" s="237"/>
      <c r="W1014" s="237"/>
      <c r="X1014" s="237"/>
      <c r="Y1014" s="237"/>
      <c r="Z1014" s="237"/>
      <c r="AA1014" s="237"/>
      <c r="AB1014" s="337"/>
      <c r="AC1014" s="237"/>
      <c r="AD1014" s="561"/>
      <c r="AE1014" s="337"/>
      <c r="AF1014" s="237"/>
    </row>
    <row r="1015" spans="2:32" ht="13.5" customHeight="1">
      <c r="B1015" s="237"/>
      <c r="C1015" s="237"/>
      <c r="D1015" s="255"/>
      <c r="E1015" s="237"/>
      <c r="F1015" s="237"/>
      <c r="G1015" s="255"/>
      <c r="H1015" s="237"/>
      <c r="I1015" s="237"/>
      <c r="J1015" s="237"/>
      <c r="K1015" s="240"/>
      <c r="L1015" s="237"/>
      <c r="M1015" s="237"/>
      <c r="N1015" s="237"/>
      <c r="O1015" s="237"/>
      <c r="P1015" s="237"/>
      <c r="Q1015" s="245"/>
      <c r="R1015" s="237"/>
      <c r="S1015" s="237"/>
      <c r="T1015" s="237"/>
      <c r="U1015" s="237"/>
      <c r="V1015" s="237"/>
      <c r="W1015" s="237"/>
      <c r="X1015" s="237"/>
      <c r="Y1015" s="237"/>
      <c r="Z1015" s="237"/>
      <c r="AA1015" s="237"/>
      <c r="AB1015" s="337"/>
      <c r="AC1015" s="237"/>
      <c r="AD1015" s="561"/>
      <c r="AE1015" s="337"/>
      <c r="AF1015" s="237"/>
    </row>
    <row r="1016" spans="2:32" ht="13.5" customHeight="1">
      <c r="B1016" s="237"/>
      <c r="C1016" s="237"/>
      <c r="D1016" s="255"/>
      <c r="E1016" s="237"/>
      <c r="F1016" s="237"/>
      <c r="G1016" s="255"/>
      <c r="H1016" s="237"/>
      <c r="I1016" s="237"/>
      <c r="J1016" s="237"/>
      <c r="K1016" s="240"/>
      <c r="L1016" s="237"/>
      <c r="M1016" s="237"/>
      <c r="N1016" s="237"/>
      <c r="O1016" s="237"/>
      <c r="P1016" s="237"/>
      <c r="Q1016" s="245"/>
      <c r="R1016" s="237"/>
      <c r="S1016" s="237"/>
      <c r="T1016" s="237"/>
      <c r="U1016" s="237"/>
      <c r="V1016" s="237"/>
      <c r="W1016" s="237"/>
      <c r="X1016" s="237"/>
      <c r="Y1016" s="237"/>
      <c r="Z1016" s="237"/>
      <c r="AA1016" s="237"/>
      <c r="AB1016" s="337"/>
      <c r="AC1016" s="237"/>
      <c r="AD1016" s="561"/>
      <c r="AE1016" s="337"/>
      <c r="AF1016" s="237"/>
    </row>
    <row r="1017" spans="2:32" ht="13.5" customHeight="1">
      <c r="B1017" s="237"/>
      <c r="C1017" s="237"/>
      <c r="D1017" s="255"/>
      <c r="E1017" s="237"/>
      <c r="F1017" s="237"/>
      <c r="G1017" s="255"/>
      <c r="H1017" s="237"/>
      <c r="I1017" s="237"/>
      <c r="J1017" s="237"/>
      <c r="K1017" s="240"/>
      <c r="L1017" s="237"/>
      <c r="M1017" s="237"/>
      <c r="N1017" s="237"/>
      <c r="O1017" s="237"/>
      <c r="P1017" s="237"/>
      <c r="Q1017" s="245"/>
      <c r="R1017" s="237"/>
      <c r="S1017" s="237"/>
      <c r="T1017" s="237"/>
      <c r="U1017" s="237"/>
      <c r="V1017" s="237"/>
      <c r="W1017" s="237"/>
      <c r="X1017" s="237"/>
      <c r="Y1017" s="237"/>
      <c r="Z1017" s="237"/>
      <c r="AA1017" s="237"/>
      <c r="AB1017" s="337"/>
      <c r="AC1017" s="237"/>
      <c r="AD1017" s="561"/>
      <c r="AE1017" s="337"/>
      <c r="AF1017" s="237"/>
    </row>
    <row r="1018" spans="2:32" ht="13.5" customHeight="1">
      <c r="B1018" s="237"/>
      <c r="C1018" s="237"/>
      <c r="D1018" s="255"/>
      <c r="E1018" s="237"/>
      <c r="F1018" s="237"/>
      <c r="G1018" s="255"/>
      <c r="H1018" s="237"/>
      <c r="I1018" s="237"/>
      <c r="J1018" s="237"/>
      <c r="K1018" s="240"/>
      <c r="L1018" s="237"/>
      <c r="M1018" s="237"/>
      <c r="N1018" s="237"/>
      <c r="O1018" s="237"/>
      <c r="P1018" s="237"/>
      <c r="Q1018" s="245"/>
      <c r="R1018" s="237"/>
      <c r="S1018" s="237"/>
      <c r="T1018" s="237"/>
      <c r="U1018" s="237"/>
      <c r="V1018" s="237"/>
      <c r="W1018" s="237"/>
      <c r="X1018" s="237"/>
      <c r="Y1018" s="237"/>
      <c r="Z1018" s="237"/>
      <c r="AA1018" s="237"/>
      <c r="AB1018" s="337"/>
      <c r="AC1018" s="237"/>
      <c r="AD1018" s="561"/>
      <c r="AE1018" s="337"/>
      <c r="AF1018" s="237"/>
    </row>
    <row r="1019" spans="2:32" ht="13.5" customHeight="1">
      <c r="B1019" s="237"/>
      <c r="C1019" s="237"/>
      <c r="D1019" s="255"/>
      <c r="E1019" s="237"/>
      <c r="F1019" s="237"/>
      <c r="G1019" s="255"/>
      <c r="H1019" s="237"/>
      <c r="I1019" s="237"/>
      <c r="J1019" s="237"/>
      <c r="K1019" s="240"/>
      <c r="L1019" s="237"/>
      <c r="M1019" s="237"/>
      <c r="N1019" s="237"/>
      <c r="O1019" s="237"/>
      <c r="P1019" s="237"/>
      <c r="Q1019" s="245"/>
      <c r="R1019" s="237"/>
      <c r="S1019" s="237"/>
      <c r="T1019" s="237"/>
      <c r="U1019" s="237"/>
      <c r="V1019" s="237"/>
      <c r="W1019" s="237"/>
      <c r="X1019" s="237"/>
      <c r="Y1019" s="237"/>
      <c r="Z1019" s="237"/>
      <c r="AA1019" s="237"/>
      <c r="AB1019" s="337"/>
      <c r="AC1019" s="237"/>
      <c r="AD1019" s="561"/>
      <c r="AE1019" s="337"/>
      <c r="AF1019" s="237"/>
    </row>
    <row r="1020" spans="2:32" ht="13.5" customHeight="1">
      <c r="B1020" s="237"/>
      <c r="C1020" s="237"/>
      <c r="D1020" s="255"/>
      <c r="E1020" s="237"/>
      <c r="F1020" s="237"/>
      <c r="G1020" s="255"/>
      <c r="H1020" s="237"/>
      <c r="I1020" s="237"/>
      <c r="J1020" s="237"/>
      <c r="K1020" s="240"/>
      <c r="L1020" s="237"/>
      <c r="M1020" s="237"/>
      <c r="N1020" s="237"/>
      <c r="O1020" s="237"/>
      <c r="P1020" s="237"/>
      <c r="Q1020" s="245"/>
      <c r="R1020" s="237"/>
      <c r="S1020" s="237"/>
      <c r="T1020" s="237"/>
      <c r="U1020" s="237"/>
      <c r="V1020" s="237"/>
      <c r="W1020" s="237"/>
      <c r="X1020" s="237"/>
      <c r="Y1020" s="237"/>
      <c r="Z1020" s="237"/>
      <c r="AA1020" s="237"/>
      <c r="AB1020" s="337"/>
      <c r="AC1020" s="237"/>
      <c r="AD1020" s="561"/>
      <c r="AE1020" s="337"/>
      <c r="AF1020" s="237"/>
    </row>
    <row r="1021" spans="2:32" ht="13.5" customHeight="1">
      <c r="B1021" s="237"/>
      <c r="C1021" s="237"/>
      <c r="D1021" s="255"/>
      <c r="E1021" s="237"/>
      <c r="F1021" s="237"/>
      <c r="G1021" s="255"/>
      <c r="H1021" s="237"/>
      <c r="I1021" s="237"/>
      <c r="J1021" s="237"/>
      <c r="K1021" s="240"/>
      <c r="L1021" s="237"/>
      <c r="M1021" s="237"/>
      <c r="N1021" s="237"/>
      <c r="O1021" s="237"/>
      <c r="P1021" s="237"/>
      <c r="Q1021" s="245"/>
      <c r="R1021" s="237"/>
      <c r="S1021" s="237"/>
      <c r="T1021" s="237"/>
      <c r="U1021" s="237"/>
      <c r="V1021" s="237"/>
      <c r="W1021" s="237"/>
      <c r="X1021" s="237"/>
      <c r="Y1021" s="237"/>
      <c r="Z1021" s="237"/>
      <c r="AA1021" s="237"/>
      <c r="AB1021" s="337"/>
      <c r="AC1021" s="237"/>
      <c r="AD1021" s="561"/>
      <c r="AE1021" s="337"/>
      <c r="AF1021" s="237"/>
    </row>
    <row r="1022" spans="2:32" ht="13.5" customHeight="1">
      <c r="B1022" s="237"/>
      <c r="C1022" s="237"/>
      <c r="D1022" s="255"/>
      <c r="E1022" s="237"/>
      <c r="F1022" s="237"/>
      <c r="G1022" s="255"/>
      <c r="H1022" s="237"/>
      <c r="I1022" s="237"/>
      <c r="J1022" s="237"/>
      <c r="K1022" s="240"/>
      <c r="L1022" s="237"/>
      <c r="M1022" s="237"/>
      <c r="N1022" s="237"/>
      <c r="O1022" s="237"/>
      <c r="P1022" s="237"/>
      <c r="Q1022" s="245"/>
      <c r="R1022" s="237"/>
      <c r="S1022" s="237"/>
      <c r="T1022" s="237"/>
      <c r="U1022" s="237"/>
      <c r="V1022" s="237"/>
      <c r="W1022" s="237"/>
      <c r="X1022" s="237"/>
      <c r="Y1022" s="237"/>
      <c r="Z1022" s="237"/>
      <c r="AA1022" s="237"/>
      <c r="AB1022" s="337"/>
      <c r="AC1022" s="237"/>
      <c r="AD1022" s="561"/>
      <c r="AE1022" s="337"/>
      <c r="AF1022" s="237"/>
    </row>
    <row r="1023" spans="2:32" ht="13.5" customHeight="1">
      <c r="B1023" s="237"/>
      <c r="C1023" s="237"/>
      <c r="D1023" s="255"/>
      <c r="E1023" s="237"/>
      <c r="F1023" s="237"/>
      <c r="G1023" s="255"/>
      <c r="H1023" s="237"/>
      <c r="I1023" s="237"/>
      <c r="J1023" s="237"/>
      <c r="K1023" s="240"/>
      <c r="L1023" s="237"/>
      <c r="M1023" s="237"/>
      <c r="N1023" s="237"/>
      <c r="O1023" s="237"/>
      <c r="P1023" s="237"/>
      <c r="Q1023" s="245"/>
      <c r="R1023" s="237"/>
      <c r="S1023" s="237"/>
      <c r="T1023" s="237"/>
      <c r="U1023" s="237"/>
      <c r="V1023" s="237"/>
      <c r="W1023" s="237"/>
      <c r="X1023" s="237"/>
      <c r="Y1023" s="237"/>
      <c r="Z1023" s="237"/>
      <c r="AA1023" s="237"/>
      <c r="AB1023" s="337"/>
      <c r="AC1023" s="237"/>
      <c r="AD1023" s="561"/>
      <c r="AE1023" s="337"/>
      <c r="AF1023" s="237"/>
    </row>
    <row r="1024" spans="2:32" ht="13.5" customHeight="1">
      <c r="B1024" s="237"/>
      <c r="C1024" s="237"/>
      <c r="D1024" s="255"/>
      <c r="E1024" s="237"/>
      <c r="F1024" s="237"/>
      <c r="G1024" s="255"/>
      <c r="H1024" s="237"/>
      <c r="I1024" s="237"/>
      <c r="J1024" s="237"/>
      <c r="K1024" s="240"/>
      <c r="L1024" s="237"/>
      <c r="M1024" s="237"/>
      <c r="N1024" s="237"/>
      <c r="O1024" s="237"/>
      <c r="P1024" s="237"/>
      <c r="Q1024" s="245"/>
      <c r="R1024" s="237"/>
      <c r="S1024" s="237"/>
      <c r="T1024" s="237"/>
      <c r="U1024" s="237"/>
      <c r="V1024" s="237"/>
      <c r="W1024" s="237"/>
      <c r="X1024" s="237"/>
      <c r="Y1024" s="237"/>
      <c r="Z1024" s="237"/>
      <c r="AA1024" s="237"/>
      <c r="AB1024" s="337"/>
      <c r="AC1024" s="237"/>
      <c r="AD1024" s="561"/>
      <c r="AE1024" s="337"/>
      <c r="AF1024" s="237"/>
    </row>
    <row r="1025" spans="2:32" ht="13.5" customHeight="1">
      <c r="B1025" s="237"/>
      <c r="C1025" s="237"/>
      <c r="D1025" s="255"/>
      <c r="E1025" s="237"/>
      <c r="F1025" s="237"/>
      <c r="G1025" s="255"/>
      <c r="H1025" s="237"/>
      <c r="I1025" s="237"/>
      <c r="J1025" s="237"/>
      <c r="K1025" s="240"/>
      <c r="L1025" s="237"/>
      <c r="M1025" s="237"/>
      <c r="N1025" s="237"/>
      <c r="O1025" s="237"/>
      <c r="P1025" s="237"/>
      <c r="Q1025" s="245"/>
      <c r="R1025" s="237"/>
      <c r="S1025" s="237"/>
      <c r="T1025" s="237"/>
      <c r="U1025" s="237"/>
      <c r="V1025" s="237"/>
      <c r="W1025" s="237"/>
      <c r="X1025" s="237"/>
      <c r="Y1025" s="237"/>
      <c r="Z1025" s="237"/>
      <c r="AA1025" s="237"/>
      <c r="AB1025" s="337"/>
      <c r="AC1025" s="237"/>
      <c r="AD1025" s="561"/>
      <c r="AE1025" s="337"/>
      <c r="AF1025" s="237"/>
    </row>
    <row r="1026" spans="2:32" ht="13.5" customHeight="1">
      <c r="B1026" s="237"/>
      <c r="C1026" s="237"/>
      <c r="D1026" s="255"/>
      <c r="E1026" s="237"/>
      <c r="F1026" s="237"/>
      <c r="G1026" s="255"/>
      <c r="H1026" s="237"/>
      <c r="I1026" s="237"/>
      <c r="J1026" s="237"/>
      <c r="K1026" s="240"/>
      <c r="L1026" s="237"/>
      <c r="M1026" s="237"/>
      <c r="N1026" s="237"/>
      <c r="O1026" s="237"/>
      <c r="P1026" s="237"/>
      <c r="Q1026" s="245"/>
      <c r="R1026" s="237"/>
      <c r="S1026" s="237"/>
      <c r="T1026" s="237"/>
      <c r="U1026" s="237"/>
      <c r="V1026" s="237"/>
      <c r="W1026" s="237"/>
      <c r="X1026" s="237"/>
      <c r="Y1026" s="237"/>
      <c r="Z1026" s="237"/>
      <c r="AA1026" s="237"/>
      <c r="AB1026" s="337"/>
      <c r="AC1026" s="237"/>
      <c r="AD1026" s="561"/>
      <c r="AE1026" s="337"/>
      <c r="AF1026" s="237"/>
    </row>
    <row r="1027" spans="2:32" ht="13.5" customHeight="1">
      <c r="B1027" s="237"/>
      <c r="C1027" s="237"/>
      <c r="D1027" s="255"/>
      <c r="E1027" s="237"/>
      <c r="F1027" s="237"/>
      <c r="G1027" s="255"/>
      <c r="H1027" s="237"/>
      <c r="I1027" s="237"/>
      <c r="J1027" s="237"/>
      <c r="K1027" s="240"/>
      <c r="L1027" s="237"/>
      <c r="M1027" s="237"/>
      <c r="N1027" s="237"/>
      <c r="O1027" s="237"/>
      <c r="P1027" s="237"/>
      <c r="Q1027" s="245"/>
      <c r="R1027" s="237"/>
      <c r="S1027" s="237"/>
      <c r="T1027" s="237"/>
      <c r="U1027" s="237"/>
      <c r="V1027" s="237"/>
      <c r="W1027" s="237"/>
      <c r="X1027" s="237"/>
      <c r="Y1027" s="237"/>
      <c r="Z1027" s="237"/>
      <c r="AA1027" s="237"/>
      <c r="AB1027" s="337"/>
      <c r="AC1027" s="237"/>
      <c r="AD1027" s="561"/>
      <c r="AE1027" s="337"/>
      <c r="AF1027" s="237"/>
    </row>
    <row r="1028" spans="2:32" ht="13.5" customHeight="1">
      <c r="B1028" s="237"/>
      <c r="C1028" s="237"/>
      <c r="D1028" s="255"/>
      <c r="E1028" s="237"/>
      <c r="F1028" s="237"/>
      <c r="G1028" s="255"/>
      <c r="H1028" s="237"/>
      <c r="I1028" s="237"/>
      <c r="J1028" s="237"/>
      <c r="K1028" s="240"/>
      <c r="L1028" s="237"/>
      <c r="M1028" s="237"/>
      <c r="N1028" s="237"/>
      <c r="O1028" s="237"/>
      <c r="P1028" s="237"/>
      <c r="Q1028" s="245"/>
      <c r="R1028" s="237"/>
      <c r="S1028" s="237"/>
      <c r="T1028" s="237"/>
      <c r="U1028" s="237"/>
      <c r="V1028" s="237"/>
      <c r="W1028" s="237"/>
      <c r="X1028" s="237"/>
      <c r="Y1028" s="237"/>
      <c r="Z1028" s="237"/>
      <c r="AA1028" s="237"/>
      <c r="AB1028" s="337"/>
      <c r="AC1028" s="237"/>
      <c r="AD1028" s="561"/>
      <c r="AE1028" s="337"/>
      <c r="AF1028" s="237"/>
    </row>
    <row r="1029" spans="2:32" ht="13.5" customHeight="1">
      <c r="B1029" s="237"/>
      <c r="C1029" s="237"/>
      <c r="D1029" s="255"/>
      <c r="E1029" s="237"/>
      <c r="F1029" s="237"/>
      <c r="G1029" s="255"/>
      <c r="H1029" s="237"/>
      <c r="I1029" s="237"/>
      <c r="J1029" s="237"/>
      <c r="K1029" s="240"/>
      <c r="L1029" s="237"/>
      <c r="M1029" s="237"/>
      <c r="N1029" s="237"/>
      <c r="O1029" s="237"/>
      <c r="P1029" s="237"/>
      <c r="Q1029" s="245"/>
      <c r="R1029" s="237"/>
      <c r="S1029" s="237"/>
      <c r="T1029" s="237"/>
      <c r="U1029" s="237"/>
      <c r="V1029" s="237"/>
      <c r="W1029" s="237"/>
      <c r="X1029" s="237"/>
      <c r="Y1029" s="237"/>
      <c r="Z1029" s="237"/>
      <c r="AA1029" s="237"/>
      <c r="AB1029" s="337"/>
      <c r="AC1029" s="237"/>
      <c r="AD1029" s="561"/>
      <c r="AE1029" s="337"/>
      <c r="AF1029" s="237"/>
    </row>
    <row r="1030" spans="2:32" ht="13.5" customHeight="1">
      <c r="B1030" s="237"/>
      <c r="C1030" s="237"/>
      <c r="D1030" s="255"/>
      <c r="E1030" s="237"/>
      <c r="F1030" s="237"/>
      <c r="G1030" s="255"/>
      <c r="H1030" s="237"/>
      <c r="I1030" s="237"/>
      <c r="J1030" s="237"/>
      <c r="K1030" s="240"/>
      <c r="L1030" s="237"/>
      <c r="M1030" s="237"/>
      <c r="N1030" s="237"/>
      <c r="O1030" s="237"/>
      <c r="P1030" s="237"/>
      <c r="Q1030" s="245"/>
      <c r="R1030" s="237"/>
      <c r="S1030" s="237"/>
      <c r="T1030" s="237"/>
      <c r="U1030" s="237"/>
      <c r="V1030" s="237"/>
      <c r="W1030" s="237"/>
      <c r="X1030" s="237"/>
      <c r="Y1030" s="237"/>
      <c r="Z1030" s="237"/>
      <c r="AA1030" s="237"/>
      <c r="AB1030" s="337"/>
      <c r="AC1030" s="237"/>
      <c r="AD1030" s="561"/>
      <c r="AE1030" s="337"/>
      <c r="AF1030" s="237"/>
    </row>
    <row r="1031" spans="2:32" ht="13.5" customHeight="1">
      <c r="B1031" s="237"/>
      <c r="C1031" s="237"/>
      <c r="D1031" s="255"/>
      <c r="E1031" s="237"/>
      <c r="F1031" s="237"/>
      <c r="G1031" s="255"/>
      <c r="H1031" s="237"/>
      <c r="I1031" s="237"/>
      <c r="J1031" s="237"/>
      <c r="K1031" s="240"/>
      <c r="L1031" s="237"/>
      <c r="M1031" s="237"/>
      <c r="N1031" s="237"/>
      <c r="O1031" s="237"/>
      <c r="P1031" s="237"/>
      <c r="Q1031" s="245"/>
      <c r="R1031" s="237"/>
      <c r="S1031" s="237"/>
      <c r="T1031" s="237"/>
      <c r="U1031" s="237"/>
      <c r="V1031" s="237"/>
      <c r="W1031" s="237"/>
      <c r="X1031" s="237"/>
      <c r="Y1031" s="237"/>
      <c r="Z1031" s="237"/>
      <c r="AA1031" s="237"/>
      <c r="AB1031" s="337"/>
      <c r="AC1031" s="237"/>
      <c r="AD1031" s="561"/>
      <c r="AE1031" s="337"/>
      <c r="AF1031" s="237"/>
    </row>
    <row r="1032" spans="2:32" ht="13.5" customHeight="1">
      <c r="B1032" s="237"/>
      <c r="C1032" s="237"/>
      <c r="D1032" s="255"/>
      <c r="E1032" s="237"/>
      <c r="F1032" s="237"/>
      <c r="G1032" s="255"/>
      <c r="H1032" s="237"/>
      <c r="I1032" s="237"/>
      <c r="J1032" s="237"/>
      <c r="K1032" s="240"/>
      <c r="L1032" s="237"/>
      <c r="M1032" s="237"/>
      <c r="N1032" s="237"/>
      <c r="O1032" s="237"/>
      <c r="P1032" s="237"/>
      <c r="Q1032" s="245"/>
      <c r="R1032" s="237"/>
      <c r="S1032" s="237"/>
      <c r="T1032" s="237"/>
      <c r="U1032" s="237"/>
      <c r="V1032" s="237"/>
      <c r="W1032" s="237"/>
      <c r="X1032" s="237"/>
      <c r="Y1032" s="237"/>
      <c r="Z1032" s="237"/>
      <c r="AA1032" s="237"/>
      <c r="AB1032" s="337"/>
      <c r="AC1032" s="237"/>
      <c r="AD1032" s="561"/>
      <c r="AE1032" s="337"/>
      <c r="AF1032" s="237"/>
    </row>
    <row r="1033" spans="2:32" ht="13.5" customHeight="1">
      <c r="B1033" s="237"/>
      <c r="C1033" s="237"/>
      <c r="D1033" s="255"/>
      <c r="E1033" s="237"/>
      <c r="F1033" s="237"/>
      <c r="G1033" s="255"/>
      <c r="H1033" s="237"/>
      <c r="I1033" s="237"/>
      <c r="J1033" s="237"/>
      <c r="K1033" s="240"/>
      <c r="L1033" s="237"/>
      <c r="M1033" s="237"/>
      <c r="N1033" s="237"/>
      <c r="O1033" s="237"/>
      <c r="P1033" s="237"/>
      <c r="Q1033" s="245"/>
      <c r="R1033" s="237"/>
      <c r="S1033" s="237"/>
      <c r="T1033" s="237"/>
      <c r="U1033" s="237"/>
      <c r="V1033" s="237"/>
      <c r="W1033" s="237"/>
      <c r="X1033" s="237"/>
      <c r="Y1033" s="237"/>
      <c r="Z1033" s="237"/>
      <c r="AA1033" s="237"/>
      <c r="AB1033" s="337"/>
      <c r="AC1033" s="237"/>
      <c r="AD1033" s="561"/>
      <c r="AE1033" s="337"/>
      <c r="AF1033" s="237"/>
    </row>
    <row r="1034" spans="2:32" ht="13.5" customHeight="1">
      <c r="B1034" s="237"/>
      <c r="C1034" s="237"/>
      <c r="D1034" s="255"/>
      <c r="E1034" s="237"/>
      <c r="F1034" s="237"/>
      <c r="G1034" s="255"/>
      <c r="H1034" s="237"/>
      <c r="I1034" s="237"/>
      <c r="J1034" s="237"/>
      <c r="K1034" s="240"/>
      <c r="L1034" s="237"/>
      <c r="M1034" s="237"/>
      <c r="N1034" s="237"/>
      <c r="O1034" s="237"/>
      <c r="P1034" s="237"/>
      <c r="Q1034" s="245"/>
      <c r="R1034" s="237"/>
      <c r="S1034" s="237"/>
      <c r="T1034" s="237"/>
      <c r="U1034" s="237"/>
      <c r="V1034" s="237"/>
      <c r="W1034" s="237"/>
      <c r="X1034" s="237"/>
      <c r="Y1034" s="237"/>
      <c r="Z1034" s="237"/>
      <c r="AA1034" s="237"/>
      <c r="AB1034" s="337"/>
      <c r="AC1034" s="237"/>
      <c r="AD1034" s="561"/>
      <c r="AE1034" s="337"/>
      <c r="AF1034" s="237"/>
    </row>
    <row r="1035" spans="2:32" ht="13.5" customHeight="1">
      <c r="B1035" s="237"/>
      <c r="C1035" s="237"/>
      <c r="D1035" s="255"/>
      <c r="E1035" s="237"/>
      <c r="F1035" s="237"/>
      <c r="G1035" s="255"/>
      <c r="H1035" s="237"/>
      <c r="I1035" s="237"/>
      <c r="J1035" s="237"/>
      <c r="K1035" s="240"/>
      <c r="L1035" s="237"/>
      <c r="M1035" s="237"/>
      <c r="N1035" s="237"/>
      <c r="O1035" s="237"/>
      <c r="P1035" s="237"/>
      <c r="Q1035" s="245"/>
      <c r="R1035" s="237"/>
      <c r="S1035" s="237"/>
      <c r="T1035" s="237"/>
      <c r="U1035" s="237"/>
      <c r="V1035" s="237"/>
      <c r="W1035" s="237"/>
      <c r="X1035" s="237"/>
      <c r="Y1035" s="237"/>
      <c r="Z1035" s="237"/>
      <c r="AA1035" s="237"/>
      <c r="AB1035" s="337"/>
      <c r="AC1035" s="237"/>
      <c r="AD1035" s="561"/>
      <c r="AE1035" s="337"/>
      <c r="AF1035" s="237"/>
    </row>
    <row r="1036" spans="2:32" ht="13.5" customHeight="1">
      <c r="B1036" s="237"/>
      <c r="C1036" s="237"/>
      <c r="D1036" s="255"/>
      <c r="E1036" s="237"/>
      <c r="F1036" s="237"/>
      <c r="G1036" s="255"/>
      <c r="H1036" s="237"/>
      <c r="I1036" s="237"/>
      <c r="J1036" s="237"/>
      <c r="K1036" s="240"/>
      <c r="L1036" s="237"/>
      <c r="M1036" s="237"/>
      <c r="N1036" s="237"/>
      <c r="O1036" s="237"/>
      <c r="P1036" s="237"/>
      <c r="Q1036" s="245"/>
      <c r="R1036" s="237"/>
      <c r="S1036" s="237"/>
      <c r="T1036" s="237"/>
      <c r="U1036" s="237"/>
      <c r="V1036" s="237"/>
      <c r="W1036" s="237"/>
      <c r="X1036" s="237"/>
      <c r="Y1036" s="237"/>
      <c r="Z1036" s="237"/>
      <c r="AA1036" s="237"/>
      <c r="AB1036" s="337"/>
      <c r="AC1036" s="237"/>
      <c r="AD1036" s="561"/>
      <c r="AE1036" s="337"/>
      <c r="AF1036" s="237"/>
    </row>
    <row r="1037" spans="2:32" ht="13.5" customHeight="1">
      <c r="B1037" s="237"/>
      <c r="C1037" s="237"/>
      <c r="D1037" s="255"/>
      <c r="E1037" s="237"/>
      <c r="F1037" s="237"/>
      <c r="G1037" s="255"/>
      <c r="H1037" s="237"/>
      <c r="I1037" s="237"/>
      <c r="J1037" s="237"/>
      <c r="K1037" s="240"/>
      <c r="L1037" s="237"/>
      <c r="M1037" s="237"/>
      <c r="N1037" s="237"/>
      <c r="O1037" s="237"/>
      <c r="P1037" s="237"/>
      <c r="Q1037" s="245"/>
      <c r="R1037" s="237"/>
      <c r="S1037" s="237"/>
      <c r="T1037" s="237"/>
      <c r="U1037" s="237"/>
      <c r="V1037" s="237"/>
      <c r="W1037" s="237"/>
      <c r="X1037" s="237"/>
      <c r="Y1037" s="237"/>
      <c r="Z1037" s="237"/>
      <c r="AA1037" s="237"/>
      <c r="AB1037" s="337"/>
      <c r="AC1037" s="237"/>
      <c r="AD1037" s="561"/>
      <c r="AE1037" s="337"/>
      <c r="AF1037" s="237"/>
    </row>
    <row r="1038" spans="2:32" ht="13.5" customHeight="1">
      <c r="B1038" s="237"/>
      <c r="C1038" s="237"/>
      <c r="D1038" s="255"/>
      <c r="E1038" s="237"/>
      <c r="F1038" s="237"/>
      <c r="G1038" s="255"/>
      <c r="H1038" s="237"/>
      <c r="I1038" s="237"/>
      <c r="J1038" s="237"/>
      <c r="K1038" s="240"/>
      <c r="L1038" s="237"/>
      <c r="M1038" s="237"/>
      <c r="N1038" s="237"/>
      <c r="O1038" s="237"/>
      <c r="P1038" s="237"/>
      <c r="Q1038" s="245"/>
      <c r="R1038" s="237"/>
      <c r="S1038" s="237"/>
      <c r="T1038" s="237"/>
      <c r="U1038" s="237"/>
      <c r="V1038" s="237"/>
      <c r="W1038" s="237"/>
      <c r="X1038" s="237"/>
      <c r="Y1038" s="237"/>
      <c r="Z1038" s="237"/>
      <c r="AA1038" s="237"/>
      <c r="AB1038" s="337"/>
      <c r="AC1038" s="237"/>
      <c r="AD1038" s="561"/>
      <c r="AE1038" s="337"/>
      <c r="AF1038" s="237"/>
    </row>
    <row r="1039" spans="2:32" ht="13.5" customHeight="1">
      <c r="B1039" s="237"/>
      <c r="C1039" s="237"/>
      <c r="D1039" s="255"/>
      <c r="E1039" s="237"/>
      <c r="F1039" s="237"/>
      <c r="G1039" s="255"/>
      <c r="H1039" s="237"/>
      <c r="I1039" s="237"/>
      <c r="J1039" s="237"/>
      <c r="K1039" s="240"/>
      <c r="L1039" s="237"/>
      <c r="M1039" s="237"/>
      <c r="N1039" s="237"/>
      <c r="O1039" s="237"/>
      <c r="P1039" s="237"/>
      <c r="Q1039" s="245"/>
      <c r="R1039" s="237"/>
      <c r="S1039" s="237"/>
      <c r="T1039" s="237"/>
      <c r="U1039" s="237"/>
      <c r="V1039" s="237"/>
      <c r="W1039" s="237"/>
      <c r="X1039" s="237"/>
      <c r="Y1039" s="237"/>
      <c r="Z1039" s="237"/>
      <c r="AA1039" s="237"/>
      <c r="AB1039" s="337"/>
      <c r="AC1039" s="237"/>
      <c r="AD1039" s="561"/>
      <c r="AE1039" s="337"/>
      <c r="AF1039" s="237"/>
    </row>
    <row r="1040" spans="2:32" ht="13.5" customHeight="1">
      <c r="B1040" s="237"/>
      <c r="C1040" s="237"/>
      <c r="D1040" s="255"/>
      <c r="E1040" s="237"/>
      <c r="F1040" s="237"/>
      <c r="G1040" s="255"/>
      <c r="H1040" s="237"/>
      <c r="I1040" s="237"/>
      <c r="J1040" s="237"/>
      <c r="K1040" s="240"/>
      <c r="L1040" s="237"/>
      <c r="M1040" s="237"/>
      <c r="N1040" s="237"/>
      <c r="O1040" s="237"/>
      <c r="P1040" s="237"/>
      <c r="Q1040" s="245"/>
      <c r="R1040" s="237"/>
      <c r="S1040" s="237"/>
      <c r="T1040" s="237"/>
      <c r="U1040" s="237"/>
      <c r="V1040" s="237"/>
      <c r="W1040" s="237"/>
      <c r="X1040" s="237"/>
      <c r="Y1040" s="237"/>
      <c r="Z1040" s="237"/>
      <c r="AA1040" s="237"/>
      <c r="AB1040" s="337"/>
      <c r="AC1040" s="237"/>
      <c r="AD1040" s="561"/>
      <c r="AE1040" s="337"/>
      <c r="AF1040" s="237"/>
    </row>
    <row r="1041" spans="2:32" ht="13.5" customHeight="1">
      <c r="B1041" s="237"/>
      <c r="C1041" s="237"/>
      <c r="D1041" s="255"/>
      <c r="E1041" s="237"/>
      <c r="F1041" s="237"/>
      <c r="G1041" s="255"/>
      <c r="H1041" s="237"/>
      <c r="I1041" s="237"/>
      <c r="J1041" s="237"/>
      <c r="K1041" s="240"/>
      <c r="L1041" s="237"/>
      <c r="M1041" s="237"/>
      <c r="N1041" s="237"/>
      <c r="O1041" s="237"/>
      <c r="P1041" s="237"/>
      <c r="Q1041" s="245"/>
      <c r="R1041" s="237"/>
      <c r="S1041" s="237"/>
      <c r="T1041" s="237"/>
      <c r="U1041" s="237"/>
      <c r="V1041" s="237"/>
      <c r="W1041" s="237"/>
      <c r="X1041" s="237"/>
      <c r="Y1041" s="237"/>
      <c r="Z1041" s="237"/>
      <c r="AA1041" s="237"/>
      <c r="AB1041" s="337"/>
      <c r="AC1041" s="237"/>
      <c r="AD1041" s="561"/>
      <c r="AE1041" s="337"/>
      <c r="AF1041" s="237"/>
    </row>
    <row r="1042" spans="2:32" ht="13.5" customHeight="1">
      <c r="B1042" s="237"/>
      <c r="C1042" s="237"/>
      <c r="D1042" s="255"/>
      <c r="E1042" s="237"/>
      <c r="F1042" s="237"/>
      <c r="G1042" s="255"/>
      <c r="H1042" s="237"/>
      <c r="I1042" s="237"/>
      <c r="J1042" s="237"/>
      <c r="K1042" s="240"/>
      <c r="L1042" s="237"/>
      <c r="M1042" s="237"/>
      <c r="N1042" s="237"/>
      <c r="O1042" s="237"/>
      <c r="P1042" s="237"/>
      <c r="Q1042" s="245"/>
      <c r="R1042" s="237"/>
      <c r="S1042" s="237"/>
      <c r="T1042" s="237"/>
      <c r="U1042" s="237"/>
      <c r="V1042" s="237"/>
      <c r="W1042" s="237"/>
      <c r="X1042" s="237"/>
      <c r="Y1042" s="237"/>
      <c r="Z1042" s="237"/>
      <c r="AA1042" s="237"/>
      <c r="AB1042" s="337"/>
      <c r="AC1042" s="237"/>
      <c r="AD1042" s="561"/>
      <c r="AE1042" s="337"/>
      <c r="AF1042" s="237"/>
    </row>
    <row r="1043" spans="2:32" ht="13.5" customHeight="1">
      <c r="B1043" s="237"/>
      <c r="C1043" s="237"/>
      <c r="D1043" s="255"/>
      <c r="E1043" s="237"/>
      <c r="F1043" s="237"/>
      <c r="G1043" s="255"/>
      <c r="H1043" s="237"/>
      <c r="I1043" s="237"/>
      <c r="J1043" s="237"/>
      <c r="K1043" s="240"/>
      <c r="L1043" s="237"/>
      <c r="M1043" s="237"/>
      <c r="N1043" s="237"/>
      <c r="O1043" s="237"/>
      <c r="P1043" s="237"/>
      <c r="Q1043" s="245"/>
      <c r="R1043" s="237"/>
      <c r="S1043" s="237"/>
      <c r="T1043" s="237"/>
      <c r="U1043" s="237"/>
      <c r="V1043" s="237"/>
      <c r="W1043" s="237"/>
      <c r="X1043" s="237"/>
      <c r="Y1043" s="237"/>
      <c r="Z1043" s="237"/>
      <c r="AA1043" s="237"/>
      <c r="AB1043" s="337"/>
      <c r="AC1043" s="237"/>
      <c r="AD1043" s="561"/>
      <c r="AE1043" s="337"/>
      <c r="AF1043" s="237"/>
    </row>
    <row r="1044" spans="2:32" ht="13.5" customHeight="1">
      <c r="B1044" s="237"/>
      <c r="C1044" s="237"/>
      <c r="D1044" s="255"/>
      <c r="E1044" s="237"/>
      <c r="F1044" s="237"/>
      <c r="G1044" s="255"/>
      <c r="H1044" s="237"/>
      <c r="I1044" s="237"/>
      <c r="J1044" s="237"/>
      <c r="K1044" s="240"/>
      <c r="L1044" s="237"/>
      <c r="M1044" s="237"/>
      <c r="N1044" s="237"/>
      <c r="O1044" s="237"/>
      <c r="P1044" s="237"/>
      <c r="Q1044" s="245"/>
      <c r="R1044" s="237"/>
      <c r="S1044" s="237"/>
      <c r="T1044" s="237"/>
      <c r="U1044" s="237"/>
      <c r="V1044" s="237"/>
      <c r="W1044" s="237"/>
      <c r="X1044" s="237"/>
      <c r="Y1044" s="237"/>
      <c r="Z1044" s="237"/>
      <c r="AA1044" s="237"/>
      <c r="AB1044" s="337"/>
      <c r="AC1044" s="237"/>
      <c r="AD1044" s="561"/>
      <c r="AE1044" s="337"/>
      <c r="AF1044" s="237"/>
    </row>
    <row r="1045" spans="2:32" ht="13.5" customHeight="1">
      <c r="B1045" s="237"/>
      <c r="C1045" s="237"/>
      <c r="D1045" s="255"/>
      <c r="E1045" s="237"/>
      <c r="F1045" s="237"/>
      <c r="G1045" s="255"/>
      <c r="H1045" s="237"/>
      <c r="I1045" s="237"/>
      <c r="J1045" s="237"/>
      <c r="K1045" s="240"/>
      <c r="L1045" s="237"/>
      <c r="M1045" s="237"/>
      <c r="N1045" s="237"/>
      <c r="O1045" s="237"/>
      <c r="P1045" s="237"/>
      <c r="Q1045" s="245"/>
      <c r="R1045" s="237"/>
      <c r="S1045" s="237"/>
      <c r="T1045" s="237"/>
      <c r="U1045" s="237"/>
      <c r="V1045" s="237"/>
      <c r="W1045" s="237"/>
      <c r="X1045" s="237"/>
      <c r="Y1045" s="237"/>
      <c r="Z1045" s="237"/>
      <c r="AA1045" s="237"/>
      <c r="AB1045" s="337"/>
      <c r="AC1045" s="237"/>
      <c r="AD1045" s="561"/>
      <c r="AE1045" s="337"/>
      <c r="AF1045" s="237"/>
    </row>
    <row r="1046" spans="2:32" ht="13.5" customHeight="1">
      <c r="B1046" s="237"/>
      <c r="C1046" s="237"/>
      <c r="D1046" s="255"/>
      <c r="E1046" s="237"/>
      <c r="F1046" s="237"/>
      <c r="G1046" s="255"/>
      <c r="H1046" s="237"/>
      <c r="I1046" s="237"/>
      <c r="J1046" s="237"/>
      <c r="K1046" s="240"/>
      <c r="L1046" s="237"/>
      <c r="M1046" s="237"/>
      <c r="N1046" s="237"/>
      <c r="O1046" s="237"/>
      <c r="P1046" s="237"/>
      <c r="Q1046" s="245"/>
      <c r="R1046" s="237"/>
      <c r="S1046" s="237"/>
      <c r="T1046" s="237"/>
      <c r="U1046" s="237"/>
      <c r="V1046" s="237"/>
      <c r="W1046" s="237"/>
      <c r="X1046" s="237"/>
      <c r="Y1046" s="237"/>
      <c r="Z1046" s="237"/>
      <c r="AA1046" s="237"/>
      <c r="AB1046" s="337"/>
      <c r="AC1046" s="237"/>
      <c r="AD1046" s="561"/>
      <c r="AE1046" s="337"/>
      <c r="AF1046" s="237"/>
    </row>
    <row r="1047" spans="2:32" ht="13.5" customHeight="1">
      <c r="B1047" s="237"/>
      <c r="C1047" s="237"/>
      <c r="D1047" s="255"/>
      <c r="E1047" s="237"/>
      <c r="F1047" s="237"/>
      <c r="G1047" s="255"/>
      <c r="H1047" s="237"/>
      <c r="I1047" s="237"/>
      <c r="J1047" s="237"/>
      <c r="K1047" s="240"/>
      <c r="L1047" s="237"/>
      <c r="M1047" s="237"/>
      <c r="N1047" s="237"/>
      <c r="O1047" s="237"/>
      <c r="P1047" s="237"/>
      <c r="Q1047" s="245"/>
      <c r="R1047" s="237"/>
      <c r="S1047" s="237"/>
      <c r="T1047" s="237"/>
      <c r="U1047" s="237"/>
      <c r="V1047" s="237"/>
      <c r="W1047" s="237"/>
      <c r="X1047" s="237"/>
      <c r="Y1047" s="237"/>
      <c r="Z1047" s="237"/>
      <c r="AA1047" s="237"/>
      <c r="AB1047" s="337"/>
      <c r="AC1047" s="237"/>
      <c r="AD1047" s="561"/>
      <c r="AE1047" s="337"/>
      <c r="AF1047" s="237"/>
    </row>
    <row r="1048" spans="2:32" ht="13.5" customHeight="1">
      <c r="B1048" s="237"/>
      <c r="C1048" s="237"/>
      <c r="D1048" s="255"/>
      <c r="E1048" s="237"/>
      <c r="F1048" s="237"/>
      <c r="G1048" s="255"/>
      <c r="H1048" s="237"/>
      <c r="I1048" s="237"/>
      <c r="J1048" s="237"/>
      <c r="K1048" s="240"/>
      <c r="L1048" s="237"/>
      <c r="M1048" s="237"/>
      <c r="N1048" s="237"/>
      <c r="O1048" s="237"/>
      <c r="P1048" s="237"/>
      <c r="Q1048" s="245"/>
      <c r="R1048" s="237"/>
      <c r="S1048" s="237"/>
      <c r="T1048" s="237"/>
      <c r="U1048" s="237"/>
      <c r="V1048" s="237"/>
      <c r="W1048" s="237"/>
      <c r="X1048" s="237"/>
      <c r="Y1048" s="237"/>
      <c r="Z1048" s="237"/>
      <c r="AA1048" s="237"/>
      <c r="AB1048" s="337"/>
      <c r="AC1048" s="237"/>
      <c r="AD1048" s="561"/>
      <c r="AE1048" s="337"/>
      <c r="AF1048" s="237"/>
    </row>
    <row r="1049" spans="2:32" ht="13.5" customHeight="1">
      <c r="B1049" s="237"/>
      <c r="C1049" s="237"/>
      <c r="D1049" s="255"/>
      <c r="E1049" s="237"/>
      <c r="F1049" s="237"/>
      <c r="G1049" s="255"/>
      <c r="H1049" s="237"/>
      <c r="I1049" s="237"/>
      <c r="J1049" s="237"/>
      <c r="K1049" s="240"/>
      <c r="L1049" s="237"/>
      <c r="M1049" s="237"/>
      <c r="N1049" s="237"/>
      <c r="O1049" s="237"/>
      <c r="P1049" s="237"/>
      <c r="Q1049" s="245"/>
      <c r="R1049" s="237"/>
      <c r="S1049" s="237"/>
      <c r="T1049" s="237"/>
      <c r="U1049" s="237"/>
      <c r="V1049" s="237"/>
      <c r="W1049" s="237"/>
      <c r="X1049" s="237"/>
      <c r="Y1049" s="237"/>
      <c r="Z1049" s="237"/>
      <c r="AA1049" s="237"/>
      <c r="AB1049" s="337"/>
      <c r="AC1049" s="237"/>
      <c r="AD1049" s="561"/>
      <c r="AE1049" s="337"/>
      <c r="AF1049" s="237"/>
    </row>
    <row r="1050" spans="2:32" ht="13.5" customHeight="1">
      <c r="B1050" s="237"/>
      <c r="C1050" s="237"/>
      <c r="D1050" s="255"/>
      <c r="E1050" s="237"/>
      <c r="F1050" s="237"/>
      <c r="G1050" s="255"/>
      <c r="H1050" s="237"/>
      <c r="I1050" s="237"/>
      <c r="J1050" s="237"/>
      <c r="K1050" s="240"/>
      <c r="L1050" s="237"/>
      <c r="M1050" s="237"/>
      <c r="N1050" s="237"/>
      <c r="O1050" s="237"/>
      <c r="P1050" s="237"/>
      <c r="Q1050" s="245"/>
      <c r="R1050" s="237"/>
      <c r="S1050" s="237"/>
      <c r="T1050" s="237"/>
      <c r="U1050" s="237"/>
      <c r="V1050" s="237"/>
      <c r="W1050" s="237"/>
      <c r="X1050" s="237"/>
      <c r="Y1050" s="237"/>
      <c r="Z1050" s="237"/>
      <c r="AA1050" s="237"/>
      <c r="AB1050" s="337"/>
      <c r="AC1050" s="237"/>
      <c r="AD1050" s="561"/>
      <c r="AE1050" s="337"/>
      <c r="AF1050" s="237"/>
    </row>
    <row r="1051" spans="2:32" ht="13.5" customHeight="1">
      <c r="B1051" s="237"/>
      <c r="C1051" s="237"/>
      <c r="D1051" s="255"/>
      <c r="E1051" s="237"/>
      <c r="F1051" s="237"/>
      <c r="G1051" s="255"/>
      <c r="H1051" s="237"/>
      <c r="I1051" s="237"/>
      <c r="J1051" s="237"/>
      <c r="K1051" s="240"/>
      <c r="L1051" s="237"/>
      <c r="M1051" s="237"/>
      <c r="N1051" s="237"/>
      <c r="O1051" s="237"/>
      <c r="P1051" s="237"/>
      <c r="Q1051" s="245"/>
      <c r="R1051" s="237"/>
      <c r="S1051" s="237"/>
      <c r="T1051" s="237"/>
      <c r="U1051" s="237"/>
      <c r="V1051" s="237"/>
      <c r="W1051" s="237"/>
      <c r="X1051" s="237"/>
      <c r="Y1051" s="237"/>
      <c r="Z1051" s="237"/>
      <c r="AA1051" s="237"/>
      <c r="AB1051" s="337"/>
      <c r="AC1051" s="237"/>
      <c r="AD1051" s="561"/>
      <c r="AE1051" s="337"/>
      <c r="AF1051" s="237"/>
    </row>
    <row r="1052" spans="2:32" ht="13.5" customHeight="1">
      <c r="B1052" s="237"/>
      <c r="C1052" s="237"/>
      <c r="D1052" s="255"/>
      <c r="E1052" s="237"/>
      <c r="F1052" s="237"/>
      <c r="G1052" s="255"/>
      <c r="H1052" s="237"/>
      <c r="I1052" s="237"/>
      <c r="J1052" s="237"/>
      <c r="K1052" s="240"/>
      <c r="L1052" s="237"/>
      <c r="M1052" s="237"/>
      <c r="N1052" s="237"/>
      <c r="O1052" s="237"/>
      <c r="P1052" s="237"/>
      <c r="Q1052" s="245"/>
      <c r="R1052" s="237"/>
      <c r="S1052" s="237"/>
      <c r="T1052" s="237"/>
      <c r="U1052" s="237"/>
      <c r="V1052" s="237"/>
      <c r="W1052" s="237"/>
      <c r="X1052" s="237"/>
      <c r="Y1052" s="237"/>
      <c r="Z1052" s="237"/>
      <c r="AA1052" s="237"/>
      <c r="AB1052" s="337"/>
      <c r="AC1052" s="237"/>
      <c r="AD1052" s="561"/>
      <c r="AE1052" s="337"/>
      <c r="AF1052" s="237"/>
    </row>
    <row r="1053" spans="2:32" ht="13.5" customHeight="1">
      <c r="B1053" s="237"/>
      <c r="C1053" s="237"/>
      <c r="D1053" s="255"/>
      <c r="E1053" s="237"/>
      <c r="F1053" s="237"/>
      <c r="G1053" s="255"/>
      <c r="H1053" s="237"/>
      <c r="I1053" s="237"/>
      <c r="J1053" s="237"/>
      <c r="K1053" s="240"/>
      <c r="L1053" s="237"/>
      <c r="M1053" s="237"/>
      <c r="N1053" s="237"/>
      <c r="O1053" s="237"/>
      <c r="P1053" s="237"/>
      <c r="Q1053" s="245"/>
      <c r="R1053" s="237"/>
      <c r="S1053" s="237"/>
      <c r="T1053" s="237"/>
      <c r="U1053" s="237"/>
      <c r="V1053" s="237"/>
      <c r="W1053" s="237"/>
      <c r="X1053" s="237"/>
      <c r="Y1053" s="237"/>
      <c r="Z1053" s="237"/>
      <c r="AA1053" s="237"/>
      <c r="AB1053" s="337"/>
      <c r="AC1053" s="237"/>
      <c r="AD1053" s="561"/>
      <c r="AE1053" s="337"/>
      <c r="AF1053" s="237"/>
    </row>
    <row r="1054" spans="2:32" ht="13.5" customHeight="1">
      <c r="B1054" s="237"/>
      <c r="C1054" s="237"/>
      <c r="D1054" s="255"/>
      <c r="E1054" s="237"/>
      <c r="F1054" s="237"/>
      <c r="G1054" s="255"/>
      <c r="H1054" s="237"/>
      <c r="I1054" s="237"/>
      <c r="J1054" s="237"/>
      <c r="K1054" s="240"/>
      <c r="L1054" s="237"/>
      <c r="M1054" s="237"/>
      <c r="N1054" s="237"/>
      <c r="O1054" s="237"/>
      <c r="P1054" s="237"/>
      <c r="Q1054" s="245"/>
      <c r="R1054" s="237"/>
      <c r="S1054" s="237"/>
      <c r="T1054" s="237"/>
      <c r="U1054" s="237"/>
      <c r="V1054" s="237"/>
      <c r="W1054" s="237"/>
      <c r="X1054" s="237"/>
      <c r="Y1054" s="237"/>
      <c r="Z1054" s="237"/>
      <c r="AA1054" s="237"/>
      <c r="AB1054" s="337"/>
      <c r="AC1054" s="237"/>
      <c r="AD1054" s="561"/>
      <c r="AE1054" s="337"/>
      <c r="AF1054" s="237"/>
    </row>
    <row r="1055" spans="2:32" ht="13.5" customHeight="1">
      <c r="B1055" s="237"/>
      <c r="C1055" s="237"/>
      <c r="D1055" s="255"/>
      <c r="E1055" s="237"/>
      <c r="F1055" s="237"/>
      <c r="G1055" s="255"/>
      <c r="H1055" s="237"/>
      <c r="I1055" s="237"/>
      <c r="J1055" s="237"/>
      <c r="K1055" s="240"/>
      <c r="L1055" s="237"/>
      <c r="M1055" s="237"/>
      <c r="N1055" s="237"/>
      <c r="O1055" s="237"/>
      <c r="P1055" s="237"/>
      <c r="Q1055" s="245"/>
      <c r="R1055" s="237"/>
      <c r="S1055" s="237"/>
      <c r="T1055" s="237"/>
      <c r="U1055" s="237"/>
      <c r="V1055" s="237"/>
      <c r="W1055" s="237"/>
      <c r="X1055" s="237"/>
      <c r="Y1055" s="237"/>
      <c r="Z1055" s="237"/>
      <c r="AA1055" s="237"/>
      <c r="AB1055" s="337"/>
      <c r="AC1055" s="237"/>
      <c r="AD1055" s="561"/>
      <c r="AE1055" s="337"/>
      <c r="AF1055" s="237"/>
    </row>
    <row r="1056" spans="2:32" ht="13.5" customHeight="1">
      <c r="B1056" s="237"/>
      <c r="C1056" s="237"/>
      <c r="D1056" s="255"/>
      <c r="E1056" s="237"/>
      <c r="F1056" s="237"/>
      <c r="G1056" s="255"/>
      <c r="H1056" s="237"/>
      <c r="I1056" s="237"/>
      <c r="J1056" s="237"/>
      <c r="K1056" s="240"/>
      <c r="L1056" s="237"/>
      <c r="M1056" s="237"/>
      <c r="N1056" s="237"/>
      <c r="O1056" s="237"/>
      <c r="P1056" s="237"/>
      <c r="Q1056" s="245"/>
      <c r="R1056" s="237"/>
      <c r="S1056" s="237"/>
      <c r="T1056" s="237"/>
      <c r="U1056" s="237"/>
      <c r="V1056" s="237"/>
      <c r="W1056" s="237"/>
      <c r="X1056" s="237"/>
      <c r="Y1056" s="237"/>
      <c r="Z1056" s="237"/>
      <c r="AA1056" s="237"/>
      <c r="AB1056" s="337"/>
      <c r="AC1056" s="237"/>
      <c r="AD1056" s="561"/>
      <c r="AE1056" s="337"/>
      <c r="AF1056" s="237"/>
    </row>
    <row r="1057" spans="2:32" ht="13.5" customHeight="1">
      <c r="B1057" s="237"/>
      <c r="C1057" s="237"/>
      <c r="D1057" s="255"/>
      <c r="E1057" s="237"/>
      <c r="F1057" s="237"/>
      <c r="G1057" s="255"/>
      <c r="H1057" s="237"/>
      <c r="I1057" s="237"/>
      <c r="J1057" s="237"/>
      <c r="K1057" s="240"/>
      <c r="L1057" s="237"/>
      <c r="M1057" s="237"/>
      <c r="N1057" s="237"/>
      <c r="O1057" s="237"/>
      <c r="P1057" s="237"/>
      <c r="Q1057" s="245"/>
      <c r="R1057" s="237"/>
      <c r="S1057" s="237"/>
      <c r="T1057" s="237"/>
      <c r="U1057" s="237"/>
      <c r="V1057" s="237"/>
      <c r="W1057" s="237"/>
      <c r="X1057" s="237"/>
      <c r="Y1057" s="237"/>
      <c r="Z1057" s="237"/>
      <c r="AA1057" s="237"/>
      <c r="AB1057" s="337"/>
      <c r="AC1057" s="237"/>
      <c r="AD1057" s="561"/>
      <c r="AE1057" s="337"/>
      <c r="AF1057" s="237"/>
    </row>
    <row r="1058" spans="2:32" ht="13.5" customHeight="1">
      <c r="B1058" s="237"/>
      <c r="C1058" s="237"/>
      <c r="D1058" s="255"/>
      <c r="E1058" s="237"/>
      <c r="F1058" s="237"/>
      <c r="G1058" s="255"/>
      <c r="H1058" s="237"/>
      <c r="I1058" s="237"/>
      <c r="J1058" s="237"/>
      <c r="K1058" s="240"/>
      <c r="L1058" s="237"/>
      <c r="M1058" s="237"/>
      <c r="N1058" s="237"/>
      <c r="O1058" s="237"/>
      <c r="P1058" s="237"/>
      <c r="Q1058" s="245"/>
      <c r="R1058" s="237"/>
      <c r="S1058" s="237"/>
      <c r="T1058" s="237"/>
      <c r="U1058" s="237"/>
      <c r="V1058" s="237"/>
      <c r="W1058" s="237"/>
      <c r="X1058" s="237"/>
      <c r="Y1058" s="237"/>
      <c r="Z1058" s="237"/>
      <c r="AA1058" s="237"/>
      <c r="AB1058" s="337"/>
      <c r="AC1058" s="237"/>
      <c r="AD1058" s="561"/>
      <c r="AE1058" s="337"/>
      <c r="AF1058" s="237"/>
    </row>
    <row r="1059" spans="2:32" ht="13.5" customHeight="1">
      <c r="B1059" s="237"/>
      <c r="C1059" s="237"/>
      <c r="D1059" s="255"/>
      <c r="E1059" s="237"/>
      <c r="F1059" s="237"/>
      <c r="G1059" s="255"/>
      <c r="H1059" s="237"/>
      <c r="I1059" s="237"/>
      <c r="J1059" s="237"/>
      <c r="K1059" s="240"/>
      <c r="L1059" s="237"/>
      <c r="M1059" s="237"/>
      <c r="N1059" s="237"/>
      <c r="O1059" s="237"/>
      <c r="P1059" s="237"/>
      <c r="Q1059" s="245"/>
      <c r="R1059" s="237"/>
      <c r="S1059" s="237"/>
      <c r="T1059" s="237"/>
      <c r="U1059" s="237"/>
      <c r="V1059" s="237"/>
      <c r="W1059" s="237"/>
      <c r="X1059" s="237"/>
      <c r="Y1059" s="237"/>
      <c r="Z1059" s="237"/>
      <c r="AA1059" s="237"/>
      <c r="AB1059" s="337"/>
      <c r="AC1059" s="237"/>
      <c r="AD1059" s="561"/>
      <c r="AE1059" s="337"/>
      <c r="AF1059" s="237"/>
    </row>
    <row r="1060" spans="2:32" ht="13.5" customHeight="1">
      <c r="B1060" s="237"/>
      <c r="C1060" s="237"/>
      <c r="D1060" s="255"/>
      <c r="E1060" s="237"/>
      <c r="F1060" s="237"/>
      <c r="G1060" s="255"/>
      <c r="H1060" s="237"/>
      <c r="I1060" s="237"/>
      <c r="J1060" s="237"/>
      <c r="K1060" s="240"/>
      <c r="L1060" s="237"/>
      <c r="M1060" s="237"/>
      <c r="N1060" s="237"/>
      <c r="O1060" s="237"/>
      <c r="P1060" s="237"/>
      <c r="Q1060" s="245"/>
      <c r="R1060" s="237"/>
      <c r="S1060" s="237"/>
      <c r="T1060" s="237"/>
      <c r="U1060" s="237"/>
      <c r="V1060" s="237"/>
      <c r="W1060" s="237"/>
      <c r="X1060" s="237"/>
      <c r="Y1060" s="237"/>
      <c r="Z1060" s="237"/>
      <c r="AA1060" s="237"/>
      <c r="AB1060" s="337"/>
      <c r="AC1060" s="237"/>
      <c r="AD1060" s="561"/>
      <c r="AE1060" s="337"/>
      <c r="AF1060" s="237"/>
    </row>
    <row r="1061" spans="2:32" ht="13.5" customHeight="1">
      <c r="B1061" s="237"/>
      <c r="C1061" s="237"/>
      <c r="D1061" s="255"/>
      <c r="E1061" s="237"/>
      <c r="F1061" s="237"/>
      <c r="G1061" s="255"/>
      <c r="H1061" s="237"/>
      <c r="I1061" s="237"/>
      <c r="J1061" s="237"/>
      <c r="K1061" s="240"/>
      <c r="L1061" s="237"/>
      <c r="M1061" s="237"/>
      <c r="N1061" s="237"/>
      <c r="O1061" s="237"/>
      <c r="P1061" s="237"/>
      <c r="Q1061" s="245"/>
      <c r="R1061" s="237"/>
      <c r="S1061" s="237"/>
      <c r="T1061" s="237"/>
      <c r="U1061" s="237"/>
      <c r="V1061" s="237"/>
      <c r="W1061" s="237"/>
      <c r="X1061" s="237"/>
      <c r="Y1061" s="237"/>
      <c r="Z1061" s="237"/>
      <c r="AA1061" s="237"/>
      <c r="AB1061" s="337"/>
      <c r="AC1061" s="237"/>
      <c r="AD1061" s="561"/>
      <c r="AE1061" s="337"/>
      <c r="AF1061" s="237"/>
    </row>
    <row r="1062" spans="2:32" ht="13.5" customHeight="1">
      <c r="B1062" s="237"/>
      <c r="C1062" s="237"/>
      <c r="D1062" s="255"/>
      <c r="E1062" s="237"/>
      <c r="F1062" s="237"/>
      <c r="G1062" s="255"/>
      <c r="H1062" s="237"/>
      <c r="I1062" s="237"/>
      <c r="J1062" s="237"/>
      <c r="K1062" s="240"/>
      <c r="L1062" s="237"/>
      <c r="M1062" s="237"/>
      <c r="N1062" s="237"/>
      <c r="O1062" s="237"/>
      <c r="P1062" s="237"/>
      <c r="Q1062" s="245"/>
      <c r="R1062" s="237"/>
      <c r="S1062" s="237"/>
      <c r="T1062" s="237"/>
      <c r="U1062" s="237"/>
      <c r="V1062" s="237"/>
      <c r="W1062" s="237"/>
      <c r="X1062" s="237"/>
      <c r="Y1062" s="237"/>
      <c r="Z1062" s="237"/>
      <c r="AA1062" s="237"/>
      <c r="AB1062" s="337"/>
      <c r="AC1062" s="237"/>
      <c r="AD1062" s="561"/>
      <c r="AE1062" s="337"/>
      <c r="AF1062" s="237"/>
    </row>
    <row r="1063" spans="2:32" ht="13.5" customHeight="1">
      <c r="B1063" s="237"/>
      <c r="C1063" s="237"/>
      <c r="D1063" s="255"/>
      <c r="E1063" s="237"/>
      <c r="F1063" s="237"/>
      <c r="G1063" s="255"/>
      <c r="H1063" s="237"/>
      <c r="I1063" s="237"/>
      <c r="J1063" s="237"/>
      <c r="K1063" s="240"/>
      <c r="L1063" s="237"/>
      <c r="M1063" s="237"/>
      <c r="N1063" s="237"/>
      <c r="O1063" s="237"/>
      <c r="P1063" s="237"/>
      <c r="Q1063" s="245"/>
      <c r="R1063" s="237"/>
      <c r="S1063" s="237"/>
      <c r="T1063" s="237"/>
      <c r="U1063" s="237"/>
      <c r="V1063" s="237"/>
      <c r="W1063" s="237"/>
      <c r="X1063" s="237"/>
      <c r="Y1063" s="237"/>
      <c r="Z1063" s="237"/>
      <c r="AA1063" s="237"/>
      <c r="AB1063" s="337"/>
      <c r="AC1063" s="237"/>
      <c r="AD1063" s="561"/>
      <c r="AE1063" s="337"/>
      <c r="AF1063" s="237"/>
    </row>
    <row r="1064" spans="2:32" ht="13.5" customHeight="1">
      <c r="B1064" s="237"/>
      <c r="C1064" s="237"/>
      <c r="D1064" s="255"/>
      <c r="E1064" s="237"/>
      <c r="F1064" s="237"/>
      <c r="G1064" s="255"/>
      <c r="H1064" s="237"/>
      <c r="I1064" s="237"/>
      <c r="J1064" s="237"/>
      <c r="K1064" s="240"/>
      <c r="L1064" s="237"/>
      <c r="M1064" s="237"/>
      <c r="N1064" s="237"/>
      <c r="O1064" s="237"/>
      <c r="P1064" s="237"/>
      <c r="Q1064" s="245"/>
      <c r="R1064" s="237"/>
      <c r="S1064" s="237"/>
      <c r="T1064" s="237"/>
      <c r="U1064" s="237"/>
      <c r="V1064" s="237"/>
      <c r="W1064" s="237"/>
      <c r="X1064" s="237"/>
      <c r="Y1064" s="237"/>
      <c r="Z1064" s="237"/>
      <c r="AA1064" s="237"/>
      <c r="AB1064" s="337"/>
      <c r="AC1064" s="237"/>
      <c r="AD1064" s="561"/>
      <c r="AE1064" s="337"/>
      <c r="AF1064" s="237"/>
    </row>
    <row r="1065" spans="2:32" ht="13.5" customHeight="1">
      <c r="B1065" s="237"/>
      <c r="C1065" s="237"/>
      <c r="D1065" s="255"/>
      <c r="E1065" s="237"/>
      <c r="F1065" s="237"/>
      <c r="G1065" s="255"/>
      <c r="H1065" s="237"/>
      <c r="I1065" s="237"/>
      <c r="J1065" s="237"/>
      <c r="K1065" s="240"/>
      <c r="L1065" s="237"/>
      <c r="M1065" s="237"/>
      <c r="N1065" s="237"/>
      <c r="O1065" s="237"/>
      <c r="P1065" s="237"/>
      <c r="Q1065" s="245"/>
      <c r="R1065" s="237"/>
      <c r="S1065" s="237"/>
      <c r="T1065" s="237"/>
      <c r="U1065" s="237"/>
      <c r="V1065" s="237"/>
      <c r="W1065" s="237"/>
      <c r="X1065" s="237"/>
      <c r="Y1065" s="237"/>
      <c r="Z1065" s="237"/>
      <c r="AA1065" s="237"/>
      <c r="AB1065" s="337"/>
      <c r="AC1065" s="237"/>
      <c r="AD1065" s="561"/>
      <c r="AE1065" s="337"/>
      <c r="AF1065" s="237"/>
    </row>
    <row r="1066" spans="2:32" ht="13.5" customHeight="1">
      <c r="B1066" s="237"/>
      <c r="C1066" s="237"/>
      <c r="D1066" s="255"/>
      <c r="E1066" s="237"/>
      <c r="F1066" s="237"/>
      <c r="G1066" s="255"/>
      <c r="H1066" s="237"/>
      <c r="I1066" s="237"/>
      <c r="J1066" s="237"/>
      <c r="K1066" s="240"/>
      <c r="L1066" s="237"/>
      <c r="M1066" s="237"/>
      <c r="N1066" s="237"/>
      <c r="O1066" s="237"/>
      <c r="P1066" s="237"/>
      <c r="Q1066" s="245"/>
      <c r="R1066" s="237"/>
      <c r="S1066" s="237"/>
      <c r="T1066" s="237"/>
      <c r="U1066" s="237"/>
      <c r="V1066" s="237"/>
      <c r="W1066" s="237"/>
      <c r="X1066" s="237"/>
      <c r="Y1066" s="237"/>
      <c r="Z1066" s="237"/>
      <c r="AA1066" s="237"/>
      <c r="AB1066" s="337"/>
      <c r="AC1066" s="237"/>
      <c r="AD1066" s="561"/>
      <c r="AE1066" s="337"/>
      <c r="AF1066" s="237"/>
    </row>
    <row r="1067" spans="2:32" ht="13.5" customHeight="1">
      <c r="B1067" s="237"/>
      <c r="C1067" s="237"/>
      <c r="D1067" s="255"/>
      <c r="E1067" s="237"/>
      <c r="F1067" s="237"/>
      <c r="G1067" s="255"/>
      <c r="H1067" s="237"/>
      <c r="I1067" s="237"/>
      <c r="J1067" s="237"/>
      <c r="K1067" s="240"/>
      <c r="L1067" s="237"/>
      <c r="M1067" s="237"/>
      <c r="N1067" s="237"/>
      <c r="O1067" s="237"/>
      <c r="P1067" s="237"/>
      <c r="Q1067" s="245"/>
      <c r="R1067" s="237"/>
      <c r="S1067" s="237"/>
      <c r="T1067" s="237"/>
      <c r="U1067" s="237"/>
      <c r="V1067" s="237"/>
      <c r="W1067" s="237"/>
      <c r="X1067" s="237"/>
      <c r="Y1067" s="237"/>
      <c r="Z1067" s="237"/>
      <c r="AA1067" s="237"/>
      <c r="AB1067" s="337"/>
      <c r="AC1067" s="237"/>
      <c r="AD1067" s="561"/>
      <c r="AE1067" s="337"/>
      <c r="AF1067" s="237"/>
    </row>
    <row r="1068" spans="2:32" ht="13.5" customHeight="1">
      <c r="B1068" s="237"/>
      <c r="C1068" s="237"/>
      <c r="D1068" s="255"/>
      <c r="E1068" s="237"/>
      <c r="F1068" s="237"/>
      <c r="G1068" s="255"/>
      <c r="H1068" s="237"/>
      <c r="I1068" s="237"/>
      <c r="J1068" s="237"/>
      <c r="K1068" s="240"/>
      <c r="L1068" s="237"/>
      <c r="M1068" s="237"/>
      <c r="N1068" s="237"/>
      <c r="O1068" s="237"/>
      <c r="P1068" s="237"/>
      <c r="Q1068" s="245"/>
      <c r="R1068" s="237"/>
      <c r="S1068" s="237"/>
      <c r="T1068" s="237"/>
      <c r="U1068" s="237"/>
      <c r="V1068" s="237"/>
      <c r="W1068" s="237"/>
      <c r="X1068" s="237"/>
      <c r="Y1068" s="237"/>
      <c r="Z1068" s="237"/>
      <c r="AA1068" s="237"/>
      <c r="AB1068" s="337"/>
      <c r="AC1068" s="237"/>
      <c r="AD1068" s="561"/>
      <c r="AE1068" s="337"/>
      <c r="AF1068" s="237"/>
    </row>
    <row r="1069" spans="2:32" ht="13.5" customHeight="1">
      <c r="B1069" s="237"/>
      <c r="C1069" s="237"/>
      <c r="D1069" s="255"/>
      <c r="E1069" s="237"/>
      <c r="F1069" s="237"/>
      <c r="G1069" s="255"/>
      <c r="H1069" s="237"/>
      <c r="I1069" s="237"/>
      <c r="J1069" s="237"/>
      <c r="K1069" s="240"/>
      <c r="L1069" s="237"/>
      <c r="M1069" s="237"/>
      <c r="N1069" s="237"/>
      <c r="O1069" s="237"/>
      <c r="P1069" s="237"/>
      <c r="Q1069" s="245"/>
      <c r="R1069" s="237"/>
      <c r="S1069" s="237"/>
      <c r="T1069" s="237"/>
      <c r="U1069" s="237"/>
      <c r="V1069" s="237"/>
      <c r="W1069" s="237"/>
      <c r="X1069" s="237"/>
      <c r="Y1069" s="237"/>
      <c r="Z1069" s="237"/>
      <c r="AA1069" s="237"/>
      <c r="AB1069" s="337"/>
      <c r="AC1069" s="237"/>
      <c r="AD1069" s="561"/>
      <c r="AE1069" s="337"/>
      <c r="AF1069" s="237"/>
    </row>
    <row r="1070" spans="2:32" ht="13.5" customHeight="1">
      <c r="B1070" s="237"/>
      <c r="C1070" s="237"/>
      <c r="D1070" s="255"/>
      <c r="E1070" s="237"/>
      <c r="F1070" s="237"/>
      <c r="G1070" s="255"/>
      <c r="H1070" s="237"/>
      <c r="I1070" s="237"/>
      <c r="J1070" s="237"/>
      <c r="K1070" s="240"/>
      <c r="L1070" s="237"/>
      <c r="M1070" s="237"/>
      <c r="N1070" s="237"/>
      <c r="O1070" s="237"/>
      <c r="P1070" s="237"/>
      <c r="Q1070" s="245"/>
      <c r="R1070" s="237"/>
      <c r="S1070" s="237"/>
      <c r="T1070" s="237"/>
      <c r="U1070" s="237"/>
      <c r="V1070" s="237"/>
      <c r="W1070" s="237"/>
      <c r="X1070" s="237"/>
      <c r="Y1070" s="237"/>
      <c r="Z1070" s="237"/>
      <c r="AA1070" s="237"/>
      <c r="AB1070" s="337"/>
      <c r="AC1070" s="237"/>
      <c r="AD1070" s="561"/>
      <c r="AE1070" s="337"/>
      <c r="AF1070" s="237"/>
    </row>
    <row r="1071" spans="2:32" ht="13.5" customHeight="1">
      <c r="B1071" s="237"/>
      <c r="C1071" s="237"/>
      <c r="D1071" s="255"/>
      <c r="E1071" s="237"/>
      <c r="F1071" s="237"/>
      <c r="G1071" s="255"/>
      <c r="H1071" s="237"/>
      <c r="I1071" s="237"/>
      <c r="J1071" s="237"/>
      <c r="K1071" s="240"/>
      <c r="L1071" s="237"/>
      <c r="M1071" s="237"/>
      <c r="N1071" s="237"/>
      <c r="O1071" s="237"/>
      <c r="P1071" s="237"/>
      <c r="Q1071" s="245"/>
      <c r="R1071" s="237"/>
      <c r="S1071" s="237"/>
      <c r="T1071" s="237"/>
      <c r="U1071" s="237"/>
      <c r="V1071" s="237"/>
      <c r="W1071" s="237"/>
      <c r="X1071" s="237"/>
      <c r="Y1071" s="237"/>
      <c r="Z1071" s="237"/>
      <c r="AA1071" s="237"/>
      <c r="AB1071" s="337"/>
      <c r="AC1071" s="237"/>
      <c r="AD1071" s="561"/>
      <c r="AE1071" s="337"/>
      <c r="AF1071" s="237"/>
    </row>
    <row r="1072" spans="2:32" ht="13.5" customHeight="1">
      <c r="B1072" s="237"/>
      <c r="C1072" s="237"/>
      <c r="D1072" s="255"/>
      <c r="E1072" s="237"/>
      <c r="F1072" s="237"/>
      <c r="G1072" s="255"/>
      <c r="H1072" s="237"/>
      <c r="I1072" s="237"/>
      <c r="J1072" s="237"/>
      <c r="K1072" s="240"/>
      <c r="L1072" s="237"/>
      <c r="M1072" s="237"/>
      <c r="N1072" s="237"/>
      <c r="O1072" s="237"/>
      <c r="P1072" s="237"/>
      <c r="Q1072" s="245"/>
      <c r="R1072" s="237"/>
      <c r="S1072" s="237"/>
      <c r="T1072" s="237"/>
      <c r="U1072" s="237"/>
      <c r="V1072" s="237"/>
      <c r="W1072" s="237"/>
      <c r="X1072" s="237"/>
      <c r="Y1072" s="237"/>
      <c r="Z1072" s="237"/>
      <c r="AA1072" s="237"/>
      <c r="AB1072" s="337"/>
      <c r="AC1072" s="237"/>
      <c r="AD1072" s="561"/>
      <c r="AE1072" s="337"/>
      <c r="AF1072" s="237"/>
    </row>
    <row r="1073" spans="2:32" ht="13.5" customHeight="1">
      <c r="B1073" s="237"/>
      <c r="C1073" s="237"/>
      <c r="D1073" s="255"/>
      <c r="E1073" s="237"/>
      <c r="F1073" s="237"/>
      <c r="G1073" s="255"/>
      <c r="H1073" s="237"/>
      <c r="I1073" s="237"/>
      <c r="J1073" s="237"/>
      <c r="K1073" s="240"/>
      <c r="L1073" s="237"/>
      <c r="M1073" s="237"/>
      <c r="N1073" s="237"/>
      <c r="O1073" s="237"/>
      <c r="P1073" s="237"/>
      <c r="Q1073" s="245"/>
      <c r="R1073" s="237"/>
      <c r="S1073" s="237"/>
      <c r="T1073" s="237"/>
      <c r="U1073" s="237"/>
      <c r="V1073" s="237"/>
      <c r="W1073" s="237"/>
      <c r="X1073" s="237"/>
      <c r="Y1073" s="237"/>
      <c r="Z1073" s="237"/>
      <c r="AA1073" s="237"/>
      <c r="AB1073" s="337"/>
      <c r="AC1073" s="237"/>
      <c r="AD1073" s="561"/>
      <c r="AE1073" s="337"/>
      <c r="AF1073" s="237"/>
    </row>
    <row r="1074" spans="2:32" ht="13.5" customHeight="1">
      <c r="B1074" s="237"/>
      <c r="C1074" s="237"/>
      <c r="D1074" s="255"/>
      <c r="E1074" s="237"/>
      <c r="F1074" s="237"/>
      <c r="G1074" s="255"/>
      <c r="H1074" s="237"/>
      <c r="I1074" s="237"/>
      <c r="J1074" s="237"/>
      <c r="K1074" s="240"/>
      <c r="L1074" s="237"/>
      <c r="M1074" s="237"/>
      <c r="N1074" s="237"/>
      <c r="O1074" s="237"/>
      <c r="P1074" s="237"/>
      <c r="Q1074" s="245"/>
      <c r="R1074" s="237"/>
      <c r="S1074" s="237"/>
      <c r="T1074" s="237"/>
      <c r="U1074" s="237"/>
      <c r="V1074" s="237"/>
      <c r="W1074" s="237"/>
      <c r="X1074" s="237"/>
      <c r="Y1074" s="237"/>
      <c r="Z1074" s="237"/>
      <c r="AA1074" s="237"/>
      <c r="AB1074" s="337"/>
      <c r="AC1074" s="237"/>
      <c r="AD1074" s="561"/>
      <c r="AE1074" s="337"/>
      <c r="AF1074" s="237"/>
    </row>
    <row r="1075" spans="2:32" ht="13.5" customHeight="1">
      <c r="B1075" s="237"/>
      <c r="C1075" s="237"/>
      <c r="D1075" s="255"/>
      <c r="E1075" s="237"/>
      <c r="F1075" s="237"/>
      <c r="G1075" s="255"/>
      <c r="H1075" s="237"/>
      <c r="I1075" s="237"/>
      <c r="J1075" s="237"/>
      <c r="K1075" s="240"/>
      <c r="L1075" s="237"/>
      <c r="M1075" s="237"/>
      <c r="N1075" s="237"/>
      <c r="O1075" s="237"/>
      <c r="P1075" s="237"/>
      <c r="Q1075" s="245"/>
      <c r="R1075" s="237"/>
      <c r="S1075" s="237"/>
      <c r="T1075" s="237"/>
      <c r="U1075" s="237"/>
      <c r="V1075" s="237"/>
      <c r="W1075" s="237"/>
      <c r="X1075" s="237"/>
      <c r="Y1075" s="237"/>
      <c r="Z1075" s="237"/>
      <c r="AA1075" s="237"/>
      <c r="AB1075" s="337"/>
      <c r="AC1075" s="237"/>
      <c r="AD1075" s="561"/>
      <c r="AE1075" s="337"/>
      <c r="AF1075" s="237"/>
    </row>
    <row r="1076" spans="2:32" ht="13.5" customHeight="1">
      <c r="B1076" s="237"/>
      <c r="C1076" s="237"/>
      <c r="D1076" s="255"/>
      <c r="E1076" s="237"/>
      <c r="F1076" s="237"/>
      <c r="G1076" s="255"/>
      <c r="H1076" s="237"/>
      <c r="I1076" s="237"/>
      <c r="J1076" s="237"/>
      <c r="K1076" s="240"/>
      <c r="L1076" s="237"/>
      <c r="M1076" s="237"/>
      <c r="N1076" s="237"/>
      <c r="O1076" s="237"/>
      <c r="P1076" s="237"/>
      <c r="Q1076" s="245"/>
      <c r="R1076" s="237"/>
      <c r="S1076" s="237"/>
      <c r="T1076" s="237"/>
      <c r="U1076" s="237"/>
      <c r="V1076" s="237"/>
      <c r="W1076" s="237"/>
      <c r="X1076" s="237"/>
      <c r="Y1076" s="237"/>
      <c r="Z1076" s="237"/>
      <c r="AA1076" s="237"/>
      <c r="AB1076" s="337"/>
      <c r="AC1076" s="237"/>
      <c r="AD1076" s="561"/>
      <c r="AE1076" s="337"/>
      <c r="AF1076" s="237"/>
    </row>
    <row r="1077" spans="2:32" ht="13.5" customHeight="1">
      <c r="B1077" s="237"/>
      <c r="C1077" s="237"/>
      <c r="D1077" s="255"/>
      <c r="E1077" s="237"/>
      <c r="F1077" s="237"/>
      <c r="G1077" s="255"/>
      <c r="H1077" s="237"/>
      <c r="I1077" s="237"/>
      <c r="J1077" s="237"/>
      <c r="K1077" s="240"/>
      <c r="L1077" s="237"/>
      <c r="M1077" s="237"/>
      <c r="N1077" s="237"/>
      <c r="O1077" s="237"/>
      <c r="P1077" s="237"/>
      <c r="Q1077" s="245"/>
      <c r="R1077" s="237"/>
      <c r="S1077" s="237"/>
      <c r="T1077" s="237"/>
      <c r="U1077" s="237"/>
      <c r="V1077" s="237"/>
      <c r="W1077" s="237"/>
      <c r="X1077" s="237"/>
      <c r="Y1077" s="237"/>
      <c r="Z1077" s="237"/>
      <c r="AA1077" s="237"/>
      <c r="AB1077" s="337"/>
      <c r="AC1077" s="237"/>
      <c r="AD1077" s="561"/>
      <c r="AE1077" s="337"/>
      <c r="AF1077" s="237"/>
    </row>
    <row r="1078" spans="2:32" ht="13.5" customHeight="1">
      <c r="B1078" s="237"/>
      <c r="C1078" s="237"/>
      <c r="D1078" s="255"/>
      <c r="E1078" s="237"/>
      <c r="F1078" s="237"/>
      <c r="G1078" s="255"/>
      <c r="H1078" s="237"/>
      <c r="I1078" s="237"/>
      <c r="J1078" s="237"/>
      <c r="K1078" s="240"/>
      <c r="L1078" s="237"/>
      <c r="M1078" s="237"/>
      <c r="N1078" s="237"/>
      <c r="O1078" s="237"/>
      <c r="P1078" s="237"/>
      <c r="Q1078" s="245"/>
      <c r="R1078" s="237"/>
      <c r="S1078" s="237"/>
      <c r="T1078" s="237"/>
      <c r="U1078" s="237"/>
      <c r="V1078" s="237"/>
      <c r="W1078" s="237"/>
      <c r="X1078" s="237"/>
      <c r="Y1078" s="237"/>
      <c r="Z1078" s="237"/>
      <c r="AA1078" s="237"/>
      <c r="AB1078" s="337"/>
      <c r="AC1078" s="237"/>
      <c r="AD1078" s="561"/>
      <c r="AE1078" s="337"/>
      <c r="AF1078" s="237"/>
    </row>
    <row r="1079" spans="2:32" ht="13.5" customHeight="1">
      <c r="B1079" s="237"/>
      <c r="C1079" s="237"/>
      <c r="D1079" s="255"/>
      <c r="E1079" s="237"/>
      <c r="F1079" s="237"/>
      <c r="G1079" s="255"/>
      <c r="H1079" s="237"/>
      <c r="I1079" s="237"/>
      <c r="J1079" s="237"/>
      <c r="K1079" s="240"/>
      <c r="L1079" s="237"/>
      <c r="M1079" s="237"/>
      <c r="N1079" s="237"/>
      <c r="O1079" s="237"/>
      <c r="P1079" s="237"/>
      <c r="Q1079" s="245"/>
      <c r="R1079" s="237"/>
      <c r="S1079" s="237"/>
      <c r="T1079" s="237"/>
      <c r="U1079" s="237"/>
      <c r="V1079" s="237"/>
      <c r="W1079" s="237"/>
      <c r="X1079" s="237"/>
      <c r="Y1079" s="237"/>
      <c r="Z1079" s="237"/>
      <c r="AA1079" s="237"/>
      <c r="AB1079" s="337"/>
      <c r="AC1079" s="237"/>
      <c r="AD1079" s="561"/>
      <c r="AE1079" s="337"/>
      <c r="AF1079" s="237"/>
    </row>
    <row r="1080" spans="2:32" ht="13.5" customHeight="1">
      <c r="B1080" s="237"/>
      <c r="C1080" s="237"/>
      <c r="D1080" s="255"/>
      <c r="E1080" s="237"/>
      <c r="F1080" s="237"/>
      <c r="G1080" s="255"/>
      <c r="H1080" s="237"/>
      <c r="I1080" s="237"/>
      <c r="J1080" s="237"/>
      <c r="K1080" s="240"/>
      <c r="L1080" s="237"/>
      <c r="M1080" s="237"/>
      <c r="N1080" s="237"/>
      <c r="O1080" s="237"/>
      <c r="P1080" s="237"/>
      <c r="Q1080" s="245"/>
      <c r="R1080" s="237"/>
      <c r="S1080" s="237"/>
      <c r="T1080" s="237"/>
      <c r="U1080" s="237"/>
      <c r="V1080" s="237"/>
      <c r="W1080" s="237"/>
      <c r="X1080" s="237"/>
      <c r="Y1080" s="237"/>
      <c r="Z1080" s="237"/>
      <c r="AA1080" s="237"/>
      <c r="AB1080" s="337"/>
      <c r="AC1080" s="237"/>
      <c r="AD1080" s="561"/>
      <c r="AE1080" s="337"/>
      <c r="AF1080" s="237"/>
    </row>
    <row r="1081" spans="2:32" ht="13.5" customHeight="1">
      <c r="B1081" s="237"/>
      <c r="C1081" s="237"/>
      <c r="D1081" s="255"/>
      <c r="E1081" s="237"/>
      <c r="F1081" s="237"/>
      <c r="G1081" s="255"/>
      <c r="H1081" s="237"/>
      <c r="I1081" s="237"/>
      <c r="J1081" s="237"/>
      <c r="K1081" s="240"/>
      <c r="L1081" s="237"/>
      <c r="M1081" s="237"/>
      <c r="N1081" s="237"/>
      <c r="O1081" s="237"/>
      <c r="P1081" s="237"/>
      <c r="Q1081" s="245"/>
      <c r="R1081" s="237"/>
      <c r="S1081" s="237"/>
      <c r="T1081" s="237"/>
      <c r="U1081" s="237"/>
      <c r="V1081" s="237"/>
      <c r="W1081" s="237"/>
      <c r="X1081" s="237"/>
      <c r="Y1081" s="237"/>
      <c r="Z1081" s="237"/>
      <c r="AA1081" s="237"/>
      <c r="AB1081" s="337"/>
      <c r="AC1081" s="237"/>
      <c r="AD1081" s="561"/>
      <c r="AE1081" s="337"/>
      <c r="AF1081" s="237"/>
    </row>
    <row r="1082" spans="2:32" ht="13.5" customHeight="1">
      <c r="B1082" s="237"/>
      <c r="C1082" s="237"/>
      <c r="D1082" s="255"/>
      <c r="E1082" s="237"/>
      <c r="F1082" s="237"/>
      <c r="G1082" s="255"/>
      <c r="H1082" s="237"/>
      <c r="I1082" s="237"/>
      <c r="J1082" s="237"/>
      <c r="K1082" s="240"/>
      <c r="L1082" s="237"/>
      <c r="M1082" s="237"/>
      <c r="N1082" s="237"/>
      <c r="O1082" s="237"/>
      <c r="P1082" s="237"/>
      <c r="Q1082" s="245"/>
      <c r="R1082" s="237"/>
      <c r="S1082" s="237"/>
      <c r="T1082" s="237"/>
      <c r="U1082" s="237"/>
      <c r="V1082" s="237"/>
      <c r="W1082" s="237"/>
      <c r="X1082" s="237"/>
      <c r="Y1082" s="237"/>
      <c r="Z1082" s="237"/>
      <c r="AA1082" s="237"/>
      <c r="AB1082" s="337"/>
      <c r="AC1082" s="237"/>
      <c r="AD1082" s="561"/>
      <c r="AE1082" s="337"/>
      <c r="AF1082" s="237"/>
    </row>
    <row r="1083" spans="2:32" ht="13.5" customHeight="1">
      <c r="B1083" s="237"/>
      <c r="C1083" s="237"/>
      <c r="D1083" s="255"/>
      <c r="E1083" s="237"/>
      <c r="F1083" s="237"/>
      <c r="G1083" s="255"/>
      <c r="H1083" s="237"/>
      <c r="I1083" s="237"/>
      <c r="J1083" s="237"/>
      <c r="K1083" s="240"/>
      <c r="L1083" s="289"/>
      <c r="M1083" s="237"/>
      <c r="N1083" s="237"/>
      <c r="O1083" s="237"/>
      <c r="P1083" s="237"/>
      <c r="Q1083" s="245"/>
      <c r="R1083" s="237"/>
      <c r="S1083" s="237"/>
      <c r="T1083" s="237"/>
      <c r="U1083" s="237"/>
      <c r="V1083" s="237"/>
      <c r="W1083" s="237"/>
      <c r="X1083" s="237"/>
      <c r="Y1083" s="237"/>
      <c r="Z1083" s="237"/>
      <c r="AA1083" s="237"/>
      <c r="AB1083" s="337"/>
      <c r="AC1083" s="237"/>
      <c r="AD1083" s="561"/>
      <c r="AE1083" s="337"/>
      <c r="AF1083" s="237"/>
    </row>
    <row r="1084" spans="2:32" ht="13.5" customHeight="1">
      <c r="B1084" s="237"/>
      <c r="C1084" s="237"/>
      <c r="D1084" s="255"/>
      <c r="E1084" s="237"/>
      <c r="F1084" s="237"/>
      <c r="G1084" s="255"/>
      <c r="H1084" s="237"/>
      <c r="I1084" s="237"/>
      <c r="J1084" s="237"/>
      <c r="K1084" s="240"/>
      <c r="L1084" s="243"/>
      <c r="M1084" s="237"/>
      <c r="N1084" s="237"/>
      <c r="O1084" s="237"/>
      <c r="P1084" s="237"/>
      <c r="Q1084" s="245"/>
      <c r="R1084" s="237"/>
      <c r="S1084" s="237"/>
      <c r="T1084" s="237"/>
      <c r="U1084" s="237"/>
      <c r="V1084" s="237"/>
      <c r="W1084" s="237"/>
      <c r="X1084" s="237"/>
      <c r="Y1084" s="237"/>
      <c r="Z1084" s="237"/>
      <c r="AA1084" s="237"/>
      <c r="AB1084" s="337"/>
      <c r="AC1084" s="237"/>
      <c r="AD1084" s="561"/>
      <c r="AE1084" s="337"/>
      <c r="AF1084" s="237"/>
    </row>
    <row r="1085" spans="2:32" ht="13.5" customHeight="1">
      <c r="B1085" s="237"/>
      <c r="C1085" s="237"/>
      <c r="D1085" s="255"/>
      <c r="E1085" s="237"/>
      <c r="F1085" s="237"/>
      <c r="G1085" s="255"/>
      <c r="H1085" s="237"/>
      <c r="I1085" s="237"/>
      <c r="J1085" s="237"/>
      <c r="K1085" s="240"/>
      <c r="L1085" s="243"/>
      <c r="M1085" s="237"/>
      <c r="N1085" s="237"/>
      <c r="O1085" s="237"/>
      <c r="P1085" s="237"/>
      <c r="Q1085" s="245"/>
      <c r="R1085" s="237"/>
      <c r="S1085" s="237"/>
      <c r="T1085" s="237"/>
      <c r="U1085" s="237"/>
      <c r="V1085" s="237"/>
      <c r="W1085" s="237"/>
      <c r="X1085" s="237"/>
      <c r="Y1085" s="237"/>
      <c r="Z1085" s="237"/>
      <c r="AA1085" s="237"/>
      <c r="AB1085" s="337"/>
      <c r="AC1085" s="237"/>
      <c r="AD1085" s="561"/>
      <c r="AE1085" s="337"/>
      <c r="AF1085" s="237"/>
    </row>
    <row r="1086" spans="2:32" ht="13.5" customHeight="1">
      <c r="B1086" s="237"/>
      <c r="C1086" s="237"/>
      <c r="D1086" s="255"/>
      <c r="E1086" s="237"/>
      <c r="F1086" s="237"/>
      <c r="G1086" s="255"/>
      <c r="H1086" s="237"/>
      <c r="I1086" s="237"/>
      <c r="J1086" s="237"/>
      <c r="K1086" s="240"/>
      <c r="L1086" s="257"/>
      <c r="M1086" s="237"/>
      <c r="N1086" s="237"/>
      <c r="O1086" s="237"/>
      <c r="P1086" s="237"/>
      <c r="Q1086" s="245"/>
      <c r="R1086" s="237"/>
      <c r="S1086" s="237"/>
      <c r="T1086" s="237"/>
      <c r="U1086" s="237"/>
      <c r="V1086" s="237"/>
      <c r="W1086" s="237"/>
      <c r="X1086" s="237"/>
      <c r="Y1086" s="237"/>
      <c r="Z1086" s="237"/>
      <c r="AA1086" s="237"/>
      <c r="AB1086" s="337"/>
      <c r="AC1086" s="237"/>
      <c r="AD1086" s="561"/>
      <c r="AE1086" s="337"/>
      <c r="AF1086" s="237"/>
    </row>
    <row r="1087" spans="2:32" ht="13.5" customHeight="1">
      <c r="B1087" s="237"/>
      <c r="C1087" s="237"/>
      <c r="D1087" s="255"/>
      <c r="E1087" s="237"/>
      <c r="F1087" s="237"/>
      <c r="G1087" s="255"/>
      <c r="H1087" s="237"/>
      <c r="I1087" s="237"/>
      <c r="J1087" s="237"/>
      <c r="K1087" s="240"/>
      <c r="L1087" s="243"/>
      <c r="M1087" s="237"/>
      <c r="N1087" s="237"/>
      <c r="O1087" s="237"/>
      <c r="P1087" s="237"/>
      <c r="Q1087" s="245"/>
      <c r="R1087" s="237"/>
      <c r="S1087" s="237"/>
      <c r="T1087" s="237"/>
      <c r="U1087" s="237"/>
      <c r="V1087" s="237"/>
      <c r="W1087" s="237"/>
      <c r="X1087" s="237"/>
      <c r="Y1087" s="237"/>
      <c r="Z1087" s="237"/>
      <c r="AA1087" s="237"/>
      <c r="AB1087" s="544"/>
      <c r="AC1087" s="237"/>
      <c r="AD1087" s="561"/>
      <c r="AE1087" s="337"/>
      <c r="AF1087" s="237"/>
    </row>
    <row r="1088" spans="2:32" ht="13.5" customHeight="1">
      <c r="B1088" s="339"/>
      <c r="C1088" s="237"/>
      <c r="D1088" s="263"/>
      <c r="E1088" s="237"/>
      <c r="F1088" s="237"/>
      <c r="G1088" s="255"/>
      <c r="H1088" s="237"/>
      <c r="I1088" s="237"/>
      <c r="J1088" s="237"/>
      <c r="K1088" s="240"/>
      <c r="L1088" s="289"/>
      <c r="M1088" s="237"/>
      <c r="N1088" s="237"/>
      <c r="O1088" s="237"/>
      <c r="P1088" s="237"/>
      <c r="Q1088" s="245"/>
      <c r="R1088" s="237"/>
      <c r="S1088" s="237"/>
      <c r="T1088" s="237"/>
      <c r="U1088" s="237"/>
      <c r="V1088" s="237"/>
      <c r="W1088" s="237"/>
      <c r="X1088" s="237"/>
      <c r="Y1088" s="237"/>
      <c r="Z1088" s="237"/>
      <c r="AA1088" s="337"/>
      <c r="AB1088" s="337"/>
      <c r="AC1088" s="237"/>
      <c r="AD1088" s="561"/>
      <c r="AE1088" s="337"/>
      <c r="AF1088" s="237"/>
    </row>
    <row r="1089" spans="2:32" ht="13.5" customHeight="1">
      <c r="B1089" s="339"/>
      <c r="C1089" s="237"/>
      <c r="D1089" s="263"/>
      <c r="E1089" s="237"/>
      <c r="F1089" s="237"/>
      <c r="G1089" s="255"/>
      <c r="H1089" s="237"/>
      <c r="I1089" s="237"/>
      <c r="J1089" s="237"/>
      <c r="K1089" s="240"/>
      <c r="L1089" s="243"/>
      <c r="M1089" s="237"/>
      <c r="N1089" s="237"/>
      <c r="O1089" s="237"/>
      <c r="P1089" s="237"/>
      <c r="Q1089" s="245"/>
      <c r="R1089" s="237"/>
      <c r="S1089" s="237"/>
      <c r="T1089" s="237"/>
      <c r="U1089" s="237"/>
      <c r="V1089" s="237"/>
      <c r="W1089" s="237"/>
      <c r="X1089" s="237"/>
      <c r="Y1089" s="237"/>
      <c r="Z1089" s="237"/>
      <c r="AA1089" s="337"/>
      <c r="AB1089" s="337"/>
      <c r="AC1089" s="237"/>
      <c r="AD1089" s="561"/>
      <c r="AE1089" s="337"/>
      <c r="AF1089" s="237"/>
    </row>
    <row r="1090" spans="2:32" ht="13.5" customHeight="1">
      <c r="B1090" s="339"/>
      <c r="C1090" s="237"/>
      <c r="D1090" s="263"/>
      <c r="E1090" s="237"/>
      <c r="F1090" s="237"/>
      <c r="G1090" s="255"/>
      <c r="H1090" s="237"/>
      <c r="I1090" s="237"/>
      <c r="J1090" s="237"/>
      <c r="K1090" s="240"/>
      <c r="L1090" s="243"/>
      <c r="M1090" s="237"/>
      <c r="N1090" s="237"/>
      <c r="O1090" s="237"/>
      <c r="P1090" s="237"/>
      <c r="Q1090" s="245"/>
      <c r="R1090" s="237"/>
      <c r="S1090" s="237"/>
      <c r="T1090" s="237"/>
      <c r="U1090" s="237"/>
      <c r="V1090" s="237"/>
      <c r="W1090" s="237"/>
      <c r="X1090" s="237"/>
      <c r="Y1090" s="237"/>
      <c r="Z1090" s="237"/>
      <c r="AA1090" s="337"/>
      <c r="AB1090" s="337"/>
      <c r="AC1090" s="237"/>
      <c r="AD1090" s="561"/>
      <c r="AE1090" s="337"/>
      <c r="AF1090" s="237"/>
    </row>
    <row r="1091" spans="2:32" ht="13.5" customHeight="1">
      <c r="B1091" s="339"/>
      <c r="C1091" s="237"/>
      <c r="D1091" s="263"/>
      <c r="E1091" s="237"/>
      <c r="F1091" s="237"/>
      <c r="G1091" s="255"/>
      <c r="H1091" s="237"/>
      <c r="I1091" s="237"/>
      <c r="J1091" s="237"/>
      <c r="K1091" s="240"/>
      <c r="L1091" s="289"/>
      <c r="M1091" s="237"/>
      <c r="N1091" s="237"/>
      <c r="O1091" s="237"/>
      <c r="P1091" s="237"/>
      <c r="Q1091" s="245"/>
      <c r="R1091" s="237"/>
      <c r="S1091" s="237"/>
      <c r="T1091" s="237"/>
      <c r="U1091" s="237"/>
      <c r="V1091" s="237"/>
      <c r="W1091" s="237"/>
      <c r="X1091" s="237"/>
      <c r="Y1091" s="237"/>
      <c r="Z1091" s="237"/>
      <c r="AA1091" s="337"/>
      <c r="AB1091" s="337"/>
      <c r="AC1091" s="237"/>
      <c r="AD1091" s="561"/>
      <c r="AE1091" s="337"/>
      <c r="AF1091" s="237"/>
    </row>
    <row r="1092" spans="2:32" ht="13.5" customHeight="1">
      <c r="B1092" s="339"/>
      <c r="C1092" s="237"/>
      <c r="D1092" s="263"/>
      <c r="E1092" s="237"/>
      <c r="F1092" s="237"/>
      <c r="G1092" s="255"/>
      <c r="H1092" s="237"/>
      <c r="I1092" s="237"/>
      <c r="J1092" s="237"/>
      <c r="K1092" s="240"/>
      <c r="L1092" s="243"/>
      <c r="M1092" s="237"/>
      <c r="N1092" s="237"/>
      <c r="O1092" s="237"/>
      <c r="P1092" s="237"/>
      <c r="Q1092" s="245"/>
      <c r="R1092" s="237"/>
      <c r="S1092" s="237"/>
      <c r="T1092" s="237"/>
      <c r="U1092" s="237"/>
      <c r="V1092" s="237"/>
      <c r="W1092" s="237"/>
      <c r="X1092" s="237"/>
      <c r="Y1092" s="237"/>
      <c r="Z1092" s="237"/>
      <c r="AA1092" s="337"/>
      <c r="AB1092" s="337"/>
      <c r="AC1092" s="237"/>
      <c r="AD1092" s="561"/>
      <c r="AE1092" s="337"/>
      <c r="AF1092" s="237"/>
    </row>
    <row r="1093" spans="2:32" ht="13.5" customHeight="1">
      <c r="B1093" s="339"/>
      <c r="C1093" s="237"/>
      <c r="D1093" s="263"/>
      <c r="E1093" s="237"/>
      <c r="F1093" s="237"/>
      <c r="G1093" s="255"/>
      <c r="H1093" s="237"/>
      <c r="I1093" s="237"/>
      <c r="J1093" s="237"/>
      <c r="K1093" s="240"/>
      <c r="L1093" s="243"/>
      <c r="M1093" s="237"/>
      <c r="N1093" s="237"/>
      <c r="O1093" s="237"/>
      <c r="P1093" s="237"/>
      <c r="Q1093" s="245"/>
      <c r="R1093" s="237"/>
      <c r="S1093" s="237"/>
      <c r="T1093" s="237"/>
      <c r="U1093" s="237"/>
      <c r="V1093" s="237"/>
      <c r="W1093" s="237"/>
      <c r="X1093" s="237"/>
      <c r="Y1093" s="237"/>
      <c r="Z1093" s="237"/>
      <c r="AA1093" s="337"/>
      <c r="AB1093" s="337"/>
      <c r="AC1093" s="237"/>
      <c r="AD1093" s="561"/>
      <c r="AE1093" s="337"/>
      <c r="AF1093" s="237"/>
    </row>
    <row r="1094" spans="2:32" ht="13.5" customHeight="1">
      <c r="B1094" s="339"/>
      <c r="C1094" s="237"/>
      <c r="D1094" s="263"/>
      <c r="E1094" s="237"/>
      <c r="F1094" s="237"/>
      <c r="G1094" s="255"/>
      <c r="H1094" s="237"/>
      <c r="I1094" s="237"/>
      <c r="J1094" s="237"/>
      <c r="K1094" s="240"/>
      <c r="L1094" s="243"/>
      <c r="M1094" s="237"/>
      <c r="N1094" s="237"/>
      <c r="O1094" s="237"/>
      <c r="P1094" s="237"/>
      <c r="Q1094" s="245"/>
      <c r="R1094" s="237"/>
      <c r="S1094" s="237"/>
      <c r="T1094" s="237"/>
      <c r="U1094" s="237"/>
      <c r="V1094" s="237"/>
      <c r="W1094" s="237"/>
      <c r="X1094" s="237"/>
      <c r="Y1094" s="237"/>
      <c r="Z1094" s="237"/>
      <c r="AA1094" s="337"/>
      <c r="AB1094" s="337"/>
      <c r="AC1094" s="237"/>
      <c r="AD1094" s="561"/>
      <c r="AE1094" s="337"/>
      <c r="AF1094" s="237"/>
    </row>
    <row r="1095" spans="2:32" ht="13.5" customHeight="1">
      <c r="B1095" s="339"/>
      <c r="C1095" s="237"/>
      <c r="D1095" s="263"/>
      <c r="E1095" s="237"/>
      <c r="F1095" s="237"/>
      <c r="G1095" s="255"/>
      <c r="H1095" s="237"/>
      <c r="I1095" s="237"/>
      <c r="J1095" s="237"/>
      <c r="K1095" s="240"/>
      <c r="L1095" s="243"/>
      <c r="M1095" s="237"/>
      <c r="N1095" s="237"/>
      <c r="O1095" s="237"/>
      <c r="P1095" s="237"/>
      <c r="Q1095" s="245"/>
      <c r="R1095" s="237"/>
      <c r="S1095" s="237"/>
      <c r="T1095" s="237"/>
      <c r="U1095" s="237"/>
      <c r="V1095" s="237"/>
      <c r="W1095" s="237"/>
      <c r="X1095" s="237"/>
      <c r="Y1095" s="237"/>
      <c r="Z1095" s="237"/>
      <c r="AA1095" s="337"/>
      <c r="AB1095" s="337"/>
      <c r="AC1095" s="237"/>
      <c r="AD1095" s="561"/>
      <c r="AE1095" s="337"/>
      <c r="AF1095" s="237"/>
    </row>
    <row r="1096" spans="2:32" ht="13.5" customHeight="1">
      <c r="B1096" s="339"/>
      <c r="C1096" s="237"/>
      <c r="D1096" s="263"/>
      <c r="E1096" s="237"/>
      <c r="F1096" s="237"/>
      <c r="G1096" s="255"/>
      <c r="H1096" s="237"/>
      <c r="I1096" s="237"/>
      <c r="J1096" s="237"/>
      <c r="K1096" s="240"/>
      <c r="L1096" s="243"/>
      <c r="M1096" s="237"/>
      <c r="N1096" s="237"/>
      <c r="O1096" s="237"/>
      <c r="P1096" s="237"/>
      <c r="Q1096" s="245"/>
      <c r="R1096" s="237"/>
      <c r="S1096" s="237"/>
      <c r="T1096" s="237"/>
      <c r="U1096" s="237"/>
      <c r="V1096" s="237"/>
      <c r="W1096" s="237"/>
      <c r="X1096" s="237"/>
      <c r="Y1096" s="237"/>
      <c r="Z1096" s="237"/>
      <c r="AA1096" s="337"/>
      <c r="AB1096" s="337"/>
      <c r="AC1096" s="237"/>
      <c r="AD1096" s="561"/>
      <c r="AE1096" s="337"/>
      <c r="AF1096" s="237"/>
    </row>
    <row r="1097" spans="2:32" ht="13.5" customHeight="1">
      <c r="B1097" s="339"/>
      <c r="C1097" s="237"/>
      <c r="D1097" s="263"/>
      <c r="E1097" s="237"/>
      <c r="F1097" s="237"/>
      <c r="G1097" s="255"/>
      <c r="H1097" s="237"/>
      <c r="I1097" s="237"/>
      <c r="J1097" s="237"/>
      <c r="K1097" s="240"/>
      <c r="L1097" s="243"/>
      <c r="M1097" s="237"/>
      <c r="N1097" s="237"/>
      <c r="O1097" s="237"/>
      <c r="P1097" s="237"/>
      <c r="Q1097" s="245"/>
      <c r="R1097" s="237"/>
      <c r="S1097" s="237"/>
      <c r="T1097" s="237"/>
      <c r="U1097" s="237"/>
      <c r="V1097" s="237"/>
      <c r="W1097" s="237"/>
      <c r="X1097" s="237"/>
      <c r="Y1097" s="237"/>
      <c r="Z1097" s="237"/>
      <c r="AA1097" s="337"/>
      <c r="AB1097" s="337"/>
      <c r="AC1097" s="237"/>
      <c r="AD1097" s="561"/>
      <c r="AE1097" s="337"/>
      <c r="AF1097" s="237"/>
    </row>
    <row r="1098" spans="2:32" ht="13.5" customHeight="1">
      <c r="B1098" s="339"/>
      <c r="C1098" s="237"/>
      <c r="D1098" s="263"/>
      <c r="E1098" s="237"/>
      <c r="F1098" s="237"/>
      <c r="G1098" s="255"/>
      <c r="H1098" s="237"/>
      <c r="I1098" s="237"/>
      <c r="J1098" s="237"/>
      <c r="K1098" s="240"/>
      <c r="L1098" s="243"/>
      <c r="M1098" s="237"/>
      <c r="N1098" s="237"/>
      <c r="O1098" s="237"/>
      <c r="P1098" s="237"/>
      <c r="Q1098" s="245"/>
      <c r="R1098" s="237"/>
      <c r="S1098" s="237"/>
      <c r="T1098" s="237"/>
      <c r="U1098" s="237"/>
      <c r="V1098" s="237"/>
      <c r="W1098" s="237"/>
      <c r="X1098" s="237"/>
      <c r="Y1098" s="237"/>
      <c r="Z1098" s="237"/>
      <c r="AA1098" s="337"/>
      <c r="AB1098" s="337"/>
      <c r="AC1098" s="237"/>
      <c r="AD1098" s="561"/>
      <c r="AE1098" s="337"/>
      <c r="AF1098" s="237"/>
    </row>
    <row r="1099" spans="2:32" ht="13.5" customHeight="1">
      <c r="B1099" s="339"/>
      <c r="C1099" s="237"/>
      <c r="D1099" s="263"/>
      <c r="E1099" s="237"/>
      <c r="F1099" s="237"/>
      <c r="G1099" s="255"/>
      <c r="H1099" s="237"/>
      <c r="I1099" s="237"/>
      <c r="J1099" s="237"/>
      <c r="K1099" s="240"/>
      <c r="L1099" s="243"/>
      <c r="M1099" s="237"/>
      <c r="N1099" s="237"/>
      <c r="O1099" s="237"/>
      <c r="P1099" s="237"/>
      <c r="Q1099" s="245"/>
      <c r="R1099" s="237"/>
      <c r="S1099" s="237"/>
      <c r="T1099" s="237"/>
      <c r="U1099" s="237"/>
      <c r="V1099" s="237"/>
      <c r="W1099" s="237"/>
      <c r="X1099" s="237"/>
      <c r="Y1099" s="237"/>
      <c r="Z1099" s="237"/>
      <c r="AA1099" s="337"/>
      <c r="AB1099" s="337"/>
      <c r="AC1099" s="237"/>
      <c r="AD1099" s="561"/>
      <c r="AE1099" s="337"/>
      <c r="AF1099" s="237"/>
    </row>
    <row r="1100" spans="2:32" ht="13.5" customHeight="1">
      <c r="B1100" s="339"/>
      <c r="C1100" s="237"/>
      <c r="D1100" s="263"/>
      <c r="E1100" s="237"/>
      <c r="F1100" s="237"/>
      <c r="G1100" s="255"/>
      <c r="H1100" s="237"/>
      <c r="I1100" s="237"/>
      <c r="J1100" s="237"/>
      <c r="K1100" s="240"/>
      <c r="L1100" s="243"/>
      <c r="M1100" s="237"/>
      <c r="N1100" s="237"/>
      <c r="O1100" s="237"/>
      <c r="P1100" s="237"/>
      <c r="Q1100" s="245"/>
      <c r="R1100" s="237"/>
      <c r="S1100" s="237"/>
      <c r="T1100" s="237"/>
      <c r="U1100" s="237"/>
      <c r="V1100" s="237"/>
      <c r="W1100" s="237"/>
      <c r="X1100" s="237"/>
      <c r="Y1100" s="237"/>
      <c r="Z1100" s="237"/>
      <c r="AA1100" s="337"/>
      <c r="AB1100" s="337"/>
      <c r="AC1100" s="237"/>
      <c r="AD1100" s="561"/>
      <c r="AE1100" s="337"/>
      <c r="AF1100" s="237"/>
    </row>
    <row r="1101" spans="2:32" ht="13.5" customHeight="1">
      <c r="B1101" s="339"/>
      <c r="C1101" s="237"/>
      <c r="D1101" s="263"/>
      <c r="E1101" s="237"/>
      <c r="F1101" s="237"/>
      <c r="G1101" s="255"/>
      <c r="H1101" s="237"/>
      <c r="I1101" s="237"/>
      <c r="J1101" s="237"/>
      <c r="K1101" s="240"/>
      <c r="L1101" s="243"/>
      <c r="M1101" s="237"/>
      <c r="N1101" s="237"/>
      <c r="O1101" s="237"/>
      <c r="P1101" s="237"/>
      <c r="Q1101" s="245"/>
      <c r="R1101" s="237"/>
      <c r="S1101" s="237"/>
      <c r="T1101" s="237"/>
      <c r="U1101" s="237"/>
      <c r="V1101" s="237"/>
      <c r="W1101" s="237"/>
      <c r="X1101" s="237"/>
      <c r="Y1101" s="237"/>
      <c r="Z1101" s="237"/>
      <c r="AA1101" s="337"/>
      <c r="AB1101" s="337"/>
      <c r="AC1101" s="237"/>
      <c r="AD1101" s="561"/>
      <c r="AE1101" s="337"/>
      <c r="AF1101" s="237"/>
    </row>
    <row r="1102" spans="2:32" ht="13.5" customHeight="1">
      <c r="B1102" s="339"/>
      <c r="C1102" s="237"/>
      <c r="D1102" s="263"/>
      <c r="E1102" s="237"/>
      <c r="F1102" s="237"/>
      <c r="G1102" s="255"/>
      <c r="H1102" s="237"/>
      <c r="I1102" s="237"/>
      <c r="J1102" s="237"/>
      <c r="K1102" s="240"/>
      <c r="L1102" s="243"/>
      <c r="M1102" s="237"/>
      <c r="N1102" s="237"/>
      <c r="O1102" s="237"/>
      <c r="P1102" s="237"/>
      <c r="Q1102" s="245"/>
      <c r="R1102" s="237"/>
      <c r="S1102" s="237"/>
      <c r="T1102" s="237"/>
      <c r="U1102" s="237"/>
      <c r="V1102" s="237"/>
      <c r="W1102" s="237"/>
      <c r="X1102" s="237"/>
      <c r="Y1102" s="237"/>
      <c r="Z1102" s="237"/>
      <c r="AA1102" s="337"/>
      <c r="AB1102" s="337"/>
      <c r="AC1102" s="237"/>
      <c r="AD1102" s="561"/>
      <c r="AE1102" s="337"/>
      <c r="AF1102" s="237"/>
    </row>
    <row r="1103" spans="2:32" ht="13.5" customHeight="1">
      <c r="B1103" s="339"/>
      <c r="C1103" s="237"/>
      <c r="D1103" s="263"/>
      <c r="E1103" s="237"/>
      <c r="F1103" s="237"/>
      <c r="G1103" s="255"/>
      <c r="H1103" s="237"/>
      <c r="I1103" s="237"/>
      <c r="J1103" s="237"/>
      <c r="K1103" s="240"/>
      <c r="L1103" s="288"/>
      <c r="M1103" s="237"/>
      <c r="N1103" s="237"/>
      <c r="O1103" s="237"/>
      <c r="P1103" s="237"/>
      <c r="Q1103" s="245"/>
      <c r="R1103" s="237"/>
      <c r="S1103" s="237"/>
      <c r="T1103" s="237"/>
      <c r="U1103" s="237"/>
      <c r="V1103" s="237"/>
      <c r="W1103" s="237"/>
      <c r="X1103" s="237"/>
      <c r="Y1103" s="237"/>
      <c r="Z1103" s="237"/>
      <c r="AA1103" s="337"/>
      <c r="AB1103" s="337"/>
      <c r="AC1103" s="237"/>
      <c r="AD1103" s="561"/>
      <c r="AE1103" s="337"/>
      <c r="AF1103" s="237"/>
    </row>
    <row r="1104" spans="2:32" ht="13.5" customHeight="1">
      <c r="B1104" s="339"/>
      <c r="C1104" s="237"/>
      <c r="D1104" s="263"/>
      <c r="E1104" s="237"/>
      <c r="F1104" s="237"/>
      <c r="G1104" s="255"/>
      <c r="H1104" s="237"/>
      <c r="I1104" s="237"/>
      <c r="J1104" s="237"/>
      <c r="K1104" s="240"/>
      <c r="L1104" s="243"/>
      <c r="M1104" s="237"/>
      <c r="N1104" s="237"/>
      <c r="O1104" s="237"/>
      <c r="P1104" s="237"/>
      <c r="Q1104" s="245"/>
      <c r="R1104" s="237"/>
      <c r="S1104" s="237"/>
      <c r="T1104" s="237"/>
      <c r="U1104" s="237"/>
      <c r="V1104" s="237"/>
      <c r="W1104" s="237"/>
      <c r="X1104" s="237"/>
      <c r="Y1104" s="237"/>
      <c r="Z1104" s="237"/>
      <c r="AA1104" s="337"/>
      <c r="AB1104" s="337"/>
      <c r="AC1104" s="237"/>
      <c r="AD1104" s="561"/>
      <c r="AE1104" s="337"/>
      <c r="AF1104" s="237"/>
    </row>
    <row r="1105" spans="2:32" ht="13.5" customHeight="1">
      <c r="B1105" s="339"/>
      <c r="C1105" s="237"/>
      <c r="D1105" s="263"/>
      <c r="E1105" s="237"/>
      <c r="F1105" s="237"/>
      <c r="G1105" s="255"/>
      <c r="H1105" s="237"/>
      <c r="I1105" s="237"/>
      <c r="J1105" s="237"/>
      <c r="K1105" s="240"/>
      <c r="L1105" s="243"/>
      <c r="M1105" s="237"/>
      <c r="N1105" s="237"/>
      <c r="O1105" s="237"/>
      <c r="P1105" s="237"/>
      <c r="Q1105" s="245"/>
      <c r="R1105" s="237"/>
      <c r="S1105" s="237"/>
      <c r="T1105" s="237"/>
      <c r="U1105" s="237"/>
      <c r="V1105" s="237"/>
      <c r="W1105" s="237"/>
      <c r="X1105" s="237"/>
      <c r="Y1105" s="237"/>
      <c r="Z1105" s="237"/>
      <c r="AA1105" s="337"/>
      <c r="AB1105" s="337"/>
      <c r="AC1105" s="237"/>
      <c r="AD1105" s="561"/>
      <c r="AE1105" s="337"/>
      <c r="AF1105" s="237"/>
    </row>
    <row r="1106" spans="2:32" ht="13.5" customHeight="1">
      <c r="B1106" s="339"/>
      <c r="C1106" s="237"/>
      <c r="D1106" s="263"/>
      <c r="E1106" s="237"/>
      <c r="F1106" s="237"/>
      <c r="G1106" s="255"/>
      <c r="H1106" s="237"/>
      <c r="I1106" s="237"/>
      <c r="J1106" s="237"/>
      <c r="K1106" s="240"/>
      <c r="L1106" s="243"/>
      <c r="M1106" s="237"/>
      <c r="N1106" s="237"/>
      <c r="O1106" s="237"/>
      <c r="P1106" s="237"/>
      <c r="Q1106" s="245"/>
      <c r="R1106" s="237"/>
      <c r="S1106" s="237"/>
      <c r="T1106" s="237"/>
      <c r="U1106" s="237"/>
      <c r="V1106" s="237"/>
      <c r="W1106" s="237"/>
      <c r="X1106" s="237"/>
      <c r="Y1106" s="237"/>
      <c r="Z1106" s="237"/>
      <c r="AA1106" s="337"/>
      <c r="AB1106" s="337"/>
      <c r="AC1106" s="237"/>
      <c r="AD1106" s="561"/>
      <c r="AE1106" s="337"/>
      <c r="AF1106" s="237"/>
    </row>
    <row r="1107" spans="2:32" ht="13.5" customHeight="1">
      <c r="B1107" s="339"/>
      <c r="C1107" s="237"/>
      <c r="D1107" s="263"/>
      <c r="E1107" s="237"/>
      <c r="F1107" s="237"/>
      <c r="G1107" s="255"/>
      <c r="H1107" s="237"/>
      <c r="I1107" s="237"/>
      <c r="J1107" s="237"/>
      <c r="K1107" s="240"/>
      <c r="L1107" s="243"/>
      <c r="M1107" s="237"/>
      <c r="N1107" s="237"/>
      <c r="O1107" s="237"/>
      <c r="P1107" s="237"/>
      <c r="Q1107" s="245"/>
      <c r="R1107" s="237"/>
      <c r="S1107" s="237"/>
      <c r="T1107" s="237"/>
      <c r="U1107" s="237"/>
      <c r="V1107" s="237"/>
      <c r="W1107" s="237"/>
      <c r="X1107" s="237"/>
      <c r="Y1107" s="237"/>
      <c r="Z1107" s="237"/>
      <c r="AA1107" s="337"/>
      <c r="AB1107" s="337"/>
      <c r="AC1107" s="237"/>
      <c r="AD1107" s="561"/>
      <c r="AE1107" s="337"/>
      <c r="AF1107" s="237"/>
    </row>
    <row r="1108" spans="2:32" ht="13.5" customHeight="1">
      <c r="B1108" s="339"/>
      <c r="C1108" s="237"/>
      <c r="D1108" s="263"/>
      <c r="E1108" s="237"/>
      <c r="F1108" s="237"/>
      <c r="G1108" s="255"/>
      <c r="H1108" s="237"/>
      <c r="I1108" s="237"/>
      <c r="J1108" s="237"/>
      <c r="K1108" s="240"/>
      <c r="L1108" s="243"/>
      <c r="M1108" s="237"/>
      <c r="N1108" s="237"/>
      <c r="O1108" s="237"/>
      <c r="P1108" s="237"/>
      <c r="Q1108" s="245"/>
      <c r="R1108" s="237"/>
      <c r="S1108" s="237"/>
      <c r="T1108" s="237"/>
      <c r="U1108" s="237"/>
      <c r="V1108" s="237"/>
      <c r="W1108" s="237"/>
      <c r="X1108" s="237"/>
      <c r="Y1108" s="237"/>
      <c r="Z1108" s="237"/>
      <c r="AA1108" s="337"/>
      <c r="AB1108" s="337"/>
      <c r="AC1108" s="237"/>
      <c r="AD1108" s="561"/>
      <c r="AE1108" s="337"/>
      <c r="AF1108" s="237"/>
    </row>
    <row r="1109" spans="2:32" ht="13.5" customHeight="1">
      <c r="B1109" s="339"/>
      <c r="C1109" s="237"/>
      <c r="D1109" s="263"/>
      <c r="E1109" s="237"/>
      <c r="F1109" s="237"/>
      <c r="G1109" s="255"/>
      <c r="H1109" s="237"/>
      <c r="I1109" s="237"/>
      <c r="J1109" s="237"/>
      <c r="K1109" s="240"/>
      <c r="L1109" s="243"/>
      <c r="M1109" s="237"/>
      <c r="N1109" s="237"/>
      <c r="O1109" s="237"/>
      <c r="P1109" s="237"/>
      <c r="Q1109" s="245"/>
      <c r="R1109" s="237"/>
      <c r="S1109" s="237"/>
      <c r="T1109" s="237"/>
      <c r="U1109" s="237"/>
      <c r="V1109" s="237"/>
      <c r="W1109" s="237"/>
      <c r="X1109" s="237"/>
      <c r="Y1109" s="237"/>
      <c r="Z1109" s="237"/>
      <c r="AA1109" s="337"/>
      <c r="AB1109" s="337"/>
      <c r="AC1109" s="237"/>
      <c r="AD1109" s="561"/>
      <c r="AE1109" s="337"/>
      <c r="AF1109" s="237"/>
    </row>
    <row r="1110" spans="2:32" ht="13.5" customHeight="1">
      <c r="B1110" s="339"/>
      <c r="C1110" s="237"/>
      <c r="D1110" s="263"/>
      <c r="E1110" s="237"/>
      <c r="F1110" s="237"/>
      <c r="G1110" s="255"/>
      <c r="H1110" s="237"/>
      <c r="I1110" s="237"/>
      <c r="J1110" s="237"/>
      <c r="K1110" s="240"/>
      <c r="L1110" s="243"/>
      <c r="M1110" s="237"/>
      <c r="N1110" s="237"/>
      <c r="O1110" s="237"/>
      <c r="P1110" s="237"/>
      <c r="Q1110" s="245"/>
      <c r="R1110" s="237"/>
      <c r="S1110" s="237"/>
      <c r="T1110" s="237"/>
      <c r="U1110" s="237"/>
      <c r="V1110" s="237"/>
      <c r="W1110" s="237"/>
      <c r="X1110" s="237"/>
      <c r="Y1110" s="237"/>
      <c r="Z1110" s="237"/>
      <c r="AA1110" s="337"/>
      <c r="AB1110" s="337"/>
      <c r="AC1110" s="237"/>
      <c r="AD1110" s="561"/>
      <c r="AE1110" s="337"/>
      <c r="AF1110" s="237"/>
    </row>
    <row r="1111" spans="2:32" ht="13.5" customHeight="1">
      <c r="B1111" s="339"/>
      <c r="C1111" s="237"/>
      <c r="D1111" s="263"/>
      <c r="E1111" s="237"/>
      <c r="F1111" s="237"/>
      <c r="G1111" s="255"/>
      <c r="H1111" s="237"/>
      <c r="I1111" s="237"/>
      <c r="J1111" s="237"/>
      <c r="K1111" s="240"/>
      <c r="L1111" s="243"/>
      <c r="M1111" s="237"/>
      <c r="N1111" s="237"/>
      <c r="O1111" s="237"/>
      <c r="P1111" s="237"/>
      <c r="Q1111" s="245"/>
      <c r="R1111" s="237"/>
      <c r="S1111" s="237"/>
      <c r="T1111" s="237"/>
      <c r="U1111" s="237"/>
      <c r="V1111" s="237"/>
      <c r="W1111" s="237"/>
      <c r="X1111" s="237"/>
      <c r="Y1111" s="237"/>
      <c r="Z1111" s="237"/>
      <c r="AA1111" s="337"/>
      <c r="AB1111" s="337"/>
      <c r="AC1111" s="237"/>
      <c r="AD1111" s="561"/>
      <c r="AE1111" s="337"/>
      <c r="AF1111" s="237"/>
    </row>
    <row r="1112" spans="2:32" ht="13.5" customHeight="1">
      <c r="B1112" s="339"/>
      <c r="C1112" s="237"/>
      <c r="D1112" s="263"/>
      <c r="E1112" s="237"/>
      <c r="F1112" s="237"/>
      <c r="G1112" s="255"/>
      <c r="H1112" s="237"/>
      <c r="I1112" s="237"/>
      <c r="J1112" s="237"/>
      <c r="K1112" s="240"/>
      <c r="L1112" s="243"/>
      <c r="M1112" s="237"/>
      <c r="N1112" s="237"/>
      <c r="O1112" s="237"/>
      <c r="P1112" s="237"/>
      <c r="Q1112" s="245"/>
      <c r="R1112" s="237"/>
      <c r="S1112" s="237"/>
      <c r="T1112" s="237"/>
      <c r="U1112" s="237"/>
      <c r="V1112" s="237"/>
      <c r="W1112" s="237"/>
      <c r="X1112" s="237"/>
      <c r="Y1112" s="237"/>
      <c r="Z1112" s="237"/>
      <c r="AA1112" s="337"/>
      <c r="AB1112" s="337"/>
      <c r="AC1112" s="237"/>
      <c r="AD1112" s="561"/>
      <c r="AE1112" s="337"/>
      <c r="AF1112" s="237"/>
    </row>
    <row r="1113" spans="2:32" ht="13.5" customHeight="1">
      <c r="B1113" s="339"/>
      <c r="C1113" s="237"/>
      <c r="D1113" s="263"/>
      <c r="E1113" s="237"/>
      <c r="F1113" s="237"/>
      <c r="G1113" s="255"/>
      <c r="H1113" s="237"/>
      <c r="I1113" s="237"/>
      <c r="J1113" s="237"/>
      <c r="K1113" s="240"/>
      <c r="L1113" s="243"/>
      <c r="M1113" s="237"/>
      <c r="N1113" s="237"/>
      <c r="O1113" s="237"/>
      <c r="P1113" s="237"/>
      <c r="Q1113" s="245"/>
      <c r="R1113" s="237"/>
      <c r="S1113" s="237"/>
      <c r="T1113" s="237"/>
      <c r="U1113" s="237"/>
      <c r="V1113" s="237"/>
      <c r="W1113" s="237"/>
      <c r="X1113" s="237"/>
      <c r="Y1113" s="237"/>
      <c r="Z1113" s="237"/>
      <c r="AA1113" s="337"/>
      <c r="AB1113" s="337"/>
      <c r="AC1113" s="237"/>
      <c r="AD1113" s="561"/>
      <c r="AE1113" s="337"/>
      <c r="AF1113" s="237"/>
    </row>
    <row r="1114" spans="2:32" ht="13.5" customHeight="1">
      <c r="B1114" s="339"/>
      <c r="C1114" s="237"/>
      <c r="D1114" s="263"/>
      <c r="E1114" s="237"/>
      <c r="F1114" s="237"/>
      <c r="G1114" s="255"/>
      <c r="H1114" s="237"/>
      <c r="I1114" s="237"/>
      <c r="J1114" s="237"/>
      <c r="K1114" s="240"/>
      <c r="L1114" s="243"/>
      <c r="M1114" s="237"/>
      <c r="N1114" s="237"/>
      <c r="O1114" s="237"/>
      <c r="P1114" s="237"/>
      <c r="Q1114" s="245"/>
      <c r="R1114" s="237"/>
      <c r="S1114" s="237"/>
      <c r="T1114" s="237"/>
      <c r="U1114" s="237"/>
      <c r="V1114" s="237"/>
      <c r="W1114" s="237"/>
      <c r="X1114" s="237"/>
      <c r="Y1114" s="237"/>
      <c r="Z1114" s="237"/>
      <c r="AA1114" s="337"/>
      <c r="AB1114" s="337"/>
      <c r="AC1114" s="237"/>
      <c r="AD1114" s="561"/>
      <c r="AE1114" s="337"/>
      <c r="AF1114" s="237"/>
    </row>
    <row r="1115" spans="2:32" ht="13.5" customHeight="1">
      <c r="B1115" s="339"/>
      <c r="C1115" s="237"/>
      <c r="D1115" s="263"/>
      <c r="E1115" s="237"/>
      <c r="F1115" s="237"/>
      <c r="G1115" s="255"/>
      <c r="H1115" s="237"/>
      <c r="I1115" s="237"/>
      <c r="J1115" s="237"/>
      <c r="K1115" s="240"/>
      <c r="L1115" s="243"/>
      <c r="M1115" s="237"/>
      <c r="N1115" s="237"/>
      <c r="O1115" s="237"/>
      <c r="P1115" s="237"/>
      <c r="Q1115" s="245"/>
      <c r="R1115" s="237"/>
      <c r="S1115" s="237"/>
      <c r="T1115" s="237"/>
      <c r="U1115" s="237"/>
      <c r="V1115" s="237"/>
      <c r="W1115" s="237"/>
      <c r="X1115" s="237"/>
      <c r="Y1115" s="237"/>
      <c r="Z1115" s="237"/>
      <c r="AA1115" s="337"/>
      <c r="AB1115" s="337"/>
      <c r="AC1115" s="237"/>
      <c r="AD1115" s="561"/>
      <c r="AE1115" s="337"/>
      <c r="AF1115" s="237"/>
    </row>
    <row r="1116" spans="2:32" ht="13.5" customHeight="1">
      <c r="B1116" s="339"/>
      <c r="C1116" s="237"/>
      <c r="D1116" s="263"/>
      <c r="E1116" s="237"/>
      <c r="F1116" s="237"/>
      <c r="G1116" s="255"/>
      <c r="H1116" s="237"/>
      <c r="I1116" s="237"/>
      <c r="J1116" s="237"/>
      <c r="K1116" s="240"/>
      <c r="L1116" s="243"/>
      <c r="M1116" s="237"/>
      <c r="N1116" s="237"/>
      <c r="O1116" s="237"/>
      <c r="P1116" s="237"/>
      <c r="Q1116" s="245"/>
      <c r="R1116" s="237"/>
      <c r="S1116" s="237"/>
      <c r="T1116" s="237"/>
      <c r="U1116" s="237"/>
      <c r="V1116" s="237"/>
      <c r="W1116" s="237"/>
      <c r="X1116" s="237"/>
      <c r="Y1116" s="237"/>
      <c r="Z1116" s="237"/>
      <c r="AA1116" s="337"/>
      <c r="AB1116" s="337"/>
      <c r="AC1116" s="237"/>
      <c r="AD1116" s="561"/>
      <c r="AE1116" s="337"/>
      <c r="AF1116" s="237"/>
    </row>
    <row r="1117" spans="2:32" ht="13.5" customHeight="1">
      <c r="B1117" s="339"/>
      <c r="C1117" s="237"/>
      <c r="D1117" s="263"/>
      <c r="E1117" s="237"/>
      <c r="F1117" s="237"/>
      <c r="G1117" s="255"/>
      <c r="H1117" s="237"/>
      <c r="I1117" s="237"/>
      <c r="J1117" s="237"/>
      <c r="K1117" s="240"/>
      <c r="L1117" s="243"/>
      <c r="M1117" s="237"/>
      <c r="N1117" s="237"/>
      <c r="O1117" s="237"/>
      <c r="P1117" s="237"/>
      <c r="Q1117" s="245"/>
      <c r="R1117" s="237"/>
      <c r="S1117" s="237"/>
      <c r="T1117" s="237"/>
      <c r="U1117" s="237"/>
      <c r="V1117" s="237"/>
      <c r="W1117" s="237"/>
      <c r="X1117" s="237"/>
      <c r="Y1117" s="237"/>
      <c r="Z1117" s="237"/>
      <c r="AA1117" s="337"/>
      <c r="AB1117" s="337"/>
      <c r="AC1117" s="237"/>
      <c r="AD1117" s="561"/>
      <c r="AE1117" s="337"/>
      <c r="AF1117" s="237"/>
    </row>
    <row r="1118" spans="2:32" ht="13.5" customHeight="1">
      <c r="B1118" s="339"/>
      <c r="C1118" s="237"/>
      <c r="D1118" s="263"/>
      <c r="E1118" s="237"/>
      <c r="F1118" s="237"/>
      <c r="G1118" s="255"/>
      <c r="H1118" s="237"/>
      <c r="I1118" s="237"/>
      <c r="J1118" s="237"/>
      <c r="K1118" s="240"/>
      <c r="L1118" s="243"/>
      <c r="M1118" s="237"/>
      <c r="N1118" s="237"/>
      <c r="O1118" s="237"/>
      <c r="P1118" s="237"/>
      <c r="Q1118" s="245"/>
      <c r="R1118" s="237"/>
      <c r="S1118" s="237"/>
      <c r="T1118" s="237"/>
      <c r="U1118" s="237"/>
      <c r="V1118" s="237"/>
      <c r="W1118" s="237"/>
      <c r="X1118" s="237"/>
      <c r="Y1118" s="237"/>
      <c r="Z1118" s="237"/>
      <c r="AA1118" s="337"/>
      <c r="AB1118" s="337"/>
      <c r="AC1118" s="237"/>
      <c r="AD1118" s="561"/>
      <c r="AE1118" s="337"/>
      <c r="AF1118" s="237"/>
    </row>
    <row r="1119" spans="2:32" ht="13.5" customHeight="1">
      <c r="B1119" s="339"/>
      <c r="C1119" s="237"/>
      <c r="D1119" s="263"/>
      <c r="E1119" s="237"/>
      <c r="F1119" s="237"/>
      <c r="G1119" s="255"/>
      <c r="H1119" s="237"/>
      <c r="I1119" s="237"/>
      <c r="J1119" s="237"/>
      <c r="K1119" s="240"/>
      <c r="L1119" s="72"/>
      <c r="M1119" s="237"/>
      <c r="N1119" s="237"/>
      <c r="O1119" s="237"/>
      <c r="P1119" s="237"/>
      <c r="Q1119" s="245"/>
      <c r="R1119" s="237"/>
      <c r="S1119" s="237"/>
      <c r="T1119" s="237"/>
      <c r="U1119" s="237"/>
      <c r="V1119" s="237"/>
      <c r="W1119" s="237"/>
      <c r="X1119" s="237"/>
      <c r="Y1119" s="237"/>
      <c r="Z1119" s="237"/>
      <c r="AA1119" s="337"/>
      <c r="AB1119" s="337"/>
      <c r="AC1119" s="237"/>
      <c r="AD1119" s="561"/>
      <c r="AE1119" s="337"/>
      <c r="AF1119" s="237"/>
    </row>
    <row r="1120" spans="2:32" ht="13.5" customHeight="1">
      <c r="B1120" s="339"/>
      <c r="C1120" s="237"/>
      <c r="D1120" s="263"/>
      <c r="E1120" s="237"/>
      <c r="F1120" s="237"/>
      <c r="G1120" s="255"/>
      <c r="H1120" s="237"/>
      <c r="I1120" s="237"/>
      <c r="J1120" s="237"/>
      <c r="K1120" s="240"/>
      <c r="L1120" s="243"/>
      <c r="M1120" s="237"/>
      <c r="N1120" s="237"/>
      <c r="O1120" s="237"/>
      <c r="P1120" s="237"/>
      <c r="Q1120" s="245"/>
      <c r="R1120" s="237"/>
      <c r="S1120" s="237"/>
      <c r="T1120" s="237"/>
      <c r="U1120" s="237"/>
      <c r="V1120" s="237"/>
      <c r="W1120" s="237"/>
      <c r="X1120" s="237"/>
      <c r="Y1120" s="237"/>
      <c r="Z1120" s="237"/>
      <c r="AA1120" s="337"/>
      <c r="AB1120" s="337"/>
      <c r="AC1120" s="237"/>
      <c r="AD1120" s="561"/>
      <c r="AE1120" s="337"/>
      <c r="AF1120" s="237"/>
    </row>
    <row r="1121" spans="2:32" ht="13.5" customHeight="1">
      <c r="B1121" s="339"/>
      <c r="C1121" s="237"/>
      <c r="D1121" s="263"/>
      <c r="E1121" s="237"/>
      <c r="F1121" s="237"/>
      <c r="G1121" s="255"/>
      <c r="H1121" s="237"/>
      <c r="I1121" s="237"/>
      <c r="J1121" s="237"/>
      <c r="K1121" s="240"/>
      <c r="L1121" s="243"/>
      <c r="M1121" s="237"/>
      <c r="N1121" s="237"/>
      <c r="O1121" s="237"/>
      <c r="P1121" s="237"/>
      <c r="Q1121" s="245"/>
      <c r="R1121" s="237"/>
      <c r="S1121" s="237"/>
      <c r="T1121" s="237"/>
      <c r="U1121" s="237"/>
      <c r="V1121" s="237"/>
      <c r="W1121" s="237"/>
      <c r="X1121" s="237"/>
      <c r="Y1121" s="237"/>
      <c r="Z1121" s="237"/>
      <c r="AA1121" s="337"/>
      <c r="AB1121" s="337"/>
      <c r="AC1121" s="237"/>
      <c r="AD1121" s="561"/>
      <c r="AE1121" s="337"/>
      <c r="AF1121" s="237"/>
    </row>
    <row r="1122" spans="2:32" ht="13.5" customHeight="1">
      <c r="B1122" s="339"/>
      <c r="C1122" s="237"/>
      <c r="D1122" s="263"/>
      <c r="E1122" s="237"/>
      <c r="F1122" s="237"/>
      <c r="G1122" s="255"/>
      <c r="H1122" s="237"/>
      <c r="I1122" s="237"/>
      <c r="J1122" s="237"/>
      <c r="K1122" s="240"/>
      <c r="L1122" s="243"/>
      <c r="M1122" s="237"/>
      <c r="N1122" s="237"/>
      <c r="O1122" s="237"/>
      <c r="P1122" s="237"/>
      <c r="Q1122" s="245"/>
      <c r="R1122" s="237"/>
      <c r="S1122" s="237"/>
      <c r="T1122" s="237"/>
      <c r="U1122" s="237"/>
      <c r="V1122" s="237"/>
      <c r="W1122" s="237"/>
      <c r="X1122" s="237"/>
      <c r="Y1122" s="237"/>
      <c r="Z1122" s="237"/>
      <c r="AA1122" s="337"/>
      <c r="AB1122" s="337"/>
      <c r="AC1122" s="237"/>
      <c r="AD1122" s="561"/>
      <c r="AE1122" s="337"/>
      <c r="AF1122" s="237"/>
    </row>
    <row r="1123" spans="2:32" ht="13.5" customHeight="1">
      <c r="B1123" s="339"/>
      <c r="C1123" s="237"/>
      <c r="D1123" s="263"/>
      <c r="E1123" s="237"/>
      <c r="F1123" s="237"/>
      <c r="G1123" s="255"/>
      <c r="H1123" s="237"/>
      <c r="I1123" s="237"/>
      <c r="J1123" s="237"/>
      <c r="K1123" s="240"/>
      <c r="L1123" s="243"/>
      <c r="M1123" s="237"/>
      <c r="N1123" s="237"/>
      <c r="O1123" s="237"/>
      <c r="P1123" s="237"/>
      <c r="Q1123" s="245"/>
      <c r="R1123" s="237"/>
      <c r="S1123" s="237"/>
      <c r="T1123" s="237"/>
      <c r="U1123" s="237"/>
      <c r="V1123" s="237"/>
      <c r="W1123" s="237"/>
      <c r="X1123" s="237"/>
      <c r="Y1123" s="237"/>
      <c r="Z1123" s="237"/>
      <c r="AA1123" s="337"/>
      <c r="AB1123" s="337"/>
      <c r="AC1123" s="237"/>
      <c r="AD1123" s="561"/>
      <c r="AE1123" s="337"/>
      <c r="AF1123" s="237"/>
    </row>
    <row r="1124" spans="2:32" ht="13.5" customHeight="1">
      <c r="B1124" s="339"/>
      <c r="C1124" s="237"/>
      <c r="D1124" s="263"/>
      <c r="E1124" s="237"/>
      <c r="F1124" s="237"/>
      <c r="G1124" s="255"/>
      <c r="H1124" s="237"/>
      <c r="I1124" s="237"/>
      <c r="J1124" s="237"/>
      <c r="K1124" s="240"/>
      <c r="L1124" s="243"/>
      <c r="M1124" s="237"/>
      <c r="N1124" s="237"/>
      <c r="O1124" s="237"/>
      <c r="P1124" s="237"/>
      <c r="Q1124" s="245"/>
      <c r="R1124" s="237"/>
      <c r="S1124" s="237"/>
      <c r="T1124" s="237"/>
      <c r="U1124" s="237"/>
      <c r="V1124" s="237"/>
      <c r="W1124" s="237"/>
      <c r="X1124" s="237"/>
      <c r="Y1124" s="237"/>
      <c r="Z1124" s="237"/>
      <c r="AA1124" s="337"/>
      <c r="AB1124" s="337"/>
      <c r="AC1124" s="237"/>
      <c r="AD1124" s="561"/>
      <c r="AE1124" s="337"/>
      <c r="AF1124" s="237"/>
    </row>
    <row r="1125" spans="2:32" ht="13.5" customHeight="1">
      <c r="B1125" s="339"/>
      <c r="C1125" s="237"/>
      <c r="D1125" s="263"/>
      <c r="E1125" s="237"/>
      <c r="F1125" s="237"/>
      <c r="G1125" s="255"/>
      <c r="H1125" s="237"/>
      <c r="I1125" s="237"/>
      <c r="J1125" s="237"/>
      <c r="K1125" s="240"/>
      <c r="L1125" s="243"/>
      <c r="M1125" s="237"/>
      <c r="N1125" s="237"/>
      <c r="O1125" s="237"/>
      <c r="P1125" s="237"/>
      <c r="Q1125" s="245"/>
      <c r="R1125" s="237"/>
      <c r="S1125" s="237"/>
      <c r="T1125" s="237"/>
      <c r="U1125" s="237"/>
      <c r="V1125" s="237"/>
      <c r="W1125" s="237"/>
      <c r="X1125" s="237"/>
      <c r="Y1125" s="237"/>
      <c r="Z1125" s="237"/>
      <c r="AA1125" s="337"/>
      <c r="AB1125" s="337"/>
      <c r="AC1125" s="237"/>
      <c r="AD1125" s="561"/>
      <c r="AE1125" s="337"/>
      <c r="AF1125" s="237"/>
    </row>
    <row r="1126" spans="2:32" ht="13.5" customHeight="1">
      <c r="B1126" s="339"/>
      <c r="C1126" s="237"/>
      <c r="D1126" s="263"/>
      <c r="E1126" s="237"/>
      <c r="F1126" s="237"/>
      <c r="G1126" s="255"/>
      <c r="H1126" s="237"/>
      <c r="I1126" s="237"/>
      <c r="J1126" s="237"/>
      <c r="K1126" s="240"/>
      <c r="L1126" s="243"/>
      <c r="M1126" s="237"/>
      <c r="N1126" s="237"/>
      <c r="O1126" s="237"/>
      <c r="P1126" s="237"/>
      <c r="Q1126" s="245"/>
      <c r="R1126" s="237"/>
      <c r="S1126" s="237"/>
      <c r="T1126" s="237"/>
      <c r="U1126" s="237"/>
      <c r="V1126" s="237"/>
      <c r="W1126" s="237"/>
      <c r="X1126" s="237"/>
      <c r="Y1126" s="237"/>
      <c r="Z1126" s="237"/>
      <c r="AA1126" s="337"/>
      <c r="AB1126" s="337"/>
      <c r="AC1126" s="237"/>
      <c r="AD1126" s="561"/>
      <c r="AE1126" s="337"/>
      <c r="AF1126" s="237"/>
    </row>
    <row r="1127" spans="2:32" ht="13.5" customHeight="1">
      <c r="B1127" s="339"/>
      <c r="C1127" s="237"/>
      <c r="D1127" s="263"/>
      <c r="E1127" s="237"/>
      <c r="F1127" s="237"/>
      <c r="G1127" s="255"/>
      <c r="H1127" s="237"/>
      <c r="I1127" s="237"/>
      <c r="J1127" s="237"/>
      <c r="K1127" s="240"/>
      <c r="L1127" s="243"/>
      <c r="M1127" s="237"/>
      <c r="N1127" s="237"/>
      <c r="O1127" s="237"/>
      <c r="P1127" s="237"/>
      <c r="Q1127" s="245"/>
      <c r="R1127" s="237"/>
      <c r="S1127" s="237"/>
      <c r="T1127" s="237"/>
      <c r="U1127" s="237"/>
      <c r="V1127" s="237"/>
      <c r="W1127" s="237"/>
      <c r="X1127" s="237"/>
      <c r="Y1127" s="237"/>
      <c r="Z1127" s="237"/>
      <c r="AA1127" s="337"/>
      <c r="AB1127" s="337"/>
      <c r="AC1127" s="237"/>
      <c r="AD1127" s="561"/>
      <c r="AE1127" s="337"/>
      <c r="AF1127" s="237"/>
    </row>
    <row r="1128" spans="2:32" ht="13.5" customHeight="1">
      <c r="B1128" s="339"/>
      <c r="C1128" s="237"/>
      <c r="D1128" s="263"/>
      <c r="E1128" s="237"/>
      <c r="F1128" s="237"/>
      <c r="G1128" s="255"/>
      <c r="H1128" s="237"/>
      <c r="I1128" s="237"/>
      <c r="J1128" s="237"/>
      <c r="K1128" s="240"/>
      <c r="L1128" s="243"/>
      <c r="M1128" s="237"/>
      <c r="N1128" s="237"/>
      <c r="O1128" s="237"/>
      <c r="P1128" s="237"/>
      <c r="Q1128" s="245"/>
      <c r="R1128" s="237"/>
      <c r="S1128" s="237"/>
      <c r="T1128" s="237"/>
      <c r="U1128" s="237"/>
      <c r="V1128" s="237"/>
      <c r="W1128" s="237"/>
      <c r="X1128" s="237"/>
      <c r="Y1128" s="237"/>
      <c r="Z1128" s="237"/>
      <c r="AA1128" s="337"/>
      <c r="AB1128" s="337"/>
      <c r="AC1128" s="237"/>
      <c r="AD1128" s="561"/>
      <c r="AE1128" s="337"/>
      <c r="AF1128" s="237"/>
    </row>
    <row r="1129" spans="2:32" ht="13.5" customHeight="1">
      <c r="B1129" s="339"/>
      <c r="C1129" s="237"/>
      <c r="D1129" s="263"/>
      <c r="E1129" s="237"/>
      <c r="F1129" s="237"/>
      <c r="G1129" s="255"/>
      <c r="H1129" s="237"/>
      <c r="I1129" s="237"/>
      <c r="J1129" s="237"/>
      <c r="K1129" s="240"/>
      <c r="L1129" s="243"/>
      <c r="M1129" s="237"/>
      <c r="N1129" s="237"/>
      <c r="O1129" s="237"/>
      <c r="P1129" s="237"/>
      <c r="Q1129" s="245"/>
      <c r="R1129" s="237"/>
      <c r="S1129" s="237"/>
      <c r="T1129" s="237"/>
      <c r="U1129" s="237"/>
      <c r="V1129" s="237"/>
      <c r="W1129" s="237"/>
      <c r="X1129" s="237"/>
      <c r="Y1129" s="237"/>
      <c r="Z1129" s="237"/>
      <c r="AA1129" s="337"/>
      <c r="AB1129" s="337"/>
      <c r="AC1129" s="237"/>
      <c r="AD1129" s="561"/>
      <c r="AE1129" s="337"/>
      <c r="AF1129" s="237"/>
    </row>
    <row r="1130" spans="2:32" ht="13.5" customHeight="1">
      <c r="B1130" s="339"/>
      <c r="C1130" s="237"/>
      <c r="D1130" s="263"/>
      <c r="E1130" s="237"/>
      <c r="F1130" s="237"/>
      <c r="G1130" s="255"/>
      <c r="H1130" s="237"/>
      <c r="I1130" s="237"/>
      <c r="J1130" s="237"/>
      <c r="K1130" s="240"/>
      <c r="L1130" s="288"/>
      <c r="M1130" s="237"/>
      <c r="N1130" s="237"/>
      <c r="O1130" s="237"/>
      <c r="P1130" s="237"/>
      <c r="Q1130" s="245"/>
      <c r="R1130" s="237"/>
      <c r="S1130" s="237"/>
      <c r="T1130" s="237"/>
      <c r="U1130" s="237"/>
      <c r="V1130" s="237"/>
      <c r="W1130" s="237"/>
      <c r="X1130" s="237"/>
      <c r="Y1130" s="237"/>
      <c r="Z1130" s="237"/>
      <c r="AA1130" s="337"/>
      <c r="AB1130" s="337"/>
      <c r="AC1130" s="237"/>
      <c r="AD1130" s="561"/>
      <c r="AE1130" s="337"/>
      <c r="AF1130" s="237"/>
    </row>
    <row r="1131" spans="2:32" ht="13.5" customHeight="1">
      <c r="B1131" s="339"/>
      <c r="C1131" s="237"/>
      <c r="D1131" s="263"/>
      <c r="E1131" s="237"/>
      <c r="F1131" s="237"/>
      <c r="G1131" s="255"/>
      <c r="H1131" s="237"/>
      <c r="I1131" s="237"/>
      <c r="J1131" s="237"/>
      <c r="K1131" s="240"/>
      <c r="L1131" s="289"/>
      <c r="M1131" s="237"/>
      <c r="N1131" s="237"/>
      <c r="O1131" s="237"/>
      <c r="P1131" s="237"/>
      <c r="Q1131" s="245"/>
      <c r="R1131" s="237"/>
      <c r="S1131" s="237"/>
      <c r="T1131" s="237"/>
      <c r="U1131" s="237"/>
      <c r="V1131" s="237"/>
      <c r="W1131" s="237"/>
      <c r="X1131" s="237"/>
      <c r="Y1131" s="237"/>
      <c r="Z1131" s="237"/>
      <c r="AA1131" s="337"/>
      <c r="AB1131" s="337"/>
      <c r="AC1131" s="237"/>
      <c r="AD1131" s="561"/>
      <c r="AE1131" s="337"/>
      <c r="AF1131" s="237"/>
    </row>
    <row r="1132" spans="2:32" ht="13.5" customHeight="1">
      <c r="B1132" s="339"/>
      <c r="C1132" s="237"/>
      <c r="D1132" s="263"/>
      <c r="E1132" s="237"/>
      <c r="F1132" s="237"/>
      <c r="G1132" s="255"/>
      <c r="H1132" s="237"/>
      <c r="I1132" s="237"/>
      <c r="J1132" s="237"/>
      <c r="K1132" s="240"/>
      <c r="L1132" s="243"/>
      <c r="M1132" s="237"/>
      <c r="N1132" s="237"/>
      <c r="O1132" s="237"/>
      <c r="P1132" s="237"/>
      <c r="Q1132" s="245"/>
      <c r="R1132" s="237"/>
      <c r="S1132" s="237"/>
      <c r="T1132" s="237"/>
      <c r="U1132" s="237"/>
      <c r="V1132" s="237"/>
      <c r="W1132" s="237"/>
      <c r="X1132" s="237"/>
      <c r="Y1132" s="237"/>
      <c r="Z1132" s="237"/>
      <c r="AA1132" s="337"/>
      <c r="AB1132" s="337"/>
      <c r="AC1132" s="237"/>
      <c r="AD1132" s="561"/>
      <c r="AE1132" s="337"/>
      <c r="AF1132" s="237"/>
    </row>
    <row r="1133" spans="2:32" ht="13.5" customHeight="1">
      <c r="B1133" s="339"/>
      <c r="C1133" s="237"/>
      <c r="D1133" s="263"/>
      <c r="E1133" s="237"/>
      <c r="F1133" s="237"/>
      <c r="G1133" s="255"/>
      <c r="H1133" s="237"/>
      <c r="I1133" s="237"/>
      <c r="J1133" s="237"/>
      <c r="K1133" s="240"/>
      <c r="L1133" s="243"/>
      <c r="M1133" s="237"/>
      <c r="N1133" s="237"/>
      <c r="O1133" s="237"/>
      <c r="P1133" s="237"/>
      <c r="Q1133" s="245"/>
      <c r="R1133" s="237"/>
      <c r="S1133" s="237"/>
      <c r="T1133" s="237"/>
      <c r="U1133" s="237"/>
      <c r="V1133" s="237"/>
      <c r="W1133" s="237"/>
      <c r="X1133" s="237"/>
      <c r="Y1133" s="237"/>
      <c r="Z1133" s="237"/>
      <c r="AA1133" s="337"/>
      <c r="AB1133" s="337"/>
      <c r="AC1133" s="237"/>
      <c r="AD1133" s="561"/>
      <c r="AE1133" s="337"/>
      <c r="AF1133" s="237"/>
    </row>
    <row r="1134" spans="2:32" ht="13.5" customHeight="1">
      <c r="B1134" s="339"/>
      <c r="C1134" s="237"/>
      <c r="D1134" s="263"/>
      <c r="E1134" s="237"/>
      <c r="F1134" s="237"/>
      <c r="G1134" s="255"/>
      <c r="H1134" s="237"/>
      <c r="I1134" s="237"/>
      <c r="J1134" s="237"/>
      <c r="K1134" s="240"/>
      <c r="L1134" s="243"/>
      <c r="M1134" s="237"/>
      <c r="N1134" s="237"/>
      <c r="O1134" s="237"/>
      <c r="P1134" s="237"/>
      <c r="Q1134" s="245"/>
      <c r="R1134" s="237"/>
      <c r="S1134" s="237"/>
      <c r="T1134" s="237"/>
      <c r="U1134" s="237"/>
      <c r="V1134" s="237"/>
      <c r="W1134" s="237"/>
      <c r="X1134" s="237"/>
      <c r="Y1134" s="237"/>
      <c r="Z1134" s="237"/>
      <c r="AA1134" s="337"/>
      <c r="AB1134" s="337"/>
      <c r="AC1134" s="237"/>
      <c r="AD1134" s="561"/>
      <c r="AE1134" s="337"/>
      <c r="AF1134" s="237"/>
    </row>
    <row r="1135" spans="2:32" ht="13.5" customHeight="1">
      <c r="B1135" s="339"/>
      <c r="C1135" s="237"/>
      <c r="D1135" s="263"/>
      <c r="E1135" s="237"/>
      <c r="F1135" s="237"/>
      <c r="G1135" s="255"/>
      <c r="H1135" s="237"/>
      <c r="I1135" s="237"/>
      <c r="J1135" s="237"/>
      <c r="K1135" s="240"/>
      <c r="L1135" s="243"/>
      <c r="M1135" s="237"/>
      <c r="N1135" s="237"/>
      <c r="O1135" s="237"/>
      <c r="P1135" s="237"/>
      <c r="Q1135" s="245"/>
      <c r="R1135" s="237"/>
      <c r="S1135" s="237"/>
      <c r="T1135" s="237"/>
      <c r="U1135" s="237"/>
      <c r="V1135" s="237"/>
      <c r="W1135" s="237"/>
      <c r="X1135" s="237"/>
      <c r="Y1135" s="237"/>
      <c r="Z1135" s="237"/>
      <c r="AA1135" s="337"/>
      <c r="AB1135" s="337"/>
      <c r="AC1135" s="237"/>
      <c r="AD1135" s="561"/>
      <c r="AE1135" s="337"/>
      <c r="AF1135" s="237"/>
    </row>
    <row r="1136" spans="2:32" ht="13.5" customHeight="1">
      <c r="B1136" s="339"/>
      <c r="C1136" s="237"/>
      <c r="D1136" s="263"/>
      <c r="E1136" s="237"/>
      <c r="F1136" s="237"/>
      <c r="G1136" s="255"/>
      <c r="H1136" s="237"/>
      <c r="I1136" s="237"/>
      <c r="J1136" s="237"/>
      <c r="K1136" s="240"/>
      <c r="L1136" s="243"/>
      <c r="M1136" s="237"/>
      <c r="N1136" s="237"/>
      <c r="O1136" s="237"/>
      <c r="P1136" s="237"/>
      <c r="Q1136" s="245"/>
      <c r="R1136" s="237"/>
      <c r="S1136" s="237"/>
      <c r="T1136" s="237"/>
      <c r="U1136" s="237"/>
      <c r="V1136" s="237"/>
      <c r="W1136" s="237"/>
      <c r="X1136" s="237"/>
      <c r="Y1136" s="237"/>
      <c r="Z1136" s="237"/>
      <c r="AA1136" s="337"/>
      <c r="AB1136" s="337"/>
      <c r="AC1136" s="237"/>
      <c r="AD1136" s="561"/>
      <c r="AE1136" s="337"/>
      <c r="AF1136" s="237"/>
    </row>
    <row r="1137" spans="2:32" ht="13.5" customHeight="1">
      <c r="B1137" s="339"/>
      <c r="C1137" s="237"/>
      <c r="D1137" s="263"/>
      <c r="E1137" s="237"/>
      <c r="F1137" s="237"/>
      <c r="G1137" s="255"/>
      <c r="H1137" s="237"/>
      <c r="I1137" s="237"/>
      <c r="J1137" s="237"/>
      <c r="K1137" s="240"/>
      <c r="L1137" s="243"/>
      <c r="M1137" s="237"/>
      <c r="N1137" s="237"/>
      <c r="O1137" s="237"/>
      <c r="P1137" s="237"/>
      <c r="Q1137" s="245"/>
      <c r="R1137" s="237"/>
      <c r="S1137" s="237"/>
      <c r="T1137" s="237"/>
      <c r="U1137" s="237"/>
      <c r="V1137" s="237"/>
      <c r="W1137" s="237"/>
      <c r="X1137" s="237"/>
      <c r="Y1137" s="237"/>
      <c r="Z1137" s="237"/>
      <c r="AA1137" s="337"/>
      <c r="AB1137" s="337"/>
      <c r="AC1137" s="237"/>
      <c r="AD1137" s="561"/>
      <c r="AE1137" s="337"/>
      <c r="AF1137" s="237"/>
    </row>
    <row r="1138" spans="2:32" ht="13.5" customHeight="1">
      <c r="B1138" s="339"/>
      <c r="C1138" s="237"/>
      <c r="D1138" s="263"/>
      <c r="E1138" s="237"/>
      <c r="F1138" s="237"/>
      <c r="G1138" s="255"/>
      <c r="H1138" s="237"/>
      <c r="I1138" s="237"/>
      <c r="J1138" s="237"/>
      <c r="K1138" s="240"/>
      <c r="L1138" s="243"/>
      <c r="M1138" s="237"/>
      <c r="N1138" s="237"/>
      <c r="O1138" s="237"/>
      <c r="P1138" s="237"/>
      <c r="Q1138" s="245"/>
      <c r="R1138" s="237"/>
      <c r="S1138" s="237"/>
      <c r="T1138" s="237"/>
      <c r="U1138" s="237"/>
      <c r="V1138" s="237"/>
      <c r="W1138" s="237"/>
      <c r="X1138" s="237"/>
      <c r="Y1138" s="237"/>
      <c r="Z1138" s="237"/>
      <c r="AA1138" s="337"/>
      <c r="AB1138" s="337"/>
      <c r="AC1138" s="237"/>
      <c r="AD1138" s="561"/>
      <c r="AE1138" s="337"/>
      <c r="AF1138" s="237"/>
    </row>
    <row r="1139" spans="2:32" ht="13.5" customHeight="1">
      <c r="B1139" s="339"/>
      <c r="C1139" s="237"/>
      <c r="D1139" s="263"/>
      <c r="E1139" s="237"/>
      <c r="F1139" s="237"/>
      <c r="G1139" s="255"/>
      <c r="H1139" s="237"/>
      <c r="I1139" s="237"/>
      <c r="J1139" s="237"/>
      <c r="K1139" s="240"/>
      <c r="L1139" s="243"/>
      <c r="M1139" s="237"/>
      <c r="N1139" s="237"/>
      <c r="O1139" s="237"/>
      <c r="P1139" s="237"/>
      <c r="Q1139" s="245"/>
      <c r="R1139" s="237"/>
      <c r="S1139" s="237"/>
      <c r="T1139" s="237"/>
      <c r="U1139" s="237"/>
      <c r="V1139" s="237"/>
      <c r="W1139" s="237"/>
      <c r="X1139" s="237"/>
      <c r="Y1139" s="237"/>
      <c r="Z1139" s="237"/>
      <c r="AA1139" s="337"/>
      <c r="AB1139" s="337"/>
      <c r="AC1139" s="237"/>
      <c r="AD1139" s="561"/>
      <c r="AE1139" s="337"/>
      <c r="AF1139" s="237"/>
    </row>
    <row r="1140" spans="2:32" ht="13.5" customHeight="1">
      <c r="B1140" s="339"/>
      <c r="C1140" s="237"/>
      <c r="D1140" s="263"/>
      <c r="E1140" s="237"/>
      <c r="F1140" s="237"/>
      <c r="G1140" s="255"/>
      <c r="H1140" s="237"/>
      <c r="I1140" s="237"/>
      <c r="J1140" s="237"/>
      <c r="K1140" s="240"/>
      <c r="L1140" s="243"/>
      <c r="M1140" s="237"/>
      <c r="N1140" s="237"/>
      <c r="O1140" s="237"/>
      <c r="P1140" s="237"/>
      <c r="Q1140" s="245"/>
      <c r="R1140" s="237"/>
      <c r="S1140" s="237"/>
      <c r="T1140" s="237"/>
      <c r="U1140" s="237"/>
      <c r="V1140" s="237"/>
      <c r="W1140" s="237"/>
      <c r="X1140" s="237"/>
      <c r="Y1140" s="237"/>
      <c r="Z1140" s="237"/>
      <c r="AA1140" s="337"/>
      <c r="AB1140" s="337"/>
      <c r="AC1140" s="237"/>
      <c r="AD1140" s="561"/>
      <c r="AE1140" s="337"/>
      <c r="AF1140" s="237"/>
    </row>
    <row r="1141" spans="2:32" ht="13.5" customHeight="1">
      <c r="B1141" s="339"/>
      <c r="C1141" s="237"/>
      <c r="D1141" s="263"/>
      <c r="E1141" s="237"/>
      <c r="F1141" s="237"/>
      <c r="G1141" s="255"/>
      <c r="H1141" s="237"/>
      <c r="I1141" s="237"/>
      <c r="J1141" s="237"/>
      <c r="K1141" s="240"/>
      <c r="L1141" s="243"/>
      <c r="M1141" s="237"/>
      <c r="N1141" s="237"/>
      <c r="O1141" s="237"/>
      <c r="P1141" s="237"/>
      <c r="Q1141" s="245"/>
      <c r="R1141" s="237"/>
      <c r="S1141" s="237"/>
      <c r="T1141" s="237"/>
      <c r="U1141" s="237"/>
      <c r="V1141" s="237"/>
      <c r="W1141" s="237"/>
      <c r="X1141" s="237"/>
      <c r="Y1141" s="237"/>
      <c r="Z1141" s="237"/>
      <c r="AA1141" s="337"/>
      <c r="AB1141" s="337"/>
      <c r="AC1141" s="237"/>
      <c r="AD1141" s="561"/>
      <c r="AE1141" s="337"/>
      <c r="AF1141" s="237"/>
    </row>
    <row r="1142" spans="2:32" ht="13.5" customHeight="1">
      <c r="B1142" s="339"/>
      <c r="C1142" s="237"/>
      <c r="D1142" s="263"/>
      <c r="E1142" s="237"/>
      <c r="F1142" s="237"/>
      <c r="G1142" s="255"/>
      <c r="H1142" s="237"/>
      <c r="I1142" s="237"/>
      <c r="J1142" s="237"/>
      <c r="K1142" s="240"/>
      <c r="L1142" s="243"/>
      <c r="M1142" s="237"/>
      <c r="N1142" s="237"/>
      <c r="O1142" s="237"/>
      <c r="P1142" s="237"/>
      <c r="Q1142" s="245"/>
      <c r="R1142" s="237"/>
      <c r="S1142" s="237"/>
      <c r="T1142" s="237"/>
      <c r="U1142" s="237"/>
      <c r="V1142" s="237"/>
      <c r="W1142" s="237"/>
      <c r="X1142" s="237"/>
      <c r="Y1142" s="237"/>
      <c r="Z1142" s="237"/>
      <c r="AA1142" s="337"/>
      <c r="AB1142" s="337"/>
      <c r="AC1142" s="237"/>
      <c r="AD1142" s="561"/>
      <c r="AE1142" s="337"/>
      <c r="AF1142" s="237"/>
    </row>
    <row r="1143" spans="2:32" ht="13.5" customHeight="1">
      <c r="B1143" s="339"/>
      <c r="C1143" s="237"/>
      <c r="D1143" s="263"/>
      <c r="E1143" s="237"/>
      <c r="F1143" s="237"/>
      <c r="G1143" s="255"/>
      <c r="H1143" s="237"/>
      <c r="I1143" s="237"/>
      <c r="J1143" s="237"/>
      <c r="K1143" s="240"/>
      <c r="L1143" s="243"/>
      <c r="M1143" s="237"/>
      <c r="N1143" s="237"/>
      <c r="O1143" s="237"/>
      <c r="P1143" s="237"/>
      <c r="Q1143" s="245"/>
      <c r="R1143" s="237"/>
      <c r="S1143" s="237"/>
      <c r="T1143" s="237"/>
      <c r="U1143" s="237"/>
      <c r="V1143" s="237"/>
      <c r="W1143" s="237"/>
      <c r="X1143" s="237"/>
      <c r="Y1143" s="237"/>
      <c r="Z1143" s="237"/>
      <c r="AA1143" s="337"/>
      <c r="AB1143" s="337"/>
      <c r="AC1143" s="237"/>
      <c r="AD1143" s="561"/>
      <c r="AE1143" s="337"/>
      <c r="AF1143" s="237"/>
    </row>
    <row r="1144" spans="2:32" ht="13.5" customHeight="1">
      <c r="B1144" s="339"/>
      <c r="C1144" s="237"/>
      <c r="D1144" s="263"/>
      <c r="E1144" s="237"/>
      <c r="F1144" s="237"/>
      <c r="G1144" s="255"/>
      <c r="H1144" s="237"/>
      <c r="I1144" s="237"/>
      <c r="J1144" s="237"/>
      <c r="K1144" s="240"/>
      <c r="L1144" s="243"/>
      <c r="M1144" s="237"/>
      <c r="N1144" s="237"/>
      <c r="O1144" s="237"/>
      <c r="P1144" s="237"/>
      <c r="Q1144" s="245"/>
      <c r="R1144" s="237"/>
      <c r="S1144" s="237"/>
      <c r="T1144" s="237"/>
      <c r="U1144" s="237"/>
      <c r="V1144" s="237"/>
      <c r="W1144" s="237"/>
      <c r="X1144" s="237"/>
      <c r="Y1144" s="237"/>
      <c r="Z1144" s="237"/>
      <c r="AA1144" s="337"/>
      <c r="AB1144" s="337"/>
      <c r="AC1144" s="237"/>
      <c r="AD1144" s="561"/>
      <c r="AE1144" s="337"/>
      <c r="AF1144" s="237"/>
    </row>
    <row r="1145" spans="2:32" ht="13.5" customHeight="1">
      <c r="B1145" s="339"/>
      <c r="C1145" s="237"/>
      <c r="D1145" s="263"/>
      <c r="E1145" s="237"/>
      <c r="F1145" s="237"/>
      <c r="G1145" s="255"/>
      <c r="H1145" s="237"/>
      <c r="I1145" s="237"/>
      <c r="J1145" s="237"/>
      <c r="K1145" s="240"/>
      <c r="L1145" s="243"/>
      <c r="M1145" s="237"/>
      <c r="N1145" s="237"/>
      <c r="O1145" s="237"/>
      <c r="P1145" s="237"/>
      <c r="Q1145" s="245"/>
      <c r="R1145" s="237"/>
      <c r="S1145" s="237"/>
      <c r="T1145" s="237"/>
      <c r="U1145" s="237"/>
      <c r="V1145" s="237"/>
      <c r="W1145" s="237"/>
      <c r="X1145" s="237"/>
      <c r="Y1145" s="237"/>
      <c r="Z1145" s="237"/>
      <c r="AA1145" s="337"/>
      <c r="AB1145" s="337"/>
      <c r="AC1145" s="237"/>
      <c r="AD1145" s="561"/>
      <c r="AE1145" s="337"/>
      <c r="AF1145" s="237"/>
    </row>
    <row r="1146" spans="2:32" ht="13.5" customHeight="1">
      <c r="B1146" s="339"/>
      <c r="C1146" s="237"/>
      <c r="D1146" s="263"/>
      <c r="E1146" s="237"/>
      <c r="F1146" s="237"/>
      <c r="G1146" s="255"/>
      <c r="H1146" s="237"/>
      <c r="I1146" s="237"/>
      <c r="J1146" s="237"/>
      <c r="K1146" s="240"/>
      <c r="L1146" s="243"/>
      <c r="M1146" s="237"/>
      <c r="N1146" s="237"/>
      <c r="O1146" s="237"/>
      <c r="P1146" s="237"/>
      <c r="Q1146" s="245"/>
      <c r="R1146" s="237"/>
      <c r="S1146" s="237"/>
      <c r="T1146" s="237"/>
      <c r="U1146" s="237"/>
      <c r="V1146" s="237"/>
      <c r="W1146" s="237"/>
      <c r="X1146" s="237"/>
      <c r="Y1146" s="237"/>
      <c r="Z1146" s="237"/>
      <c r="AA1146" s="337"/>
      <c r="AB1146" s="337"/>
      <c r="AC1146" s="237"/>
      <c r="AD1146" s="561"/>
      <c r="AE1146" s="337"/>
      <c r="AF1146" s="237"/>
    </row>
    <row r="1147" spans="2:32" ht="13.5" customHeight="1">
      <c r="B1147" s="339"/>
      <c r="C1147" s="237"/>
      <c r="D1147" s="263"/>
      <c r="E1147" s="237"/>
      <c r="F1147" s="237"/>
      <c r="G1147" s="255"/>
      <c r="H1147" s="237"/>
      <c r="I1147" s="237"/>
      <c r="J1147" s="237"/>
      <c r="K1147" s="240"/>
      <c r="L1147" s="243"/>
      <c r="M1147" s="237"/>
      <c r="N1147" s="237"/>
      <c r="O1147" s="237"/>
      <c r="P1147" s="237"/>
      <c r="Q1147" s="245"/>
      <c r="R1147" s="237"/>
      <c r="S1147" s="237"/>
      <c r="T1147" s="237"/>
      <c r="U1147" s="237"/>
      <c r="V1147" s="237"/>
      <c r="W1147" s="237"/>
      <c r="X1147" s="237"/>
      <c r="Y1147" s="237"/>
      <c r="Z1147" s="237"/>
      <c r="AA1147" s="337"/>
      <c r="AB1147" s="337"/>
      <c r="AC1147" s="237"/>
      <c r="AD1147" s="561"/>
      <c r="AE1147" s="337"/>
      <c r="AF1147" s="237"/>
    </row>
    <row r="1148" spans="2:32" ht="13.5" customHeight="1">
      <c r="B1148" s="339"/>
      <c r="C1148" s="237"/>
      <c r="D1148" s="263"/>
      <c r="E1148" s="237"/>
      <c r="F1148" s="237"/>
      <c r="G1148" s="255"/>
      <c r="H1148" s="237"/>
      <c r="I1148" s="237"/>
      <c r="J1148" s="237"/>
      <c r="K1148" s="240"/>
      <c r="L1148" s="243"/>
      <c r="M1148" s="237"/>
      <c r="N1148" s="237"/>
      <c r="O1148" s="237"/>
      <c r="P1148" s="237"/>
      <c r="Q1148" s="245"/>
      <c r="R1148" s="237"/>
      <c r="S1148" s="237"/>
      <c r="T1148" s="237"/>
      <c r="U1148" s="237"/>
      <c r="V1148" s="237"/>
      <c r="W1148" s="237"/>
      <c r="X1148" s="237"/>
      <c r="Y1148" s="237"/>
      <c r="Z1148" s="237"/>
      <c r="AA1148" s="337"/>
      <c r="AB1148" s="337"/>
      <c r="AC1148" s="237"/>
      <c r="AD1148" s="561"/>
      <c r="AE1148" s="337"/>
      <c r="AF1148" s="237"/>
    </row>
    <row r="1149" spans="2:32" ht="13.5" customHeight="1">
      <c r="B1149" s="339"/>
      <c r="C1149" s="237"/>
      <c r="D1149" s="263"/>
      <c r="E1149" s="237"/>
      <c r="F1149" s="237"/>
      <c r="G1149" s="255"/>
      <c r="H1149" s="237"/>
      <c r="I1149" s="237"/>
      <c r="J1149" s="237"/>
      <c r="K1149" s="240"/>
      <c r="L1149" s="243"/>
      <c r="M1149" s="237"/>
      <c r="N1149" s="237"/>
      <c r="O1149" s="237"/>
      <c r="P1149" s="237"/>
      <c r="Q1149" s="245"/>
      <c r="R1149" s="237"/>
      <c r="S1149" s="237"/>
      <c r="T1149" s="237"/>
      <c r="U1149" s="237"/>
      <c r="V1149" s="237"/>
      <c r="W1149" s="237"/>
      <c r="X1149" s="237"/>
      <c r="Y1149" s="237"/>
      <c r="Z1149" s="237"/>
      <c r="AA1149" s="337"/>
      <c r="AB1149" s="337"/>
      <c r="AC1149" s="237"/>
      <c r="AD1149" s="561"/>
      <c r="AE1149" s="337"/>
      <c r="AF1149" s="237"/>
    </row>
    <row r="1150" spans="2:32" ht="13.5" customHeight="1">
      <c r="B1150" s="339"/>
      <c r="C1150" s="237"/>
      <c r="D1150" s="263"/>
      <c r="E1150" s="237"/>
      <c r="F1150" s="237"/>
      <c r="G1150" s="255"/>
      <c r="H1150" s="237"/>
      <c r="I1150" s="237"/>
      <c r="J1150" s="237"/>
      <c r="K1150" s="240"/>
      <c r="L1150" s="243"/>
      <c r="M1150" s="237"/>
      <c r="N1150" s="237"/>
      <c r="O1150" s="237"/>
      <c r="P1150" s="237"/>
      <c r="Q1150" s="245"/>
      <c r="R1150" s="237"/>
      <c r="S1150" s="237"/>
      <c r="T1150" s="237"/>
      <c r="U1150" s="237"/>
      <c r="V1150" s="237"/>
      <c r="W1150" s="237"/>
      <c r="X1150" s="237"/>
      <c r="Y1150" s="237"/>
      <c r="Z1150" s="237"/>
      <c r="AA1150" s="337"/>
      <c r="AB1150" s="337"/>
      <c r="AC1150" s="237"/>
      <c r="AD1150" s="561"/>
      <c r="AE1150" s="337"/>
      <c r="AF1150" s="237"/>
    </row>
    <row r="1151" spans="2:32" ht="13.5" customHeight="1">
      <c r="B1151" s="339"/>
      <c r="C1151" s="237"/>
      <c r="D1151" s="263"/>
      <c r="E1151" s="237"/>
      <c r="F1151" s="237"/>
      <c r="G1151" s="255"/>
      <c r="H1151" s="237"/>
      <c r="I1151" s="237"/>
      <c r="J1151" s="237"/>
      <c r="K1151" s="240"/>
      <c r="L1151" s="243"/>
      <c r="M1151" s="237"/>
      <c r="N1151" s="237"/>
      <c r="O1151" s="237"/>
      <c r="P1151" s="237"/>
      <c r="Q1151" s="245"/>
      <c r="R1151" s="237"/>
      <c r="S1151" s="237"/>
      <c r="T1151" s="237"/>
      <c r="U1151" s="237"/>
      <c r="V1151" s="237"/>
      <c r="W1151" s="237"/>
      <c r="X1151" s="237"/>
      <c r="Y1151" s="237"/>
      <c r="Z1151" s="237"/>
      <c r="AA1151" s="337"/>
      <c r="AB1151" s="337"/>
      <c r="AC1151" s="237"/>
      <c r="AD1151" s="561"/>
      <c r="AE1151" s="337"/>
      <c r="AF1151" s="237"/>
    </row>
    <row r="1152" spans="2:32" ht="13.5" customHeight="1">
      <c r="B1152" s="339"/>
      <c r="C1152" s="237"/>
      <c r="D1152" s="263"/>
      <c r="E1152" s="237"/>
      <c r="F1152" s="237"/>
      <c r="G1152" s="255"/>
      <c r="H1152" s="237"/>
      <c r="I1152" s="237"/>
      <c r="J1152" s="237"/>
      <c r="K1152" s="240"/>
      <c r="L1152" s="243"/>
      <c r="M1152" s="237"/>
      <c r="N1152" s="237"/>
      <c r="O1152" s="237"/>
      <c r="P1152" s="237"/>
      <c r="Q1152" s="245"/>
      <c r="R1152" s="237"/>
      <c r="S1152" s="237"/>
      <c r="T1152" s="237"/>
      <c r="U1152" s="237"/>
      <c r="V1152" s="237"/>
      <c r="W1152" s="237"/>
      <c r="X1152" s="237"/>
      <c r="Y1152" s="237"/>
      <c r="Z1152" s="237"/>
      <c r="AA1152" s="337"/>
      <c r="AB1152" s="337"/>
      <c r="AC1152" s="237"/>
      <c r="AD1152" s="561"/>
      <c r="AE1152" s="337"/>
      <c r="AF1152" s="237"/>
    </row>
    <row r="1153" spans="2:32" ht="13.5" customHeight="1">
      <c r="B1153" s="339"/>
      <c r="C1153" s="237"/>
      <c r="D1153" s="263"/>
      <c r="E1153" s="237"/>
      <c r="F1153" s="237"/>
      <c r="G1153" s="255"/>
      <c r="H1153" s="237"/>
      <c r="I1153" s="237"/>
      <c r="J1153" s="237"/>
      <c r="K1153" s="240"/>
      <c r="L1153" s="243"/>
      <c r="M1153" s="237"/>
      <c r="N1153" s="237"/>
      <c r="O1153" s="237"/>
      <c r="P1153" s="237"/>
      <c r="Q1153" s="245"/>
      <c r="R1153" s="237"/>
      <c r="S1153" s="237"/>
      <c r="T1153" s="237"/>
      <c r="U1153" s="237"/>
      <c r="V1153" s="237"/>
      <c r="W1153" s="237"/>
      <c r="X1153" s="237"/>
      <c r="Y1153" s="237"/>
      <c r="Z1153" s="237"/>
      <c r="AA1153" s="337"/>
      <c r="AB1153" s="337"/>
      <c r="AC1153" s="237"/>
      <c r="AD1153" s="561"/>
      <c r="AE1153" s="337"/>
      <c r="AF1153" s="237"/>
    </row>
    <row r="1154" spans="2:32" ht="13.5" customHeight="1">
      <c r="B1154" s="339"/>
      <c r="C1154" s="237"/>
      <c r="D1154" s="263"/>
      <c r="E1154" s="237"/>
      <c r="F1154" s="237"/>
      <c r="G1154" s="255"/>
      <c r="H1154" s="237"/>
      <c r="I1154" s="237"/>
      <c r="J1154" s="237"/>
      <c r="K1154" s="240"/>
      <c r="L1154" s="243"/>
      <c r="M1154" s="237"/>
      <c r="N1154" s="237"/>
      <c r="O1154" s="237"/>
      <c r="P1154" s="237"/>
      <c r="Q1154" s="245"/>
      <c r="R1154" s="237"/>
      <c r="S1154" s="237"/>
      <c r="T1154" s="237"/>
      <c r="U1154" s="237"/>
      <c r="V1154" s="237"/>
      <c r="W1154" s="237"/>
      <c r="X1154" s="237"/>
      <c r="Y1154" s="237"/>
      <c r="Z1154" s="237"/>
      <c r="AA1154" s="337"/>
      <c r="AB1154" s="337"/>
      <c r="AC1154" s="237"/>
      <c r="AD1154" s="561"/>
      <c r="AE1154" s="337"/>
      <c r="AF1154" s="237"/>
    </row>
    <row r="1155" spans="2:32" ht="13.5" customHeight="1">
      <c r="B1155" s="339"/>
      <c r="C1155" s="237"/>
      <c r="D1155" s="263"/>
      <c r="E1155" s="237"/>
      <c r="F1155" s="237"/>
      <c r="G1155" s="255"/>
      <c r="H1155" s="237"/>
      <c r="I1155" s="237"/>
      <c r="J1155" s="237"/>
      <c r="K1155" s="240"/>
      <c r="L1155" s="243"/>
      <c r="M1155" s="237"/>
      <c r="N1155" s="237"/>
      <c r="O1155" s="237"/>
      <c r="P1155" s="237"/>
      <c r="Q1155" s="245"/>
      <c r="R1155" s="237"/>
      <c r="S1155" s="237"/>
      <c r="T1155" s="237"/>
      <c r="U1155" s="237"/>
      <c r="V1155" s="237"/>
      <c r="W1155" s="237"/>
      <c r="X1155" s="237"/>
      <c r="Y1155" s="237"/>
      <c r="Z1155" s="237"/>
      <c r="AA1155" s="337"/>
      <c r="AB1155" s="337"/>
      <c r="AC1155" s="237"/>
      <c r="AD1155" s="561"/>
      <c r="AE1155" s="337"/>
      <c r="AF1155" s="237"/>
    </row>
    <row r="1156" spans="2:32" ht="13.5" customHeight="1">
      <c r="B1156" s="339"/>
      <c r="C1156" s="237"/>
      <c r="D1156" s="263"/>
      <c r="E1156" s="237"/>
      <c r="F1156" s="237"/>
      <c r="G1156" s="255"/>
      <c r="H1156" s="237"/>
      <c r="I1156" s="237"/>
      <c r="J1156" s="237"/>
      <c r="K1156" s="240"/>
      <c r="L1156" s="243"/>
      <c r="M1156" s="237"/>
      <c r="N1156" s="237"/>
      <c r="O1156" s="237"/>
      <c r="P1156" s="237"/>
      <c r="Q1156" s="245"/>
      <c r="R1156" s="237"/>
      <c r="S1156" s="237"/>
      <c r="T1156" s="237"/>
      <c r="U1156" s="237"/>
      <c r="V1156" s="237"/>
      <c r="W1156" s="237"/>
      <c r="X1156" s="237"/>
      <c r="Y1156" s="237"/>
      <c r="Z1156" s="237"/>
      <c r="AA1156" s="337"/>
      <c r="AB1156" s="337"/>
      <c r="AC1156" s="237"/>
      <c r="AD1156" s="561"/>
      <c r="AE1156" s="337"/>
      <c r="AF1156" s="237"/>
    </row>
    <row r="1157" spans="2:32" ht="13.5" customHeight="1">
      <c r="B1157" s="339"/>
      <c r="C1157" s="237"/>
      <c r="D1157" s="263"/>
      <c r="E1157" s="237"/>
      <c r="F1157" s="237"/>
      <c r="G1157" s="255"/>
      <c r="H1157" s="237"/>
      <c r="I1157" s="237"/>
      <c r="J1157" s="237"/>
      <c r="K1157" s="240"/>
      <c r="L1157" s="243"/>
      <c r="M1157" s="237"/>
      <c r="N1157" s="237"/>
      <c r="O1157" s="237"/>
      <c r="P1157" s="237"/>
      <c r="Q1157" s="245"/>
      <c r="R1157" s="237"/>
      <c r="S1157" s="237"/>
      <c r="T1157" s="237"/>
      <c r="U1157" s="237"/>
      <c r="V1157" s="237"/>
      <c r="W1157" s="237"/>
      <c r="X1157" s="237"/>
      <c r="Y1157" s="237"/>
      <c r="Z1157" s="237"/>
      <c r="AA1157" s="337"/>
      <c r="AB1157" s="337"/>
      <c r="AC1157" s="237"/>
      <c r="AD1157" s="561"/>
      <c r="AE1157" s="337"/>
      <c r="AF1157" s="237"/>
    </row>
    <row r="1158" spans="2:32" ht="13.5" customHeight="1">
      <c r="B1158" s="339"/>
      <c r="C1158" s="237"/>
      <c r="D1158" s="263"/>
      <c r="E1158" s="237"/>
      <c r="F1158" s="237"/>
      <c r="G1158" s="255"/>
      <c r="H1158" s="237"/>
      <c r="I1158" s="237"/>
      <c r="J1158" s="237"/>
      <c r="K1158" s="240"/>
      <c r="L1158" s="243"/>
      <c r="M1158" s="237"/>
      <c r="N1158" s="237"/>
      <c r="O1158" s="237"/>
      <c r="P1158" s="237"/>
      <c r="Q1158" s="245"/>
      <c r="R1158" s="237"/>
      <c r="S1158" s="237"/>
      <c r="T1158" s="237"/>
      <c r="U1158" s="237"/>
      <c r="V1158" s="237"/>
      <c r="W1158" s="237"/>
      <c r="X1158" s="237"/>
      <c r="Y1158" s="237"/>
      <c r="Z1158" s="237"/>
      <c r="AA1158" s="337"/>
      <c r="AB1158" s="337"/>
      <c r="AC1158" s="237"/>
      <c r="AD1158" s="561"/>
      <c r="AE1158" s="337"/>
      <c r="AF1158" s="237"/>
    </row>
    <row r="1159" spans="2:32" ht="13.5" customHeight="1">
      <c r="B1159" s="339"/>
      <c r="C1159" s="237"/>
      <c r="D1159" s="263"/>
      <c r="E1159" s="237"/>
      <c r="F1159" s="237"/>
      <c r="G1159" s="255"/>
      <c r="H1159" s="237"/>
      <c r="I1159" s="237"/>
      <c r="J1159" s="237"/>
      <c r="K1159" s="240"/>
      <c r="L1159" s="243"/>
      <c r="M1159" s="237"/>
      <c r="N1159" s="237"/>
      <c r="O1159" s="237"/>
      <c r="P1159" s="237"/>
      <c r="Q1159" s="245"/>
      <c r="R1159" s="237"/>
      <c r="S1159" s="237"/>
      <c r="T1159" s="237"/>
      <c r="U1159" s="237"/>
      <c r="V1159" s="237"/>
      <c r="W1159" s="237"/>
      <c r="X1159" s="237"/>
      <c r="Y1159" s="237"/>
      <c r="Z1159" s="237"/>
      <c r="AA1159" s="337"/>
      <c r="AB1159" s="337"/>
      <c r="AC1159" s="237"/>
      <c r="AD1159" s="561"/>
      <c r="AE1159" s="337"/>
      <c r="AF1159" s="237"/>
    </row>
    <row r="1160" spans="2:32" ht="13.5" customHeight="1">
      <c r="B1160" s="339"/>
      <c r="C1160" s="237"/>
      <c r="D1160" s="263"/>
      <c r="E1160" s="237"/>
      <c r="F1160" s="237"/>
      <c r="G1160" s="255"/>
      <c r="H1160" s="237"/>
      <c r="I1160" s="237"/>
      <c r="J1160" s="237"/>
      <c r="K1160" s="240"/>
      <c r="L1160" s="243"/>
      <c r="M1160" s="237"/>
      <c r="N1160" s="237"/>
      <c r="O1160" s="237"/>
      <c r="P1160" s="237"/>
      <c r="Q1160" s="245"/>
      <c r="R1160" s="237"/>
      <c r="S1160" s="237"/>
      <c r="T1160" s="237"/>
      <c r="U1160" s="237"/>
      <c r="V1160" s="237"/>
      <c r="W1160" s="237"/>
      <c r="X1160" s="237"/>
      <c r="Y1160" s="237"/>
      <c r="Z1160" s="237"/>
      <c r="AA1160" s="337"/>
      <c r="AB1160" s="337"/>
      <c r="AC1160" s="237"/>
      <c r="AD1160" s="561"/>
      <c r="AE1160" s="337"/>
      <c r="AF1160" s="237"/>
    </row>
    <row r="1161" spans="2:32" ht="13.5" customHeight="1">
      <c r="B1161" s="339"/>
      <c r="C1161" s="237"/>
      <c r="D1161" s="263"/>
      <c r="E1161" s="237"/>
      <c r="F1161" s="237"/>
      <c r="G1161" s="255"/>
      <c r="H1161" s="237"/>
      <c r="I1161" s="237"/>
      <c r="J1161" s="237"/>
      <c r="K1161" s="240"/>
      <c r="L1161" s="243"/>
      <c r="M1161" s="237"/>
      <c r="N1161" s="237"/>
      <c r="O1161" s="237"/>
      <c r="P1161" s="237"/>
      <c r="Q1161" s="245"/>
      <c r="R1161" s="237"/>
      <c r="S1161" s="237"/>
      <c r="T1161" s="237"/>
      <c r="U1161" s="237"/>
      <c r="V1161" s="237"/>
      <c r="W1161" s="237"/>
      <c r="X1161" s="237"/>
      <c r="Y1161" s="237"/>
      <c r="Z1161" s="237"/>
      <c r="AA1161" s="337"/>
      <c r="AB1161" s="337"/>
      <c r="AC1161" s="237"/>
      <c r="AD1161" s="561"/>
      <c r="AE1161" s="337"/>
      <c r="AF1161" s="237"/>
    </row>
    <row r="1162" spans="2:32" ht="13.5" customHeight="1">
      <c r="B1162" s="339"/>
      <c r="C1162" s="237"/>
      <c r="D1162" s="263"/>
      <c r="E1162" s="237"/>
      <c r="F1162" s="237"/>
      <c r="G1162" s="255"/>
      <c r="H1162" s="237"/>
      <c r="I1162" s="237"/>
      <c r="J1162" s="237"/>
      <c r="K1162" s="240"/>
      <c r="L1162" s="243"/>
      <c r="M1162" s="237"/>
      <c r="N1162" s="237"/>
      <c r="O1162" s="237"/>
      <c r="P1162" s="237"/>
      <c r="Q1162" s="245"/>
      <c r="R1162" s="237"/>
      <c r="S1162" s="237"/>
      <c r="T1162" s="237"/>
      <c r="U1162" s="237"/>
      <c r="V1162" s="237"/>
      <c r="W1162" s="237"/>
      <c r="X1162" s="237"/>
      <c r="Y1162" s="237"/>
      <c r="Z1162" s="237"/>
      <c r="AA1162" s="337"/>
      <c r="AB1162" s="337"/>
      <c r="AC1162" s="237"/>
      <c r="AD1162" s="561"/>
      <c r="AE1162" s="337"/>
      <c r="AF1162" s="237"/>
    </row>
    <row r="1163" spans="2:32" ht="13.5" customHeight="1">
      <c r="B1163" s="339"/>
      <c r="C1163" s="237"/>
      <c r="D1163" s="263"/>
      <c r="E1163" s="237"/>
      <c r="F1163" s="237"/>
      <c r="G1163" s="255"/>
      <c r="H1163" s="237"/>
      <c r="I1163" s="237"/>
      <c r="J1163" s="237"/>
      <c r="K1163" s="240"/>
      <c r="L1163" s="243"/>
      <c r="M1163" s="237"/>
      <c r="N1163" s="237"/>
      <c r="O1163" s="237"/>
      <c r="P1163" s="237"/>
      <c r="Q1163" s="245"/>
      <c r="R1163" s="237"/>
      <c r="S1163" s="237"/>
      <c r="T1163" s="237"/>
      <c r="U1163" s="237"/>
      <c r="V1163" s="237"/>
      <c r="W1163" s="237"/>
      <c r="X1163" s="237"/>
      <c r="Y1163" s="237"/>
      <c r="Z1163" s="237"/>
      <c r="AA1163" s="337"/>
      <c r="AB1163" s="337"/>
      <c r="AC1163" s="237"/>
      <c r="AD1163" s="561"/>
      <c r="AE1163" s="337"/>
      <c r="AF1163" s="237"/>
    </row>
    <row r="1164" spans="2:32" ht="13.5" customHeight="1">
      <c r="B1164" s="339"/>
      <c r="C1164" s="237"/>
      <c r="D1164" s="263"/>
      <c r="E1164" s="237"/>
      <c r="F1164" s="237"/>
      <c r="G1164" s="255"/>
      <c r="H1164" s="237"/>
      <c r="I1164" s="237"/>
      <c r="J1164" s="237"/>
      <c r="K1164" s="240"/>
      <c r="L1164" s="243"/>
      <c r="M1164" s="237"/>
      <c r="N1164" s="237"/>
      <c r="O1164" s="237"/>
      <c r="P1164" s="237"/>
      <c r="Q1164" s="245"/>
      <c r="R1164" s="237"/>
      <c r="S1164" s="237"/>
      <c r="T1164" s="237"/>
      <c r="U1164" s="237"/>
      <c r="V1164" s="237"/>
      <c r="W1164" s="237"/>
      <c r="X1164" s="237"/>
      <c r="Y1164" s="237"/>
      <c r="Z1164" s="237"/>
      <c r="AA1164" s="337"/>
      <c r="AB1164" s="337"/>
      <c r="AC1164" s="237"/>
      <c r="AD1164" s="561"/>
      <c r="AE1164" s="337"/>
      <c r="AF1164" s="237"/>
    </row>
    <row r="1165" spans="2:32" ht="13.5" customHeight="1">
      <c r="B1165" s="339"/>
      <c r="C1165" s="237"/>
      <c r="D1165" s="263"/>
      <c r="E1165" s="237"/>
      <c r="F1165" s="237"/>
      <c r="G1165" s="255"/>
      <c r="H1165" s="237"/>
      <c r="I1165" s="237"/>
      <c r="J1165" s="237"/>
      <c r="K1165" s="240"/>
      <c r="L1165" s="243"/>
      <c r="M1165" s="237"/>
      <c r="N1165" s="237"/>
      <c r="O1165" s="237"/>
      <c r="P1165" s="237"/>
      <c r="Q1165" s="245"/>
      <c r="R1165" s="237"/>
      <c r="S1165" s="237"/>
      <c r="T1165" s="237"/>
      <c r="U1165" s="237"/>
      <c r="V1165" s="237"/>
      <c r="W1165" s="237"/>
      <c r="X1165" s="237"/>
      <c r="Y1165" s="237"/>
      <c r="Z1165" s="237"/>
      <c r="AA1165" s="337"/>
      <c r="AB1165" s="337"/>
      <c r="AC1165" s="237"/>
      <c r="AD1165" s="561"/>
      <c r="AE1165" s="337"/>
      <c r="AF1165" s="237"/>
    </row>
    <row r="1166" spans="2:32" ht="13.5" customHeight="1">
      <c r="B1166" s="339"/>
      <c r="C1166" s="237"/>
      <c r="D1166" s="263"/>
      <c r="E1166" s="237"/>
      <c r="F1166" s="237"/>
      <c r="G1166" s="255"/>
      <c r="H1166" s="237"/>
      <c r="I1166" s="237"/>
      <c r="J1166" s="237"/>
      <c r="K1166" s="240"/>
      <c r="L1166" s="243"/>
      <c r="M1166" s="237"/>
      <c r="N1166" s="237"/>
      <c r="O1166" s="237"/>
      <c r="P1166" s="237"/>
      <c r="Q1166" s="245"/>
      <c r="R1166" s="237"/>
      <c r="S1166" s="237"/>
      <c r="T1166" s="237"/>
      <c r="U1166" s="237"/>
      <c r="V1166" s="237"/>
      <c r="W1166" s="237"/>
      <c r="X1166" s="237"/>
      <c r="Y1166" s="237"/>
      <c r="Z1166" s="237"/>
      <c r="AA1166" s="337"/>
      <c r="AB1166" s="337"/>
      <c r="AC1166" s="237"/>
      <c r="AD1166" s="561"/>
      <c r="AE1166" s="337"/>
      <c r="AF1166" s="237"/>
    </row>
    <row r="1167" spans="2:32" ht="13.5" customHeight="1">
      <c r="B1167" s="339"/>
      <c r="C1167" s="237"/>
      <c r="D1167" s="263"/>
      <c r="E1167" s="237"/>
      <c r="F1167" s="237"/>
      <c r="G1167" s="255"/>
      <c r="H1167" s="237"/>
      <c r="I1167" s="237"/>
      <c r="J1167" s="237"/>
      <c r="K1167" s="240"/>
      <c r="L1167" s="243"/>
      <c r="M1167" s="237"/>
      <c r="N1167" s="237"/>
      <c r="O1167" s="237"/>
      <c r="P1167" s="237"/>
      <c r="Q1167" s="245"/>
      <c r="R1167" s="237"/>
      <c r="S1167" s="237"/>
      <c r="T1167" s="237"/>
      <c r="U1167" s="237"/>
      <c r="V1167" s="237"/>
      <c r="W1167" s="237"/>
      <c r="X1167" s="237"/>
      <c r="Y1167" s="237"/>
      <c r="Z1167" s="237"/>
      <c r="AA1167" s="337"/>
      <c r="AB1167" s="337"/>
      <c r="AC1167" s="237"/>
      <c r="AD1167" s="561"/>
      <c r="AE1167" s="337"/>
      <c r="AF1167" s="237"/>
    </row>
    <row r="1168" spans="2:32" ht="13.5" customHeight="1">
      <c r="B1168" s="339"/>
      <c r="C1168" s="237"/>
      <c r="D1168" s="263"/>
      <c r="E1168" s="237"/>
      <c r="F1168" s="237"/>
      <c r="G1168" s="255"/>
      <c r="H1168" s="237"/>
      <c r="I1168" s="237"/>
      <c r="J1168" s="237"/>
      <c r="K1168" s="240"/>
      <c r="L1168" s="243"/>
      <c r="M1168" s="237"/>
      <c r="N1168" s="237"/>
      <c r="O1168" s="237"/>
      <c r="P1168" s="237"/>
      <c r="Q1168" s="245"/>
      <c r="R1168" s="237"/>
      <c r="S1168" s="237"/>
      <c r="T1168" s="237"/>
      <c r="U1168" s="237"/>
      <c r="V1168" s="237"/>
      <c r="W1168" s="237"/>
      <c r="X1168" s="237"/>
      <c r="Y1168" s="237"/>
      <c r="Z1168" s="237"/>
      <c r="AA1168" s="337"/>
      <c r="AB1168" s="337"/>
      <c r="AC1168" s="237"/>
      <c r="AD1168" s="561"/>
      <c r="AE1168" s="337"/>
      <c r="AF1168" s="237"/>
    </row>
    <row r="1169" spans="2:32" ht="13.5" customHeight="1">
      <c r="B1169" s="339"/>
      <c r="C1169" s="237"/>
      <c r="D1169" s="263"/>
      <c r="E1169" s="237"/>
      <c r="F1169" s="237"/>
      <c r="G1169" s="255"/>
      <c r="H1169" s="237"/>
      <c r="I1169" s="237"/>
      <c r="J1169" s="237"/>
      <c r="K1169" s="240"/>
      <c r="L1169" s="243"/>
      <c r="M1169" s="237"/>
      <c r="N1169" s="237"/>
      <c r="O1169" s="237"/>
      <c r="P1169" s="237"/>
      <c r="Q1169" s="245"/>
      <c r="R1169" s="237"/>
      <c r="S1169" s="237"/>
      <c r="T1169" s="237"/>
      <c r="U1169" s="237"/>
      <c r="V1169" s="237"/>
      <c r="W1169" s="237"/>
      <c r="X1169" s="237"/>
      <c r="Y1169" s="237"/>
      <c r="Z1169" s="237"/>
      <c r="AA1169" s="337"/>
      <c r="AB1169" s="337"/>
      <c r="AC1169" s="237"/>
      <c r="AD1169" s="561"/>
      <c r="AE1169" s="337"/>
      <c r="AF1169" s="237"/>
    </row>
    <row r="1170" spans="2:32" ht="13.5" customHeight="1">
      <c r="B1170" s="339"/>
      <c r="C1170" s="237"/>
      <c r="D1170" s="263"/>
      <c r="E1170" s="237"/>
      <c r="F1170" s="237"/>
      <c r="G1170" s="255"/>
      <c r="H1170" s="237"/>
      <c r="I1170" s="237"/>
      <c r="J1170" s="237"/>
      <c r="K1170" s="240"/>
      <c r="L1170" s="243"/>
      <c r="M1170" s="237"/>
      <c r="N1170" s="237"/>
      <c r="O1170" s="237"/>
      <c r="P1170" s="237"/>
      <c r="Q1170" s="245"/>
      <c r="R1170" s="237"/>
      <c r="S1170" s="237"/>
      <c r="T1170" s="237"/>
      <c r="U1170" s="237"/>
      <c r="V1170" s="237"/>
      <c r="W1170" s="237"/>
      <c r="X1170" s="237"/>
      <c r="Y1170" s="237"/>
      <c r="Z1170" s="237"/>
      <c r="AA1170" s="337"/>
      <c r="AB1170" s="337"/>
      <c r="AC1170" s="237"/>
      <c r="AD1170" s="561"/>
      <c r="AE1170" s="337"/>
      <c r="AF1170" s="237"/>
    </row>
    <row r="1171" spans="2:32" ht="13.5" customHeight="1">
      <c r="B1171" s="339"/>
      <c r="C1171" s="237"/>
      <c r="D1171" s="263"/>
      <c r="E1171" s="237"/>
      <c r="F1171" s="237"/>
      <c r="G1171" s="255"/>
      <c r="H1171" s="237"/>
      <c r="I1171" s="237"/>
      <c r="J1171" s="237"/>
      <c r="K1171" s="240"/>
      <c r="L1171" s="243"/>
      <c r="M1171" s="237"/>
      <c r="N1171" s="237"/>
      <c r="O1171" s="237"/>
      <c r="P1171" s="237"/>
      <c r="Q1171" s="245"/>
      <c r="R1171" s="237"/>
      <c r="S1171" s="237"/>
      <c r="T1171" s="237"/>
      <c r="U1171" s="237"/>
      <c r="V1171" s="237"/>
      <c r="W1171" s="237"/>
      <c r="X1171" s="237"/>
      <c r="Y1171" s="237"/>
      <c r="Z1171" s="237"/>
      <c r="AA1171" s="337"/>
      <c r="AB1171" s="337"/>
      <c r="AC1171" s="237"/>
      <c r="AD1171" s="561"/>
      <c r="AE1171" s="337"/>
      <c r="AF1171" s="237"/>
    </row>
    <row r="1172" spans="2:32" ht="13.5" customHeight="1">
      <c r="B1172" s="339"/>
      <c r="C1172" s="237"/>
      <c r="D1172" s="263"/>
      <c r="E1172" s="237"/>
      <c r="F1172" s="237"/>
      <c r="G1172" s="255"/>
      <c r="H1172" s="237"/>
      <c r="I1172" s="237"/>
      <c r="J1172" s="237"/>
      <c r="K1172" s="240"/>
      <c r="L1172" s="243"/>
      <c r="M1172" s="237"/>
      <c r="N1172" s="237"/>
      <c r="O1172" s="237"/>
      <c r="P1172" s="237"/>
      <c r="Q1172" s="245"/>
      <c r="R1172" s="237"/>
      <c r="S1172" s="237"/>
      <c r="T1172" s="237"/>
      <c r="U1172" s="237"/>
      <c r="V1172" s="237"/>
      <c r="W1172" s="237"/>
      <c r="X1172" s="237"/>
      <c r="Y1172" s="237"/>
      <c r="Z1172" s="237"/>
      <c r="AA1172" s="337"/>
      <c r="AB1172" s="337"/>
      <c r="AC1172" s="237"/>
      <c r="AD1172" s="561"/>
      <c r="AE1172" s="337"/>
      <c r="AF1172" s="237"/>
    </row>
    <row r="1173" spans="2:32" ht="13.5" customHeight="1">
      <c r="B1173" s="339"/>
      <c r="C1173" s="237"/>
      <c r="D1173" s="263"/>
      <c r="E1173" s="237"/>
      <c r="F1173" s="237"/>
      <c r="G1173" s="255"/>
      <c r="H1173" s="237"/>
      <c r="I1173" s="237"/>
      <c r="J1173" s="237"/>
      <c r="K1173" s="240"/>
      <c r="L1173" s="243"/>
      <c r="M1173" s="237"/>
      <c r="N1173" s="237"/>
      <c r="O1173" s="237"/>
      <c r="P1173" s="237"/>
      <c r="Q1173" s="245"/>
      <c r="R1173" s="237"/>
      <c r="S1173" s="237"/>
      <c r="T1173" s="237"/>
      <c r="U1173" s="237"/>
      <c r="V1173" s="237"/>
      <c r="W1173" s="237"/>
      <c r="X1173" s="237"/>
      <c r="Y1173" s="237"/>
      <c r="Z1173" s="237"/>
      <c r="AA1173" s="337"/>
      <c r="AB1173" s="337"/>
      <c r="AC1173" s="237"/>
      <c r="AD1173" s="561"/>
      <c r="AE1173" s="337"/>
      <c r="AF1173" s="237"/>
    </row>
    <row r="1174" spans="2:32" ht="13.5" customHeight="1">
      <c r="B1174" s="339"/>
      <c r="C1174" s="237"/>
      <c r="D1174" s="263"/>
      <c r="E1174" s="237"/>
      <c r="F1174" s="237"/>
      <c r="G1174" s="255"/>
      <c r="H1174" s="237"/>
      <c r="I1174" s="237"/>
      <c r="J1174" s="237"/>
      <c r="K1174" s="240"/>
      <c r="L1174" s="243"/>
      <c r="M1174" s="237"/>
      <c r="N1174" s="237"/>
      <c r="O1174" s="237"/>
      <c r="P1174" s="237"/>
      <c r="Q1174" s="245"/>
      <c r="R1174" s="237"/>
      <c r="S1174" s="237"/>
      <c r="T1174" s="237"/>
      <c r="U1174" s="237"/>
      <c r="V1174" s="237"/>
      <c r="W1174" s="237"/>
      <c r="X1174" s="237"/>
      <c r="Y1174" s="237"/>
      <c r="Z1174" s="237"/>
      <c r="AA1174" s="337"/>
      <c r="AB1174" s="337"/>
      <c r="AC1174" s="237"/>
      <c r="AD1174" s="561"/>
      <c r="AE1174" s="337"/>
      <c r="AF1174" s="237"/>
    </row>
    <row r="1175" spans="2:32" ht="13.5" customHeight="1">
      <c r="B1175" s="339"/>
      <c r="C1175" s="237"/>
      <c r="D1175" s="263"/>
      <c r="E1175" s="237"/>
      <c r="F1175" s="237"/>
      <c r="G1175" s="255"/>
      <c r="H1175" s="237"/>
      <c r="I1175" s="237"/>
      <c r="J1175" s="237"/>
      <c r="K1175" s="240"/>
      <c r="L1175" s="243"/>
      <c r="M1175" s="237"/>
      <c r="N1175" s="237"/>
      <c r="O1175" s="237"/>
      <c r="P1175" s="237"/>
      <c r="Q1175" s="245"/>
      <c r="R1175" s="237"/>
      <c r="S1175" s="237"/>
      <c r="T1175" s="237"/>
      <c r="U1175" s="237"/>
      <c r="V1175" s="237"/>
      <c r="W1175" s="237"/>
      <c r="X1175" s="237"/>
      <c r="Y1175" s="237"/>
      <c r="Z1175" s="237"/>
      <c r="AA1175" s="337"/>
      <c r="AB1175" s="337"/>
      <c r="AC1175" s="237"/>
      <c r="AD1175" s="561"/>
      <c r="AE1175" s="337"/>
      <c r="AF1175" s="237"/>
    </row>
    <row r="1176" spans="2:32" ht="13.5" customHeight="1">
      <c r="B1176" s="339"/>
      <c r="C1176" s="237"/>
      <c r="D1176" s="263"/>
      <c r="E1176" s="237"/>
      <c r="F1176" s="237"/>
      <c r="G1176" s="255"/>
      <c r="H1176" s="237"/>
      <c r="I1176" s="237"/>
      <c r="J1176" s="237"/>
      <c r="K1176" s="240"/>
      <c r="L1176" s="243"/>
      <c r="M1176" s="237"/>
      <c r="N1176" s="237"/>
      <c r="O1176" s="237"/>
      <c r="P1176" s="237"/>
      <c r="Q1176" s="245"/>
      <c r="R1176" s="237"/>
      <c r="S1176" s="237"/>
      <c r="T1176" s="237"/>
      <c r="U1176" s="237"/>
      <c r="V1176" s="237"/>
      <c r="W1176" s="237"/>
      <c r="X1176" s="237"/>
      <c r="Y1176" s="237"/>
      <c r="Z1176" s="237"/>
      <c r="AA1176" s="337"/>
      <c r="AB1176" s="337"/>
      <c r="AC1176" s="237"/>
      <c r="AD1176" s="561"/>
      <c r="AE1176" s="337"/>
      <c r="AF1176" s="237"/>
    </row>
    <row r="1177" spans="2:32" ht="13.5" customHeight="1">
      <c r="B1177" s="339"/>
      <c r="C1177" s="237"/>
      <c r="D1177" s="263"/>
      <c r="E1177" s="237"/>
      <c r="F1177" s="237"/>
      <c r="G1177" s="255"/>
      <c r="H1177" s="237"/>
      <c r="I1177" s="237"/>
      <c r="J1177" s="237"/>
      <c r="K1177" s="240"/>
      <c r="L1177" s="243"/>
      <c r="M1177" s="237"/>
      <c r="N1177" s="237"/>
      <c r="O1177" s="237"/>
      <c r="P1177" s="237"/>
      <c r="Q1177" s="245"/>
      <c r="R1177" s="237"/>
      <c r="S1177" s="237"/>
      <c r="T1177" s="237"/>
      <c r="U1177" s="237"/>
      <c r="V1177" s="237"/>
      <c r="W1177" s="237"/>
      <c r="X1177" s="237"/>
      <c r="Y1177" s="237"/>
      <c r="Z1177" s="237"/>
      <c r="AA1177" s="337"/>
      <c r="AB1177" s="337"/>
      <c r="AC1177" s="237"/>
      <c r="AD1177" s="561"/>
      <c r="AE1177" s="337"/>
      <c r="AF1177" s="237"/>
    </row>
    <row r="1178" spans="2:32" ht="13.5" customHeight="1">
      <c r="B1178" s="339"/>
      <c r="C1178" s="237"/>
      <c r="D1178" s="263"/>
      <c r="E1178" s="237"/>
      <c r="F1178" s="237"/>
      <c r="G1178" s="255"/>
      <c r="H1178" s="237"/>
      <c r="I1178" s="237"/>
      <c r="J1178" s="237"/>
      <c r="K1178" s="240"/>
      <c r="L1178" s="243"/>
      <c r="M1178" s="237"/>
      <c r="N1178" s="237"/>
      <c r="O1178" s="237"/>
      <c r="P1178" s="237"/>
      <c r="Q1178" s="245"/>
      <c r="R1178" s="237"/>
      <c r="S1178" s="237"/>
      <c r="T1178" s="237"/>
      <c r="U1178" s="237"/>
      <c r="V1178" s="237"/>
      <c r="W1178" s="237"/>
      <c r="X1178" s="237"/>
      <c r="Y1178" s="237"/>
      <c r="Z1178" s="237"/>
      <c r="AA1178" s="337"/>
      <c r="AB1178" s="337"/>
      <c r="AC1178" s="237"/>
      <c r="AD1178" s="561"/>
      <c r="AE1178" s="337"/>
      <c r="AF1178" s="237"/>
    </row>
    <row r="1179" spans="2:32" ht="13.5" customHeight="1">
      <c r="B1179" s="339"/>
      <c r="C1179" s="237"/>
      <c r="D1179" s="263"/>
      <c r="E1179" s="237"/>
      <c r="F1179" s="237"/>
      <c r="G1179" s="255"/>
      <c r="H1179" s="237"/>
      <c r="I1179" s="237"/>
      <c r="J1179" s="237"/>
      <c r="K1179" s="240"/>
      <c r="L1179" s="243"/>
      <c r="M1179" s="237"/>
      <c r="N1179" s="237"/>
      <c r="O1179" s="237"/>
      <c r="P1179" s="237"/>
      <c r="Q1179" s="245"/>
      <c r="R1179" s="237"/>
      <c r="S1179" s="237"/>
      <c r="T1179" s="237"/>
      <c r="U1179" s="237"/>
      <c r="V1179" s="237"/>
      <c r="W1179" s="237"/>
      <c r="X1179" s="237"/>
      <c r="Y1179" s="237"/>
      <c r="Z1179" s="237"/>
      <c r="AA1179" s="337"/>
      <c r="AB1179" s="337"/>
      <c r="AC1179" s="237"/>
      <c r="AD1179" s="561"/>
      <c r="AE1179" s="337"/>
      <c r="AF1179" s="237"/>
    </row>
    <row r="1180" spans="2:32" ht="13.5" customHeight="1">
      <c r="B1180" s="339"/>
      <c r="C1180" s="237"/>
      <c r="D1180" s="263"/>
      <c r="E1180" s="237"/>
      <c r="F1180" s="237"/>
      <c r="G1180" s="255"/>
      <c r="H1180" s="237"/>
      <c r="I1180" s="237"/>
      <c r="J1180" s="237"/>
      <c r="K1180" s="240"/>
      <c r="L1180" s="243"/>
      <c r="M1180" s="237"/>
      <c r="N1180" s="237"/>
      <c r="O1180" s="237"/>
      <c r="P1180" s="237"/>
      <c r="Q1180" s="245"/>
      <c r="R1180" s="237"/>
      <c r="S1180" s="237"/>
      <c r="T1180" s="237"/>
      <c r="U1180" s="237"/>
      <c r="V1180" s="237"/>
      <c r="W1180" s="237"/>
      <c r="X1180" s="237"/>
      <c r="Y1180" s="237"/>
      <c r="Z1180" s="237"/>
      <c r="AA1180" s="337"/>
      <c r="AB1180" s="337"/>
      <c r="AC1180" s="237"/>
      <c r="AD1180" s="561"/>
      <c r="AE1180" s="337"/>
      <c r="AF1180" s="237"/>
    </row>
    <row r="1181" spans="2:32" ht="13.5" customHeight="1">
      <c r="B1181" s="339"/>
      <c r="C1181" s="237"/>
      <c r="D1181" s="263"/>
      <c r="E1181" s="237"/>
      <c r="F1181" s="237"/>
      <c r="G1181" s="255"/>
      <c r="H1181" s="237"/>
      <c r="I1181" s="237"/>
      <c r="J1181" s="237"/>
      <c r="K1181" s="240"/>
      <c r="L1181" s="243"/>
      <c r="M1181" s="237"/>
      <c r="N1181" s="237"/>
      <c r="O1181" s="237"/>
      <c r="P1181" s="237"/>
      <c r="Q1181" s="245"/>
      <c r="R1181" s="237"/>
      <c r="S1181" s="237"/>
      <c r="T1181" s="237"/>
      <c r="U1181" s="237"/>
      <c r="V1181" s="237"/>
      <c r="W1181" s="237"/>
      <c r="X1181" s="237"/>
      <c r="Y1181" s="237"/>
      <c r="Z1181" s="237"/>
      <c r="AA1181" s="337"/>
      <c r="AB1181" s="337"/>
      <c r="AC1181" s="237"/>
      <c r="AD1181" s="561"/>
      <c r="AE1181" s="337"/>
      <c r="AF1181" s="237"/>
    </row>
    <row r="1182" spans="2:32" ht="13.5" customHeight="1">
      <c r="B1182" s="339"/>
      <c r="C1182" s="237"/>
      <c r="D1182" s="263"/>
      <c r="E1182" s="237"/>
      <c r="F1182" s="237"/>
      <c r="G1182" s="255"/>
      <c r="H1182" s="237"/>
      <c r="I1182" s="237"/>
      <c r="J1182" s="237"/>
      <c r="K1182" s="240"/>
      <c r="L1182" s="243"/>
      <c r="M1182" s="237"/>
      <c r="N1182" s="237"/>
      <c r="O1182" s="237"/>
      <c r="P1182" s="237"/>
      <c r="Q1182" s="245"/>
      <c r="R1182" s="237"/>
      <c r="S1182" s="237"/>
      <c r="T1182" s="237"/>
      <c r="U1182" s="237"/>
      <c r="V1182" s="237"/>
      <c r="W1182" s="237"/>
      <c r="X1182" s="237"/>
      <c r="Y1182" s="237"/>
      <c r="Z1182" s="237"/>
      <c r="AA1182" s="337"/>
      <c r="AB1182" s="337"/>
      <c r="AC1182" s="237"/>
      <c r="AD1182" s="561"/>
      <c r="AE1182" s="337"/>
      <c r="AF1182" s="237"/>
    </row>
    <row r="1183" spans="2:32" ht="13.5" customHeight="1">
      <c r="B1183" s="339"/>
      <c r="C1183" s="237"/>
      <c r="D1183" s="263"/>
      <c r="E1183" s="237"/>
      <c r="F1183" s="237"/>
      <c r="G1183" s="255"/>
      <c r="H1183" s="237"/>
      <c r="I1183" s="237"/>
      <c r="J1183" s="237"/>
      <c r="K1183" s="240"/>
      <c r="L1183" s="289"/>
      <c r="M1183" s="237"/>
      <c r="N1183" s="237"/>
      <c r="O1183" s="237"/>
      <c r="P1183" s="237"/>
      <c r="Q1183" s="245"/>
      <c r="R1183" s="237"/>
      <c r="S1183" s="237"/>
      <c r="T1183" s="237"/>
      <c r="U1183" s="237"/>
      <c r="V1183" s="237"/>
      <c r="W1183" s="237"/>
      <c r="X1183" s="237"/>
      <c r="Y1183" s="237"/>
      <c r="Z1183" s="237"/>
      <c r="AA1183" s="337"/>
      <c r="AB1183" s="337"/>
      <c r="AC1183" s="237"/>
      <c r="AD1183" s="561"/>
      <c r="AE1183" s="337"/>
      <c r="AF1183" s="237"/>
    </row>
    <row r="1184" spans="2:32" ht="13.5" customHeight="1">
      <c r="B1184" s="339"/>
      <c r="C1184" s="237"/>
      <c r="D1184" s="263"/>
      <c r="E1184" s="237"/>
      <c r="F1184" s="237"/>
      <c r="G1184" s="255"/>
      <c r="H1184" s="237"/>
      <c r="I1184" s="237"/>
      <c r="J1184" s="237"/>
      <c r="K1184" s="240"/>
      <c r="L1184" s="243"/>
      <c r="M1184" s="237"/>
      <c r="N1184" s="237"/>
      <c r="O1184" s="237"/>
      <c r="P1184" s="237"/>
      <c r="Q1184" s="245"/>
      <c r="R1184" s="237"/>
      <c r="S1184" s="237"/>
      <c r="T1184" s="237"/>
      <c r="U1184" s="237"/>
      <c r="V1184" s="237"/>
      <c r="W1184" s="237"/>
      <c r="X1184" s="237"/>
      <c r="Y1184" s="237"/>
      <c r="Z1184" s="237"/>
      <c r="AA1184" s="337"/>
      <c r="AB1184" s="337"/>
      <c r="AC1184" s="237"/>
      <c r="AD1184" s="561"/>
      <c r="AE1184" s="337"/>
      <c r="AF1184" s="237"/>
    </row>
    <row r="1185" spans="2:32" ht="13.5" customHeight="1">
      <c r="B1185" s="339"/>
      <c r="C1185" s="237"/>
      <c r="D1185" s="263"/>
      <c r="E1185" s="237"/>
      <c r="F1185" s="237"/>
      <c r="G1185" s="255"/>
      <c r="H1185" s="237"/>
      <c r="I1185" s="237"/>
      <c r="J1185" s="237"/>
      <c r="K1185" s="240"/>
      <c r="L1185" s="243"/>
      <c r="M1185" s="237"/>
      <c r="N1185" s="237"/>
      <c r="O1185" s="237"/>
      <c r="P1185" s="237"/>
      <c r="Q1185" s="245"/>
      <c r="R1185" s="237"/>
      <c r="S1185" s="237"/>
      <c r="T1185" s="237"/>
      <c r="U1185" s="237"/>
      <c r="V1185" s="237"/>
      <c r="W1185" s="237"/>
      <c r="X1185" s="237"/>
      <c r="Y1185" s="237"/>
      <c r="Z1185" s="237"/>
      <c r="AA1185" s="337"/>
      <c r="AB1185" s="337"/>
      <c r="AC1185" s="237"/>
      <c r="AD1185" s="561"/>
      <c r="AE1185" s="337"/>
      <c r="AF1185" s="237"/>
    </row>
    <row r="1186" spans="2:32" ht="13.5" customHeight="1">
      <c r="B1186" s="339"/>
      <c r="C1186" s="237"/>
      <c r="D1186" s="263"/>
      <c r="E1186" s="237"/>
      <c r="F1186" s="237"/>
      <c r="G1186" s="255"/>
      <c r="H1186" s="237"/>
      <c r="I1186" s="237"/>
      <c r="J1186" s="237"/>
      <c r="K1186" s="240"/>
      <c r="L1186" s="243"/>
      <c r="M1186" s="237"/>
      <c r="N1186" s="237"/>
      <c r="O1186" s="237"/>
      <c r="P1186" s="237"/>
      <c r="Q1186" s="245"/>
      <c r="R1186" s="237"/>
      <c r="S1186" s="237"/>
      <c r="T1186" s="237"/>
      <c r="U1186" s="237"/>
      <c r="V1186" s="237"/>
      <c r="W1186" s="237"/>
      <c r="X1186" s="237"/>
      <c r="Y1186" s="237"/>
      <c r="Z1186" s="237"/>
      <c r="AA1186" s="337"/>
      <c r="AB1186" s="337"/>
      <c r="AC1186" s="237"/>
      <c r="AD1186" s="561"/>
      <c r="AE1186" s="337"/>
      <c r="AF1186" s="237"/>
    </row>
    <row r="1187" spans="2:32" ht="13.5" customHeight="1">
      <c r="B1187" s="339"/>
      <c r="C1187" s="237"/>
      <c r="D1187" s="263"/>
      <c r="E1187" s="237"/>
      <c r="F1187" s="237"/>
      <c r="G1187" s="255"/>
      <c r="H1187" s="237"/>
      <c r="I1187" s="237"/>
      <c r="J1187" s="237"/>
      <c r="K1187" s="240"/>
      <c r="L1187" s="243"/>
      <c r="M1187" s="237"/>
      <c r="N1187" s="237"/>
      <c r="O1187" s="237"/>
      <c r="P1187" s="237"/>
      <c r="Q1187" s="245"/>
      <c r="R1187" s="237"/>
      <c r="S1187" s="237"/>
      <c r="T1187" s="237"/>
      <c r="U1187" s="237"/>
      <c r="V1187" s="237"/>
      <c r="W1187" s="237"/>
      <c r="X1187" s="237"/>
      <c r="Y1187" s="237"/>
      <c r="Z1187" s="237"/>
      <c r="AA1187" s="337"/>
      <c r="AB1187" s="337"/>
      <c r="AC1187" s="237"/>
      <c r="AD1187" s="561"/>
      <c r="AE1187" s="337"/>
      <c r="AF1187" s="237"/>
    </row>
    <row r="1188" spans="2:32" ht="13.5" customHeight="1">
      <c r="B1188" s="339"/>
      <c r="C1188" s="237"/>
      <c r="D1188" s="263"/>
      <c r="E1188" s="237"/>
      <c r="F1188" s="237"/>
      <c r="G1188" s="255"/>
      <c r="H1188" s="237"/>
      <c r="I1188" s="237"/>
      <c r="J1188" s="237"/>
      <c r="K1188" s="240"/>
      <c r="L1188" s="243"/>
      <c r="M1188" s="237"/>
      <c r="N1188" s="237"/>
      <c r="O1188" s="237"/>
      <c r="P1188" s="237"/>
      <c r="Q1188" s="245"/>
      <c r="R1188" s="237"/>
      <c r="S1188" s="237"/>
      <c r="T1188" s="237"/>
      <c r="U1188" s="237"/>
      <c r="V1188" s="237"/>
      <c r="W1188" s="237"/>
      <c r="X1188" s="237"/>
      <c r="Y1188" s="237"/>
      <c r="Z1188" s="237"/>
      <c r="AA1188" s="337"/>
      <c r="AB1188" s="337"/>
      <c r="AC1188" s="237"/>
      <c r="AD1188" s="561"/>
      <c r="AE1188" s="337"/>
      <c r="AF1188" s="237"/>
    </row>
    <row r="1189" spans="2:32" ht="13.5" customHeight="1">
      <c r="B1189" s="339"/>
      <c r="C1189" s="237"/>
      <c r="D1189" s="263"/>
      <c r="E1189" s="237"/>
      <c r="F1189" s="237"/>
      <c r="G1189" s="255"/>
      <c r="H1189" s="237"/>
      <c r="I1189" s="237"/>
      <c r="J1189" s="237"/>
      <c r="K1189" s="240"/>
      <c r="L1189" s="243"/>
      <c r="M1189" s="237"/>
      <c r="N1189" s="237"/>
      <c r="O1189" s="237"/>
      <c r="P1189" s="237"/>
      <c r="Q1189" s="245"/>
      <c r="R1189" s="237"/>
      <c r="S1189" s="237"/>
      <c r="T1189" s="237"/>
      <c r="U1189" s="237"/>
      <c r="V1189" s="237"/>
      <c r="W1189" s="237"/>
      <c r="X1189" s="237"/>
      <c r="Y1189" s="237"/>
      <c r="Z1189" s="237"/>
      <c r="AA1189" s="337"/>
      <c r="AB1189" s="337"/>
      <c r="AC1189" s="237"/>
      <c r="AD1189" s="561"/>
      <c r="AE1189" s="337"/>
      <c r="AF1189" s="237"/>
    </row>
    <row r="1190" spans="2:32" ht="13.5" customHeight="1">
      <c r="B1190" s="339"/>
      <c r="C1190" s="237"/>
      <c r="D1190" s="263"/>
      <c r="E1190" s="237"/>
      <c r="F1190" s="237"/>
      <c r="G1190" s="255"/>
      <c r="H1190" s="237"/>
      <c r="I1190" s="237"/>
      <c r="J1190" s="237"/>
      <c r="K1190" s="240"/>
      <c r="L1190" s="243"/>
      <c r="M1190" s="237"/>
      <c r="N1190" s="237"/>
      <c r="O1190" s="237"/>
      <c r="P1190" s="237"/>
      <c r="Q1190" s="245"/>
      <c r="R1190" s="237"/>
      <c r="S1190" s="237"/>
      <c r="T1190" s="237"/>
      <c r="U1190" s="237"/>
      <c r="V1190" s="237"/>
      <c r="W1190" s="237"/>
      <c r="X1190" s="237"/>
      <c r="Y1190" s="237"/>
      <c r="Z1190" s="237"/>
      <c r="AA1190" s="337"/>
      <c r="AB1190" s="337"/>
      <c r="AC1190" s="237"/>
      <c r="AD1190" s="561"/>
      <c r="AE1190" s="337"/>
      <c r="AF1190" s="237"/>
    </row>
    <row r="1191" spans="2:32" ht="13.5" customHeight="1">
      <c r="B1191" s="339"/>
      <c r="C1191" s="237"/>
      <c r="D1191" s="263"/>
      <c r="E1191" s="237"/>
      <c r="F1191" s="237"/>
      <c r="G1191" s="255"/>
      <c r="H1191" s="237"/>
      <c r="I1191" s="237"/>
      <c r="J1191" s="237"/>
      <c r="K1191" s="240"/>
      <c r="L1191" s="289"/>
      <c r="M1191" s="237"/>
      <c r="N1191" s="237"/>
      <c r="O1191" s="237"/>
      <c r="P1191" s="237"/>
      <c r="Q1191" s="245"/>
      <c r="R1191" s="237"/>
      <c r="S1191" s="237"/>
      <c r="T1191" s="237"/>
      <c r="U1191" s="237"/>
      <c r="V1191" s="237"/>
      <c r="W1191" s="237"/>
      <c r="X1191" s="237"/>
      <c r="Y1191" s="237"/>
      <c r="Z1191" s="237"/>
      <c r="AA1191" s="337"/>
      <c r="AB1191" s="337"/>
      <c r="AC1191" s="237"/>
      <c r="AD1191" s="561"/>
      <c r="AE1191" s="337"/>
      <c r="AF1191" s="237"/>
    </row>
    <row r="1192" spans="2:32" ht="13.5" customHeight="1">
      <c r="B1192" s="339"/>
      <c r="C1192" s="237"/>
      <c r="D1192" s="263"/>
      <c r="E1192" s="237"/>
      <c r="F1192" s="237"/>
      <c r="G1192" s="255"/>
      <c r="H1192" s="237"/>
      <c r="I1192" s="237"/>
      <c r="J1192" s="237"/>
      <c r="K1192" s="240"/>
      <c r="L1192" s="243"/>
      <c r="M1192" s="237"/>
      <c r="N1192" s="237"/>
      <c r="O1192" s="237"/>
      <c r="P1192" s="237"/>
      <c r="Q1192" s="245"/>
      <c r="R1192" s="237"/>
      <c r="S1192" s="237"/>
      <c r="T1192" s="237"/>
      <c r="U1192" s="237"/>
      <c r="V1192" s="237"/>
      <c r="W1192" s="237"/>
      <c r="X1192" s="237"/>
      <c r="Y1192" s="237"/>
      <c r="Z1192" s="237"/>
      <c r="AA1192" s="337"/>
      <c r="AB1192" s="337"/>
      <c r="AC1192" s="237"/>
      <c r="AD1192" s="561"/>
      <c r="AE1192" s="337"/>
      <c r="AF1192" s="237"/>
    </row>
    <row r="1193" spans="2:32" ht="13.5" customHeight="1">
      <c r="B1193" s="339"/>
      <c r="C1193" s="237"/>
      <c r="D1193" s="263"/>
      <c r="E1193" s="237"/>
      <c r="F1193" s="237"/>
      <c r="G1193" s="255"/>
      <c r="H1193" s="237"/>
      <c r="I1193" s="237"/>
      <c r="J1193" s="237"/>
      <c r="K1193" s="240"/>
      <c r="L1193" s="243"/>
      <c r="M1193" s="237"/>
      <c r="N1193" s="237"/>
      <c r="O1193" s="237"/>
      <c r="P1193" s="237"/>
      <c r="Q1193" s="245"/>
      <c r="R1193" s="237"/>
      <c r="S1193" s="237"/>
      <c r="T1193" s="237"/>
      <c r="U1193" s="237"/>
      <c r="V1193" s="237"/>
      <c r="W1193" s="237"/>
      <c r="X1193" s="237"/>
      <c r="Y1193" s="237"/>
      <c r="Z1193" s="237"/>
      <c r="AA1193" s="337"/>
      <c r="AB1193" s="337"/>
      <c r="AC1193" s="237"/>
      <c r="AD1193" s="561"/>
      <c r="AE1193" s="337"/>
      <c r="AF1193" s="237"/>
    </row>
    <row r="1194" spans="2:32" ht="13.5" customHeight="1">
      <c r="B1194" s="339"/>
      <c r="C1194" s="237"/>
      <c r="D1194" s="263"/>
      <c r="E1194" s="237"/>
      <c r="F1194" s="237"/>
      <c r="G1194" s="255"/>
      <c r="H1194" s="237"/>
      <c r="I1194" s="237"/>
      <c r="J1194" s="237"/>
      <c r="K1194" s="240"/>
      <c r="L1194" s="243"/>
      <c r="M1194" s="237"/>
      <c r="N1194" s="237"/>
      <c r="O1194" s="237"/>
      <c r="P1194" s="237"/>
      <c r="Q1194" s="245"/>
      <c r="R1194" s="237"/>
      <c r="S1194" s="237"/>
      <c r="T1194" s="237"/>
      <c r="U1194" s="237"/>
      <c r="V1194" s="237"/>
      <c r="W1194" s="237"/>
      <c r="X1194" s="237"/>
      <c r="Y1194" s="237"/>
      <c r="Z1194" s="237"/>
      <c r="AA1194" s="337"/>
      <c r="AB1194" s="337"/>
      <c r="AC1194" s="237"/>
      <c r="AD1194" s="561"/>
      <c r="AE1194" s="337"/>
      <c r="AF1194" s="237"/>
    </row>
    <row r="1195" spans="2:32" ht="13.5" customHeight="1">
      <c r="B1195" s="339"/>
      <c r="C1195" s="237"/>
      <c r="D1195" s="263"/>
      <c r="E1195" s="237"/>
      <c r="F1195" s="237"/>
      <c r="G1195" s="255"/>
      <c r="H1195" s="237"/>
      <c r="I1195" s="237"/>
      <c r="J1195" s="237"/>
      <c r="K1195" s="240"/>
      <c r="L1195" s="288"/>
      <c r="M1195" s="237"/>
      <c r="N1195" s="237"/>
      <c r="O1195" s="237"/>
      <c r="P1195" s="237"/>
      <c r="Q1195" s="245"/>
      <c r="R1195" s="237"/>
      <c r="S1195" s="237"/>
      <c r="T1195" s="237"/>
      <c r="U1195" s="237"/>
      <c r="V1195" s="237"/>
      <c r="W1195" s="237"/>
      <c r="X1195" s="237"/>
      <c r="Y1195" s="237"/>
      <c r="Z1195" s="237"/>
      <c r="AA1195" s="337"/>
      <c r="AB1195" s="337"/>
      <c r="AC1195" s="237"/>
      <c r="AD1195" s="561"/>
      <c r="AE1195" s="337"/>
      <c r="AF1195" s="237"/>
    </row>
    <row r="1196" spans="2:32" ht="13.5" customHeight="1">
      <c r="B1196" s="339"/>
      <c r="C1196" s="237"/>
      <c r="D1196" s="263"/>
      <c r="E1196" s="237"/>
      <c r="F1196" s="237"/>
      <c r="G1196" s="255"/>
      <c r="H1196" s="237"/>
      <c r="I1196" s="237"/>
      <c r="J1196" s="237"/>
      <c r="K1196" s="240"/>
      <c r="L1196" s="243"/>
      <c r="M1196" s="237"/>
      <c r="N1196" s="237"/>
      <c r="O1196" s="237"/>
      <c r="P1196" s="237"/>
      <c r="Q1196" s="245"/>
      <c r="R1196" s="237"/>
      <c r="S1196" s="237"/>
      <c r="T1196" s="237"/>
      <c r="U1196" s="237"/>
      <c r="V1196" s="237"/>
      <c r="W1196" s="237"/>
      <c r="X1196" s="237"/>
      <c r="Y1196" s="237"/>
      <c r="Z1196" s="237"/>
      <c r="AA1196" s="337"/>
      <c r="AB1196" s="337"/>
      <c r="AC1196" s="237"/>
      <c r="AD1196" s="561"/>
      <c r="AE1196" s="337"/>
      <c r="AF1196" s="237"/>
    </row>
    <row r="1197" spans="2:32" ht="13.5" customHeight="1">
      <c r="B1197" s="339"/>
      <c r="C1197" s="237"/>
      <c r="D1197" s="263"/>
      <c r="E1197" s="237"/>
      <c r="F1197" s="237"/>
      <c r="G1197" s="255"/>
      <c r="H1197" s="237"/>
      <c r="I1197" s="237"/>
      <c r="J1197" s="237"/>
      <c r="K1197" s="240"/>
      <c r="L1197" s="243"/>
      <c r="M1197" s="237"/>
      <c r="N1197" s="237"/>
      <c r="O1197" s="237"/>
      <c r="P1197" s="237"/>
      <c r="Q1197" s="245"/>
      <c r="R1197" s="237"/>
      <c r="S1197" s="237"/>
      <c r="T1197" s="237"/>
      <c r="U1197" s="237"/>
      <c r="V1197" s="237"/>
      <c r="W1197" s="237"/>
      <c r="X1197" s="237"/>
      <c r="Y1197" s="237"/>
      <c r="Z1197" s="237"/>
      <c r="AA1197" s="337"/>
      <c r="AB1197" s="337"/>
      <c r="AC1197" s="237"/>
      <c r="AD1197" s="561"/>
      <c r="AE1197" s="337"/>
      <c r="AF1197" s="237"/>
    </row>
    <row r="1198" spans="2:32" ht="13.5" customHeight="1">
      <c r="B1198" s="339"/>
      <c r="C1198" s="237"/>
      <c r="D1198" s="263"/>
      <c r="E1198" s="237"/>
      <c r="F1198" s="237"/>
      <c r="G1198" s="255"/>
      <c r="H1198" s="237"/>
      <c r="I1198" s="237"/>
      <c r="J1198" s="237"/>
      <c r="K1198" s="240"/>
      <c r="L1198" s="243"/>
      <c r="M1198" s="237"/>
      <c r="N1198" s="237"/>
      <c r="O1198" s="237"/>
      <c r="P1198" s="237"/>
      <c r="Q1198" s="245"/>
      <c r="R1198" s="237"/>
      <c r="S1198" s="237"/>
      <c r="T1198" s="237"/>
      <c r="U1198" s="237"/>
      <c r="V1198" s="237"/>
      <c r="W1198" s="237"/>
      <c r="X1198" s="237"/>
      <c r="Y1198" s="237"/>
      <c r="Z1198" s="237"/>
      <c r="AA1198" s="337"/>
      <c r="AB1198" s="337"/>
      <c r="AC1198" s="237"/>
      <c r="AD1198" s="561"/>
      <c r="AE1198" s="337"/>
      <c r="AF1198" s="237"/>
    </row>
    <row r="1199" spans="2:32" ht="13.5" customHeight="1">
      <c r="B1199" s="339"/>
      <c r="C1199" s="237"/>
      <c r="D1199" s="263"/>
      <c r="E1199" s="237"/>
      <c r="F1199" s="237"/>
      <c r="G1199" s="255"/>
      <c r="H1199" s="237"/>
      <c r="I1199" s="237"/>
      <c r="J1199" s="237"/>
      <c r="K1199" s="240"/>
      <c r="L1199" s="288"/>
      <c r="M1199" s="237"/>
      <c r="N1199" s="237"/>
      <c r="O1199" s="237"/>
      <c r="P1199" s="237"/>
      <c r="Q1199" s="245"/>
      <c r="R1199" s="237"/>
      <c r="S1199" s="237"/>
      <c r="T1199" s="237"/>
      <c r="U1199" s="237"/>
      <c r="V1199" s="237"/>
      <c r="W1199" s="237"/>
      <c r="X1199" s="237"/>
      <c r="Y1199" s="237"/>
      <c r="Z1199" s="237"/>
      <c r="AA1199" s="337"/>
      <c r="AB1199" s="337"/>
      <c r="AC1199" s="237"/>
      <c r="AD1199" s="561"/>
      <c r="AE1199" s="337"/>
      <c r="AF1199" s="237"/>
    </row>
    <row r="1200" spans="2:32" ht="13.5" customHeight="1">
      <c r="B1200" s="339"/>
      <c r="C1200" s="237"/>
      <c r="D1200" s="263"/>
      <c r="E1200" s="237"/>
      <c r="F1200" s="237"/>
      <c r="G1200" s="255"/>
      <c r="H1200" s="237"/>
      <c r="I1200" s="237"/>
      <c r="J1200" s="237"/>
      <c r="K1200" s="240"/>
      <c r="L1200" s="243"/>
      <c r="M1200" s="237"/>
      <c r="N1200" s="237"/>
      <c r="O1200" s="237"/>
      <c r="P1200" s="237"/>
      <c r="Q1200" s="245"/>
      <c r="R1200" s="237"/>
      <c r="S1200" s="237"/>
      <c r="T1200" s="237"/>
      <c r="U1200" s="237"/>
      <c r="V1200" s="237"/>
      <c r="W1200" s="237"/>
      <c r="X1200" s="237"/>
      <c r="Y1200" s="237"/>
      <c r="Z1200" s="237"/>
      <c r="AA1200" s="337"/>
      <c r="AB1200" s="337"/>
      <c r="AC1200" s="237"/>
      <c r="AD1200" s="561"/>
      <c r="AE1200" s="337"/>
      <c r="AF1200" s="237"/>
    </row>
    <row r="1201" spans="2:32" ht="13.5" customHeight="1">
      <c r="B1201" s="339"/>
      <c r="C1201" s="237"/>
      <c r="D1201" s="263"/>
      <c r="E1201" s="237"/>
      <c r="F1201" s="237"/>
      <c r="G1201" s="255"/>
      <c r="H1201" s="237"/>
      <c r="I1201" s="237"/>
      <c r="J1201" s="237"/>
      <c r="K1201" s="240"/>
      <c r="L1201" s="243"/>
      <c r="M1201" s="237"/>
      <c r="N1201" s="237"/>
      <c r="O1201" s="237"/>
      <c r="P1201" s="237"/>
      <c r="Q1201" s="245"/>
      <c r="R1201" s="237"/>
      <c r="S1201" s="237"/>
      <c r="T1201" s="237"/>
      <c r="U1201" s="237"/>
      <c r="V1201" s="237"/>
      <c r="W1201" s="237"/>
      <c r="X1201" s="237"/>
      <c r="Y1201" s="237"/>
      <c r="Z1201" s="237"/>
      <c r="AA1201" s="337"/>
      <c r="AB1201" s="337"/>
      <c r="AC1201" s="237"/>
      <c r="AD1201" s="561"/>
      <c r="AE1201" s="337"/>
      <c r="AF1201" s="237"/>
    </row>
    <row r="1202" spans="2:32" ht="13.5" customHeight="1">
      <c r="B1202" s="339"/>
      <c r="C1202" s="237"/>
      <c r="D1202" s="263"/>
      <c r="E1202" s="237"/>
      <c r="F1202" s="237"/>
      <c r="G1202" s="255"/>
      <c r="H1202" s="237"/>
      <c r="I1202" s="237"/>
      <c r="J1202" s="237"/>
      <c r="K1202" s="240"/>
      <c r="L1202" s="243"/>
      <c r="M1202" s="237"/>
      <c r="N1202" s="237"/>
      <c r="O1202" s="237"/>
      <c r="P1202" s="237"/>
      <c r="Q1202" s="245"/>
      <c r="R1202" s="237"/>
      <c r="S1202" s="237"/>
      <c r="T1202" s="237"/>
      <c r="U1202" s="237"/>
      <c r="V1202" s="237"/>
      <c r="W1202" s="237"/>
      <c r="X1202" s="237"/>
      <c r="Y1202" s="237"/>
      <c r="Z1202" s="237"/>
      <c r="AA1202" s="337"/>
      <c r="AB1202" s="337"/>
      <c r="AC1202" s="237"/>
      <c r="AD1202" s="561"/>
      <c r="AE1202" s="337"/>
      <c r="AF1202" s="237"/>
    </row>
    <row r="1203" spans="2:32" ht="13.5" customHeight="1">
      <c r="B1203" s="339"/>
      <c r="C1203" s="237"/>
      <c r="D1203" s="263"/>
      <c r="E1203" s="237"/>
      <c r="F1203" s="237"/>
      <c r="G1203" s="255"/>
      <c r="H1203" s="237"/>
      <c r="I1203" s="237"/>
      <c r="J1203" s="237"/>
      <c r="K1203" s="240"/>
      <c r="L1203" s="243"/>
      <c r="M1203" s="237"/>
      <c r="N1203" s="237"/>
      <c r="O1203" s="237"/>
      <c r="P1203" s="237"/>
      <c r="Q1203" s="245"/>
      <c r="R1203" s="237"/>
      <c r="S1203" s="237"/>
      <c r="T1203" s="237"/>
      <c r="U1203" s="237"/>
      <c r="V1203" s="237"/>
      <c r="W1203" s="237"/>
      <c r="X1203" s="237"/>
      <c r="Y1203" s="237"/>
      <c r="Z1203" s="237"/>
      <c r="AA1203" s="337"/>
      <c r="AB1203" s="337"/>
      <c r="AC1203" s="237"/>
      <c r="AD1203" s="561"/>
      <c r="AE1203" s="337"/>
      <c r="AF1203" s="237"/>
    </row>
    <row r="1204" spans="2:32" ht="13.5" customHeight="1">
      <c r="B1204" s="339"/>
      <c r="C1204" s="237"/>
      <c r="D1204" s="263"/>
      <c r="E1204" s="237"/>
      <c r="F1204" s="237"/>
      <c r="G1204" s="255"/>
      <c r="H1204" s="237"/>
      <c r="I1204" s="237"/>
      <c r="J1204" s="237"/>
      <c r="K1204" s="240"/>
      <c r="L1204" s="243"/>
      <c r="M1204" s="237"/>
      <c r="N1204" s="237"/>
      <c r="O1204" s="237"/>
      <c r="P1204" s="237"/>
      <c r="Q1204" s="245"/>
      <c r="R1204" s="237"/>
      <c r="S1204" s="237"/>
      <c r="T1204" s="237"/>
      <c r="U1204" s="237"/>
      <c r="V1204" s="237"/>
      <c r="W1204" s="237"/>
      <c r="X1204" s="237"/>
      <c r="Y1204" s="237"/>
      <c r="Z1204" s="237"/>
      <c r="AA1204" s="337"/>
      <c r="AB1204" s="337"/>
      <c r="AC1204" s="237"/>
      <c r="AD1204" s="561"/>
      <c r="AE1204" s="337"/>
      <c r="AF1204" s="237"/>
    </row>
    <row r="1205" spans="2:32" ht="13.5" customHeight="1">
      <c r="B1205" s="339"/>
      <c r="C1205" s="237"/>
      <c r="D1205" s="263"/>
      <c r="E1205" s="237"/>
      <c r="F1205" s="237"/>
      <c r="G1205" s="255"/>
      <c r="H1205" s="237"/>
      <c r="I1205" s="237"/>
      <c r="J1205" s="237"/>
      <c r="K1205" s="240"/>
      <c r="L1205" s="111"/>
      <c r="M1205" s="237"/>
      <c r="N1205" s="237"/>
      <c r="O1205" s="237"/>
      <c r="P1205" s="237"/>
      <c r="Q1205" s="245"/>
      <c r="R1205" s="237"/>
      <c r="S1205" s="237"/>
      <c r="T1205" s="237"/>
      <c r="U1205" s="237"/>
      <c r="V1205" s="237"/>
      <c r="W1205" s="237"/>
      <c r="X1205" s="237"/>
      <c r="Y1205" s="237"/>
      <c r="Z1205" s="237"/>
      <c r="AA1205" s="337"/>
      <c r="AB1205" s="337"/>
      <c r="AC1205" s="237"/>
      <c r="AD1205" s="561"/>
      <c r="AE1205" s="337"/>
      <c r="AF1205" s="237"/>
    </row>
    <row r="1206" spans="2:32" ht="13.5" customHeight="1">
      <c r="B1206" s="339"/>
      <c r="C1206" s="237"/>
      <c r="D1206" s="263"/>
      <c r="E1206" s="237"/>
      <c r="F1206" s="237"/>
      <c r="G1206" s="255"/>
      <c r="H1206" s="237"/>
      <c r="I1206" s="237"/>
      <c r="J1206" s="237"/>
      <c r="K1206" s="240"/>
      <c r="L1206" s="243"/>
      <c r="M1206" s="237"/>
      <c r="N1206" s="237"/>
      <c r="O1206" s="237"/>
      <c r="P1206" s="237"/>
      <c r="Q1206" s="245"/>
      <c r="R1206" s="237"/>
      <c r="S1206" s="237"/>
      <c r="T1206" s="237"/>
      <c r="U1206" s="237"/>
      <c r="V1206" s="237"/>
      <c r="W1206" s="237"/>
      <c r="X1206" s="237"/>
      <c r="Y1206" s="237"/>
      <c r="Z1206" s="237"/>
      <c r="AA1206" s="337"/>
      <c r="AB1206" s="337"/>
      <c r="AC1206" s="237"/>
      <c r="AD1206" s="561"/>
      <c r="AE1206" s="337"/>
      <c r="AF1206" s="237"/>
    </row>
    <row r="1207" spans="2:32" ht="13.5" customHeight="1">
      <c r="B1207" s="339"/>
      <c r="C1207" s="237"/>
      <c r="D1207" s="263"/>
      <c r="E1207" s="237"/>
      <c r="F1207" s="237"/>
      <c r="G1207" s="255"/>
      <c r="H1207" s="237"/>
      <c r="I1207" s="237"/>
      <c r="J1207" s="237"/>
      <c r="K1207" s="240"/>
      <c r="L1207" s="243"/>
      <c r="M1207" s="237"/>
      <c r="N1207" s="237"/>
      <c r="O1207" s="237"/>
      <c r="P1207" s="237"/>
      <c r="Q1207" s="245"/>
      <c r="R1207" s="237"/>
      <c r="S1207" s="237"/>
      <c r="T1207" s="237"/>
      <c r="U1207" s="237"/>
      <c r="V1207" s="237"/>
      <c r="W1207" s="237"/>
      <c r="X1207" s="237"/>
      <c r="Y1207" s="237"/>
      <c r="Z1207" s="237"/>
      <c r="AA1207" s="337"/>
      <c r="AB1207" s="337"/>
      <c r="AC1207" s="237"/>
      <c r="AD1207" s="561"/>
      <c r="AE1207" s="337"/>
      <c r="AF1207" s="237"/>
    </row>
    <row r="1208" spans="2:32" ht="13.5" customHeight="1">
      <c r="B1208" s="339"/>
      <c r="C1208" s="237"/>
      <c r="D1208" s="263"/>
      <c r="E1208" s="237"/>
      <c r="F1208" s="237"/>
      <c r="G1208" s="255"/>
      <c r="H1208" s="237"/>
      <c r="I1208" s="237"/>
      <c r="J1208" s="237"/>
      <c r="K1208" s="240"/>
      <c r="L1208" s="243"/>
      <c r="M1208" s="237"/>
      <c r="N1208" s="237"/>
      <c r="O1208" s="237"/>
      <c r="P1208" s="237"/>
      <c r="Q1208" s="245"/>
      <c r="R1208" s="237"/>
      <c r="S1208" s="237"/>
      <c r="T1208" s="237"/>
      <c r="U1208" s="237"/>
      <c r="V1208" s="237"/>
      <c r="W1208" s="237"/>
      <c r="X1208" s="237"/>
      <c r="Y1208" s="237"/>
      <c r="Z1208" s="237"/>
      <c r="AA1208" s="337"/>
      <c r="AB1208" s="337"/>
      <c r="AC1208" s="237"/>
      <c r="AD1208" s="561"/>
      <c r="AE1208" s="337"/>
      <c r="AF1208" s="237"/>
    </row>
    <row r="1209" spans="2:32" ht="13.5" customHeight="1">
      <c r="B1209" s="339"/>
      <c r="C1209" s="237"/>
      <c r="D1209" s="263"/>
      <c r="E1209" s="237"/>
      <c r="F1209" s="237"/>
      <c r="G1209" s="255"/>
      <c r="H1209" s="237"/>
      <c r="I1209" s="237"/>
      <c r="J1209" s="237"/>
      <c r="K1209" s="240"/>
      <c r="L1209" s="243"/>
      <c r="M1209" s="237"/>
      <c r="N1209" s="237"/>
      <c r="O1209" s="237"/>
      <c r="P1209" s="237"/>
      <c r="Q1209" s="245"/>
      <c r="R1209" s="237"/>
      <c r="S1209" s="237"/>
      <c r="T1209" s="237"/>
      <c r="U1209" s="237"/>
      <c r="V1209" s="237"/>
      <c r="W1209" s="237"/>
      <c r="X1209" s="237"/>
      <c r="Y1209" s="237"/>
      <c r="Z1209" s="237"/>
      <c r="AA1209" s="337"/>
      <c r="AB1209" s="337"/>
      <c r="AC1209" s="237"/>
      <c r="AD1209" s="561"/>
      <c r="AE1209" s="337"/>
      <c r="AF1209" s="237"/>
    </row>
    <row r="1210" spans="2:32" ht="13.5" customHeight="1">
      <c r="B1210" s="339"/>
      <c r="C1210" s="237"/>
      <c r="D1210" s="263"/>
      <c r="E1210" s="237"/>
      <c r="F1210" s="237"/>
      <c r="G1210" s="255"/>
      <c r="H1210" s="237"/>
      <c r="I1210" s="237"/>
      <c r="J1210" s="237"/>
      <c r="K1210" s="240"/>
      <c r="L1210" s="243"/>
      <c r="M1210" s="237"/>
      <c r="N1210" s="237"/>
      <c r="O1210" s="237"/>
      <c r="P1210" s="237"/>
      <c r="Q1210" s="245"/>
      <c r="R1210" s="237"/>
      <c r="S1210" s="237"/>
      <c r="T1210" s="237"/>
      <c r="U1210" s="237"/>
      <c r="V1210" s="237"/>
      <c r="W1210" s="237"/>
      <c r="X1210" s="237"/>
      <c r="Y1210" s="237"/>
      <c r="Z1210" s="237"/>
      <c r="AA1210" s="337"/>
      <c r="AB1210" s="337"/>
      <c r="AC1210" s="237"/>
      <c r="AD1210" s="561"/>
      <c r="AE1210" s="337"/>
      <c r="AF1210" s="237"/>
    </row>
    <row r="1211" spans="2:32" ht="13.5" customHeight="1">
      <c r="B1211" s="339"/>
      <c r="C1211" s="237"/>
      <c r="D1211" s="263"/>
      <c r="E1211" s="237"/>
      <c r="F1211" s="237"/>
      <c r="G1211" s="255"/>
      <c r="H1211" s="237"/>
      <c r="I1211" s="237"/>
      <c r="J1211" s="237"/>
      <c r="K1211" s="240"/>
      <c r="L1211" s="289"/>
      <c r="M1211" s="237"/>
      <c r="N1211" s="237"/>
      <c r="O1211" s="237"/>
      <c r="P1211" s="237"/>
      <c r="Q1211" s="245"/>
      <c r="R1211" s="237"/>
      <c r="S1211" s="237"/>
      <c r="T1211" s="237"/>
      <c r="U1211" s="237"/>
      <c r="V1211" s="237"/>
      <c r="W1211" s="237"/>
      <c r="X1211" s="237"/>
      <c r="Y1211" s="237"/>
      <c r="Z1211" s="237"/>
      <c r="AA1211" s="337"/>
      <c r="AB1211" s="337"/>
      <c r="AC1211" s="237"/>
      <c r="AD1211" s="561"/>
      <c r="AE1211" s="337"/>
      <c r="AF1211" s="237"/>
    </row>
    <row r="1212" spans="2:32" ht="13.5" customHeight="1">
      <c r="B1212" s="339"/>
      <c r="C1212" s="237"/>
      <c r="D1212" s="263"/>
      <c r="E1212" s="237"/>
      <c r="F1212" s="237"/>
      <c r="G1212" s="255"/>
      <c r="H1212" s="237"/>
      <c r="I1212" s="237"/>
      <c r="J1212" s="237"/>
      <c r="K1212" s="240"/>
      <c r="L1212" s="243"/>
      <c r="M1212" s="237"/>
      <c r="N1212" s="237"/>
      <c r="O1212" s="237"/>
      <c r="P1212" s="237"/>
      <c r="Q1212" s="245"/>
      <c r="R1212" s="237"/>
      <c r="S1212" s="237"/>
      <c r="T1212" s="237"/>
      <c r="U1212" s="237"/>
      <c r="V1212" s="237"/>
      <c r="W1212" s="237"/>
      <c r="X1212" s="237"/>
      <c r="Y1212" s="237"/>
      <c r="Z1212" s="237"/>
      <c r="AA1212" s="337"/>
      <c r="AB1212" s="337"/>
      <c r="AC1212" s="237"/>
      <c r="AD1212" s="561"/>
      <c r="AE1212" s="337"/>
      <c r="AF1212" s="237"/>
    </row>
    <row r="1213" spans="2:32" ht="13.5" customHeight="1">
      <c r="B1213" s="339"/>
      <c r="C1213" s="237"/>
      <c r="D1213" s="263"/>
      <c r="E1213" s="237"/>
      <c r="F1213" s="237"/>
      <c r="G1213" s="255"/>
      <c r="H1213" s="237"/>
      <c r="I1213" s="237"/>
      <c r="J1213" s="237"/>
      <c r="K1213" s="240"/>
      <c r="L1213" s="243"/>
      <c r="M1213" s="237"/>
      <c r="N1213" s="237"/>
      <c r="O1213" s="237"/>
      <c r="P1213" s="237"/>
      <c r="Q1213" s="245"/>
      <c r="R1213" s="237"/>
      <c r="S1213" s="237"/>
      <c r="T1213" s="237"/>
      <c r="U1213" s="237"/>
      <c r="V1213" s="237"/>
      <c r="W1213" s="237"/>
      <c r="X1213" s="237"/>
      <c r="Y1213" s="237"/>
      <c r="Z1213" s="237"/>
      <c r="AA1213" s="337"/>
      <c r="AB1213" s="337"/>
      <c r="AC1213" s="237"/>
      <c r="AD1213" s="561"/>
      <c r="AE1213" s="337"/>
      <c r="AF1213" s="237"/>
    </row>
    <row r="1214" spans="2:32" ht="13.5" customHeight="1">
      <c r="B1214" s="339"/>
      <c r="C1214" s="237"/>
      <c r="D1214" s="263"/>
      <c r="E1214" s="237"/>
      <c r="F1214" s="237"/>
      <c r="G1214" s="255"/>
      <c r="H1214" s="237"/>
      <c r="I1214" s="237"/>
      <c r="J1214" s="237"/>
      <c r="K1214" s="240"/>
      <c r="L1214" s="289"/>
      <c r="M1214" s="237"/>
      <c r="N1214" s="237"/>
      <c r="O1214" s="237"/>
      <c r="P1214" s="237"/>
      <c r="Q1214" s="245"/>
      <c r="R1214" s="237"/>
      <c r="S1214" s="237"/>
      <c r="T1214" s="237"/>
      <c r="U1214" s="237"/>
      <c r="V1214" s="237"/>
      <c r="W1214" s="237"/>
      <c r="X1214" s="237"/>
      <c r="Y1214" s="237"/>
      <c r="Z1214" s="237"/>
      <c r="AA1214" s="337"/>
      <c r="AB1214" s="337"/>
      <c r="AC1214" s="237"/>
      <c r="AD1214" s="561"/>
      <c r="AE1214" s="337"/>
      <c r="AF1214" s="237"/>
    </row>
    <row r="1215" spans="2:32" ht="13.5" customHeight="1">
      <c r="B1215" s="339"/>
      <c r="C1215" s="237"/>
      <c r="D1215" s="263"/>
      <c r="E1215" s="237"/>
      <c r="F1215" s="237"/>
      <c r="G1215" s="255"/>
      <c r="H1215" s="237"/>
      <c r="I1215" s="237"/>
      <c r="J1215" s="237"/>
      <c r="K1215" s="240"/>
      <c r="L1215" s="243"/>
      <c r="M1215" s="237"/>
      <c r="N1215" s="237"/>
      <c r="O1215" s="237"/>
      <c r="P1215" s="237"/>
      <c r="Q1215" s="245"/>
      <c r="R1215" s="237"/>
      <c r="S1215" s="237"/>
      <c r="T1215" s="237"/>
      <c r="U1215" s="237"/>
      <c r="V1215" s="237"/>
      <c r="W1215" s="237"/>
      <c r="X1215" s="237"/>
      <c r="Y1215" s="237"/>
      <c r="Z1215" s="237"/>
      <c r="AA1215" s="337"/>
      <c r="AB1215" s="337"/>
      <c r="AC1215" s="237"/>
      <c r="AD1215" s="561"/>
      <c r="AE1215" s="337"/>
      <c r="AF1215" s="237"/>
    </row>
    <row r="1216" spans="2:32" ht="13.5" customHeight="1">
      <c r="B1216" s="339"/>
      <c r="C1216" s="237"/>
      <c r="D1216" s="263"/>
      <c r="E1216" s="237"/>
      <c r="F1216" s="237"/>
      <c r="G1216" s="255"/>
      <c r="H1216" s="237"/>
      <c r="I1216" s="237"/>
      <c r="J1216" s="237"/>
      <c r="K1216" s="240"/>
      <c r="L1216" s="243"/>
      <c r="M1216" s="237"/>
      <c r="N1216" s="237"/>
      <c r="O1216" s="237"/>
      <c r="P1216" s="237"/>
      <c r="Q1216" s="245"/>
      <c r="R1216" s="237"/>
      <c r="S1216" s="237"/>
      <c r="T1216" s="237"/>
      <c r="U1216" s="237"/>
      <c r="V1216" s="237"/>
      <c r="W1216" s="237"/>
      <c r="X1216" s="237"/>
      <c r="Y1216" s="237"/>
      <c r="Z1216" s="237"/>
      <c r="AA1216" s="337"/>
      <c r="AB1216" s="337"/>
      <c r="AC1216" s="237"/>
      <c r="AD1216" s="561"/>
      <c r="AE1216" s="337"/>
      <c r="AF1216" s="237"/>
    </row>
    <row r="1217" spans="2:32" ht="13.5" customHeight="1">
      <c r="B1217" s="339"/>
      <c r="C1217" s="237"/>
      <c r="D1217" s="263"/>
      <c r="E1217" s="237"/>
      <c r="F1217" s="237"/>
      <c r="G1217" s="255"/>
      <c r="H1217" s="237"/>
      <c r="I1217" s="237"/>
      <c r="J1217" s="237"/>
      <c r="K1217" s="240"/>
      <c r="L1217" s="243"/>
      <c r="M1217" s="237"/>
      <c r="N1217" s="237"/>
      <c r="O1217" s="237"/>
      <c r="P1217" s="237"/>
      <c r="Q1217" s="245"/>
      <c r="R1217" s="237"/>
      <c r="S1217" s="237"/>
      <c r="T1217" s="237"/>
      <c r="U1217" s="237"/>
      <c r="V1217" s="237"/>
      <c r="W1217" s="237"/>
      <c r="X1217" s="237"/>
      <c r="Y1217" s="237"/>
      <c r="Z1217" s="237"/>
      <c r="AA1217" s="337"/>
      <c r="AB1217" s="337"/>
      <c r="AC1217" s="237"/>
      <c r="AD1217" s="561"/>
      <c r="AE1217" s="337"/>
      <c r="AF1217" s="237"/>
    </row>
    <row r="1218" spans="2:32" ht="13.5" customHeight="1">
      <c r="B1218" s="339"/>
      <c r="C1218" s="237"/>
      <c r="D1218" s="263"/>
      <c r="E1218" s="237"/>
      <c r="F1218" s="237"/>
      <c r="G1218" s="255"/>
      <c r="H1218" s="237"/>
      <c r="I1218" s="237"/>
      <c r="J1218" s="237"/>
      <c r="K1218" s="240"/>
      <c r="L1218" s="243"/>
      <c r="M1218" s="237"/>
      <c r="N1218" s="237"/>
      <c r="O1218" s="237"/>
      <c r="P1218" s="237"/>
      <c r="Q1218" s="245"/>
      <c r="R1218" s="237"/>
      <c r="S1218" s="237"/>
      <c r="T1218" s="237"/>
      <c r="U1218" s="237"/>
      <c r="V1218" s="237"/>
      <c r="W1218" s="237"/>
      <c r="X1218" s="237"/>
      <c r="Y1218" s="237"/>
      <c r="Z1218" s="237"/>
      <c r="AA1218" s="337"/>
      <c r="AB1218" s="337"/>
      <c r="AC1218" s="237"/>
      <c r="AD1218" s="561"/>
      <c r="AE1218" s="337"/>
      <c r="AF1218" s="237"/>
    </row>
  </sheetData>
  <conditionalFormatting sqref="F1:G2">
    <cfRule type="containsText" dxfId="1036" priority="134" operator="containsText" text="Female">
      <formula>NOT(ISERROR(SEARCH("Female",F1)))</formula>
    </cfRule>
  </conditionalFormatting>
  <conditionalFormatting sqref="G1249:G1048576 G1:G113 G115:G241 G243:G271 G273:G513 G515:G631 G778:G1218">
    <cfRule type="duplicateValues" dxfId="1035" priority="135"/>
  </conditionalFormatting>
  <conditionalFormatting sqref="G514">
    <cfRule type="duplicateValues" dxfId="1034" priority="130"/>
  </conditionalFormatting>
  <conditionalFormatting sqref="D514">
    <cfRule type="duplicateValues" dxfId="1033" priority="131"/>
  </conditionalFormatting>
  <conditionalFormatting sqref="D1249:D1048576 D1:D113 D115:D241 D243:D271 D273:D513 D515:D631 D778:D1218">
    <cfRule type="duplicateValues" dxfId="1032" priority="138"/>
  </conditionalFormatting>
  <conditionalFormatting sqref="G728">
    <cfRule type="duplicateValues" dxfId="1031" priority="126"/>
  </conditionalFormatting>
  <conditionalFormatting sqref="G732">
    <cfRule type="duplicateValues" dxfId="1030" priority="125"/>
  </conditionalFormatting>
  <conditionalFormatting sqref="G733">
    <cfRule type="duplicateValues" dxfId="1029" priority="124"/>
  </conditionalFormatting>
  <conditionalFormatting sqref="G744">
    <cfRule type="duplicateValues" dxfId="1028" priority="123"/>
  </conditionalFormatting>
  <conditionalFormatting sqref="G745">
    <cfRule type="duplicateValues" dxfId="1027" priority="122"/>
  </conditionalFormatting>
  <conditionalFormatting sqref="G747">
    <cfRule type="duplicateValues" dxfId="1026" priority="121"/>
  </conditionalFormatting>
  <conditionalFormatting sqref="G748">
    <cfRule type="duplicateValues" dxfId="1025" priority="120"/>
  </conditionalFormatting>
  <conditionalFormatting sqref="G751">
    <cfRule type="duplicateValues" dxfId="1024" priority="119"/>
  </conditionalFormatting>
  <conditionalFormatting sqref="G752">
    <cfRule type="duplicateValues" dxfId="1023" priority="118"/>
  </conditionalFormatting>
  <conditionalFormatting sqref="G753">
    <cfRule type="duplicateValues" dxfId="1022" priority="117"/>
  </conditionalFormatting>
  <conditionalFormatting sqref="G754">
    <cfRule type="duplicateValues" dxfId="1021" priority="116"/>
  </conditionalFormatting>
  <conditionalFormatting sqref="G759">
    <cfRule type="duplicateValues" dxfId="1020" priority="115"/>
  </conditionalFormatting>
  <conditionalFormatting sqref="H694">
    <cfRule type="containsText" dxfId="1019" priority="114" operator="containsText" text="Control">
      <formula>NOT(ISERROR(SEARCH("Control",H694)))</formula>
    </cfRule>
  </conditionalFormatting>
  <conditionalFormatting sqref="G658">
    <cfRule type="duplicateValues" dxfId="1018" priority="110"/>
  </conditionalFormatting>
  <conditionalFormatting sqref="D658">
    <cfRule type="duplicateValues" dxfId="1017" priority="111"/>
  </conditionalFormatting>
  <conditionalFormatting sqref="G659">
    <cfRule type="duplicateValues" dxfId="1016" priority="104"/>
  </conditionalFormatting>
  <conditionalFormatting sqref="D659">
    <cfRule type="duplicateValues" dxfId="1015" priority="105"/>
  </conditionalFormatting>
  <conditionalFormatting sqref="G660">
    <cfRule type="duplicateValues" dxfId="1014" priority="98"/>
  </conditionalFormatting>
  <conditionalFormatting sqref="D660">
    <cfRule type="duplicateValues" dxfId="1013" priority="99"/>
  </conditionalFormatting>
  <conditionalFormatting sqref="G675">
    <cfRule type="duplicateValues" dxfId="1012" priority="92"/>
  </conditionalFormatting>
  <conditionalFormatting sqref="D675">
    <cfRule type="duplicateValues" dxfId="1011" priority="93"/>
  </conditionalFormatting>
  <conditionalFormatting sqref="G763">
    <cfRule type="duplicateValues" dxfId="1010" priority="86"/>
  </conditionalFormatting>
  <conditionalFormatting sqref="D763">
    <cfRule type="duplicateValues" dxfId="1009" priority="87"/>
  </conditionalFormatting>
  <conditionalFormatting sqref="G764:G777 G729:G731 G734:G743 G746 G749:G750 G755:G758 G760:G762 G632:G657 G676:G727 G661:G674">
    <cfRule type="duplicateValues" dxfId="1008" priority="142"/>
  </conditionalFormatting>
  <conditionalFormatting sqref="D764:D777 D632:D657 D661:D674 D676:D762">
    <cfRule type="duplicateValues" dxfId="1007" priority="145"/>
  </conditionalFormatting>
  <conditionalFormatting sqref="G114">
    <cfRule type="duplicateValues" dxfId="1006" priority="80"/>
  </conditionalFormatting>
  <conditionalFormatting sqref="D114">
    <cfRule type="duplicateValues" dxfId="1005" priority="81"/>
  </conditionalFormatting>
  <conditionalFormatting sqref="G242">
    <cfRule type="duplicateValues" dxfId="1004" priority="74"/>
  </conditionalFormatting>
  <conditionalFormatting sqref="D242">
    <cfRule type="duplicateValues" dxfId="1003" priority="75"/>
  </conditionalFormatting>
  <conditionalFormatting sqref="G272">
    <cfRule type="duplicateValues" dxfId="1002" priority="68"/>
  </conditionalFormatting>
  <conditionalFormatting sqref="D272">
    <cfRule type="duplicateValues" dxfId="1001" priority="69"/>
  </conditionalFormatting>
  <conditionalFormatting sqref="AD514:AE514 C514">
    <cfRule type="duplicateValues" dxfId="1000" priority="4948"/>
  </conditionalFormatting>
  <conditionalFormatting sqref="AD514:AE514 C514">
    <cfRule type="duplicateValues" dxfId="999" priority="4950"/>
  </conditionalFormatting>
  <conditionalFormatting sqref="AD514:AE514 C514">
    <cfRule type="duplicateValues" dxfId="998" priority="4952"/>
    <cfRule type="duplicateValues" dxfId="997" priority="4953"/>
  </conditionalFormatting>
  <conditionalFormatting sqref="AD2:AE22 C1249:C1048576 C1:C113 C115:C241 AD115:AE144 C243:C271 AD243:AE257 C273:C513 AD273:AE274 C515:C631 AD515:AE631 C778:C1218 AD778:AE1218 AD25:AE27 AD29:AE29 AD31:AE32 AE30 AD34:AE34 AE33 AD36:AE36 AD40:AE44 AE37 AD107:AE107 AE106 AD109:AE113 AE108 AD146:AE147 AE145 AD150:AE221 AE148:AE149 AD223:AE239 AE222 AD241:AE241 AE240 AD259:AE259 AE258 AD261:AE271 AE260 AD276:AE285 AE275 AD287:AE440 AE286 AD467:AE513 AE466 AD442:AE465 AD441 AD23 AE39 AD46:AE52 AD45 AD54:AE60 AD53 AD63:AE105 AD61:AD62">
    <cfRule type="duplicateValues" dxfId="996" priority="4956"/>
  </conditionalFormatting>
  <conditionalFormatting sqref="AD2:AE22 C1249:C1048576 C1:C113 C115:C241 AD115:AE144 C243:C271 AD243:AE257 C273:C513 AD273:AE274 C515:C631 AD515:AE631 C778:C1218 AD778:AE1218 AD25:AE27 AD29:AE29 AD31:AE32 AE30 AD34:AE34 AE33 AD36:AE36 AD40:AE44 AE37 AD107:AE107 AE106 AD109:AE113 AE108 AD146:AE147 AE145 AD150:AE221 AE148:AE149 AD223:AE239 AE222 AD241:AE241 AE240 AD259:AE259 AE258 AD261:AE271 AE260 AD276:AE285 AE275 AD287:AE440 AE286 AD467:AE513 AE466 AD442:AE465 AD441 AD23 AE39 AD46:AE52 AD45 AD54:AE60 AD53 AD63:AE105 AD61:AD62">
    <cfRule type="duplicateValues" dxfId="995" priority="4969"/>
  </conditionalFormatting>
  <conditionalFormatting sqref="AD2:AE22 C1249:C1048576 C1:C113 C115:C241 AD115:AE144 C243:C271 AD243:AE257 C273:C513 AD273:AE274 C515:C631 AD515:AE631 C778:C1218 AD778:AE1218 AD25:AE27 AD29:AE29 AD31:AE32 AE30 AD34:AE34 AE33 AD36:AE36 AD40:AE44 AE37 AD107:AE107 AE106 AD109:AE113 AE108 AD146:AE147 AE145 AD150:AE221 AE148:AE149 AD223:AE239 AE222 AD241:AE241 AE240 AD259:AE259 AE258 AD261:AE271 AE260 AD276:AE285 AE275 AD287:AE440 AE286 AD467:AE513 AE466 AD442:AE465 AD441 AD23 AE39 AD46:AE52 AD45 AD54:AE60 AD53 AD63:AE105 AD61:AD62">
    <cfRule type="duplicateValues" dxfId="994" priority="4982"/>
    <cfRule type="duplicateValues" dxfId="993" priority="4983"/>
  </conditionalFormatting>
  <conditionalFormatting sqref="AD3:AE22 C3:C113 C115:C241 AD115:AE144 C243:C271 AD243:AE257 C273:C513 AD273:AE274 C515:C631 AD515:AE631 C778:C791 AD778:AE791 C816:C1218 AD816:AE1218 AD25:AE27 AD29:AE29 AD31:AE32 AE30 AD34:AE34 AE33 AD36:AE36 AD40:AE44 AE37 AD107:AE107 AE106 AD109:AE113 AE108 AD146:AE147 AE145 AD150:AE221 AE148:AE149 AD223:AE239 AE222 AD241:AE241 AE240 AD259:AE259 AE258 AD261:AE271 AE260 AD276:AE285 AE275 AD287:AE440 AE286 AD467:AE513 AE466 AD442:AE465 AD441 AD23 AE39 AD46:AE52 AD45 AD54:AE60 AD53 AD63:AE105 AD61:AD62">
    <cfRule type="duplicateValues" dxfId="992" priority="5008"/>
  </conditionalFormatting>
  <conditionalFormatting sqref="AD658:AE658 C658">
    <cfRule type="duplicateValues" dxfId="991" priority="5022"/>
  </conditionalFormatting>
  <conditionalFormatting sqref="AD658:AE658 C658">
    <cfRule type="duplicateValues" dxfId="990" priority="5024"/>
  </conditionalFormatting>
  <conditionalFormatting sqref="AD658:AE658 C658">
    <cfRule type="duplicateValues" dxfId="989" priority="5026"/>
    <cfRule type="duplicateValues" dxfId="988" priority="5027"/>
  </conditionalFormatting>
  <conditionalFormatting sqref="AD659:AE659 C659">
    <cfRule type="duplicateValues" dxfId="987" priority="5030"/>
  </conditionalFormatting>
  <conditionalFormatting sqref="AD659:AE659 C659">
    <cfRule type="duplicateValues" dxfId="986" priority="5032"/>
  </conditionalFormatting>
  <conditionalFormatting sqref="AD659:AE659 C659">
    <cfRule type="duplicateValues" dxfId="985" priority="5034"/>
    <cfRule type="duplicateValues" dxfId="984" priority="5035"/>
  </conditionalFormatting>
  <conditionalFormatting sqref="AD660:AE660 C660">
    <cfRule type="duplicateValues" dxfId="983" priority="5038"/>
  </conditionalFormatting>
  <conditionalFormatting sqref="AD660:AE660 C660">
    <cfRule type="duplicateValues" dxfId="982" priority="5040"/>
  </conditionalFormatting>
  <conditionalFormatting sqref="AD660:AE660 C660">
    <cfRule type="duplicateValues" dxfId="981" priority="5042"/>
    <cfRule type="duplicateValues" dxfId="980" priority="5043"/>
  </conditionalFormatting>
  <conditionalFormatting sqref="AD675:AE675 C675">
    <cfRule type="duplicateValues" dxfId="979" priority="5046"/>
  </conditionalFormatting>
  <conditionalFormatting sqref="AD675:AE675 C675">
    <cfRule type="duplicateValues" dxfId="978" priority="5048"/>
  </conditionalFormatting>
  <conditionalFormatting sqref="AD675:AE675 C675">
    <cfRule type="duplicateValues" dxfId="977" priority="5050"/>
    <cfRule type="duplicateValues" dxfId="976" priority="5051"/>
  </conditionalFormatting>
  <conditionalFormatting sqref="AE763 C763">
    <cfRule type="duplicateValues" dxfId="975" priority="5054"/>
  </conditionalFormatting>
  <conditionalFormatting sqref="AE763 C763">
    <cfRule type="duplicateValues" dxfId="974" priority="5056"/>
  </conditionalFormatting>
  <conditionalFormatting sqref="AE763 C763">
    <cfRule type="duplicateValues" dxfId="973" priority="5058"/>
    <cfRule type="duplicateValues" dxfId="972" priority="5059"/>
  </conditionalFormatting>
  <conditionalFormatting sqref="AD661:AE674 C661:C674">
    <cfRule type="duplicateValues" dxfId="971" priority="5062"/>
  </conditionalFormatting>
  <conditionalFormatting sqref="AD764:AE777 C764:C777 C632:C657 AD632:AE642 C661:C674 AD661:AE674 C676:C762 AD676:AE705 AD708:AE711 AE706:AE707 AD713:AE716 AE712 AD718:AE719 AE717 AD721:AE721 AE720 AD723:AE726 AE722 AD728:AE758 AD727 AD760:AE762 AD759 AD644:AE657 AD643">
    <cfRule type="duplicateValues" dxfId="970" priority="5064"/>
  </conditionalFormatting>
  <conditionalFormatting sqref="AD764:AE777 C764:C777 C632:C657 AD632:AE642 C661:C674 AD661:AE674 C676:C762 AD676:AE705 AD708:AE711 AE706:AE707 AD713:AE716 AE712 AD718:AE719 AE717 AD721:AE721 AE720 AD723:AE726 AE722 AD728:AE758 AD727 AD760:AE762 AD759 AD644:AE657 AD643">
    <cfRule type="duplicateValues" dxfId="969" priority="5072"/>
  </conditionalFormatting>
  <conditionalFormatting sqref="AD764:AE777 C764:C777 C632:C657 AD632:AE642 C661:C674 AD661:AE674 C676:C762 AD676:AE705 AD708:AE711 AE706:AE707 AD713:AE716 AE712 AD718:AE719 AE717 AD721:AE721 AE720 AD723:AE726 AE722 AD728:AE758 AD727 AD760:AE762 AD759 AD644:AE657 AD643">
    <cfRule type="duplicateValues" dxfId="968" priority="5080"/>
    <cfRule type="duplicateValues" dxfId="967" priority="5081"/>
  </conditionalFormatting>
  <conditionalFormatting sqref="AD114:AE114 C114">
    <cfRule type="duplicateValues" dxfId="966" priority="5096"/>
  </conditionalFormatting>
  <conditionalFormatting sqref="AD114:AE114 C114">
    <cfRule type="duplicateValues" dxfId="965" priority="5098"/>
  </conditionalFormatting>
  <conditionalFormatting sqref="AD114:AE114 C114">
    <cfRule type="duplicateValues" dxfId="964" priority="5100"/>
    <cfRule type="duplicateValues" dxfId="963" priority="5101"/>
  </conditionalFormatting>
  <conditionalFormatting sqref="AD242:AE242 C242">
    <cfRule type="duplicateValues" dxfId="962" priority="5104"/>
  </conditionalFormatting>
  <conditionalFormatting sqref="AD242:AE242 C242">
    <cfRule type="duplicateValues" dxfId="961" priority="5106"/>
  </conditionalFormatting>
  <conditionalFormatting sqref="AD242:AE242 C242">
    <cfRule type="duplicateValues" dxfId="960" priority="5108"/>
    <cfRule type="duplicateValues" dxfId="959" priority="5109"/>
  </conditionalFormatting>
  <conditionalFormatting sqref="AD272:AE272 C272">
    <cfRule type="duplicateValues" dxfId="958" priority="5112"/>
  </conditionalFormatting>
  <conditionalFormatting sqref="AD272:AE272 C272">
    <cfRule type="duplicateValues" dxfId="957" priority="5114"/>
  </conditionalFormatting>
  <conditionalFormatting sqref="AD272:AE272 C272">
    <cfRule type="duplicateValues" dxfId="956" priority="5116"/>
    <cfRule type="duplicateValues" dxfId="955" priority="5117"/>
  </conditionalFormatting>
  <conditionalFormatting sqref="AE441">
    <cfRule type="duplicateValues" dxfId="954" priority="62"/>
  </conditionalFormatting>
  <conditionalFormatting sqref="AE441">
    <cfRule type="duplicateValues" dxfId="953" priority="61"/>
  </conditionalFormatting>
  <conditionalFormatting sqref="AE441">
    <cfRule type="duplicateValues" dxfId="952" priority="63"/>
    <cfRule type="duplicateValues" dxfId="951" priority="64"/>
  </conditionalFormatting>
  <conditionalFormatting sqref="AE441">
    <cfRule type="duplicateValues" dxfId="950" priority="65"/>
  </conditionalFormatting>
  <conditionalFormatting sqref="AE727">
    <cfRule type="duplicateValues" dxfId="949" priority="57"/>
  </conditionalFormatting>
  <conditionalFormatting sqref="AE727">
    <cfRule type="duplicateValues" dxfId="948" priority="56"/>
  </conditionalFormatting>
  <conditionalFormatting sqref="AE727">
    <cfRule type="duplicateValues" dxfId="947" priority="58"/>
    <cfRule type="duplicateValues" dxfId="946" priority="59"/>
  </conditionalFormatting>
  <conditionalFormatting sqref="AE727">
    <cfRule type="duplicateValues" dxfId="945" priority="60"/>
  </conditionalFormatting>
  <conditionalFormatting sqref="AE759">
    <cfRule type="duplicateValues" dxfId="944" priority="52"/>
  </conditionalFormatting>
  <conditionalFormatting sqref="AE759">
    <cfRule type="duplicateValues" dxfId="943" priority="51"/>
  </conditionalFormatting>
  <conditionalFormatting sqref="AE759">
    <cfRule type="duplicateValues" dxfId="942" priority="53"/>
    <cfRule type="duplicateValues" dxfId="941" priority="54"/>
  </conditionalFormatting>
  <conditionalFormatting sqref="AE759">
    <cfRule type="duplicateValues" dxfId="940" priority="55"/>
  </conditionalFormatting>
  <conditionalFormatting sqref="AE23">
    <cfRule type="duplicateValues" dxfId="939" priority="47"/>
  </conditionalFormatting>
  <conditionalFormatting sqref="AE23">
    <cfRule type="duplicateValues" dxfId="938" priority="46"/>
  </conditionalFormatting>
  <conditionalFormatting sqref="AE23">
    <cfRule type="duplicateValues" dxfId="937" priority="48"/>
    <cfRule type="duplicateValues" dxfId="936" priority="49"/>
  </conditionalFormatting>
  <conditionalFormatting sqref="AE23">
    <cfRule type="duplicateValues" dxfId="935" priority="50"/>
  </conditionalFormatting>
  <conditionalFormatting sqref="AE24">
    <cfRule type="duplicateValues" dxfId="934" priority="42"/>
  </conditionalFormatting>
  <conditionalFormatting sqref="AE24">
    <cfRule type="duplicateValues" dxfId="933" priority="41"/>
  </conditionalFormatting>
  <conditionalFormatting sqref="AE24">
    <cfRule type="duplicateValues" dxfId="932" priority="43"/>
    <cfRule type="duplicateValues" dxfId="931" priority="44"/>
  </conditionalFormatting>
  <conditionalFormatting sqref="AE24">
    <cfRule type="duplicateValues" dxfId="930" priority="45"/>
  </conditionalFormatting>
  <conditionalFormatting sqref="AE28">
    <cfRule type="duplicateValues" dxfId="929" priority="37"/>
  </conditionalFormatting>
  <conditionalFormatting sqref="AE28">
    <cfRule type="duplicateValues" dxfId="928" priority="36"/>
  </conditionalFormatting>
  <conditionalFormatting sqref="AE28">
    <cfRule type="duplicateValues" dxfId="927" priority="38"/>
    <cfRule type="duplicateValues" dxfId="926" priority="39"/>
  </conditionalFormatting>
  <conditionalFormatting sqref="AE28">
    <cfRule type="duplicateValues" dxfId="925" priority="40"/>
  </conditionalFormatting>
  <conditionalFormatting sqref="AE35">
    <cfRule type="duplicateValues" dxfId="924" priority="32"/>
  </conditionalFormatting>
  <conditionalFormatting sqref="AE35">
    <cfRule type="duplicateValues" dxfId="923" priority="31"/>
  </conditionalFormatting>
  <conditionalFormatting sqref="AE35">
    <cfRule type="duplicateValues" dxfId="922" priority="33"/>
    <cfRule type="duplicateValues" dxfId="921" priority="34"/>
  </conditionalFormatting>
  <conditionalFormatting sqref="AE35">
    <cfRule type="duplicateValues" dxfId="920" priority="35"/>
  </conditionalFormatting>
  <conditionalFormatting sqref="AE38">
    <cfRule type="duplicateValues" dxfId="919" priority="27"/>
  </conditionalFormatting>
  <conditionalFormatting sqref="AE38">
    <cfRule type="duplicateValues" dxfId="918" priority="26"/>
  </conditionalFormatting>
  <conditionalFormatting sqref="AE38">
    <cfRule type="duplicateValues" dxfId="917" priority="28"/>
    <cfRule type="duplicateValues" dxfId="916" priority="29"/>
  </conditionalFormatting>
  <conditionalFormatting sqref="AE38">
    <cfRule type="duplicateValues" dxfId="915" priority="30"/>
  </conditionalFormatting>
  <conditionalFormatting sqref="AE45">
    <cfRule type="duplicateValues" dxfId="914" priority="22"/>
  </conditionalFormatting>
  <conditionalFormatting sqref="AE45">
    <cfRule type="duplicateValues" dxfId="913" priority="21"/>
  </conditionalFormatting>
  <conditionalFormatting sqref="AE45">
    <cfRule type="duplicateValues" dxfId="912" priority="23"/>
    <cfRule type="duplicateValues" dxfId="911" priority="24"/>
  </conditionalFormatting>
  <conditionalFormatting sqref="AE45">
    <cfRule type="duplicateValues" dxfId="910" priority="25"/>
  </conditionalFormatting>
  <conditionalFormatting sqref="AE53">
    <cfRule type="duplicateValues" dxfId="909" priority="17"/>
  </conditionalFormatting>
  <conditionalFormatting sqref="AE53">
    <cfRule type="duplicateValues" dxfId="908" priority="16"/>
  </conditionalFormatting>
  <conditionalFormatting sqref="AE53">
    <cfRule type="duplicateValues" dxfId="907" priority="18"/>
    <cfRule type="duplicateValues" dxfId="906" priority="19"/>
  </conditionalFormatting>
  <conditionalFormatting sqref="AE53">
    <cfRule type="duplicateValues" dxfId="905" priority="20"/>
  </conditionalFormatting>
  <conditionalFormatting sqref="AE643">
    <cfRule type="duplicateValues" dxfId="904" priority="12"/>
  </conditionalFormatting>
  <conditionalFormatting sqref="AE643">
    <cfRule type="duplicateValues" dxfId="903" priority="11"/>
  </conditionalFormatting>
  <conditionalFormatting sqref="AE643">
    <cfRule type="duplicateValues" dxfId="902" priority="13"/>
    <cfRule type="duplicateValues" dxfId="901" priority="14"/>
  </conditionalFormatting>
  <conditionalFormatting sqref="AE643">
    <cfRule type="duplicateValues" dxfId="900" priority="15"/>
  </conditionalFormatting>
  <conditionalFormatting sqref="AE61">
    <cfRule type="duplicateValues" dxfId="899" priority="7"/>
  </conditionalFormatting>
  <conditionalFormatting sqref="AE61">
    <cfRule type="duplicateValues" dxfId="898" priority="6"/>
  </conditionalFormatting>
  <conditionalFormatting sqref="AE61">
    <cfRule type="duplicateValues" dxfId="897" priority="8"/>
    <cfRule type="duplicateValues" dxfId="896" priority="9"/>
  </conditionalFormatting>
  <conditionalFormatting sqref="AE61">
    <cfRule type="duplicateValues" dxfId="895" priority="10"/>
  </conditionalFormatting>
  <conditionalFormatting sqref="AE62">
    <cfRule type="duplicateValues" dxfId="894" priority="2"/>
  </conditionalFormatting>
  <conditionalFormatting sqref="AE62">
    <cfRule type="duplicateValues" dxfId="893" priority="1"/>
  </conditionalFormatting>
  <conditionalFormatting sqref="AE62">
    <cfRule type="duplicateValues" dxfId="892" priority="3"/>
    <cfRule type="duplicateValues" dxfId="891" priority="4"/>
  </conditionalFormatting>
  <conditionalFormatting sqref="AE62">
    <cfRule type="duplicateValues" dxfId="890" priority="5"/>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1BEDC-4252-4009-A8A0-4A3114AB40E2}">
  <dimension ref="A1:AM1218"/>
  <sheetViews>
    <sheetView workbookViewId="0">
      <selection activeCell="N785" sqref="N785"/>
    </sheetView>
  </sheetViews>
  <sheetFormatPr defaultColWidth="9.140625" defaultRowHeight="13.5" customHeight="1"/>
  <cols>
    <col min="1" max="1" width="9.140625" style="235" customWidth="1"/>
    <col min="2" max="2" width="14.28515625" style="235" customWidth="1"/>
    <col min="3" max="3" width="12.140625" style="235" customWidth="1"/>
    <col min="4" max="4" width="27.28515625" style="235" customWidth="1"/>
    <col min="5" max="5" width="9.140625" style="235" customWidth="1"/>
    <col min="6" max="6" width="17.7109375" style="235" customWidth="1"/>
    <col min="7" max="7" width="14.7109375" style="235" customWidth="1"/>
    <col min="8" max="8" width="21.28515625" style="235" customWidth="1"/>
    <col min="9" max="9" width="23.5703125" style="235" customWidth="1"/>
    <col min="10" max="10" width="16.140625" style="235" customWidth="1"/>
    <col min="11" max="11" width="64.140625" style="235" customWidth="1"/>
    <col min="12" max="12" width="36.28515625" style="235" customWidth="1"/>
    <col min="13" max="13" width="23.42578125" style="235" customWidth="1"/>
    <col min="14" max="14" width="39.85546875" style="235" customWidth="1"/>
    <col min="15" max="15" width="30.7109375" style="235" customWidth="1"/>
    <col min="16" max="16" width="17.42578125" style="235" customWidth="1"/>
    <col min="17" max="17" width="25.28515625" style="524" customWidth="1"/>
    <col min="18" max="18" width="16.85546875" style="235" customWidth="1"/>
    <col min="19" max="19" width="21" style="235" customWidth="1"/>
    <col min="20" max="20" width="16.85546875" style="235" bestFit="1" customWidth="1"/>
    <col min="21" max="21" width="19.7109375" style="235" bestFit="1" customWidth="1"/>
    <col min="22" max="22" width="25.28515625" style="235" bestFit="1" customWidth="1"/>
    <col min="23" max="23" width="19.28515625" style="235" customWidth="1"/>
    <col min="24" max="24" width="21" style="235" bestFit="1" customWidth="1"/>
    <col min="25" max="26" width="26" style="235" customWidth="1"/>
    <col min="27" max="27" width="34.7109375" style="235" customWidth="1"/>
    <col min="28" max="28" width="20.85546875" style="301" customWidth="1"/>
    <col min="29" max="29" width="23.85546875" style="297" customWidth="1"/>
    <col min="30" max="38" width="9.140625" style="297"/>
    <col min="39" max="39" width="9.140625" style="302"/>
    <col min="40" max="16384" width="9.140625" style="235"/>
  </cols>
  <sheetData>
    <row r="1" spans="1:32" ht="31.5" customHeight="1">
      <c r="A1" s="227" t="s">
        <v>4384</v>
      </c>
      <c r="B1" s="228" t="s">
        <v>196</v>
      </c>
      <c r="C1" s="229" t="s">
        <v>197</v>
      </c>
      <c r="D1" s="228" t="s">
        <v>198</v>
      </c>
      <c r="E1" s="228" t="s">
        <v>199</v>
      </c>
      <c r="F1" s="228" t="s">
        <v>200</v>
      </c>
      <c r="G1" s="228" t="s">
        <v>201</v>
      </c>
      <c r="H1" s="230" t="s">
        <v>202</v>
      </c>
      <c r="I1" s="230" t="s">
        <v>203</v>
      </c>
      <c r="J1" s="230" t="s">
        <v>204</v>
      </c>
      <c r="K1" s="230" t="s">
        <v>205</v>
      </c>
      <c r="L1" s="230" t="s">
        <v>206</v>
      </c>
      <c r="M1" s="230" t="s">
        <v>207</v>
      </c>
      <c r="N1" s="228" t="s">
        <v>208</v>
      </c>
      <c r="O1" s="228" t="s">
        <v>209</v>
      </c>
      <c r="P1" s="228" t="s">
        <v>210</v>
      </c>
      <c r="Q1" s="521" t="s">
        <v>211</v>
      </c>
      <c r="R1" s="231" t="s">
        <v>212</v>
      </c>
      <c r="S1" s="231" t="s">
        <v>213</v>
      </c>
      <c r="T1" s="228" t="s">
        <v>214</v>
      </c>
      <c r="U1" s="228" t="s">
        <v>215</v>
      </c>
      <c r="V1" s="232" t="s">
        <v>216</v>
      </c>
      <c r="W1" s="233" t="s">
        <v>217</v>
      </c>
      <c r="X1" s="232" t="s">
        <v>218</v>
      </c>
      <c r="Y1" s="234" t="s">
        <v>219</v>
      </c>
      <c r="Z1" s="5" t="s">
        <v>220</v>
      </c>
      <c r="AA1" s="228" t="s">
        <v>4385</v>
      </c>
      <c r="AB1" s="329" t="s">
        <v>222</v>
      </c>
      <c r="AC1" s="329" t="s">
        <v>223</v>
      </c>
    </row>
    <row r="2" spans="1:32" ht="17.25" customHeight="1">
      <c r="B2" s="236" t="s">
        <v>227</v>
      </c>
      <c r="C2" s="237"/>
      <c r="D2" s="238"/>
      <c r="E2" s="238"/>
      <c r="F2" s="238"/>
      <c r="G2" s="238"/>
      <c r="H2" s="239"/>
      <c r="I2" s="239"/>
      <c r="J2" s="237"/>
      <c r="K2" s="240"/>
      <c r="L2" s="239"/>
      <c r="M2" s="239"/>
      <c r="N2" s="238"/>
      <c r="O2" s="238"/>
      <c r="P2" s="238"/>
      <c r="Q2" s="241"/>
      <c r="R2" s="237"/>
      <c r="S2" s="237"/>
      <c r="T2" s="238"/>
      <c r="U2" s="238"/>
      <c r="V2" s="238"/>
      <c r="W2" s="241"/>
      <c r="X2" s="238"/>
      <c r="Y2" s="242"/>
      <c r="Z2" s="242"/>
      <c r="AA2" s="237"/>
      <c r="AB2" s="327" t="s">
        <v>228</v>
      </c>
      <c r="AC2" s="327" t="s">
        <v>228</v>
      </c>
    </row>
    <row r="3" spans="1:32" ht="13.5" customHeight="1">
      <c r="A3" s="235">
        <v>1</v>
      </c>
      <c r="B3" s="237">
        <v>6</v>
      </c>
      <c r="C3" s="243">
        <v>6</v>
      </c>
      <c r="D3" s="237" t="s">
        <v>229</v>
      </c>
      <c r="E3" s="237">
        <v>50</v>
      </c>
      <c r="F3" s="237" t="s">
        <v>60</v>
      </c>
      <c r="G3" s="237" t="s">
        <v>230</v>
      </c>
      <c r="H3" s="243" t="s">
        <v>188</v>
      </c>
      <c r="I3" s="243"/>
      <c r="K3" s="240"/>
      <c r="L3" s="243" t="s">
        <v>231</v>
      </c>
      <c r="M3" s="243" t="s">
        <v>231</v>
      </c>
      <c r="N3" s="237" t="s">
        <v>228</v>
      </c>
      <c r="O3" s="237" t="s">
        <v>228</v>
      </c>
      <c r="P3" s="237" t="s">
        <v>231</v>
      </c>
      <c r="Q3" s="245" t="s">
        <v>228</v>
      </c>
      <c r="R3" s="237" t="s">
        <v>232</v>
      </c>
      <c r="S3" s="330" t="s">
        <v>233</v>
      </c>
      <c r="T3" s="237" t="s">
        <v>228</v>
      </c>
      <c r="U3" s="237" t="s">
        <v>234</v>
      </c>
      <c r="V3" s="237" t="s">
        <v>235</v>
      </c>
      <c r="W3" s="245" t="s">
        <v>228</v>
      </c>
      <c r="X3" s="237" t="s">
        <v>236</v>
      </c>
      <c r="Y3" s="237" t="s">
        <v>237</v>
      </c>
      <c r="Z3" s="237" t="s">
        <v>228</v>
      </c>
      <c r="AA3" s="237" t="s">
        <v>238</v>
      </c>
      <c r="AB3" s="237" t="s">
        <v>228</v>
      </c>
      <c r="AC3" s="237" t="s">
        <v>228</v>
      </c>
      <c r="AF3" s="531"/>
    </row>
    <row r="4" spans="1:32" ht="13.5" customHeight="1">
      <c r="A4" s="235">
        <v>2</v>
      </c>
      <c r="B4" s="237">
        <v>9</v>
      </c>
      <c r="C4" s="243" t="s">
        <v>239</v>
      </c>
      <c r="D4" s="237" t="s">
        <v>240</v>
      </c>
      <c r="E4" s="237">
        <v>45</v>
      </c>
      <c r="F4" s="237" t="s">
        <v>75</v>
      </c>
      <c r="G4" s="237" t="s">
        <v>241</v>
      </c>
      <c r="H4" s="243" t="s">
        <v>188</v>
      </c>
      <c r="I4" s="243"/>
      <c r="K4" s="240"/>
      <c r="L4" s="243" t="s">
        <v>231</v>
      </c>
      <c r="M4" s="246" t="s">
        <v>228</v>
      </c>
      <c r="N4" s="237" t="s">
        <v>228</v>
      </c>
      <c r="O4" s="237" t="s">
        <v>228</v>
      </c>
      <c r="P4" s="237" t="s">
        <v>231</v>
      </c>
      <c r="Q4" s="245">
        <v>44698</v>
      </c>
      <c r="R4" s="237" t="s">
        <v>232</v>
      </c>
      <c r="S4" s="331" t="s">
        <v>233</v>
      </c>
      <c r="T4" s="237" t="s">
        <v>228</v>
      </c>
      <c r="U4" s="237" t="s">
        <v>234</v>
      </c>
      <c r="V4" s="237" t="s">
        <v>235</v>
      </c>
      <c r="W4" s="245" t="s">
        <v>228</v>
      </c>
      <c r="X4" s="237" t="s">
        <v>242</v>
      </c>
      <c r="Y4" s="237" t="s">
        <v>237</v>
      </c>
      <c r="Z4" s="237" t="s">
        <v>237</v>
      </c>
      <c r="AA4" s="237" t="s">
        <v>243</v>
      </c>
      <c r="AB4" s="237" t="s">
        <v>228</v>
      </c>
      <c r="AC4" s="237" t="s">
        <v>228</v>
      </c>
    </row>
    <row r="5" spans="1:32" ht="13.5" customHeight="1">
      <c r="A5" s="235">
        <v>3</v>
      </c>
      <c r="B5" s="237">
        <v>11</v>
      </c>
      <c r="C5" s="243" t="s">
        <v>244</v>
      </c>
      <c r="D5" s="237" t="s">
        <v>245</v>
      </c>
      <c r="E5" s="237" t="s">
        <v>246</v>
      </c>
      <c r="F5" s="237" t="s">
        <v>75</v>
      </c>
      <c r="G5" s="237" t="s">
        <v>247</v>
      </c>
      <c r="H5" s="243" t="s">
        <v>188</v>
      </c>
      <c r="I5" s="243"/>
      <c r="K5" s="240"/>
      <c r="L5" s="243" t="s">
        <v>231</v>
      </c>
      <c r="M5" s="246" t="s">
        <v>228</v>
      </c>
      <c r="N5" s="237" t="s">
        <v>228</v>
      </c>
      <c r="O5" s="237" t="s">
        <v>228</v>
      </c>
      <c r="P5" s="237" t="s">
        <v>231</v>
      </c>
      <c r="Q5" s="245">
        <v>44698</v>
      </c>
      <c r="R5" s="237" t="s">
        <v>232</v>
      </c>
      <c r="S5" s="331" t="s">
        <v>233</v>
      </c>
      <c r="T5" s="237" t="s">
        <v>228</v>
      </c>
      <c r="U5" s="237" t="s">
        <v>234</v>
      </c>
      <c r="V5" s="237" t="s">
        <v>235</v>
      </c>
      <c r="W5" s="245" t="s">
        <v>228</v>
      </c>
      <c r="X5" s="237" t="s">
        <v>248</v>
      </c>
      <c r="Y5" s="237" t="s">
        <v>237</v>
      </c>
      <c r="Z5" s="237" t="s">
        <v>237</v>
      </c>
      <c r="AA5" s="237" t="s">
        <v>249</v>
      </c>
      <c r="AB5" s="237" t="s">
        <v>228</v>
      </c>
      <c r="AC5" s="237" t="s">
        <v>228</v>
      </c>
    </row>
    <row r="6" spans="1:32" ht="13.5" customHeight="1">
      <c r="A6" s="235">
        <v>4</v>
      </c>
      <c r="B6" s="237">
        <v>14</v>
      </c>
      <c r="C6" s="243" t="s">
        <v>250</v>
      </c>
      <c r="D6" s="237" t="s">
        <v>251</v>
      </c>
      <c r="E6" s="237">
        <v>52</v>
      </c>
      <c r="F6" s="237" t="s">
        <v>75</v>
      </c>
      <c r="G6" s="237" t="s">
        <v>252</v>
      </c>
      <c r="H6" s="243" t="s">
        <v>188</v>
      </c>
      <c r="I6" s="243"/>
      <c r="K6" s="240"/>
      <c r="L6" s="243" t="s">
        <v>231</v>
      </c>
      <c r="M6" s="246" t="s">
        <v>228</v>
      </c>
      <c r="N6" s="237" t="s">
        <v>253</v>
      </c>
      <c r="O6" s="237" t="s">
        <v>228</v>
      </c>
      <c r="P6" s="237" t="s">
        <v>231</v>
      </c>
      <c r="Q6" s="245">
        <v>44701</v>
      </c>
      <c r="R6" s="237" t="s">
        <v>232</v>
      </c>
      <c r="S6" s="331" t="s">
        <v>233</v>
      </c>
      <c r="T6" s="237" t="s">
        <v>228</v>
      </c>
      <c r="U6" s="237" t="s">
        <v>234</v>
      </c>
      <c r="V6" s="237" t="s">
        <v>235</v>
      </c>
      <c r="W6" s="245" t="s">
        <v>228</v>
      </c>
      <c r="X6" s="237" t="s">
        <v>254</v>
      </c>
      <c r="Y6" s="237" t="s">
        <v>237</v>
      </c>
      <c r="Z6" s="237" t="s">
        <v>237</v>
      </c>
      <c r="AA6" s="237" t="s">
        <v>255</v>
      </c>
      <c r="AB6" s="237" t="s">
        <v>228</v>
      </c>
      <c r="AC6" s="237" t="s">
        <v>228</v>
      </c>
    </row>
    <row r="7" spans="1:32" ht="13.5" customHeight="1">
      <c r="A7" s="235">
        <v>5</v>
      </c>
      <c r="B7" s="237">
        <v>24</v>
      </c>
      <c r="C7" s="243" t="s">
        <v>256</v>
      </c>
      <c r="D7" s="237" t="s">
        <v>257</v>
      </c>
      <c r="E7" s="237">
        <v>63</v>
      </c>
      <c r="F7" s="237" t="s">
        <v>75</v>
      </c>
      <c r="G7" s="237" t="s">
        <v>258</v>
      </c>
      <c r="H7" s="243" t="s">
        <v>188</v>
      </c>
      <c r="I7" s="243"/>
      <c r="K7" s="240"/>
      <c r="L7" s="243" t="s">
        <v>231</v>
      </c>
      <c r="M7" s="246" t="s">
        <v>228</v>
      </c>
      <c r="N7" s="237" t="s">
        <v>228</v>
      </c>
      <c r="O7" s="237" t="s">
        <v>228</v>
      </c>
      <c r="P7" s="237" t="s">
        <v>231</v>
      </c>
      <c r="Q7" s="245">
        <v>44711</v>
      </c>
      <c r="R7" s="237" t="s">
        <v>232</v>
      </c>
      <c r="S7" s="331" t="s">
        <v>233</v>
      </c>
      <c r="T7" s="237">
        <v>8.4</v>
      </c>
      <c r="U7" s="237" t="s">
        <v>234</v>
      </c>
      <c r="V7" s="237" t="s">
        <v>235</v>
      </c>
      <c r="W7" s="245" t="s">
        <v>228</v>
      </c>
      <c r="X7" s="237" t="s">
        <v>259</v>
      </c>
      <c r="Y7" s="237" t="s">
        <v>237</v>
      </c>
      <c r="Z7" s="237" t="s">
        <v>237</v>
      </c>
      <c r="AA7" s="237" t="s">
        <v>260</v>
      </c>
      <c r="AB7" s="237" t="s">
        <v>228</v>
      </c>
      <c r="AC7" s="237" t="s">
        <v>228</v>
      </c>
    </row>
    <row r="8" spans="1:32" ht="13.5" customHeight="1">
      <c r="A8" s="235">
        <v>6</v>
      </c>
      <c r="B8" s="237">
        <v>27</v>
      </c>
      <c r="C8" s="243" t="s">
        <v>261</v>
      </c>
      <c r="D8" s="237" t="s">
        <v>262</v>
      </c>
      <c r="E8" s="237">
        <v>38</v>
      </c>
      <c r="F8" s="237" t="s">
        <v>60</v>
      </c>
      <c r="G8" s="237" t="s">
        <v>263</v>
      </c>
      <c r="H8" s="243" t="s">
        <v>188</v>
      </c>
      <c r="I8" s="243"/>
      <c r="K8" s="240"/>
      <c r="L8" s="243" t="s">
        <v>231</v>
      </c>
      <c r="M8" s="246" t="s">
        <v>228</v>
      </c>
      <c r="N8" s="237" t="s">
        <v>264</v>
      </c>
      <c r="O8" s="237" t="s">
        <v>228</v>
      </c>
      <c r="P8" s="237" t="s">
        <v>231</v>
      </c>
      <c r="Q8" s="245">
        <v>44770</v>
      </c>
      <c r="R8" s="237" t="s">
        <v>232</v>
      </c>
      <c r="S8" s="331" t="s">
        <v>233</v>
      </c>
      <c r="T8" s="237">
        <v>8.4</v>
      </c>
      <c r="U8" s="237" t="s">
        <v>234</v>
      </c>
      <c r="V8" s="237" t="s">
        <v>235</v>
      </c>
      <c r="W8" s="245" t="s">
        <v>228</v>
      </c>
      <c r="X8" s="237" t="s">
        <v>265</v>
      </c>
      <c r="Y8" s="237" t="s">
        <v>237</v>
      </c>
      <c r="Z8" s="237" t="s">
        <v>237</v>
      </c>
      <c r="AA8" s="237" t="s">
        <v>266</v>
      </c>
      <c r="AB8" s="237" t="s">
        <v>228</v>
      </c>
      <c r="AC8" s="237" t="s">
        <v>228</v>
      </c>
    </row>
    <row r="9" spans="1:32" ht="13.5" customHeight="1">
      <c r="A9" s="235">
        <v>7</v>
      </c>
      <c r="B9" s="237">
        <v>32</v>
      </c>
      <c r="C9" s="243" t="s">
        <v>267</v>
      </c>
      <c r="D9" s="237" t="s">
        <v>268</v>
      </c>
      <c r="E9" s="237">
        <v>62</v>
      </c>
      <c r="F9" s="237" t="s">
        <v>75</v>
      </c>
      <c r="G9" s="237" t="s">
        <v>269</v>
      </c>
      <c r="H9" s="243" t="s">
        <v>188</v>
      </c>
      <c r="I9" s="243"/>
      <c r="K9" s="240"/>
      <c r="L9" s="243" t="s">
        <v>231</v>
      </c>
      <c r="M9" s="246" t="s">
        <v>228</v>
      </c>
      <c r="N9" s="237" t="s">
        <v>228</v>
      </c>
      <c r="O9" s="237" t="s">
        <v>228</v>
      </c>
      <c r="P9" s="237" t="s">
        <v>231</v>
      </c>
      <c r="Q9" s="245">
        <v>44796</v>
      </c>
      <c r="R9" s="237" t="s">
        <v>232</v>
      </c>
      <c r="S9" s="331" t="s">
        <v>233</v>
      </c>
      <c r="T9" s="237">
        <v>8.5</v>
      </c>
      <c r="U9" s="237" t="s">
        <v>234</v>
      </c>
      <c r="V9" s="237" t="s">
        <v>235</v>
      </c>
      <c r="W9" s="245" t="s">
        <v>228</v>
      </c>
      <c r="X9" s="237" t="s">
        <v>270</v>
      </c>
      <c r="Y9" s="237" t="s">
        <v>237</v>
      </c>
      <c r="Z9" s="237" t="s">
        <v>237</v>
      </c>
      <c r="AA9" s="237" t="s">
        <v>271</v>
      </c>
      <c r="AB9" s="237" t="s">
        <v>228</v>
      </c>
      <c r="AC9" s="237" t="s">
        <v>228</v>
      </c>
    </row>
    <row r="10" spans="1:32" ht="13.5" customHeight="1">
      <c r="A10" s="235">
        <v>8</v>
      </c>
      <c r="B10" s="237">
        <v>34</v>
      </c>
      <c r="C10" s="243" t="s">
        <v>272</v>
      </c>
      <c r="D10" s="237" t="s">
        <v>273</v>
      </c>
      <c r="E10" s="237">
        <v>35</v>
      </c>
      <c r="F10" s="237" t="s">
        <v>75</v>
      </c>
      <c r="G10" s="237" t="s">
        <v>274</v>
      </c>
      <c r="H10" s="243" t="s">
        <v>188</v>
      </c>
      <c r="I10" s="243"/>
      <c r="K10" s="240"/>
      <c r="L10" s="243" t="s">
        <v>231</v>
      </c>
      <c r="M10" s="246" t="s">
        <v>228</v>
      </c>
      <c r="N10" s="237" t="s">
        <v>228</v>
      </c>
      <c r="O10" s="237" t="s">
        <v>228</v>
      </c>
      <c r="P10" s="237" t="s">
        <v>231</v>
      </c>
      <c r="Q10" s="245">
        <v>44798</v>
      </c>
      <c r="R10" s="237" t="s">
        <v>232</v>
      </c>
      <c r="S10" s="331" t="s">
        <v>233</v>
      </c>
      <c r="T10" s="237">
        <v>8.3000000000000007</v>
      </c>
      <c r="U10" s="237" t="s">
        <v>234</v>
      </c>
      <c r="V10" s="237" t="s">
        <v>235</v>
      </c>
      <c r="W10" s="245" t="s">
        <v>228</v>
      </c>
      <c r="X10" s="237" t="s">
        <v>275</v>
      </c>
      <c r="Y10" s="237" t="s">
        <v>237</v>
      </c>
      <c r="Z10" s="237" t="s">
        <v>237</v>
      </c>
      <c r="AA10" s="237" t="s">
        <v>276</v>
      </c>
      <c r="AB10" s="237" t="s">
        <v>228</v>
      </c>
      <c r="AC10" s="237" t="s">
        <v>228</v>
      </c>
    </row>
    <row r="11" spans="1:32" ht="13.5" customHeight="1">
      <c r="A11" s="235">
        <v>9</v>
      </c>
      <c r="B11" s="237">
        <v>36</v>
      </c>
      <c r="C11" s="243" t="s">
        <v>277</v>
      </c>
      <c r="D11" s="237" t="s">
        <v>278</v>
      </c>
      <c r="E11" s="237">
        <v>37</v>
      </c>
      <c r="F11" s="237" t="s">
        <v>60</v>
      </c>
      <c r="G11" s="237" t="s">
        <v>279</v>
      </c>
      <c r="H11" s="243" t="s">
        <v>188</v>
      </c>
      <c r="I11" s="243"/>
      <c r="K11" s="240"/>
      <c r="L11" s="243" t="s">
        <v>231</v>
      </c>
      <c r="M11" s="246" t="s">
        <v>228</v>
      </c>
      <c r="N11" s="237" t="s">
        <v>280</v>
      </c>
      <c r="O11" s="237" t="s">
        <v>228</v>
      </c>
      <c r="P11" s="237" t="s">
        <v>231</v>
      </c>
      <c r="Q11" s="245">
        <v>44796</v>
      </c>
      <c r="R11" s="237" t="s">
        <v>232</v>
      </c>
      <c r="S11" s="331" t="s">
        <v>233</v>
      </c>
      <c r="T11" s="237">
        <v>8.6</v>
      </c>
      <c r="U11" s="237" t="s">
        <v>234</v>
      </c>
      <c r="V11" s="237" t="s">
        <v>235</v>
      </c>
      <c r="W11" s="245" t="s">
        <v>228</v>
      </c>
      <c r="X11" s="237" t="s">
        <v>281</v>
      </c>
      <c r="Y11" s="237" t="s">
        <v>237</v>
      </c>
      <c r="Z11" s="237" t="s">
        <v>237</v>
      </c>
      <c r="AA11" s="237" t="s">
        <v>282</v>
      </c>
      <c r="AB11" s="237" t="s">
        <v>228</v>
      </c>
      <c r="AC11" s="237" t="s">
        <v>228</v>
      </c>
    </row>
    <row r="12" spans="1:32" ht="13.5" customHeight="1">
      <c r="A12" s="235">
        <v>10</v>
      </c>
      <c r="B12" s="237">
        <v>37</v>
      </c>
      <c r="C12" s="243" t="s">
        <v>283</v>
      </c>
      <c r="D12" s="237" t="s">
        <v>284</v>
      </c>
      <c r="E12" s="237">
        <v>35</v>
      </c>
      <c r="F12" s="237" t="s">
        <v>60</v>
      </c>
      <c r="G12" s="237" t="s">
        <v>285</v>
      </c>
      <c r="H12" s="243" t="s">
        <v>188</v>
      </c>
      <c r="I12" s="243"/>
      <c r="K12" s="240"/>
      <c r="L12" s="243"/>
      <c r="M12" s="246" t="s">
        <v>228</v>
      </c>
      <c r="N12" s="237" t="s">
        <v>228</v>
      </c>
      <c r="O12" s="237" t="s">
        <v>228</v>
      </c>
      <c r="P12" s="237" t="s">
        <v>231</v>
      </c>
      <c r="Q12" s="245">
        <v>44781</v>
      </c>
      <c r="R12" s="237" t="s">
        <v>232</v>
      </c>
      <c r="S12" s="331" t="s">
        <v>233</v>
      </c>
      <c r="T12" s="237">
        <v>8.1999999999999993</v>
      </c>
      <c r="U12" s="237" t="s">
        <v>234</v>
      </c>
      <c r="V12" s="237" t="s">
        <v>235</v>
      </c>
      <c r="W12" s="245" t="s">
        <v>228</v>
      </c>
      <c r="X12" s="237" t="s">
        <v>286</v>
      </c>
      <c r="Y12" s="237" t="s">
        <v>237</v>
      </c>
      <c r="Z12" s="237" t="s">
        <v>228</v>
      </c>
      <c r="AA12" s="237" t="s">
        <v>287</v>
      </c>
      <c r="AB12" s="237" t="s">
        <v>228</v>
      </c>
      <c r="AC12" s="237" t="s">
        <v>228</v>
      </c>
    </row>
    <row r="13" spans="1:32" ht="13.5" customHeight="1">
      <c r="A13" s="235">
        <v>11</v>
      </c>
      <c r="B13" s="237">
        <v>38</v>
      </c>
      <c r="C13" s="243" t="s">
        <v>288</v>
      </c>
      <c r="D13" s="237" t="s">
        <v>289</v>
      </c>
      <c r="E13" s="237">
        <v>50</v>
      </c>
      <c r="F13" s="237" t="s">
        <v>60</v>
      </c>
      <c r="G13" s="237" t="s">
        <v>290</v>
      </c>
      <c r="H13" s="243" t="s">
        <v>188</v>
      </c>
      <c r="I13" s="243"/>
      <c r="K13" s="240"/>
      <c r="L13" s="243" t="s">
        <v>231</v>
      </c>
      <c r="M13" s="246" t="s">
        <v>228</v>
      </c>
      <c r="N13" s="237" t="s">
        <v>228</v>
      </c>
      <c r="O13" s="237" t="s">
        <v>228</v>
      </c>
      <c r="P13" s="237" t="s">
        <v>231</v>
      </c>
      <c r="Q13" s="245" t="s">
        <v>228</v>
      </c>
      <c r="R13" s="237" t="s">
        <v>232</v>
      </c>
      <c r="S13" s="331" t="s">
        <v>233</v>
      </c>
      <c r="T13" s="237">
        <v>9.6</v>
      </c>
      <c r="U13" s="237" t="s">
        <v>234</v>
      </c>
      <c r="V13" s="237" t="s">
        <v>235</v>
      </c>
      <c r="W13" s="245" t="s">
        <v>228</v>
      </c>
      <c r="X13" s="237" t="s">
        <v>291</v>
      </c>
      <c r="Y13" s="237" t="s">
        <v>237</v>
      </c>
      <c r="Z13" s="237" t="s">
        <v>237</v>
      </c>
      <c r="AA13" s="237" t="s">
        <v>292</v>
      </c>
      <c r="AB13" s="237" t="s">
        <v>228</v>
      </c>
      <c r="AC13" s="237" t="s">
        <v>228</v>
      </c>
    </row>
    <row r="14" spans="1:32" ht="13.5" customHeight="1">
      <c r="A14" s="235">
        <v>12</v>
      </c>
      <c r="B14" s="237">
        <v>43</v>
      </c>
      <c r="C14" s="243" t="s">
        <v>293</v>
      </c>
      <c r="D14" s="237" t="s">
        <v>294</v>
      </c>
      <c r="E14" s="237">
        <v>52</v>
      </c>
      <c r="F14" s="237" t="s">
        <v>60</v>
      </c>
      <c r="G14" s="237" t="s">
        <v>295</v>
      </c>
      <c r="H14" s="235" t="s">
        <v>188</v>
      </c>
      <c r="I14" s="235" t="s">
        <v>296</v>
      </c>
      <c r="K14" s="240"/>
      <c r="L14" s="243" t="s">
        <v>231</v>
      </c>
      <c r="M14" s="243" t="s">
        <v>297</v>
      </c>
      <c r="N14" s="237" t="s">
        <v>228</v>
      </c>
      <c r="O14" s="237" t="s">
        <v>228</v>
      </c>
      <c r="P14" s="237" t="s">
        <v>231</v>
      </c>
      <c r="Q14" s="245" t="s">
        <v>228</v>
      </c>
      <c r="R14" s="237" t="s">
        <v>232</v>
      </c>
      <c r="S14" s="331" t="s">
        <v>233</v>
      </c>
      <c r="T14" s="237">
        <v>8.3000000000000007</v>
      </c>
      <c r="U14" s="237" t="s">
        <v>298</v>
      </c>
      <c r="V14" s="237" t="s">
        <v>235</v>
      </c>
      <c r="W14" s="245" t="s">
        <v>228</v>
      </c>
      <c r="X14" s="237" t="s">
        <v>299</v>
      </c>
      <c r="Y14" s="237" t="s">
        <v>237</v>
      </c>
      <c r="Z14" s="237" t="s">
        <v>237</v>
      </c>
      <c r="AA14" s="237" t="s">
        <v>300</v>
      </c>
      <c r="AB14" s="237" t="s">
        <v>228</v>
      </c>
      <c r="AC14" s="237" t="s">
        <v>228</v>
      </c>
    </row>
    <row r="15" spans="1:32" ht="13.5" customHeight="1">
      <c r="A15" s="235">
        <v>13</v>
      </c>
      <c r="B15" s="237">
        <v>44</v>
      </c>
      <c r="C15" s="243" t="s">
        <v>301</v>
      </c>
      <c r="D15" s="237" t="s">
        <v>302</v>
      </c>
      <c r="E15" s="237">
        <v>55</v>
      </c>
      <c r="F15" s="237" t="s">
        <v>75</v>
      </c>
      <c r="G15" s="237" t="s">
        <v>303</v>
      </c>
      <c r="H15" s="243" t="s">
        <v>188</v>
      </c>
      <c r="I15" s="243"/>
      <c r="K15" s="240"/>
      <c r="L15" s="243" t="s">
        <v>231</v>
      </c>
      <c r="M15" s="243" t="s">
        <v>231</v>
      </c>
      <c r="N15" s="237" t="s">
        <v>228</v>
      </c>
      <c r="O15" s="237" t="s">
        <v>228</v>
      </c>
      <c r="P15" s="237" t="s">
        <v>231</v>
      </c>
      <c r="Q15" s="245">
        <v>44875</v>
      </c>
      <c r="R15" s="237" t="s">
        <v>232</v>
      </c>
      <c r="S15" s="331" t="s">
        <v>233</v>
      </c>
      <c r="T15" s="237">
        <v>8.3000000000000007</v>
      </c>
      <c r="U15" s="237" t="s">
        <v>234</v>
      </c>
      <c r="V15" s="237" t="s">
        <v>235</v>
      </c>
      <c r="W15" s="245" t="s">
        <v>228</v>
      </c>
      <c r="X15" s="237" t="s">
        <v>304</v>
      </c>
      <c r="Y15" s="237" t="s">
        <v>237</v>
      </c>
      <c r="Z15" s="237" t="s">
        <v>237</v>
      </c>
      <c r="AA15" s="237" t="s">
        <v>305</v>
      </c>
      <c r="AB15" s="237" t="s">
        <v>228</v>
      </c>
      <c r="AC15" s="237" t="s">
        <v>228</v>
      </c>
    </row>
    <row r="16" spans="1:32" ht="13.5" customHeight="1">
      <c r="A16" s="235">
        <v>14</v>
      </c>
      <c r="B16" s="237">
        <v>56</v>
      </c>
      <c r="C16" s="243" t="s">
        <v>306</v>
      </c>
      <c r="D16" s="237" t="s">
        <v>307</v>
      </c>
      <c r="E16" s="237">
        <v>42</v>
      </c>
      <c r="F16" s="237" t="s">
        <v>75</v>
      </c>
      <c r="G16" s="237" t="s">
        <v>308</v>
      </c>
      <c r="H16" s="243" t="s">
        <v>188</v>
      </c>
      <c r="I16" s="243"/>
      <c r="K16" s="240"/>
      <c r="L16" s="243" t="s">
        <v>231</v>
      </c>
      <c r="M16" s="246" t="s">
        <v>228</v>
      </c>
      <c r="N16" s="237" t="s">
        <v>32</v>
      </c>
      <c r="O16" s="237" t="s">
        <v>228</v>
      </c>
      <c r="P16" s="237" t="s">
        <v>231</v>
      </c>
      <c r="Q16" s="245">
        <v>44905</v>
      </c>
      <c r="R16" s="237" t="s">
        <v>309</v>
      </c>
      <c r="S16" s="331" t="s">
        <v>233</v>
      </c>
      <c r="T16" s="237">
        <v>8.5</v>
      </c>
      <c r="U16" s="237" t="s">
        <v>234</v>
      </c>
      <c r="V16" s="237" t="s">
        <v>235</v>
      </c>
      <c r="W16" s="245" t="s">
        <v>228</v>
      </c>
      <c r="X16" s="237" t="s">
        <v>310</v>
      </c>
      <c r="Y16" s="237" t="s">
        <v>237</v>
      </c>
      <c r="Z16" s="237" t="s">
        <v>237</v>
      </c>
      <c r="AA16" s="237" t="s">
        <v>311</v>
      </c>
      <c r="AB16" s="237" t="s">
        <v>228</v>
      </c>
      <c r="AC16" s="237" t="s">
        <v>228</v>
      </c>
    </row>
    <row r="17" spans="1:29" ht="13.5" customHeight="1">
      <c r="A17" s="235">
        <v>15</v>
      </c>
      <c r="B17" s="237">
        <v>57</v>
      </c>
      <c r="C17" s="243" t="s">
        <v>312</v>
      </c>
      <c r="D17" s="237" t="s">
        <v>313</v>
      </c>
      <c r="E17" s="237">
        <v>47</v>
      </c>
      <c r="F17" s="237" t="s">
        <v>60</v>
      </c>
      <c r="G17" s="237" t="s">
        <v>314</v>
      </c>
      <c r="H17" s="243" t="s">
        <v>188</v>
      </c>
      <c r="I17" s="243"/>
      <c r="K17" s="240"/>
      <c r="L17" s="243" t="s">
        <v>231</v>
      </c>
      <c r="M17" s="246" t="s">
        <v>228</v>
      </c>
      <c r="N17" s="237" t="s">
        <v>32</v>
      </c>
      <c r="O17" s="237" t="s">
        <v>228</v>
      </c>
      <c r="P17" s="237" t="s">
        <v>231</v>
      </c>
      <c r="Q17" s="245">
        <v>44905</v>
      </c>
      <c r="R17" s="237" t="s">
        <v>309</v>
      </c>
      <c r="S17" s="331" t="s">
        <v>233</v>
      </c>
      <c r="T17" s="237">
        <v>8.6</v>
      </c>
      <c r="U17" s="237" t="s">
        <v>234</v>
      </c>
      <c r="V17" s="237" t="s">
        <v>235</v>
      </c>
      <c r="W17" s="245" t="s">
        <v>228</v>
      </c>
      <c r="X17" s="237" t="s">
        <v>315</v>
      </c>
      <c r="Y17" s="237" t="s">
        <v>237</v>
      </c>
      <c r="Z17" s="237" t="s">
        <v>237</v>
      </c>
      <c r="AA17" s="237" t="s">
        <v>316</v>
      </c>
      <c r="AB17" s="237" t="s">
        <v>228</v>
      </c>
      <c r="AC17" s="237" t="s">
        <v>228</v>
      </c>
    </row>
    <row r="18" spans="1:29" ht="13.5" customHeight="1">
      <c r="A18" s="235">
        <v>16</v>
      </c>
      <c r="B18" s="237">
        <v>77</v>
      </c>
      <c r="C18" s="243" t="s">
        <v>317</v>
      </c>
      <c r="D18" s="237" t="s">
        <v>318</v>
      </c>
      <c r="E18" s="237">
        <v>57</v>
      </c>
      <c r="F18" s="237" t="s">
        <v>75</v>
      </c>
      <c r="G18" s="237" t="s">
        <v>319</v>
      </c>
      <c r="H18" s="243" t="s">
        <v>188</v>
      </c>
      <c r="I18" s="243"/>
      <c r="K18" s="240"/>
      <c r="L18" s="243" t="s">
        <v>231</v>
      </c>
      <c r="M18" s="246" t="s">
        <v>228</v>
      </c>
      <c r="N18" s="237" t="s">
        <v>228</v>
      </c>
      <c r="O18" s="237" t="s">
        <v>228</v>
      </c>
      <c r="P18" s="237" t="s">
        <v>231</v>
      </c>
      <c r="Q18" s="245">
        <v>44933</v>
      </c>
      <c r="R18" s="237" t="s">
        <v>309</v>
      </c>
      <c r="S18" s="331" t="s">
        <v>233</v>
      </c>
      <c r="T18" s="237">
        <v>8.8000000000000007</v>
      </c>
      <c r="U18" s="237" t="s">
        <v>234</v>
      </c>
      <c r="V18" s="237" t="s">
        <v>235</v>
      </c>
      <c r="W18" s="245" t="s">
        <v>228</v>
      </c>
      <c r="X18" s="237" t="s">
        <v>320</v>
      </c>
      <c r="Y18" s="237" t="s">
        <v>237</v>
      </c>
      <c r="Z18" s="237" t="s">
        <v>237</v>
      </c>
      <c r="AA18" s="237" t="s">
        <v>321</v>
      </c>
      <c r="AB18" s="237" t="s">
        <v>228</v>
      </c>
      <c r="AC18" s="237" t="s">
        <v>228</v>
      </c>
    </row>
    <row r="19" spans="1:29" ht="13.5" customHeight="1">
      <c r="A19" s="235">
        <v>17</v>
      </c>
      <c r="B19" s="237">
        <v>91</v>
      </c>
      <c r="C19" s="243" t="s">
        <v>322</v>
      </c>
      <c r="D19" s="237" t="s">
        <v>323</v>
      </c>
      <c r="E19" s="237">
        <v>64</v>
      </c>
      <c r="F19" s="237" t="s">
        <v>60</v>
      </c>
      <c r="G19" s="237" t="s">
        <v>324</v>
      </c>
      <c r="H19" s="243" t="s">
        <v>188</v>
      </c>
      <c r="I19" s="243"/>
      <c r="K19" s="240"/>
      <c r="L19" s="243" t="s">
        <v>231</v>
      </c>
      <c r="M19" s="246" t="s">
        <v>228</v>
      </c>
      <c r="N19" s="237" t="s">
        <v>228</v>
      </c>
      <c r="O19" s="237" t="s">
        <v>228</v>
      </c>
      <c r="P19" s="237" t="s">
        <v>231</v>
      </c>
      <c r="Q19" s="245">
        <v>44942</v>
      </c>
      <c r="R19" s="237" t="s">
        <v>309</v>
      </c>
      <c r="S19" s="331" t="s">
        <v>233</v>
      </c>
      <c r="T19" s="237">
        <v>8.1999999999999993</v>
      </c>
      <c r="U19" s="237" t="s">
        <v>234</v>
      </c>
      <c r="V19" s="237" t="s">
        <v>235</v>
      </c>
      <c r="W19" s="245" t="s">
        <v>228</v>
      </c>
      <c r="X19" s="237" t="s">
        <v>325</v>
      </c>
      <c r="Y19" s="237" t="s">
        <v>237</v>
      </c>
      <c r="Z19" s="237" t="s">
        <v>237</v>
      </c>
      <c r="AA19" s="237" t="s">
        <v>326</v>
      </c>
      <c r="AB19" s="237" t="s">
        <v>228</v>
      </c>
      <c r="AC19" s="237" t="s">
        <v>228</v>
      </c>
    </row>
    <row r="20" spans="1:29" ht="13.5" customHeight="1">
      <c r="A20" s="235">
        <v>18</v>
      </c>
      <c r="B20" s="237">
        <v>136</v>
      </c>
      <c r="C20" s="243" t="s">
        <v>327</v>
      </c>
      <c r="D20" s="237" t="s">
        <v>328</v>
      </c>
      <c r="E20" s="237">
        <v>39</v>
      </c>
      <c r="F20" s="237" t="s">
        <v>75</v>
      </c>
      <c r="G20" s="237" t="s">
        <v>329</v>
      </c>
      <c r="H20" s="243" t="s">
        <v>188</v>
      </c>
      <c r="I20" s="243"/>
      <c r="K20" s="240"/>
      <c r="L20" s="243" t="s">
        <v>231</v>
      </c>
      <c r="M20" s="246" t="s">
        <v>228</v>
      </c>
      <c r="N20" s="237" t="s">
        <v>330</v>
      </c>
      <c r="O20" s="237" t="s">
        <v>228</v>
      </c>
      <c r="P20" s="237" t="s">
        <v>231</v>
      </c>
      <c r="Q20" s="245">
        <v>0</v>
      </c>
      <c r="R20" s="237" t="s">
        <v>309</v>
      </c>
      <c r="S20" s="331" t="s">
        <v>233</v>
      </c>
      <c r="T20" s="237" t="s">
        <v>228</v>
      </c>
      <c r="U20" s="237" t="s">
        <v>234</v>
      </c>
      <c r="V20" s="237" t="s">
        <v>235</v>
      </c>
      <c r="W20" s="245">
        <v>45076</v>
      </c>
      <c r="X20" s="237" t="s">
        <v>331</v>
      </c>
      <c r="Y20" s="237" t="s">
        <v>237</v>
      </c>
      <c r="Z20" s="237" t="s">
        <v>228</v>
      </c>
      <c r="AA20" s="237" t="s">
        <v>332</v>
      </c>
      <c r="AB20" s="237" t="s">
        <v>228</v>
      </c>
      <c r="AC20" s="237" t="s">
        <v>228</v>
      </c>
    </row>
    <row r="21" spans="1:29" ht="13.5" customHeight="1">
      <c r="A21" s="235">
        <v>19</v>
      </c>
      <c r="B21" s="237">
        <v>89</v>
      </c>
      <c r="C21" s="243" t="s">
        <v>333</v>
      </c>
      <c r="D21" s="237" t="s">
        <v>334</v>
      </c>
      <c r="E21" s="237">
        <v>62</v>
      </c>
      <c r="F21" s="237" t="s">
        <v>75</v>
      </c>
      <c r="G21" s="237" t="s">
        <v>335</v>
      </c>
      <c r="H21" s="243" t="s">
        <v>188</v>
      </c>
      <c r="I21" s="243"/>
      <c r="K21" s="240"/>
      <c r="L21" s="243" t="s">
        <v>231</v>
      </c>
      <c r="M21" s="246" t="s">
        <v>228</v>
      </c>
      <c r="N21" s="237" t="s">
        <v>336</v>
      </c>
      <c r="O21" s="237" t="s">
        <v>228</v>
      </c>
      <c r="P21" s="237" t="s">
        <v>231</v>
      </c>
      <c r="Q21" s="245">
        <v>44936</v>
      </c>
      <c r="R21" s="237" t="s">
        <v>309</v>
      </c>
      <c r="S21" s="331" t="s">
        <v>233</v>
      </c>
      <c r="T21" s="237">
        <v>8.3000000000000007</v>
      </c>
      <c r="U21" s="237" t="s">
        <v>234</v>
      </c>
      <c r="V21" s="237" t="s">
        <v>235</v>
      </c>
      <c r="W21" s="245">
        <v>45076</v>
      </c>
      <c r="X21" s="237" t="s">
        <v>337</v>
      </c>
      <c r="Y21" s="237" t="s">
        <v>237</v>
      </c>
      <c r="Z21" s="237" t="s">
        <v>237</v>
      </c>
      <c r="AA21" s="237" t="s">
        <v>228</v>
      </c>
      <c r="AB21" s="237" t="s">
        <v>228</v>
      </c>
      <c r="AC21" s="237" t="s">
        <v>228</v>
      </c>
    </row>
    <row r="22" spans="1:29" ht="13.5" customHeight="1">
      <c r="A22" s="235">
        <v>20</v>
      </c>
      <c r="B22" s="237">
        <v>161</v>
      </c>
      <c r="C22" s="243" t="s">
        <v>338</v>
      </c>
      <c r="D22" s="237" t="s">
        <v>339</v>
      </c>
      <c r="E22" s="237">
        <v>46</v>
      </c>
      <c r="F22" s="237" t="s">
        <v>75</v>
      </c>
      <c r="G22" s="237" t="s">
        <v>340</v>
      </c>
      <c r="H22" s="243" t="s">
        <v>188</v>
      </c>
      <c r="I22" s="243"/>
      <c r="K22" s="240"/>
      <c r="L22" s="243" t="s">
        <v>231</v>
      </c>
      <c r="M22" s="246" t="s">
        <v>228</v>
      </c>
      <c r="N22" s="237" t="s">
        <v>341</v>
      </c>
      <c r="O22" s="237" t="s">
        <v>228</v>
      </c>
      <c r="P22" s="237" t="s">
        <v>231</v>
      </c>
      <c r="Q22" s="245">
        <v>45145</v>
      </c>
      <c r="R22" s="237" t="s">
        <v>309</v>
      </c>
      <c r="S22" s="331" t="s">
        <v>233</v>
      </c>
      <c r="T22" s="237">
        <v>8.5</v>
      </c>
      <c r="U22" s="237" t="s">
        <v>234</v>
      </c>
      <c r="V22" s="237" t="s">
        <v>235</v>
      </c>
      <c r="W22" s="245">
        <v>45169</v>
      </c>
      <c r="X22" s="237" t="s">
        <v>342</v>
      </c>
      <c r="Y22" s="237" t="s">
        <v>237</v>
      </c>
      <c r="Z22" s="237" t="s">
        <v>237</v>
      </c>
      <c r="AA22" s="237" t="s">
        <v>343</v>
      </c>
      <c r="AB22" s="237" t="s">
        <v>237</v>
      </c>
      <c r="AC22" s="237" t="s">
        <v>353</v>
      </c>
    </row>
    <row r="23" spans="1:29" ht="15.75" customHeight="1">
      <c r="A23" s="235">
        <v>21</v>
      </c>
      <c r="B23" s="237">
        <v>166</v>
      </c>
      <c r="C23" s="243" t="s">
        <v>344</v>
      </c>
      <c r="D23" s="237" t="s">
        <v>345</v>
      </c>
      <c r="E23" s="237">
        <v>74</v>
      </c>
      <c r="F23" s="237" t="s">
        <v>60</v>
      </c>
      <c r="G23" s="237" t="s">
        <v>346</v>
      </c>
      <c r="H23" s="243" t="s">
        <v>15</v>
      </c>
      <c r="I23" s="240" t="s">
        <v>39</v>
      </c>
      <c r="K23" s="240" t="s">
        <v>347</v>
      </c>
      <c r="L23" s="247" t="s">
        <v>348</v>
      </c>
      <c r="M23" s="243" t="s">
        <v>349</v>
      </c>
      <c r="N23" s="237" t="s">
        <v>350</v>
      </c>
      <c r="O23" s="237" t="s">
        <v>228</v>
      </c>
      <c r="P23" s="237" t="s">
        <v>231</v>
      </c>
      <c r="Q23" s="245">
        <v>45241</v>
      </c>
      <c r="R23" s="237" t="s">
        <v>309</v>
      </c>
      <c r="S23" s="331" t="s">
        <v>233</v>
      </c>
      <c r="T23" s="237">
        <v>8.5</v>
      </c>
      <c r="U23" s="237" t="s">
        <v>298</v>
      </c>
      <c r="V23" s="237" t="s">
        <v>235</v>
      </c>
      <c r="W23" s="245">
        <v>45265</v>
      </c>
      <c r="X23" s="237" t="s">
        <v>351</v>
      </c>
      <c r="Y23" s="237" t="s">
        <v>237</v>
      </c>
      <c r="Z23" s="237" t="s">
        <v>237</v>
      </c>
      <c r="AA23" s="237" t="s">
        <v>352</v>
      </c>
      <c r="AB23" s="237" t="s">
        <v>237</v>
      </c>
      <c r="AC23" s="237" t="s">
        <v>353</v>
      </c>
    </row>
    <row r="24" spans="1:29" ht="15.75" customHeight="1">
      <c r="A24" s="235">
        <v>22</v>
      </c>
      <c r="B24" s="237">
        <v>167</v>
      </c>
      <c r="C24" s="243" t="s">
        <v>355</v>
      </c>
      <c r="D24" s="237" t="s">
        <v>356</v>
      </c>
      <c r="E24" s="237">
        <v>68</v>
      </c>
      <c r="F24" s="237" t="s">
        <v>75</v>
      </c>
      <c r="G24" s="237" t="s">
        <v>357</v>
      </c>
      <c r="H24" s="243" t="s">
        <v>15</v>
      </c>
      <c r="I24" s="243"/>
      <c r="K24" s="240" t="s">
        <v>114</v>
      </c>
      <c r="L24" s="243" t="s">
        <v>358</v>
      </c>
      <c r="M24" s="246" t="s">
        <v>228</v>
      </c>
      <c r="N24" s="237" t="s">
        <v>359</v>
      </c>
      <c r="O24" s="237" t="s">
        <v>228</v>
      </c>
      <c r="P24" s="237" t="s">
        <v>231</v>
      </c>
      <c r="Q24" s="245">
        <v>45253</v>
      </c>
      <c r="R24" s="237" t="s">
        <v>309</v>
      </c>
      <c r="S24" s="331" t="s">
        <v>233</v>
      </c>
      <c r="T24" s="237">
        <v>8.9</v>
      </c>
      <c r="U24" s="237" t="s">
        <v>298</v>
      </c>
      <c r="V24" s="237" t="s">
        <v>235</v>
      </c>
      <c r="W24" s="245">
        <v>45280</v>
      </c>
      <c r="X24" s="237" t="s">
        <v>360</v>
      </c>
      <c r="Y24" s="237" t="s">
        <v>237</v>
      </c>
      <c r="Z24" s="237" t="s">
        <v>237</v>
      </c>
      <c r="AA24" s="237" t="s">
        <v>361</v>
      </c>
      <c r="AB24" s="237" t="s">
        <v>228</v>
      </c>
      <c r="AC24" s="237" t="s">
        <v>228</v>
      </c>
    </row>
    <row r="25" spans="1:29" ht="13.5" customHeight="1">
      <c r="A25" s="235">
        <v>23</v>
      </c>
      <c r="B25" s="237">
        <v>163</v>
      </c>
      <c r="C25" s="243" t="s">
        <v>363</v>
      </c>
      <c r="D25" s="237" t="s">
        <v>364</v>
      </c>
      <c r="E25" s="237">
        <v>56</v>
      </c>
      <c r="F25" s="237" t="s">
        <v>75</v>
      </c>
      <c r="G25" s="237" t="s">
        <v>365</v>
      </c>
      <c r="H25" s="243" t="s">
        <v>188</v>
      </c>
      <c r="I25" s="243"/>
      <c r="K25" s="240"/>
      <c r="L25" s="243" t="s">
        <v>231</v>
      </c>
      <c r="M25" s="246" t="s">
        <v>228</v>
      </c>
      <c r="N25" s="237" t="s">
        <v>228</v>
      </c>
      <c r="O25" s="237" t="s">
        <v>228</v>
      </c>
      <c r="P25" s="237" t="s">
        <v>231</v>
      </c>
      <c r="Q25" s="245">
        <v>45161</v>
      </c>
      <c r="R25" s="237" t="s">
        <v>309</v>
      </c>
      <c r="S25" s="331" t="s">
        <v>233</v>
      </c>
      <c r="T25" s="237">
        <v>9.1</v>
      </c>
      <c r="U25" s="237" t="s">
        <v>234</v>
      </c>
      <c r="V25" s="237" t="s">
        <v>235</v>
      </c>
      <c r="W25" s="245">
        <v>45183</v>
      </c>
      <c r="X25" s="237" t="s">
        <v>366</v>
      </c>
      <c r="Y25" s="237" t="s">
        <v>237</v>
      </c>
      <c r="Z25" s="237" t="s">
        <v>237</v>
      </c>
      <c r="AA25" s="237" t="s">
        <v>367</v>
      </c>
      <c r="AB25" s="237" t="s">
        <v>228</v>
      </c>
      <c r="AC25" s="237" t="s">
        <v>228</v>
      </c>
    </row>
    <row r="26" spans="1:29" ht="13.5" customHeight="1">
      <c r="A26" s="235">
        <v>24</v>
      </c>
      <c r="B26" s="237">
        <v>189</v>
      </c>
      <c r="C26" s="243" t="s">
        <v>368</v>
      </c>
      <c r="D26" s="237" t="s">
        <v>369</v>
      </c>
      <c r="E26" s="237">
        <v>25</v>
      </c>
      <c r="F26" s="237" t="s">
        <v>75</v>
      </c>
      <c r="G26" s="237" t="s">
        <v>370</v>
      </c>
      <c r="H26" s="243" t="s">
        <v>188</v>
      </c>
      <c r="I26" s="243"/>
      <c r="K26" s="240"/>
      <c r="L26" s="243" t="s">
        <v>231</v>
      </c>
      <c r="M26" s="246" t="s">
        <v>228</v>
      </c>
      <c r="N26" s="237" t="s">
        <v>371</v>
      </c>
      <c r="O26" s="237" t="s">
        <v>228</v>
      </c>
      <c r="P26" s="237"/>
      <c r="Q26" s="245">
        <v>45357</v>
      </c>
      <c r="R26" s="237" t="s">
        <v>309</v>
      </c>
      <c r="S26" s="331" t="s">
        <v>233</v>
      </c>
      <c r="T26" s="237" t="s">
        <v>372</v>
      </c>
      <c r="U26" s="237" t="s">
        <v>234</v>
      </c>
      <c r="V26" s="237" t="s">
        <v>235</v>
      </c>
      <c r="W26" s="245">
        <v>45398</v>
      </c>
      <c r="X26" s="237" t="s">
        <v>373</v>
      </c>
      <c r="Y26" s="237" t="s">
        <v>237</v>
      </c>
      <c r="Z26" s="237" t="s">
        <v>228</v>
      </c>
      <c r="AA26" s="237" t="s">
        <v>374</v>
      </c>
      <c r="AB26" s="237" t="s">
        <v>237</v>
      </c>
      <c r="AC26" s="237" t="s">
        <v>353</v>
      </c>
    </row>
    <row r="27" spans="1:29" ht="11.25" customHeight="1">
      <c r="A27" s="235">
        <v>25</v>
      </c>
      <c r="B27" s="237">
        <v>19</v>
      </c>
      <c r="C27" s="243" t="s">
        <v>375</v>
      </c>
      <c r="D27" s="237" t="s">
        <v>376</v>
      </c>
      <c r="E27" s="237">
        <v>56</v>
      </c>
      <c r="F27" s="237" t="s">
        <v>60</v>
      </c>
      <c r="G27" s="237" t="s">
        <v>377</v>
      </c>
      <c r="H27" s="243" t="s">
        <v>15</v>
      </c>
      <c r="I27" s="235" t="s">
        <v>378</v>
      </c>
      <c r="J27" s="237"/>
      <c r="K27" s="240"/>
      <c r="L27" s="243" t="s">
        <v>231</v>
      </c>
      <c r="M27" s="243" t="s">
        <v>380</v>
      </c>
      <c r="N27" s="237" t="s">
        <v>381</v>
      </c>
      <c r="O27" s="237" t="s">
        <v>228</v>
      </c>
      <c r="P27" s="237"/>
      <c r="Q27" s="245">
        <v>45369</v>
      </c>
      <c r="R27" s="237" t="s">
        <v>309</v>
      </c>
      <c r="S27" s="331" t="s">
        <v>233</v>
      </c>
      <c r="T27" s="237" t="s">
        <v>382</v>
      </c>
      <c r="U27" s="237" t="s">
        <v>298</v>
      </c>
      <c r="V27" s="237" t="s">
        <v>235</v>
      </c>
      <c r="W27" s="245">
        <v>45411</v>
      </c>
      <c r="X27" s="237" t="s">
        <v>383</v>
      </c>
      <c r="Y27" s="237" t="s">
        <v>237</v>
      </c>
      <c r="Z27" s="237" t="s">
        <v>237</v>
      </c>
      <c r="AA27" s="237" t="s">
        <v>384</v>
      </c>
      <c r="AB27" s="237" t="s">
        <v>237</v>
      </c>
      <c r="AC27" s="237" t="s">
        <v>353</v>
      </c>
    </row>
    <row r="28" spans="1:29" ht="13.5" customHeight="1">
      <c r="A28" s="235">
        <v>26</v>
      </c>
      <c r="B28" s="237">
        <v>192</v>
      </c>
      <c r="C28" s="243" t="s">
        <v>385</v>
      </c>
      <c r="D28" s="237" t="s">
        <v>386</v>
      </c>
      <c r="E28" s="237">
        <v>27</v>
      </c>
      <c r="F28" s="237" t="s">
        <v>75</v>
      </c>
      <c r="G28" s="237" t="s">
        <v>387</v>
      </c>
      <c r="H28" s="243" t="s">
        <v>188</v>
      </c>
      <c r="I28" s="243"/>
      <c r="K28" s="240"/>
      <c r="L28" s="243" t="s">
        <v>231</v>
      </c>
      <c r="M28" s="246" t="s">
        <v>228</v>
      </c>
      <c r="N28" s="237" t="s">
        <v>388</v>
      </c>
      <c r="O28" s="237" t="s">
        <v>228</v>
      </c>
      <c r="P28" s="237"/>
      <c r="Q28" s="245">
        <v>45390</v>
      </c>
      <c r="R28" s="237" t="s">
        <v>309</v>
      </c>
      <c r="S28" s="331" t="s">
        <v>233</v>
      </c>
      <c r="T28" s="237" t="s">
        <v>389</v>
      </c>
      <c r="U28" s="237" t="s">
        <v>298</v>
      </c>
      <c r="V28" s="237" t="s">
        <v>235</v>
      </c>
      <c r="W28" s="245">
        <v>45427</v>
      </c>
      <c r="X28" s="237" t="s">
        <v>390</v>
      </c>
      <c r="Y28" s="237" t="s">
        <v>237</v>
      </c>
      <c r="Z28" s="237" t="s">
        <v>237</v>
      </c>
      <c r="AA28" s="237" t="s">
        <v>391</v>
      </c>
      <c r="AB28" s="237" t="s">
        <v>228</v>
      </c>
      <c r="AC28" s="237" t="s">
        <v>228</v>
      </c>
    </row>
    <row r="29" spans="1:29" ht="13.5" customHeight="1">
      <c r="A29" s="235">
        <v>27</v>
      </c>
      <c r="B29" s="237">
        <v>21</v>
      </c>
      <c r="C29" s="243" t="s">
        <v>393</v>
      </c>
      <c r="D29" s="237" t="s">
        <v>394</v>
      </c>
      <c r="E29" s="237">
        <v>40</v>
      </c>
      <c r="F29" s="237" t="s">
        <v>75</v>
      </c>
      <c r="G29" s="237" t="s">
        <v>395</v>
      </c>
      <c r="H29" s="243" t="s">
        <v>188</v>
      </c>
      <c r="I29" s="243"/>
      <c r="K29" s="240"/>
      <c r="L29" s="243" t="s">
        <v>231</v>
      </c>
      <c r="M29" s="246" t="s">
        <v>228</v>
      </c>
      <c r="N29" s="237" t="s">
        <v>228</v>
      </c>
      <c r="O29" s="237" t="s">
        <v>228</v>
      </c>
      <c r="P29" s="237"/>
      <c r="Q29" s="245">
        <v>45454</v>
      </c>
      <c r="R29" s="237" t="s">
        <v>309</v>
      </c>
      <c r="S29" s="331" t="s">
        <v>233</v>
      </c>
      <c r="T29" s="237" t="s">
        <v>396</v>
      </c>
      <c r="U29" s="237" t="s">
        <v>298</v>
      </c>
      <c r="V29" s="237" t="s">
        <v>235</v>
      </c>
      <c r="W29" s="245">
        <v>45482</v>
      </c>
      <c r="X29" s="237" t="s">
        <v>397</v>
      </c>
      <c r="Y29" s="237" t="s">
        <v>237</v>
      </c>
      <c r="Z29" s="237" t="s">
        <v>237</v>
      </c>
      <c r="AA29" s="237" t="s">
        <v>398</v>
      </c>
      <c r="AB29" s="237" t="s">
        <v>237</v>
      </c>
      <c r="AC29" s="237" t="s">
        <v>353</v>
      </c>
    </row>
    <row r="30" spans="1:29" ht="15.75" customHeight="1">
      <c r="A30" s="235">
        <v>28</v>
      </c>
      <c r="B30" s="237">
        <v>24</v>
      </c>
      <c r="C30" s="243" t="s">
        <v>399</v>
      </c>
      <c r="D30" s="237" t="s">
        <v>400</v>
      </c>
      <c r="E30" s="237">
        <v>67</v>
      </c>
      <c r="F30" s="237" t="s">
        <v>60</v>
      </c>
      <c r="G30" s="237" t="s">
        <v>401</v>
      </c>
      <c r="H30" s="243" t="s">
        <v>188</v>
      </c>
      <c r="I30" s="243"/>
      <c r="K30" s="240"/>
      <c r="L30" s="243" t="s">
        <v>231</v>
      </c>
      <c r="M30" s="243" t="s">
        <v>402</v>
      </c>
      <c r="N30" s="248" t="s">
        <v>403</v>
      </c>
      <c r="O30" s="237" t="s">
        <v>228</v>
      </c>
      <c r="P30" s="237"/>
      <c r="Q30" s="245">
        <v>45472</v>
      </c>
      <c r="R30" s="237" t="s">
        <v>309</v>
      </c>
      <c r="S30" s="331" t="s">
        <v>233</v>
      </c>
      <c r="T30" s="237" t="s">
        <v>404</v>
      </c>
      <c r="U30" s="237" t="s">
        <v>298</v>
      </c>
      <c r="V30" s="237" t="s">
        <v>235</v>
      </c>
      <c r="W30" s="245">
        <v>45510</v>
      </c>
      <c r="X30" s="237" t="s">
        <v>405</v>
      </c>
      <c r="Y30" s="237" t="s">
        <v>237</v>
      </c>
      <c r="Z30" s="237" t="s">
        <v>237</v>
      </c>
      <c r="AA30" s="237" t="s">
        <v>406</v>
      </c>
      <c r="AB30" s="237" t="s">
        <v>228</v>
      </c>
      <c r="AC30" s="237" t="s">
        <v>228</v>
      </c>
    </row>
    <row r="31" spans="1:29" ht="13.5" customHeight="1">
      <c r="A31" s="235">
        <v>29</v>
      </c>
      <c r="B31" s="237">
        <v>25</v>
      </c>
      <c r="C31" s="243" t="s">
        <v>407</v>
      </c>
      <c r="D31" s="237" t="s">
        <v>408</v>
      </c>
      <c r="E31" s="237">
        <v>26</v>
      </c>
      <c r="F31" s="237" t="s">
        <v>75</v>
      </c>
      <c r="G31" s="237" t="s">
        <v>409</v>
      </c>
      <c r="H31" s="243" t="s">
        <v>188</v>
      </c>
      <c r="I31" s="243"/>
      <c r="K31" s="240"/>
      <c r="L31" s="243" t="s">
        <v>231</v>
      </c>
      <c r="M31" s="246" t="s">
        <v>228</v>
      </c>
      <c r="N31" s="237" t="s">
        <v>228</v>
      </c>
      <c r="O31" s="237" t="s">
        <v>228</v>
      </c>
      <c r="P31" s="237"/>
      <c r="Q31" s="245">
        <v>45478</v>
      </c>
      <c r="R31" s="237" t="s">
        <v>309</v>
      </c>
      <c r="S31" s="331" t="s">
        <v>233</v>
      </c>
      <c r="T31" s="237" t="s">
        <v>410</v>
      </c>
      <c r="U31" s="237" t="s">
        <v>234</v>
      </c>
      <c r="V31" s="237" t="s">
        <v>235</v>
      </c>
      <c r="W31" s="245">
        <v>45516</v>
      </c>
      <c r="X31" s="237" t="s">
        <v>411</v>
      </c>
      <c r="Y31" s="237" t="s">
        <v>237</v>
      </c>
      <c r="Z31" s="237" t="s">
        <v>237</v>
      </c>
      <c r="AA31" s="237" t="s">
        <v>412</v>
      </c>
      <c r="AB31" s="237" t="s">
        <v>237</v>
      </c>
      <c r="AC31" s="237" t="s">
        <v>353</v>
      </c>
    </row>
    <row r="32" spans="1:29" ht="13.5" customHeight="1">
      <c r="A32" s="235">
        <v>30</v>
      </c>
      <c r="B32" s="237">
        <v>29</v>
      </c>
      <c r="C32" s="243" t="s">
        <v>413</v>
      </c>
      <c r="D32" s="237" t="s">
        <v>414</v>
      </c>
      <c r="E32" s="237">
        <v>68</v>
      </c>
      <c r="F32" s="237" t="s">
        <v>60</v>
      </c>
      <c r="G32" s="237" t="s">
        <v>415</v>
      </c>
      <c r="H32" s="243" t="s">
        <v>188</v>
      </c>
      <c r="I32" s="243"/>
      <c r="K32" s="240"/>
      <c r="L32" s="243" t="s">
        <v>231</v>
      </c>
      <c r="M32" s="243" t="s">
        <v>416</v>
      </c>
      <c r="N32" s="248" t="s">
        <v>417</v>
      </c>
      <c r="O32" s="237" t="s">
        <v>228</v>
      </c>
      <c r="P32" s="237"/>
      <c r="Q32" s="245">
        <v>45484</v>
      </c>
      <c r="R32" s="237" t="s">
        <v>309</v>
      </c>
      <c r="S32" s="331" t="s">
        <v>233</v>
      </c>
      <c r="T32" s="237" t="s">
        <v>418</v>
      </c>
      <c r="U32" s="237" t="s">
        <v>298</v>
      </c>
      <c r="V32" s="237" t="s">
        <v>235</v>
      </c>
      <c r="W32" s="245">
        <v>45511</v>
      </c>
      <c r="X32" s="237" t="s">
        <v>419</v>
      </c>
      <c r="Y32" s="237" t="s">
        <v>237</v>
      </c>
      <c r="Z32" s="237" t="s">
        <v>237</v>
      </c>
      <c r="AA32" s="237" t="s">
        <v>420</v>
      </c>
      <c r="AB32" s="237" t="s">
        <v>237</v>
      </c>
      <c r="AC32" s="237" t="s">
        <v>353</v>
      </c>
    </row>
    <row r="33" spans="1:39" ht="13.5" customHeight="1">
      <c r="A33" s="235">
        <v>31</v>
      </c>
      <c r="B33" s="237">
        <v>213</v>
      </c>
      <c r="C33" s="243" t="s">
        <v>422</v>
      </c>
      <c r="D33" s="237" t="s">
        <v>423</v>
      </c>
      <c r="E33" s="237">
        <v>50</v>
      </c>
      <c r="F33" s="237" t="s">
        <v>424</v>
      </c>
      <c r="G33" s="237" t="s">
        <v>425</v>
      </c>
      <c r="H33" s="243" t="s">
        <v>188</v>
      </c>
      <c r="I33" s="243"/>
      <c r="K33" s="240"/>
      <c r="L33" s="243" t="s">
        <v>231</v>
      </c>
      <c r="M33" s="243" t="s">
        <v>426</v>
      </c>
      <c r="N33" s="237"/>
      <c r="O33" s="237"/>
      <c r="P33" s="237"/>
      <c r="Q33" s="245">
        <v>45496</v>
      </c>
      <c r="R33" s="237" t="s">
        <v>309</v>
      </c>
      <c r="S33" s="331" t="s">
        <v>233</v>
      </c>
      <c r="T33" s="237" t="s">
        <v>427</v>
      </c>
      <c r="U33" s="237" t="s">
        <v>298</v>
      </c>
      <c r="V33" s="237" t="s">
        <v>235</v>
      </c>
      <c r="W33" s="245">
        <v>45561</v>
      </c>
      <c r="X33" s="237" t="s">
        <v>428</v>
      </c>
      <c r="Y33" s="237" t="s">
        <v>237</v>
      </c>
      <c r="Z33" s="237" t="s">
        <v>237</v>
      </c>
      <c r="AA33" s="237" t="s">
        <v>429</v>
      </c>
      <c r="AB33" s="237" t="s">
        <v>228</v>
      </c>
      <c r="AC33" s="237" t="s">
        <v>228</v>
      </c>
    </row>
    <row r="34" spans="1:39" ht="13.5" customHeight="1">
      <c r="A34" s="235">
        <v>32</v>
      </c>
      <c r="B34" s="237">
        <v>249</v>
      </c>
      <c r="C34" s="243" t="s">
        <v>430</v>
      </c>
      <c r="D34" s="237" t="s">
        <v>431</v>
      </c>
      <c r="E34" s="237">
        <v>59</v>
      </c>
      <c r="F34" s="237" t="s">
        <v>75</v>
      </c>
      <c r="G34" s="237" t="s">
        <v>432</v>
      </c>
      <c r="H34" s="243" t="s">
        <v>27</v>
      </c>
      <c r="I34" s="243"/>
      <c r="J34" s="235" t="s">
        <v>433</v>
      </c>
      <c r="K34" s="240"/>
      <c r="L34" s="243" t="s">
        <v>231</v>
      </c>
      <c r="M34" s="246" t="s">
        <v>228</v>
      </c>
      <c r="N34" s="237"/>
      <c r="O34" s="237"/>
      <c r="P34" s="237"/>
      <c r="Q34" s="245">
        <v>45587</v>
      </c>
      <c r="R34" s="237" t="s">
        <v>309</v>
      </c>
      <c r="S34" s="331" t="s">
        <v>233</v>
      </c>
      <c r="T34" s="237">
        <v>8.6</v>
      </c>
      <c r="U34" s="237" t="s">
        <v>298</v>
      </c>
      <c r="V34" s="237" t="s">
        <v>235</v>
      </c>
      <c r="W34" s="245">
        <v>45624</v>
      </c>
      <c r="X34" s="237" t="s">
        <v>434</v>
      </c>
      <c r="Y34" s="237" t="s">
        <v>237</v>
      </c>
      <c r="Z34" s="237" t="s">
        <v>237</v>
      </c>
      <c r="AA34" s="237" t="s">
        <v>435</v>
      </c>
      <c r="AB34" s="237" t="s">
        <v>237</v>
      </c>
      <c r="AC34" s="237" t="s">
        <v>353</v>
      </c>
    </row>
    <row r="35" spans="1:39" ht="13.5" customHeight="1">
      <c r="A35" s="235">
        <v>33</v>
      </c>
      <c r="B35" s="237">
        <v>276</v>
      </c>
      <c r="C35" s="243" t="s">
        <v>436</v>
      </c>
      <c r="D35" s="237" t="s">
        <v>437</v>
      </c>
      <c r="E35" s="237">
        <v>73</v>
      </c>
      <c r="F35" s="237" t="s">
        <v>424</v>
      </c>
      <c r="G35" s="237" t="s">
        <v>438</v>
      </c>
      <c r="H35" s="243" t="s">
        <v>15</v>
      </c>
      <c r="I35" s="243"/>
      <c r="K35" s="240" t="s">
        <v>439</v>
      </c>
      <c r="L35" s="243" t="s">
        <v>440</v>
      </c>
      <c r="M35" s="243" t="s">
        <v>441</v>
      </c>
      <c r="N35" s="237"/>
      <c r="O35" s="237"/>
      <c r="P35" s="237"/>
      <c r="Q35" s="245">
        <v>45610</v>
      </c>
      <c r="R35" s="237" t="s">
        <v>309</v>
      </c>
      <c r="S35" s="331" t="s">
        <v>233</v>
      </c>
      <c r="T35" s="237" t="s">
        <v>228</v>
      </c>
      <c r="U35" s="237" t="s">
        <v>442</v>
      </c>
      <c r="V35" s="237" t="s">
        <v>235</v>
      </c>
      <c r="W35" s="245">
        <v>45690</v>
      </c>
      <c r="X35" s="237" t="s">
        <v>443</v>
      </c>
      <c r="Y35" s="237" t="s">
        <v>237</v>
      </c>
      <c r="Z35" s="237" t="s">
        <v>237</v>
      </c>
      <c r="AA35" s="237" t="s">
        <v>444</v>
      </c>
      <c r="AB35" s="237" t="s">
        <v>228</v>
      </c>
      <c r="AC35" s="237" t="s">
        <v>228</v>
      </c>
    </row>
    <row r="36" spans="1:39" ht="13.5" customHeight="1">
      <c r="A36" s="235">
        <v>34</v>
      </c>
      <c r="B36" s="237">
        <v>31</v>
      </c>
      <c r="C36" s="243" t="s">
        <v>446</v>
      </c>
      <c r="D36" s="237" t="s">
        <v>447</v>
      </c>
      <c r="E36" s="237">
        <v>26</v>
      </c>
      <c r="F36" s="237" t="s">
        <v>60</v>
      </c>
      <c r="G36" s="237" t="s">
        <v>448</v>
      </c>
      <c r="H36" s="243" t="s">
        <v>27</v>
      </c>
      <c r="I36" s="243"/>
      <c r="J36" s="235" t="s">
        <v>433</v>
      </c>
      <c r="K36" s="240"/>
      <c r="L36" s="243" t="s">
        <v>231</v>
      </c>
      <c r="M36" s="243" t="s">
        <v>32</v>
      </c>
      <c r="N36" s="237"/>
      <c r="O36" s="237"/>
      <c r="P36" s="237"/>
      <c r="Q36" s="245">
        <v>45624</v>
      </c>
      <c r="R36" s="237" t="s">
        <v>309</v>
      </c>
      <c r="S36" s="331" t="s">
        <v>233</v>
      </c>
      <c r="T36" s="237">
        <v>9.1</v>
      </c>
      <c r="U36" s="237" t="s">
        <v>234</v>
      </c>
      <c r="V36" s="237" t="s">
        <v>235</v>
      </c>
      <c r="W36" s="245">
        <v>45677</v>
      </c>
      <c r="X36" s="237" t="s">
        <v>449</v>
      </c>
      <c r="Y36" s="237" t="s">
        <v>237</v>
      </c>
      <c r="Z36" s="237" t="s">
        <v>237</v>
      </c>
      <c r="AA36" s="237" t="s">
        <v>450</v>
      </c>
      <c r="AB36" s="237" t="s">
        <v>237</v>
      </c>
      <c r="AC36" s="237" t="s">
        <v>353</v>
      </c>
    </row>
    <row r="37" spans="1:39" ht="13.5" customHeight="1">
      <c r="A37" s="235">
        <v>35</v>
      </c>
      <c r="B37" s="237">
        <v>322</v>
      </c>
      <c r="C37" s="243" t="s">
        <v>451</v>
      </c>
      <c r="D37" s="237" t="s">
        <v>452</v>
      </c>
      <c r="E37" s="237">
        <v>64</v>
      </c>
      <c r="F37" s="237" t="s">
        <v>60</v>
      </c>
      <c r="G37" s="237" t="s">
        <v>453</v>
      </c>
      <c r="H37" s="243" t="s">
        <v>188</v>
      </c>
      <c r="I37" s="243"/>
      <c r="K37" s="240"/>
      <c r="L37" s="243" t="s">
        <v>231</v>
      </c>
      <c r="M37" s="246" t="s">
        <v>228</v>
      </c>
      <c r="N37" s="237"/>
      <c r="O37" s="237"/>
      <c r="P37" s="237"/>
      <c r="Q37" s="245">
        <v>45635</v>
      </c>
      <c r="R37" s="237" t="s">
        <v>309</v>
      </c>
      <c r="S37" s="331" t="s">
        <v>233</v>
      </c>
      <c r="T37" s="237">
        <v>7.9</v>
      </c>
      <c r="U37" s="237" t="s">
        <v>298</v>
      </c>
      <c r="V37" s="237" t="s">
        <v>235</v>
      </c>
      <c r="W37" s="245">
        <v>45677</v>
      </c>
      <c r="X37" s="237" t="s">
        <v>454</v>
      </c>
      <c r="Y37" s="237" t="s">
        <v>237</v>
      </c>
      <c r="Z37" s="237" t="s">
        <v>237</v>
      </c>
      <c r="AA37" s="237" t="s">
        <v>455</v>
      </c>
      <c r="AB37" s="237" t="s">
        <v>237</v>
      </c>
      <c r="AC37" s="237" t="s">
        <v>353</v>
      </c>
    </row>
    <row r="38" spans="1:39" ht="13.5" customHeight="1">
      <c r="A38" s="235">
        <v>36</v>
      </c>
      <c r="B38" s="237">
        <v>359</v>
      </c>
      <c r="C38" s="243" t="s">
        <v>456</v>
      </c>
      <c r="D38" s="237" t="s">
        <v>457</v>
      </c>
      <c r="E38" s="237">
        <v>44</v>
      </c>
      <c r="F38" s="237" t="s">
        <v>75</v>
      </c>
      <c r="G38" s="237" t="s">
        <v>458</v>
      </c>
      <c r="H38" s="243" t="s">
        <v>15</v>
      </c>
      <c r="I38" s="243"/>
      <c r="K38" s="240" t="s">
        <v>459</v>
      </c>
      <c r="L38" s="240" t="s">
        <v>4386</v>
      </c>
      <c r="M38" s="243" t="s">
        <v>461</v>
      </c>
      <c r="N38" s="237"/>
      <c r="O38" s="237"/>
      <c r="P38" s="237"/>
      <c r="Q38" s="245">
        <v>45645</v>
      </c>
      <c r="R38" s="237" t="s">
        <v>309</v>
      </c>
      <c r="S38" s="331" t="s">
        <v>233</v>
      </c>
      <c r="T38" s="237">
        <v>7.7</v>
      </c>
      <c r="U38" s="237" t="s">
        <v>298</v>
      </c>
      <c r="V38" s="237" t="s">
        <v>235</v>
      </c>
      <c r="W38" s="245">
        <v>45692</v>
      </c>
      <c r="X38" s="237" t="s">
        <v>462</v>
      </c>
      <c r="Y38" s="237" t="s">
        <v>237</v>
      </c>
      <c r="Z38" s="237" t="s">
        <v>237</v>
      </c>
      <c r="AA38" s="237" t="s">
        <v>463</v>
      </c>
      <c r="AB38" s="237" t="s">
        <v>237</v>
      </c>
      <c r="AC38" s="237" t="s">
        <v>353</v>
      </c>
    </row>
    <row r="39" spans="1:39" ht="13.5" customHeight="1">
      <c r="A39" s="235">
        <v>37</v>
      </c>
      <c r="B39" s="237">
        <v>36</v>
      </c>
      <c r="C39" s="243" t="s">
        <v>465</v>
      </c>
      <c r="D39" s="237" t="s">
        <v>466</v>
      </c>
      <c r="E39" s="237">
        <v>49</v>
      </c>
      <c r="F39" s="237" t="s">
        <v>60</v>
      </c>
      <c r="G39" s="237" t="s">
        <v>467</v>
      </c>
      <c r="H39" s="243" t="s">
        <v>188</v>
      </c>
      <c r="I39" s="243"/>
      <c r="K39" s="240"/>
      <c r="L39" s="243" t="s">
        <v>231</v>
      </c>
      <c r="M39" s="246" t="s">
        <v>228</v>
      </c>
      <c r="N39" s="237"/>
      <c r="O39" s="237"/>
      <c r="P39" s="237"/>
      <c r="Q39" s="245">
        <v>45645</v>
      </c>
      <c r="R39" s="237" t="s">
        <v>309</v>
      </c>
      <c r="S39" s="331" t="s">
        <v>233</v>
      </c>
      <c r="T39" s="237">
        <v>8.1999999999999993</v>
      </c>
      <c r="U39" s="237" t="s">
        <v>298</v>
      </c>
      <c r="V39" s="237" t="s">
        <v>235</v>
      </c>
      <c r="W39" s="245">
        <v>45692</v>
      </c>
      <c r="X39" s="237" t="s">
        <v>275</v>
      </c>
      <c r="Y39" s="237" t="s">
        <v>237</v>
      </c>
      <c r="Z39" s="237" t="s">
        <v>237</v>
      </c>
      <c r="AA39" s="237" t="s">
        <v>468</v>
      </c>
      <c r="AB39" s="237" t="s">
        <v>228</v>
      </c>
      <c r="AC39" s="237" t="s">
        <v>228</v>
      </c>
    </row>
    <row r="40" spans="1:39" ht="13.5" customHeight="1">
      <c r="A40" s="235">
        <v>38</v>
      </c>
      <c r="B40" s="237"/>
      <c r="C40" s="243" t="s">
        <v>469</v>
      </c>
      <c r="D40" s="237" t="s">
        <v>470</v>
      </c>
      <c r="E40" s="237">
        <v>40</v>
      </c>
      <c r="F40" s="237" t="s">
        <v>60</v>
      </c>
      <c r="G40" s="237" t="s">
        <v>471</v>
      </c>
      <c r="H40" s="243" t="s">
        <v>188</v>
      </c>
      <c r="I40" s="243"/>
      <c r="K40" s="240"/>
      <c r="L40" s="243" t="s">
        <v>231</v>
      </c>
      <c r="M40" s="243" t="s">
        <v>472</v>
      </c>
      <c r="N40" s="237"/>
      <c r="O40" s="237"/>
      <c r="P40" s="237"/>
      <c r="Q40" s="245">
        <v>45717</v>
      </c>
      <c r="R40" s="237" t="s">
        <v>309</v>
      </c>
      <c r="S40" s="331" t="s">
        <v>233</v>
      </c>
      <c r="T40" s="237" t="s">
        <v>228</v>
      </c>
      <c r="U40" s="237" t="s">
        <v>234</v>
      </c>
      <c r="V40" s="237" t="s">
        <v>473</v>
      </c>
      <c r="W40" s="245">
        <v>45832</v>
      </c>
      <c r="X40" s="237" t="s">
        <v>474</v>
      </c>
      <c r="Y40" s="237" t="s">
        <v>237</v>
      </c>
      <c r="Z40" s="237" t="s">
        <v>228</v>
      </c>
      <c r="AA40" s="237" t="s">
        <v>469</v>
      </c>
      <c r="AB40" s="237" t="s">
        <v>228</v>
      </c>
      <c r="AC40" s="237" t="s">
        <v>228</v>
      </c>
    </row>
    <row r="41" spans="1:39" ht="13.5" customHeight="1">
      <c r="A41" s="235">
        <v>39</v>
      </c>
      <c r="B41" s="237"/>
      <c r="C41" s="243" t="s">
        <v>475</v>
      </c>
      <c r="D41" s="237" t="s">
        <v>476</v>
      </c>
      <c r="E41" s="237">
        <v>55</v>
      </c>
      <c r="F41" s="237" t="s">
        <v>75</v>
      </c>
      <c r="G41" s="237" t="s">
        <v>477</v>
      </c>
      <c r="H41" s="243" t="s">
        <v>188</v>
      </c>
      <c r="I41" s="243"/>
      <c r="K41" s="240"/>
      <c r="L41" s="243" t="s">
        <v>231</v>
      </c>
      <c r="M41" s="246" t="s">
        <v>228</v>
      </c>
      <c r="N41" s="237"/>
      <c r="O41" s="237"/>
      <c r="P41" s="237"/>
      <c r="Q41" s="245">
        <v>45719</v>
      </c>
      <c r="R41" s="237" t="s">
        <v>309</v>
      </c>
      <c r="S41" s="331" t="s">
        <v>233</v>
      </c>
      <c r="T41" s="237" t="s">
        <v>228</v>
      </c>
      <c r="U41" s="237" t="s">
        <v>234</v>
      </c>
      <c r="V41" s="237" t="s">
        <v>473</v>
      </c>
      <c r="W41" s="245">
        <v>45832</v>
      </c>
      <c r="X41" s="237" t="s">
        <v>478</v>
      </c>
      <c r="Y41" s="237" t="s">
        <v>237</v>
      </c>
      <c r="Z41" s="237" t="s">
        <v>228</v>
      </c>
      <c r="AA41" s="237" t="s">
        <v>475</v>
      </c>
      <c r="AB41" s="237" t="s">
        <v>228</v>
      </c>
      <c r="AC41" s="237" t="s">
        <v>228</v>
      </c>
    </row>
    <row r="42" spans="1:39" ht="13.5" customHeight="1">
      <c r="A42" s="235">
        <v>40</v>
      </c>
      <c r="B42" s="237"/>
      <c r="C42" s="243" t="s">
        <v>479</v>
      </c>
      <c r="D42" s="237" t="s">
        <v>480</v>
      </c>
      <c r="E42" s="237">
        <v>54</v>
      </c>
      <c r="F42" s="237" t="s">
        <v>60</v>
      </c>
      <c r="G42" s="237" t="s">
        <v>481</v>
      </c>
      <c r="H42" s="243" t="s">
        <v>188</v>
      </c>
      <c r="I42" s="243"/>
      <c r="K42" s="240"/>
      <c r="L42" s="243" t="s">
        <v>231</v>
      </c>
      <c r="M42" s="246" t="s">
        <v>228</v>
      </c>
      <c r="N42" s="237"/>
      <c r="O42" s="237"/>
      <c r="P42" s="237"/>
      <c r="Q42" s="245">
        <v>45719</v>
      </c>
      <c r="R42" s="237" t="s">
        <v>309</v>
      </c>
      <c r="S42" s="331" t="s">
        <v>233</v>
      </c>
      <c r="T42" s="237" t="s">
        <v>228</v>
      </c>
      <c r="U42" s="237" t="s">
        <v>234</v>
      </c>
      <c r="V42" s="237" t="s">
        <v>473</v>
      </c>
      <c r="W42" s="245">
        <v>45832</v>
      </c>
      <c r="X42" s="237" t="s">
        <v>482</v>
      </c>
      <c r="Y42" s="237" t="s">
        <v>237</v>
      </c>
      <c r="Z42" s="237" t="s">
        <v>228</v>
      </c>
      <c r="AA42" s="237" t="s">
        <v>479</v>
      </c>
      <c r="AB42" s="237" t="s">
        <v>228</v>
      </c>
      <c r="AC42" s="237" t="s">
        <v>228</v>
      </c>
    </row>
    <row r="43" spans="1:39" s="306" customFormat="1" ht="13.5" customHeight="1">
      <c r="A43" s="235">
        <v>41</v>
      </c>
      <c r="B43" s="264">
        <v>399</v>
      </c>
      <c r="C43" s="312" t="s">
        <v>483</v>
      </c>
      <c r="D43" s="264" t="s">
        <v>484</v>
      </c>
      <c r="E43" s="264">
        <v>50</v>
      </c>
      <c r="F43" s="264" t="s">
        <v>60</v>
      </c>
      <c r="G43" s="264" t="s">
        <v>485</v>
      </c>
      <c r="H43" s="289" t="s">
        <v>188</v>
      </c>
      <c r="I43" s="289" t="s">
        <v>486</v>
      </c>
      <c r="K43" s="290"/>
      <c r="L43" s="289" t="s">
        <v>231</v>
      </c>
      <c r="M43" s="313" t="s">
        <v>228</v>
      </c>
      <c r="N43" s="264"/>
      <c r="O43" s="264"/>
      <c r="P43" s="264"/>
      <c r="Q43" s="314">
        <v>45657</v>
      </c>
      <c r="R43" s="264" t="s">
        <v>309</v>
      </c>
      <c r="S43" s="332" t="s">
        <v>233</v>
      </c>
      <c r="T43" s="264" t="s">
        <v>228</v>
      </c>
      <c r="U43" s="264" t="s">
        <v>234</v>
      </c>
      <c r="V43" s="264" t="s">
        <v>473</v>
      </c>
      <c r="W43" s="314">
        <v>45832</v>
      </c>
      <c r="X43" s="264" t="s">
        <v>487</v>
      </c>
      <c r="Y43" s="264" t="s">
        <v>237</v>
      </c>
      <c r="Z43" s="237" t="s">
        <v>228</v>
      </c>
      <c r="AA43" s="264" t="s">
        <v>488</v>
      </c>
      <c r="AB43" s="264" t="s">
        <v>237</v>
      </c>
      <c r="AC43" s="264" t="s">
        <v>353</v>
      </c>
      <c r="AD43" s="309"/>
      <c r="AE43" s="309"/>
      <c r="AF43" s="309"/>
      <c r="AG43" s="309"/>
      <c r="AH43" s="309"/>
      <c r="AI43" s="309"/>
      <c r="AJ43" s="309"/>
      <c r="AK43" s="309"/>
      <c r="AL43" s="309"/>
      <c r="AM43" s="310"/>
    </row>
    <row r="44" spans="1:39" ht="13.5" customHeight="1">
      <c r="A44" s="235">
        <v>42</v>
      </c>
      <c r="B44" s="237">
        <v>243</v>
      </c>
      <c r="C44" s="243" t="s">
        <v>489</v>
      </c>
      <c r="D44" s="237" t="s">
        <v>490</v>
      </c>
      <c r="E44" s="237">
        <v>77</v>
      </c>
      <c r="F44" s="237" t="s">
        <v>60</v>
      </c>
      <c r="G44" s="237" t="s">
        <v>491</v>
      </c>
      <c r="H44" s="243" t="s">
        <v>188</v>
      </c>
      <c r="I44" s="243"/>
      <c r="K44" s="240"/>
      <c r="L44" s="243" t="s">
        <v>231</v>
      </c>
      <c r="M44" s="246" t="s">
        <v>228</v>
      </c>
      <c r="N44" s="237"/>
      <c r="O44" s="237"/>
      <c r="P44" s="237"/>
      <c r="Q44" s="245">
        <v>45584</v>
      </c>
      <c r="R44" s="237" t="s">
        <v>309</v>
      </c>
      <c r="S44" s="331" t="s">
        <v>233</v>
      </c>
      <c r="T44" s="237" t="s">
        <v>228</v>
      </c>
      <c r="U44" s="237" t="s">
        <v>234</v>
      </c>
      <c r="V44" s="237" t="s">
        <v>473</v>
      </c>
      <c r="W44" s="245">
        <v>45832</v>
      </c>
      <c r="X44" s="237" t="s">
        <v>492</v>
      </c>
      <c r="Y44" s="237" t="s">
        <v>237</v>
      </c>
      <c r="Z44" s="237" t="s">
        <v>228</v>
      </c>
      <c r="AA44" s="237" t="s">
        <v>493</v>
      </c>
      <c r="AB44" s="237" t="s">
        <v>228</v>
      </c>
      <c r="AC44" s="237" t="s">
        <v>228</v>
      </c>
    </row>
    <row r="45" spans="1:39" ht="13.5" customHeight="1">
      <c r="A45" s="235">
        <v>43</v>
      </c>
      <c r="B45" s="237"/>
      <c r="C45" s="243" t="s">
        <v>494</v>
      </c>
      <c r="D45" s="237" t="s">
        <v>495</v>
      </c>
      <c r="E45" s="237">
        <v>55</v>
      </c>
      <c r="F45" s="237" t="s">
        <v>75</v>
      </c>
      <c r="G45" s="237" t="s">
        <v>496</v>
      </c>
      <c r="H45" s="243" t="s">
        <v>188</v>
      </c>
      <c r="I45" s="243"/>
      <c r="K45" s="240"/>
      <c r="L45" s="243" t="s">
        <v>231</v>
      </c>
      <c r="M45" s="243" t="s">
        <v>497</v>
      </c>
      <c r="N45" s="237"/>
      <c r="O45" s="237"/>
      <c r="P45" s="237"/>
      <c r="Q45" s="245">
        <v>45740</v>
      </c>
      <c r="R45" s="237" t="s">
        <v>309</v>
      </c>
      <c r="S45" s="331" t="s">
        <v>233</v>
      </c>
      <c r="T45" s="237" t="s">
        <v>228</v>
      </c>
      <c r="U45" s="237" t="s">
        <v>234</v>
      </c>
      <c r="V45" s="237" t="s">
        <v>473</v>
      </c>
      <c r="W45" s="245">
        <v>45832</v>
      </c>
      <c r="X45" s="237" t="s">
        <v>498</v>
      </c>
      <c r="Y45" s="237" t="s">
        <v>237</v>
      </c>
      <c r="Z45" s="237" t="s">
        <v>228</v>
      </c>
      <c r="AA45" s="237" t="s">
        <v>499</v>
      </c>
      <c r="AB45" s="237" t="s">
        <v>228</v>
      </c>
      <c r="AC45" s="237" t="s">
        <v>228</v>
      </c>
    </row>
    <row r="46" spans="1:39" ht="13.5" customHeight="1">
      <c r="A46" s="235">
        <v>44</v>
      </c>
      <c r="B46" s="237"/>
      <c r="C46" s="243" t="s">
        <v>501</v>
      </c>
      <c r="D46" s="237" t="s">
        <v>502</v>
      </c>
      <c r="E46" s="237">
        <v>57</v>
      </c>
      <c r="F46" s="237" t="s">
        <v>60</v>
      </c>
      <c r="G46" s="237" t="s">
        <v>503</v>
      </c>
      <c r="H46" s="250" t="s">
        <v>188</v>
      </c>
      <c r="I46" s="250"/>
      <c r="K46" s="240"/>
      <c r="L46" s="250" t="s">
        <v>231</v>
      </c>
      <c r="M46" s="250" t="s">
        <v>504</v>
      </c>
      <c r="N46" s="237"/>
      <c r="O46" s="237"/>
      <c r="P46" s="237"/>
      <c r="Q46" s="245">
        <v>45740</v>
      </c>
      <c r="R46" s="237" t="s">
        <v>309</v>
      </c>
      <c r="S46" s="331" t="s">
        <v>233</v>
      </c>
      <c r="T46" s="237" t="s">
        <v>228</v>
      </c>
      <c r="U46" s="237" t="s">
        <v>234</v>
      </c>
      <c r="V46" s="237" t="s">
        <v>473</v>
      </c>
      <c r="W46" s="245">
        <v>45832</v>
      </c>
      <c r="X46" s="237" t="s">
        <v>505</v>
      </c>
      <c r="Y46" s="237" t="s">
        <v>237</v>
      </c>
      <c r="Z46" s="237" t="s">
        <v>228</v>
      </c>
      <c r="AA46" s="237" t="s">
        <v>506</v>
      </c>
      <c r="AB46" s="237" t="s">
        <v>228</v>
      </c>
      <c r="AC46" s="237" t="s">
        <v>228</v>
      </c>
    </row>
    <row r="47" spans="1:39" ht="13.5" customHeight="1">
      <c r="A47" s="235">
        <v>45</v>
      </c>
      <c r="B47" s="237"/>
      <c r="C47" s="243" t="s">
        <v>507</v>
      </c>
      <c r="D47" s="237" t="s">
        <v>508</v>
      </c>
      <c r="E47" s="237">
        <v>58</v>
      </c>
      <c r="F47" s="237" t="s">
        <v>60</v>
      </c>
      <c r="G47" s="237" t="s">
        <v>509</v>
      </c>
      <c r="H47" s="250" t="s">
        <v>188</v>
      </c>
      <c r="I47" s="250"/>
      <c r="K47" s="240"/>
      <c r="L47" s="250" t="s">
        <v>231</v>
      </c>
      <c r="M47" s="250" t="s">
        <v>426</v>
      </c>
      <c r="N47" s="237"/>
      <c r="O47" s="237"/>
      <c r="P47" s="237"/>
      <c r="Q47" s="245">
        <v>45743</v>
      </c>
      <c r="R47" s="237" t="s">
        <v>309</v>
      </c>
      <c r="S47" s="331" t="s">
        <v>233</v>
      </c>
      <c r="T47" s="237" t="s">
        <v>228</v>
      </c>
      <c r="U47" s="237" t="s">
        <v>234</v>
      </c>
      <c r="V47" s="237" t="s">
        <v>473</v>
      </c>
      <c r="W47" s="245">
        <v>45832</v>
      </c>
      <c r="X47" s="237" t="s">
        <v>510</v>
      </c>
      <c r="Y47" s="237" t="s">
        <v>237</v>
      </c>
      <c r="Z47" s="237" t="s">
        <v>228</v>
      </c>
      <c r="AA47" s="237" t="s">
        <v>511</v>
      </c>
      <c r="AB47" s="237" t="s">
        <v>228</v>
      </c>
      <c r="AC47" s="237" t="s">
        <v>228</v>
      </c>
    </row>
    <row r="48" spans="1:39" ht="13.5" customHeight="1">
      <c r="A48" s="235">
        <v>46</v>
      </c>
      <c r="B48" s="237">
        <v>158</v>
      </c>
      <c r="C48" s="243" t="s">
        <v>512</v>
      </c>
      <c r="D48" s="237" t="s">
        <v>513</v>
      </c>
      <c r="E48" s="237">
        <v>18</v>
      </c>
      <c r="F48" s="237" t="s">
        <v>60</v>
      </c>
      <c r="G48" s="237" t="s">
        <v>514</v>
      </c>
      <c r="H48" s="243" t="s">
        <v>188</v>
      </c>
      <c r="I48" s="243"/>
      <c r="K48" s="240"/>
      <c r="L48" s="243" t="s">
        <v>231</v>
      </c>
      <c r="M48" s="246" t="s">
        <v>228</v>
      </c>
      <c r="N48" s="237"/>
      <c r="O48" s="237"/>
      <c r="P48" s="237"/>
      <c r="Q48" s="245">
        <v>45750</v>
      </c>
      <c r="R48" s="237" t="s">
        <v>309</v>
      </c>
      <c r="S48" s="331" t="s">
        <v>233</v>
      </c>
      <c r="T48" s="237" t="s">
        <v>228</v>
      </c>
      <c r="U48" s="237" t="s">
        <v>515</v>
      </c>
      <c r="V48" s="237" t="s">
        <v>473</v>
      </c>
      <c r="W48" s="245">
        <v>45832</v>
      </c>
      <c r="X48" s="237" t="s">
        <v>516</v>
      </c>
      <c r="Y48" s="237" t="s">
        <v>237</v>
      </c>
      <c r="Z48" s="237" t="s">
        <v>228</v>
      </c>
      <c r="AA48" s="237" t="s">
        <v>517</v>
      </c>
      <c r="AB48" s="237" t="s">
        <v>228</v>
      </c>
      <c r="AC48" s="237" t="s">
        <v>228</v>
      </c>
    </row>
    <row r="49" spans="1:39" ht="13.5" customHeight="1">
      <c r="A49" s="235">
        <v>47</v>
      </c>
      <c r="B49" s="237"/>
      <c r="C49" s="243" t="s">
        <v>518</v>
      </c>
      <c r="D49" s="237" t="s">
        <v>519</v>
      </c>
      <c r="E49" s="237">
        <v>31</v>
      </c>
      <c r="F49" s="237" t="s">
        <v>75</v>
      </c>
      <c r="G49" s="237" t="s">
        <v>520</v>
      </c>
      <c r="H49" s="243" t="s">
        <v>188</v>
      </c>
      <c r="I49" s="243"/>
      <c r="K49" s="240"/>
      <c r="L49" s="243" t="s">
        <v>231</v>
      </c>
      <c r="M49" s="246" t="s">
        <v>228</v>
      </c>
      <c r="N49" s="237"/>
      <c r="O49" s="237"/>
      <c r="P49" s="237"/>
      <c r="Q49" s="245">
        <v>45777</v>
      </c>
      <c r="R49" s="237" t="s">
        <v>309</v>
      </c>
      <c r="S49" s="331" t="s">
        <v>233</v>
      </c>
      <c r="T49" s="237" t="s">
        <v>228</v>
      </c>
      <c r="U49" s="237" t="s">
        <v>515</v>
      </c>
      <c r="V49" s="237" t="s">
        <v>473</v>
      </c>
      <c r="W49" s="245">
        <v>45832</v>
      </c>
      <c r="X49" s="237" t="s">
        <v>521</v>
      </c>
      <c r="Y49" s="237" t="s">
        <v>237</v>
      </c>
      <c r="Z49" s="237" t="s">
        <v>228</v>
      </c>
      <c r="AA49" s="237" t="s">
        <v>522</v>
      </c>
      <c r="AB49" s="237" t="s">
        <v>228</v>
      </c>
      <c r="AC49" s="237" t="s">
        <v>228</v>
      </c>
    </row>
    <row r="50" spans="1:39" ht="13.5" customHeight="1">
      <c r="A50" s="235">
        <v>48</v>
      </c>
      <c r="B50" s="237"/>
      <c r="C50" s="243" t="s">
        <v>523</v>
      </c>
      <c r="D50" s="237" t="s">
        <v>524</v>
      </c>
      <c r="E50" s="237">
        <v>76</v>
      </c>
      <c r="F50" s="237" t="s">
        <v>75</v>
      </c>
      <c r="G50" s="237" t="s">
        <v>525</v>
      </c>
      <c r="H50" s="243" t="s">
        <v>15</v>
      </c>
      <c r="I50" s="243"/>
      <c r="K50" s="240" t="s">
        <v>526</v>
      </c>
      <c r="L50" s="243" t="s">
        <v>4387</v>
      </c>
      <c r="M50" s="243" t="s">
        <v>528</v>
      </c>
      <c r="N50" s="237"/>
      <c r="O50" s="237"/>
      <c r="P50" s="237"/>
      <c r="Q50" s="245">
        <v>45794</v>
      </c>
      <c r="R50" s="237" t="s">
        <v>309</v>
      </c>
      <c r="S50" s="331" t="s">
        <v>233</v>
      </c>
      <c r="T50" s="237" t="s">
        <v>228</v>
      </c>
      <c r="U50" s="237" t="s">
        <v>515</v>
      </c>
      <c r="V50" s="237" t="s">
        <v>473</v>
      </c>
      <c r="W50" s="245">
        <v>45832</v>
      </c>
      <c r="X50" s="237" t="s">
        <v>529</v>
      </c>
      <c r="Y50" s="237" t="s">
        <v>237</v>
      </c>
      <c r="Z50" s="237" t="s">
        <v>228</v>
      </c>
      <c r="AA50" s="237" t="s">
        <v>530</v>
      </c>
      <c r="AB50" s="237" t="s">
        <v>228</v>
      </c>
      <c r="AC50" s="237" t="s">
        <v>228</v>
      </c>
    </row>
    <row r="51" spans="1:39" ht="13.5" customHeight="1">
      <c r="A51" s="235">
        <v>49</v>
      </c>
      <c r="B51" s="237"/>
      <c r="C51" s="243" t="s">
        <v>531</v>
      </c>
      <c r="D51" s="237" t="s">
        <v>532</v>
      </c>
      <c r="E51" s="237">
        <v>73</v>
      </c>
      <c r="F51" s="237" t="s">
        <v>60</v>
      </c>
      <c r="G51" s="237" t="s">
        <v>533</v>
      </c>
      <c r="H51" s="243" t="s">
        <v>4</v>
      </c>
      <c r="I51" s="243"/>
      <c r="K51" s="240" t="s">
        <v>534</v>
      </c>
      <c r="L51" s="532" t="s">
        <v>53</v>
      </c>
      <c r="M51" s="246" t="s">
        <v>535</v>
      </c>
      <c r="N51" s="237"/>
      <c r="O51" s="237"/>
      <c r="P51" s="237"/>
      <c r="Q51" s="245">
        <v>45814</v>
      </c>
      <c r="R51" s="237" t="s">
        <v>309</v>
      </c>
      <c r="S51" s="331" t="s">
        <v>233</v>
      </c>
      <c r="T51" s="237" t="s">
        <v>228</v>
      </c>
      <c r="U51" s="237" t="s">
        <v>515</v>
      </c>
      <c r="V51" s="237" t="s">
        <v>473</v>
      </c>
      <c r="W51" s="245">
        <v>45832</v>
      </c>
      <c r="X51" s="237" t="s">
        <v>536</v>
      </c>
      <c r="Y51" s="237" t="s">
        <v>237</v>
      </c>
      <c r="Z51" s="237" t="s">
        <v>228</v>
      </c>
      <c r="AA51" s="237" t="s">
        <v>537</v>
      </c>
      <c r="AB51" s="237" t="s">
        <v>228</v>
      </c>
      <c r="AC51" s="237" t="s">
        <v>228</v>
      </c>
    </row>
    <row r="52" spans="1:39" ht="13.5" customHeight="1">
      <c r="A52" s="235">
        <v>50</v>
      </c>
      <c r="B52" s="237"/>
      <c r="C52" s="243" t="s">
        <v>538</v>
      </c>
      <c r="D52" s="237" t="s">
        <v>539</v>
      </c>
      <c r="E52" s="237">
        <v>48</v>
      </c>
      <c r="F52" s="237" t="s">
        <v>75</v>
      </c>
      <c r="G52" s="237" t="s">
        <v>540</v>
      </c>
      <c r="H52" s="243" t="s">
        <v>188</v>
      </c>
      <c r="I52" s="243"/>
      <c r="K52" s="240"/>
      <c r="L52" s="243" t="s">
        <v>231</v>
      </c>
      <c r="M52" s="246" t="s">
        <v>228</v>
      </c>
      <c r="N52" s="237"/>
      <c r="O52" s="237"/>
      <c r="P52" s="237"/>
      <c r="Q52" s="245">
        <v>45666</v>
      </c>
      <c r="R52" s="237" t="s">
        <v>309</v>
      </c>
      <c r="S52" s="331" t="s">
        <v>233</v>
      </c>
      <c r="T52" s="237" t="s">
        <v>228</v>
      </c>
      <c r="U52" s="237" t="s">
        <v>234</v>
      </c>
      <c r="V52" s="237" t="s">
        <v>473</v>
      </c>
      <c r="W52" s="245">
        <v>45889</v>
      </c>
      <c r="X52" s="237" t="s">
        <v>541</v>
      </c>
      <c r="Y52" s="237" t="s">
        <v>237</v>
      </c>
      <c r="Z52" s="237" t="s">
        <v>237</v>
      </c>
      <c r="AA52" s="237" t="s">
        <v>542</v>
      </c>
      <c r="AB52" s="237" t="s">
        <v>228</v>
      </c>
      <c r="AC52" s="237" t="s">
        <v>228</v>
      </c>
    </row>
    <row r="53" spans="1:39" ht="13.5" customHeight="1">
      <c r="A53" s="235">
        <v>51</v>
      </c>
      <c r="B53" s="237"/>
      <c r="C53" s="243" t="s">
        <v>543</v>
      </c>
      <c r="D53" s="237" t="s">
        <v>544</v>
      </c>
      <c r="E53" s="237">
        <v>30</v>
      </c>
      <c r="F53" s="237" t="s">
        <v>75</v>
      </c>
      <c r="G53" s="237" t="s">
        <v>545</v>
      </c>
      <c r="H53" s="243" t="s">
        <v>188</v>
      </c>
      <c r="I53" s="243"/>
      <c r="K53" s="240"/>
      <c r="L53" s="243" t="s">
        <v>231</v>
      </c>
      <c r="M53" s="246" t="s">
        <v>228</v>
      </c>
      <c r="N53" s="237"/>
      <c r="O53" s="237"/>
      <c r="P53" s="237"/>
      <c r="Q53" s="245">
        <v>45672</v>
      </c>
      <c r="R53" s="237" t="s">
        <v>309</v>
      </c>
      <c r="S53" s="331" t="s">
        <v>233</v>
      </c>
      <c r="T53" s="237" t="s">
        <v>228</v>
      </c>
      <c r="U53" s="237" t="s">
        <v>234</v>
      </c>
      <c r="V53" s="237" t="s">
        <v>473</v>
      </c>
      <c r="W53" s="245">
        <v>45889</v>
      </c>
      <c r="X53" s="237" t="s">
        <v>546</v>
      </c>
      <c r="Y53" s="237" t="s">
        <v>237</v>
      </c>
      <c r="Z53" s="237" t="s">
        <v>237</v>
      </c>
      <c r="AA53" s="237" t="s">
        <v>547</v>
      </c>
      <c r="AB53" s="237" t="s">
        <v>228</v>
      </c>
      <c r="AC53" s="237" t="s">
        <v>228</v>
      </c>
    </row>
    <row r="54" spans="1:39" ht="13.5" customHeight="1">
      <c r="A54" s="235">
        <v>52</v>
      </c>
      <c r="B54" s="237"/>
      <c r="C54" s="243" t="s">
        <v>549</v>
      </c>
      <c r="D54" s="237" t="s">
        <v>550</v>
      </c>
      <c r="E54" s="237">
        <v>56</v>
      </c>
      <c r="F54" s="237" t="s">
        <v>60</v>
      </c>
      <c r="G54" s="237" t="s">
        <v>551</v>
      </c>
      <c r="H54" s="250" t="s">
        <v>188</v>
      </c>
      <c r="I54" s="250"/>
      <c r="K54" s="240"/>
      <c r="L54" s="250" t="s">
        <v>231</v>
      </c>
      <c r="M54" s="250" t="s">
        <v>426</v>
      </c>
      <c r="N54" s="237"/>
      <c r="O54" s="237"/>
      <c r="P54" s="237"/>
      <c r="Q54" s="245">
        <v>45672</v>
      </c>
      <c r="R54" s="237" t="s">
        <v>309</v>
      </c>
      <c r="S54" s="331" t="s">
        <v>233</v>
      </c>
      <c r="T54" s="237" t="s">
        <v>228</v>
      </c>
      <c r="U54" s="237" t="s">
        <v>234</v>
      </c>
      <c r="V54" s="237" t="s">
        <v>473</v>
      </c>
      <c r="W54" s="245">
        <v>45889</v>
      </c>
      <c r="X54" s="237" t="s">
        <v>552</v>
      </c>
      <c r="Y54" s="237" t="s">
        <v>237</v>
      </c>
      <c r="Z54" s="237" t="s">
        <v>237</v>
      </c>
      <c r="AA54" s="237" t="s">
        <v>553</v>
      </c>
      <c r="AB54" s="237" t="s">
        <v>228</v>
      </c>
      <c r="AC54" s="237" t="s">
        <v>228</v>
      </c>
    </row>
    <row r="55" spans="1:39" ht="13.5" customHeight="1">
      <c r="A55" s="235">
        <v>53</v>
      </c>
      <c r="B55" s="237" t="s">
        <v>554</v>
      </c>
      <c r="C55" s="243" t="s">
        <v>555</v>
      </c>
      <c r="D55" s="237" t="s">
        <v>556</v>
      </c>
      <c r="E55" s="237">
        <v>40</v>
      </c>
      <c r="F55" s="237" t="s">
        <v>60</v>
      </c>
      <c r="G55" s="237" t="s">
        <v>557</v>
      </c>
      <c r="H55" s="250" t="s">
        <v>188</v>
      </c>
      <c r="I55" s="250"/>
      <c r="K55" s="240"/>
      <c r="L55" s="250" t="s">
        <v>231</v>
      </c>
      <c r="M55" s="250" t="s">
        <v>426</v>
      </c>
      <c r="N55" s="237"/>
      <c r="O55" s="237"/>
      <c r="P55" s="237"/>
      <c r="Q55" s="245">
        <v>45846</v>
      </c>
      <c r="R55" s="237" t="s">
        <v>309</v>
      </c>
      <c r="S55" s="331" t="s">
        <v>233</v>
      </c>
      <c r="T55" s="237" t="s">
        <v>228</v>
      </c>
      <c r="U55" s="237" t="s">
        <v>234</v>
      </c>
      <c r="V55" s="237" t="s">
        <v>473</v>
      </c>
      <c r="W55" s="245">
        <v>45889</v>
      </c>
      <c r="X55" s="237" t="s">
        <v>558</v>
      </c>
      <c r="Y55" s="237" t="s">
        <v>237</v>
      </c>
      <c r="Z55" s="237" t="s">
        <v>237</v>
      </c>
      <c r="AA55" s="237" t="s">
        <v>559</v>
      </c>
      <c r="AB55" s="237" t="s">
        <v>228</v>
      </c>
      <c r="AC55" s="237" t="s">
        <v>228</v>
      </c>
    </row>
    <row r="56" spans="1:39" ht="13.5" customHeight="1">
      <c r="A56" s="235">
        <v>54</v>
      </c>
      <c r="B56" s="237"/>
      <c r="C56" s="243" t="s">
        <v>560</v>
      </c>
      <c r="D56" s="237" t="s">
        <v>561</v>
      </c>
      <c r="E56" s="237">
        <v>33</v>
      </c>
      <c r="F56" s="237" t="s">
        <v>60</v>
      </c>
      <c r="G56" s="237" t="s">
        <v>562</v>
      </c>
      <c r="H56" s="250" t="s">
        <v>15</v>
      </c>
      <c r="I56" s="250"/>
      <c r="K56" s="240"/>
      <c r="L56" s="250" t="s">
        <v>231</v>
      </c>
      <c r="M56" s="250" t="s">
        <v>563</v>
      </c>
      <c r="N56" s="237"/>
      <c r="O56" s="237"/>
      <c r="P56" s="237"/>
      <c r="Q56" s="245">
        <v>45868</v>
      </c>
      <c r="R56" s="237" t="s">
        <v>309</v>
      </c>
      <c r="S56" s="331" t="s">
        <v>233</v>
      </c>
      <c r="T56" s="237" t="s">
        <v>228</v>
      </c>
      <c r="U56" s="237" t="s">
        <v>515</v>
      </c>
      <c r="V56" s="237" t="s">
        <v>473</v>
      </c>
      <c r="W56" s="245">
        <v>45889</v>
      </c>
      <c r="X56" s="237" t="s">
        <v>565</v>
      </c>
      <c r="Y56" s="237" t="s">
        <v>237</v>
      </c>
      <c r="Z56" s="237" t="s">
        <v>237</v>
      </c>
      <c r="AA56" s="237" t="s">
        <v>566</v>
      </c>
      <c r="AB56" s="237" t="s">
        <v>228</v>
      </c>
      <c r="AC56" s="237" t="s">
        <v>228</v>
      </c>
    </row>
    <row r="57" spans="1:39" ht="13.5" customHeight="1">
      <c r="A57" s="235">
        <v>55</v>
      </c>
      <c r="B57" s="237"/>
      <c r="C57" s="243" t="s">
        <v>567</v>
      </c>
      <c r="D57" s="237" t="s">
        <v>568</v>
      </c>
      <c r="E57" s="237">
        <v>49</v>
      </c>
      <c r="F57" s="237" t="s">
        <v>60</v>
      </c>
      <c r="G57" s="237" t="s">
        <v>569</v>
      </c>
      <c r="H57" s="250" t="s">
        <v>188</v>
      </c>
      <c r="I57" s="250"/>
      <c r="K57" s="240"/>
      <c r="L57" s="250" t="s">
        <v>231</v>
      </c>
      <c r="M57" s="250" t="s">
        <v>426</v>
      </c>
      <c r="N57" s="237"/>
      <c r="O57" s="237"/>
      <c r="P57" s="237"/>
      <c r="Q57" s="245">
        <v>45871</v>
      </c>
      <c r="R57" s="237" t="s">
        <v>309</v>
      </c>
      <c r="S57" s="331" t="s">
        <v>233</v>
      </c>
      <c r="T57" s="237" t="s">
        <v>228</v>
      </c>
      <c r="U57" s="237" t="s">
        <v>234</v>
      </c>
      <c r="V57" s="237" t="s">
        <v>473</v>
      </c>
      <c r="W57" s="245">
        <v>45889</v>
      </c>
      <c r="X57" s="237" t="s">
        <v>570</v>
      </c>
      <c r="Y57" s="237" t="s">
        <v>237</v>
      </c>
      <c r="Z57" s="237" t="s">
        <v>237</v>
      </c>
      <c r="AA57" s="237" t="s">
        <v>571</v>
      </c>
      <c r="AB57" s="237" t="s">
        <v>228</v>
      </c>
      <c r="AC57" s="237" t="s">
        <v>228</v>
      </c>
    </row>
    <row r="58" spans="1:39" ht="13.5" customHeight="1">
      <c r="A58" s="235">
        <v>56</v>
      </c>
      <c r="B58" s="237"/>
      <c r="C58" s="243" t="s">
        <v>572</v>
      </c>
      <c r="D58" s="237" t="s">
        <v>573</v>
      </c>
      <c r="E58" s="237">
        <v>42</v>
      </c>
      <c r="F58" s="237" t="s">
        <v>75</v>
      </c>
      <c r="G58" s="237" t="s">
        <v>574</v>
      </c>
      <c r="H58" s="243" t="s">
        <v>188</v>
      </c>
      <c r="I58" s="243"/>
      <c r="K58" s="240"/>
      <c r="L58" s="243" t="s">
        <v>231</v>
      </c>
      <c r="M58" s="246" t="s">
        <v>228</v>
      </c>
      <c r="N58" s="237"/>
      <c r="O58" s="237"/>
      <c r="P58" s="237"/>
      <c r="Q58" s="245">
        <v>45873</v>
      </c>
      <c r="R58" s="237" t="s">
        <v>309</v>
      </c>
      <c r="S58" s="331" t="s">
        <v>233</v>
      </c>
      <c r="T58" s="237" t="s">
        <v>228</v>
      </c>
      <c r="U58" s="237" t="s">
        <v>515</v>
      </c>
      <c r="V58" s="237" t="s">
        <v>473</v>
      </c>
      <c r="W58" s="245">
        <v>45889</v>
      </c>
      <c r="X58" s="237" t="s">
        <v>575</v>
      </c>
      <c r="Y58" s="237" t="s">
        <v>237</v>
      </c>
      <c r="Z58" s="237" t="s">
        <v>237</v>
      </c>
      <c r="AA58" s="237" t="s">
        <v>576</v>
      </c>
      <c r="AB58" s="237" t="s">
        <v>228</v>
      </c>
      <c r="AC58" s="237" t="s">
        <v>228</v>
      </c>
    </row>
    <row r="59" spans="1:39" ht="13.5" customHeight="1">
      <c r="A59" s="235">
        <v>57</v>
      </c>
      <c r="B59" s="237"/>
      <c r="C59" s="243" t="s">
        <v>577</v>
      </c>
      <c r="D59" s="237" t="s">
        <v>578</v>
      </c>
      <c r="E59" s="237">
        <v>45</v>
      </c>
      <c r="F59" s="237" t="s">
        <v>60</v>
      </c>
      <c r="G59" s="237" t="s">
        <v>579</v>
      </c>
      <c r="H59" s="243" t="s">
        <v>188</v>
      </c>
      <c r="I59" s="243"/>
      <c r="K59" s="240"/>
      <c r="L59" s="243" t="s">
        <v>231</v>
      </c>
      <c r="M59" s="246" t="s">
        <v>228</v>
      </c>
      <c r="N59" s="237"/>
      <c r="O59" s="237"/>
      <c r="P59" s="237"/>
      <c r="Q59" s="245">
        <v>45873</v>
      </c>
      <c r="R59" s="237" t="s">
        <v>309</v>
      </c>
      <c r="S59" s="331" t="s">
        <v>233</v>
      </c>
      <c r="T59" s="237" t="s">
        <v>228</v>
      </c>
      <c r="U59" s="237" t="s">
        <v>515</v>
      </c>
      <c r="V59" s="237" t="s">
        <v>473</v>
      </c>
      <c r="W59" s="245">
        <v>45889</v>
      </c>
      <c r="X59" s="237" t="s">
        <v>580</v>
      </c>
      <c r="Y59" s="237" t="s">
        <v>237</v>
      </c>
      <c r="Z59" s="237" t="s">
        <v>237</v>
      </c>
      <c r="AA59" s="237" t="s">
        <v>581</v>
      </c>
      <c r="AB59" s="237" t="s">
        <v>228</v>
      </c>
      <c r="AC59" s="237" t="s">
        <v>228</v>
      </c>
    </row>
    <row r="60" spans="1:39" s="306" customFormat="1" ht="15" customHeight="1">
      <c r="A60" s="235">
        <v>58</v>
      </c>
      <c r="B60" s="264"/>
      <c r="C60" s="289" t="s">
        <v>582</v>
      </c>
      <c r="D60" s="264" t="s">
        <v>583</v>
      </c>
      <c r="E60" s="264">
        <v>60</v>
      </c>
      <c r="F60" s="264" t="s">
        <v>75</v>
      </c>
      <c r="G60" s="264" t="s">
        <v>584</v>
      </c>
      <c r="H60" s="289" t="s">
        <v>188</v>
      </c>
      <c r="I60" s="290" t="s">
        <v>585</v>
      </c>
      <c r="K60" s="290"/>
      <c r="L60" s="315"/>
      <c r="M60" s="315" t="s">
        <v>586</v>
      </c>
      <c r="N60" s="264"/>
      <c r="O60" s="264"/>
      <c r="P60" s="264"/>
      <c r="Q60" s="314">
        <v>45862</v>
      </c>
      <c r="R60" s="264" t="s">
        <v>309</v>
      </c>
      <c r="S60" s="332" t="s">
        <v>233</v>
      </c>
      <c r="T60" s="264" t="s">
        <v>228</v>
      </c>
      <c r="U60" s="264" t="s">
        <v>234</v>
      </c>
      <c r="V60" s="264" t="s">
        <v>473</v>
      </c>
      <c r="W60" s="314">
        <v>45918</v>
      </c>
      <c r="X60" s="264" t="s">
        <v>587</v>
      </c>
      <c r="Y60" s="264" t="s">
        <v>588</v>
      </c>
      <c r="Z60" s="237" t="s">
        <v>228</v>
      </c>
      <c r="AA60" s="264" t="s">
        <v>589</v>
      </c>
      <c r="AB60" s="264" t="s">
        <v>228</v>
      </c>
      <c r="AC60" s="264" t="s">
        <v>228</v>
      </c>
      <c r="AD60" s="309"/>
      <c r="AE60" s="309"/>
      <c r="AF60" s="309"/>
      <c r="AG60" s="309"/>
      <c r="AH60" s="309"/>
      <c r="AI60" s="309"/>
      <c r="AJ60" s="309"/>
      <c r="AK60" s="309"/>
      <c r="AL60" s="309"/>
      <c r="AM60" s="310"/>
    </row>
    <row r="61" spans="1:39" ht="13.5" customHeight="1">
      <c r="A61" s="235">
        <v>59</v>
      </c>
      <c r="B61" s="237"/>
      <c r="C61" s="255" t="s">
        <v>590</v>
      </c>
      <c r="D61" s="237" t="s">
        <v>591</v>
      </c>
      <c r="E61" s="237">
        <v>44</v>
      </c>
      <c r="F61" s="237" t="s">
        <v>75</v>
      </c>
      <c r="G61" s="237" t="s">
        <v>592</v>
      </c>
      <c r="H61" s="243" t="s">
        <v>188</v>
      </c>
      <c r="I61" s="243"/>
      <c r="K61" s="240"/>
      <c r="L61" s="243" t="s">
        <v>231</v>
      </c>
      <c r="M61" s="243" t="s">
        <v>231</v>
      </c>
      <c r="N61" s="237"/>
      <c r="O61" s="237"/>
      <c r="P61" s="237"/>
      <c r="Q61" s="245">
        <v>45891</v>
      </c>
      <c r="R61" s="237" t="s">
        <v>309</v>
      </c>
      <c r="S61" s="331" t="s">
        <v>233</v>
      </c>
      <c r="T61" s="237" t="s">
        <v>228</v>
      </c>
      <c r="U61" s="237" t="s">
        <v>234</v>
      </c>
      <c r="V61" s="237" t="s">
        <v>473</v>
      </c>
      <c r="W61" s="245">
        <v>45933</v>
      </c>
      <c r="X61" s="237" t="s">
        <v>593</v>
      </c>
      <c r="Y61" s="237" t="s">
        <v>237</v>
      </c>
      <c r="Z61" s="237" t="s">
        <v>237</v>
      </c>
      <c r="AA61" s="237" t="s">
        <v>594</v>
      </c>
      <c r="AB61" s="237" t="s">
        <v>228</v>
      </c>
      <c r="AC61" s="237" t="s">
        <v>228</v>
      </c>
    </row>
    <row r="62" spans="1:39" ht="13.5" customHeight="1">
      <c r="A62" s="235">
        <v>60</v>
      </c>
      <c r="B62" s="237"/>
      <c r="C62" s="255" t="s">
        <v>596</v>
      </c>
      <c r="D62" s="237" t="s">
        <v>597</v>
      </c>
      <c r="E62" s="237">
        <v>22</v>
      </c>
      <c r="F62" s="237" t="s">
        <v>75</v>
      </c>
      <c r="G62" s="237" t="s">
        <v>598</v>
      </c>
      <c r="H62" s="243" t="s">
        <v>188</v>
      </c>
      <c r="I62" s="243"/>
      <c r="K62" s="240"/>
      <c r="L62" s="243" t="s">
        <v>231</v>
      </c>
      <c r="M62" s="243" t="s">
        <v>231</v>
      </c>
      <c r="N62" s="237"/>
      <c r="O62" s="237"/>
      <c r="P62" s="237"/>
      <c r="Q62" s="245">
        <v>45891</v>
      </c>
      <c r="R62" s="237" t="s">
        <v>309</v>
      </c>
      <c r="S62" s="331" t="s">
        <v>233</v>
      </c>
      <c r="T62" s="237" t="s">
        <v>228</v>
      </c>
      <c r="U62" s="237" t="s">
        <v>234</v>
      </c>
      <c r="V62" s="237" t="s">
        <v>473</v>
      </c>
      <c r="W62" s="245">
        <v>45933</v>
      </c>
      <c r="X62" s="237" t="s">
        <v>599</v>
      </c>
      <c r="Y62" s="237" t="s">
        <v>237</v>
      </c>
      <c r="Z62" s="237" t="s">
        <v>237</v>
      </c>
      <c r="AA62" s="237" t="s">
        <v>600</v>
      </c>
      <c r="AB62" s="237" t="s">
        <v>228</v>
      </c>
      <c r="AC62" s="237" t="s">
        <v>228</v>
      </c>
    </row>
    <row r="63" spans="1:39" ht="13.5" customHeight="1">
      <c r="A63" s="235">
        <v>61</v>
      </c>
      <c r="B63" s="237"/>
      <c r="C63" s="255" t="s">
        <v>602</v>
      </c>
      <c r="D63" s="237" t="s">
        <v>603</v>
      </c>
      <c r="E63" s="237">
        <v>51</v>
      </c>
      <c r="F63" s="237" t="s">
        <v>60</v>
      </c>
      <c r="G63" s="237" t="s">
        <v>604</v>
      </c>
      <c r="H63" s="243" t="s">
        <v>188</v>
      </c>
      <c r="I63" s="243"/>
      <c r="K63" s="240"/>
      <c r="L63" s="243" t="s">
        <v>231</v>
      </c>
      <c r="M63" s="243" t="s">
        <v>231</v>
      </c>
      <c r="N63" s="237"/>
      <c r="O63" s="237"/>
      <c r="P63" s="237"/>
      <c r="Q63" s="245">
        <v>45891</v>
      </c>
      <c r="R63" s="237" t="s">
        <v>309</v>
      </c>
      <c r="S63" s="331" t="s">
        <v>233</v>
      </c>
      <c r="T63" s="237" t="s">
        <v>228</v>
      </c>
      <c r="U63" s="237" t="s">
        <v>234</v>
      </c>
      <c r="V63" s="237" t="s">
        <v>473</v>
      </c>
      <c r="W63" s="245">
        <v>45933</v>
      </c>
      <c r="X63" s="237" t="s">
        <v>605</v>
      </c>
      <c r="Y63" s="237" t="s">
        <v>237</v>
      </c>
      <c r="Z63" s="237" t="s">
        <v>237</v>
      </c>
      <c r="AA63" s="237" t="s">
        <v>606</v>
      </c>
      <c r="AB63" s="237" t="s">
        <v>228</v>
      </c>
      <c r="AC63" s="237" t="s">
        <v>228</v>
      </c>
    </row>
    <row r="64" spans="1:39" ht="13.5" customHeight="1">
      <c r="A64" s="235">
        <v>62</v>
      </c>
      <c r="B64" s="237"/>
      <c r="C64" s="255" t="s">
        <v>607</v>
      </c>
      <c r="D64" s="237" t="s">
        <v>608</v>
      </c>
      <c r="E64" s="237">
        <v>28</v>
      </c>
      <c r="F64" s="237" t="s">
        <v>75</v>
      </c>
      <c r="G64" s="237" t="s">
        <v>609</v>
      </c>
      <c r="H64" s="243" t="s">
        <v>27</v>
      </c>
      <c r="I64" s="243"/>
      <c r="J64" s="235" t="s">
        <v>433</v>
      </c>
      <c r="K64" s="240"/>
      <c r="L64" s="243" t="s">
        <v>231</v>
      </c>
      <c r="M64" s="246" t="s">
        <v>228</v>
      </c>
      <c r="N64" s="237"/>
      <c r="O64" s="237"/>
      <c r="P64" s="237"/>
      <c r="Q64" s="245">
        <v>45723</v>
      </c>
      <c r="R64" s="237" t="s">
        <v>309</v>
      </c>
      <c r="S64" s="331" t="s">
        <v>233</v>
      </c>
      <c r="T64" s="237" t="s">
        <v>228</v>
      </c>
      <c r="U64" s="237" t="s">
        <v>234</v>
      </c>
      <c r="V64" s="237" t="s">
        <v>473</v>
      </c>
      <c r="W64" s="245">
        <v>45933</v>
      </c>
      <c r="X64" s="237" t="s">
        <v>610</v>
      </c>
      <c r="Y64" s="237" t="s">
        <v>237</v>
      </c>
      <c r="Z64" s="237" t="s">
        <v>237</v>
      </c>
      <c r="AA64" s="237" t="s">
        <v>611</v>
      </c>
      <c r="AB64" s="237" t="s">
        <v>228</v>
      </c>
      <c r="AC64" s="237" t="s">
        <v>228</v>
      </c>
    </row>
    <row r="65" spans="1:29" ht="13.5" customHeight="1">
      <c r="A65" s="235">
        <v>63</v>
      </c>
      <c r="B65" s="237"/>
      <c r="C65" s="255" t="s">
        <v>612</v>
      </c>
      <c r="D65" s="237" t="s">
        <v>613</v>
      </c>
      <c r="E65" s="237">
        <v>43</v>
      </c>
      <c r="F65" s="237" t="s">
        <v>75</v>
      </c>
      <c r="G65" s="237" t="s">
        <v>614</v>
      </c>
      <c r="H65" s="243" t="s">
        <v>27</v>
      </c>
      <c r="I65" s="243"/>
      <c r="J65" s="235" t="s">
        <v>433</v>
      </c>
      <c r="K65" s="240"/>
      <c r="L65" s="243" t="s">
        <v>231</v>
      </c>
      <c r="M65" s="243" t="s">
        <v>231</v>
      </c>
      <c r="N65" s="237"/>
      <c r="O65" s="237"/>
      <c r="P65" s="237"/>
      <c r="Q65" s="245">
        <v>45744</v>
      </c>
      <c r="R65" s="237" t="s">
        <v>309</v>
      </c>
      <c r="S65" s="331" t="s">
        <v>233</v>
      </c>
      <c r="T65" s="237" t="s">
        <v>228</v>
      </c>
      <c r="U65" s="237" t="s">
        <v>234</v>
      </c>
      <c r="V65" s="237" t="s">
        <v>473</v>
      </c>
      <c r="W65" s="245">
        <v>45933</v>
      </c>
      <c r="X65" s="237" t="s">
        <v>615</v>
      </c>
      <c r="Y65" s="237" t="s">
        <v>237</v>
      </c>
      <c r="Z65" s="237" t="s">
        <v>237</v>
      </c>
      <c r="AA65" s="237" t="s">
        <v>616</v>
      </c>
      <c r="AB65" s="237" t="s">
        <v>228</v>
      </c>
      <c r="AC65" s="237" t="s">
        <v>228</v>
      </c>
    </row>
    <row r="66" spans="1:29" ht="13.5" customHeight="1">
      <c r="A66" s="235">
        <v>64</v>
      </c>
      <c r="B66" s="237">
        <v>43</v>
      </c>
      <c r="C66" s="255" t="s">
        <v>617</v>
      </c>
      <c r="D66" s="237" t="s">
        <v>618</v>
      </c>
      <c r="E66" s="237">
        <v>37</v>
      </c>
      <c r="F66" s="237" t="s">
        <v>75</v>
      </c>
      <c r="G66" s="237" t="s">
        <v>619</v>
      </c>
      <c r="H66" s="243" t="s">
        <v>188</v>
      </c>
      <c r="I66" s="243"/>
      <c r="J66" s="235" t="s">
        <v>620</v>
      </c>
      <c r="K66" s="240"/>
      <c r="L66" s="243" t="s">
        <v>231</v>
      </c>
      <c r="M66" s="243" t="s">
        <v>231</v>
      </c>
      <c r="N66" s="237"/>
      <c r="O66" s="237"/>
      <c r="P66" s="237"/>
      <c r="Q66" s="245">
        <v>45625</v>
      </c>
      <c r="R66" s="237" t="s">
        <v>309</v>
      </c>
      <c r="S66" s="331" t="s">
        <v>233</v>
      </c>
      <c r="T66" s="237" t="s">
        <v>228</v>
      </c>
      <c r="U66" s="237" t="s">
        <v>234</v>
      </c>
      <c r="V66" s="237" t="s">
        <v>473</v>
      </c>
      <c r="W66" s="245">
        <v>45933</v>
      </c>
      <c r="X66" s="237" t="s">
        <v>621</v>
      </c>
      <c r="Y66" s="237" t="s">
        <v>237</v>
      </c>
      <c r="Z66" s="237" t="s">
        <v>237</v>
      </c>
      <c r="AA66" s="237" t="s">
        <v>622</v>
      </c>
      <c r="AB66" s="237" t="s">
        <v>228</v>
      </c>
      <c r="AC66" s="237" t="s">
        <v>228</v>
      </c>
    </row>
    <row r="67" spans="1:29" ht="13.5" customHeight="1">
      <c r="A67" s="235">
        <v>65</v>
      </c>
      <c r="B67" s="237">
        <v>48</v>
      </c>
      <c r="C67" s="255" t="s">
        <v>623</v>
      </c>
      <c r="D67" s="237" t="s">
        <v>624</v>
      </c>
      <c r="E67" s="237">
        <v>57</v>
      </c>
      <c r="F67" s="237" t="s">
        <v>75</v>
      </c>
      <c r="G67" s="237" t="s">
        <v>625</v>
      </c>
      <c r="H67" s="243" t="s">
        <v>188</v>
      </c>
      <c r="I67" s="243"/>
      <c r="J67" s="235" t="s">
        <v>620</v>
      </c>
      <c r="K67" s="240"/>
      <c r="L67" s="243" t="s">
        <v>231</v>
      </c>
      <c r="M67" s="243" t="s">
        <v>231</v>
      </c>
      <c r="N67" s="237"/>
      <c r="O67" s="237"/>
      <c r="P67" s="237"/>
      <c r="Q67" s="245">
        <v>45653</v>
      </c>
      <c r="R67" s="237" t="s">
        <v>309</v>
      </c>
      <c r="S67" s="331" t="s">
        <v>233</v>
      </c>
      <c r="T67" s="237" t="s">
        <v>228</v>
      </c>
      <c r="U67" s="237" t="s">
        <v>234</v>
      </c>
      <c r="V67" s="237" t="s">
        <v>473</v>
      </c>
      <c r="W67" s="245">
        <v>45933</v>
      </c>
      <c r="X67" s="237" t="s">
        <v>626</v>
      </c>
      <c r="Y67" s="237" t="s">
        <v>237</v>
      </c>
      <c r="Z67" s="237" t="s">
        <v>237</v>
      </c>
      <c r="AA67" s="237" t="s">
        <v>627</v>
      </c>
      <c r="AB67" s="237" t="s">
        <v>228</v>
      </c>
      <c r="AC67" s="237" t="s">
        <v>228</v>
      </c>
    </row>
    <row r="68" spans="1:29" ht="13.5" customHeight="1">
      <c r="A68" s="235">
        <v>66</v>
      </c>
      <c r="B68" s="237"/>
      <c r="C68" s="255" t="s">
        <v>628</v>
      </c>
      <c r="D68" s="237" t="s">
        <v>629</v>
      </c>
      <c r="E68" s="237">
        <v>45</v>
      </c>
      <c r="F68" s="237" t="s">
        <v>60</v>
      </c>
      <c r="G68" s="237" t="s">
        <v>630</v>
      </c>
      <c r="H68" s="243" t="s">
        <v>188</v>
      </c>
      <c r="I68" s="243"/>
      <c r="K68" s="240"/>
      <c r="L68" s="243" t="s">
        <v>231</v>
      </c>
      <c r="M68" s="243" t="s">
        <v>231</v>
      </c>
      <c r="N68" s="237"/>
      <c r="O68" s="237"/>
      <c r="P68" s="237"/>
      <c r="Q68" s="245">
        <v>45799</v>
      </c>
      <c r="R68" s="237" t="s">
        <v>309</v>
      </c>
      <c r="S68" s="331" t="s">
        <v>233</v>
      </c>
      <c r="T68" s="237" t="s">
        <v>228</v>
      </c>
      <c r="U68" s="237" t="s">
        <v>234</v>
      </c>
      <c r="V68" s="237" t="s">
        <v>473</v>
      </c>
      <c r="W68" s="245">
        <v>45933</v>
      </c>
      <c r="X68" s="237" t="s">
        <v>631</v>
      </c>
      <c r="Y68" s="237" t="s">
        <v>237</v>
      </c>
      <c r="Z68" s="237" t="s">
        <v>237</v>
      </c>
      <c r="AA68" s="237" t="s">
        <v>632</v>
      </c>
      <c r="AB68" s="237" t="s">
        <v>228</v>
      </c>
      <c r="AC68" s="237" t="s">
        <v>228</v>
      </c>
    </row>
    <row r="69" spans="1:29" ht="13.5" customHeight="1">
      <c r="A69" s="235">
        <v>67</v>
      </c>
      <c r="B69" s="237"/>
      <c r="C69" s="255" t="s">
        <v>633</v>
      </c>
      <c r="D69" s="237" t="s">
        <v>634</v>
      </c>
      <c r="E69" s="237">
        <v>20</v>
      </c>
      <c r="F69" s="237" t="s">
        <v>60</v>
      </c>
      <c r="G69" s="237" t="s">
        <v>635</v>
      </c>
      <c r="H69" s="243" t="s">
        <v>27</v>
      </c>
      <c r="I69" s="243"/>
      <c r="J69" s="235" t="s">
        <v>433</v>
      </c>
      <c r="K69" s="240"/>
      <c r="L69" s="243" t="s">
        <v>231</v>
      </c>
      <c r="M69" s="243" t="s">
        <v>231</v>
      </c>
      <c r="N69" s="237"/>
      <c r="O69" s="237"/>
      <c r="P69" s="237"/>
      <c r="Q69" s="245">
        <v>45838</v>
      </c>
      <c r="R69" s="237" t="s">
        <v>309</v>
      </c>
      <c r="S69" s="331" t="s">
        <v>233</v>
      </c>
      <c r="T69" s="237" t="s">
        <v>228</v>
      </c>
      <c r="U69" s="237" t="s">
        <v>234</v>
      </c>
      <c r="V69" s="237" t="s">
        <v>473</v>
      </c>
      <c r="W69" s="245">
        <v>45918</v>
      </c>
      <c r="X69" s="237" t="s">
        <v>636</v>
      </c>
      <c r="Y69" s="237" t="s">
        <v>588</v>
      </c>
      <c r="Z69" s="237" t="s">
        <v>228</v>
      </c>
      <c r="AA69" s="237" t="s">
        <v>637</v>
      </c>
      <c r="AB69" s="237" t="s">
        <v>228</v>
      </c>
      <c r="AC69" s="237" t="s">
        <v>228</v>
      </c>
    </row>
    <row r="70" spans="1:29" ht="13.5" customHeight="1">
      <c r="A70" s="235">
        <v>68</v>
      </c>
      <c r="B70" s="237"/>
      <c r="C70" s="255" t="s">
        <v>638</v>
      </c>
      <c r="D70" s="237" t="s">
        <v>639</v>
      </c>
      <c r="E70" s="237">
        <v>46</v>
      </c>
      <c r="F70" s="237" t="s">
        <v>75</v>
      </c>
      <c r="G70" s="237" t="s">
        <v>640</v>
      </c>
      <c r="H70" s="243" t="s">
        <v>27</v>
      </c>
      <c r="I70" s="243"/>
      <c r="J70" s="235" t="s">
        <v>433</v>
      </c>
      <c r="K70" s="240"/>
      <c r="L70" s="243" t="s">
        <v>231</v>
      </c>
      <c r="M70" s="243" t="s">
        <v>231</v>
      </c>
      <c r="N70" s="237"/>
      <c r="O70" s="237"/>
      <c r="P70" s="237"/>
      <c r="Q70" s="245">
        <v>45846</v>
      </c>
      <c r="R70" s="237" t="s">
        <v>309</v>
      </c>
      <c r="S70" s="331" t="s">
        <v>233</v>
      </c>
      <c r="T70" s="237" t="s">
        <v>228</v>
      </c>
      <c r="U70" s="237" t="s">
        <v>234</v>
      </c>
      <c r="V70" s="237" t="s">
        <v>473</v>
      </c>
      <c r="W70" s="245">
        <v>45918</v>
      </c>
      <c r="X70" s="237" t="s">
        <v>641</v>
      </c>
      <c r="Y70" s="237" t="s">
        <v>588</v>
      </c>
      <c r="Z70" s="237" t="s">
        <v>228</v>
      </c>
      <c r="AA70" s="237" t="s">
        <v>642</v>
      </c>
      <c r="AB70" s="237" t="s">
        <v>228</v>
      </c>
      <c r="AC70" s="237" t="s">
        <v>228</v>
      </c>
    </row>
    <row r="71" spans="1:29" ht="13.5" customHeight="1">
      <c r="A71" s="235">
        <v>69</v>
      </c>
      <c r="B71" s="237"/>
      <c r="C71" s="255" t="s">
        <v>643</v>
      </c>
      <c r="D71" s="237" t="s">
        <v>644</v>
      </c>
      <c r="E71" s="237">
        <v>46</v>
      </c>
      <c r="F71" s="237" t="s">
        <v>75</v>
      </c>
      <c r="G71" s="237" t="s">
        <v>645</v>
      </c>
      <c r="H71" s="243" t="s">
        <v>27</v>
      </c>
      <c r="I71" s="243"/>
      <c r="J71" s="235" t="s">
        <v>433</v>
      </c>
      <c r="K71" s="240" t="s">
        <v>646</v>
      </c>
      <c r="L71" s="243" t="s">
        <v>231</v>
      </c>
      <c r="M71" s="243" t="s">
        <v>231</v>
      </c>
      <c r="N71" s="237"/>
      <c r="O71" s="237"/>
      <c r="P71" s="237"/>
      <c r="Q71" s="245">
        <v>45854</v>
      </c>
      <c r="R71" s="237" t="s">
        <v>309</v>
      </c>
      <c r="S71" s="331" t="s">
        <v>233</v>
      </c>
      <c r="T71" s="237" t="s">
        <v>228</v>
      </c>
      <c r="U71" s="237" t="s">
        <v>234</v>
      </c>
      <c r="V71" s="237" t="s">
        <v>473</v>
      </c>
      <c r="W71" s="245">
        <v>45918</v>
      </c>
      <c r="X71" s="237" t="s">
        <v>647</v>
      </c>
      <c r="Y71" s="237" t="s">
        <v>588</v>
      </c>
      <c r="Z71" s="237" t="s">
        <v>228</v>
      </c>
      <c r="AA71" s="237" t="s">
        <v>648</v>
      </c>
      <c r="AB71" s="237" t="s">
        <v>228</v>
      </c>
      <c r="AC71" s="237" t="s">
        <v>228</v>
      </c>
    </row>
    <row r="72" spans="1:29" ht="13.5" customHeight="1">
      <c r="A72" s="235">
        <v>70</v>
      </c>
      <c r="B72" s="237"/>
      <c r="C72" s="256" t="s">
        <v>649</v>
      </c>
      <c r="D72" s="237" t="s">
        <v>650</v>
      </c>
      <c r="E72" s="237">
        <v>49</v>
      </c>
      <c r="F72" s="237" t="s">
        <v>75</v>
      </c>
      <c r="G72" s="237" t="s">
        <v>651</v>
      </c>
      <c r="H72" s="243" t="s">
        <v>188</v>
      </c>
      <c r="I72" s="243"/>
      <c r="K72" s="240"/>
      <c r="L72" s="243" t="s">
        <v>231</v>
      </c>
      <c r="M72" s="243" t="s">
        <v>231</v>
      </c>
      <c r="N72" s="237"/>
      <c r="O72" s="237"/>
      <c r="P72" s="237"/>
      <c r="Q72" s="245">
        <v>45769</v>
      </c>
      <c r="R72" s="237" t="s">
        <v>309</v>
      </c>
      <c r="S72" s="331" t="s">
        <v>233</v>
      </c>
      <c r="T72" s="237" t="s">
        <v>228</v>
      </c>
      <c r="U72" s="237" t="s">
        <v>234</v>
      </c>
      <c r="V72" s="237" t="s">
        <v>652</v>
      </c>
      <c r="W72" s="245">
        <v>45947</v>
      </c>
      <c r="X72" s="237" t="s">
        <v>653</v>
      </c>
      <c r="Y72" s="237" t="s">
        <v>588</v>
      </c>
      <c r="Z72" s="237" t="s">
        <v>228</v>
      </c>
      <c r="AA72" s="237" t="s">
        <v>654</v>
      </c>
      <c r="AB72" s="237" t="s">
        <v>228</v>
      </c>
      <c r="AC72" s="237" t="s">
        <v>228</v>
      </c>
    </row>
    <row r="73" spans="1:29" ht="13.5" customHeight="1">
      <c r="A73" s="235">
        <v>71</v>
      </c>
      <c r="B73" s="237"/>
      <c r="C73" s="256" t="s">
        <v>655</v>
      </c>
      <c r="D73" s="237" t="s">
        <v>656</v>
      </c>
      <c r="E73" s="237">
        <v>29</v>
      </c>
      <c r="F73" s="237" t="s">
        <v>75</v>
      </c>
      <c r="G73" s="237" t="s">
        <v>657</v>
      </c>
      <c r="H73" s="243" t="s">
        <v>27</v>
      </c>
      <c r="I73" s="240" t="s">
        <v>39</v>
      </c>
      <c r="J73" s="235" t="s">
        <v>433</v>
      </c>
      <c r="K73" s="243" t="s">
        <v>658</v>
      </c>
      <c r="L73" s="243"/>
      <c r="M73" s="246" t="s">
        <v>228</v>
      </c>
      <c r="N73" s="237"/>
      <c r="O73" s="237"/>
      <c r="P73" s="237"/>
      <c r="Q73" s="245">
        <v>45727</v>
      </c>
      <c r="R73" s="237" t="s">
        <v>309</v>
      </c>
      <c r="S73" s="331" t="s">
        <v>233</v>
      </c>
      <c r="T73" s="237" t="s">
        <v>228</v>
      </c>
      <c r="U73" s="237" t="s">
        <v>234</v>
      </c>
      <c r="V73" s="237" t="s">
        <v>652</v>
      </c>
      <c r="W73" s="245">
        <v>45947</v>
      </c>
      <c r="X73" s="237" t="s">
        <v>659</v>
      </c>
      <c r="Y73" s="237" t="s">
        <v>237</v>
      </c>
      <c r="Z73" s="237" t="s">
        <v>228</v>
      </c>
      <c r="AA73" s="237" t="s">
        <v>660</v>
      </c>
      <c r="AB73" s="237" t="s">
        <v>228</v>
      </c>
      <c r="AC73" s="237" t="s">
        <v>228</v>
      </c>
    </row>
    <row r="74" spans="1:29" ht="13.5" customHeight="1">
      <c r="A74" s="235">
        <v>72</v>
      </c>
      <c r="B74" s="237"/>
      <c r="C74" s="256" t="s">
        <v>661</v>
      </c>
      <c r="D74" s="237" t="s">
        <v>662</v>
      </c>
      <c r="E74" s="237">
        <v>38</v>
      </c>
      <c r="F74" s="237" t="s">
        <v>75</v>
      </c>
      <c r="G74" s="237" t="s">
        <v>663</v>
      </c>
      <c r="H74" s="243" t="s">
        <v>188</v>
      </c>
      <c r="I74" s="243"/>
      <c r="K74" s="240"/>
      <c r="L74" s="243" t="s">
        <v>231</v>
      </c>
      <c r="M74" s="243" t="s">
        <v>231</v>
      </c>
      <c r="N74" s="237"/>
      <c r="O74" s="237"/>
      <c r="P74" s="237"/>
      <c r="Q74" s="245">
        <v>45721</v>
      </c>
      <c r="R74" s="237" t="s">
        <v>309</v>
      </c>
      <c r="S74" s="331" t="s">
        <v>233</v>
      </c>
      <c r="T74" s="237" t="s">
        <v>228</v>
      </c>
      <c r="U74" s="237" t="s">
        <v>234</v>
      </c>
      <c r="V74" s="237" t="s">
        <v>652</v>
      </c>
      <c r="W74" s="245">
        <v>45947</v>
      </c>
      <c r="X74" s="237" t="s">
        <v>664</v>
      </c>
      <c r="Y74" s="237" t="s">
        <v>237</v>
      </c>
      <c r="Z74" s="237" t="s">
        <v>228</v>
      </c>
      <c r="AA74" s="237" t="s">
        <v>665</v>
      </c>
      <c r="AB74" s="237" t="s">
        <v>228</v>
      </c>
      <c r="AC74" s="237" t="s">
        <v>228</v>
      </c>
    </row>
    <row r="75" spans="1:29" ht="13.5" customHeight="1">
      <c r="A75" s="235">
        <v>73</v>
      </c>
      <c r="B75" s="237"/>
      <c r="C75" s="256" t="s">
        <v>666</v>
      </c>
      <c r="D75" s="237" t="s">
        <v>667</v>
      </c>
      <c r="E75" s="237">
        <v>70</v>
      </c>
      <c r="F75" s="237" t="s">
        <v>60</v>
      </c>
      <c r="G75" s="237" t="s">
        <v>668</v>
      </c>
      <c r="H75" s="243" t="s">
        <v>188</v>
      </c>
      <c r="I75" s="243"/>
      <c r="K75" s="240"/>
      <c r="L75" s="243" t="s">
        <v>231</v>
      </c>
      <c r="M75" s="246" t="s">
        <v>228</v>
      </c>
      <c r="N75" s="237"/>
      <c r="O75" s="237"/>
      <c r="P75" s="237"/>
      <c r="Q75" s="245">
        <v>45777</v>
      </c>
      <c r="R75" s="237" t="s">
        <v>309</v>
      </c>
      <c r="S75" s="331" t="s">
        <v>233</v>
      </c>
      <c r="T75" s="237" t="s">
        <v>228</v>
      </c>
      <c r="U75" s="237" t="s">
        <v>234</v>
      </c>
      <c r="V75" s="237" t="s">
        <v>652</v>
      </c>
      <c r="W75" s="245">
        <v>45947</v>
      </c>
      <c r="X75" s="237" t="s">
        <v>669</v>
      </c>
      <c r="Y75" s="237" t="s">
        <v>588</v>
      </c>
      <c r="Z75" s="237" t="s">
        <v>228</v>
      </c>
      <c r="AA75" s="237" t="s">
        <v>670</v>
      </c>
      <c r="AB75" s="237" t="s">
        <v>228</v>
      </c>
      <c r="AC75" s="237" t="s">
        <v>228</v>
      </c>
    </row>
    <row r="76" spans="1:29" ht="13.5" customHeight="1">
      <c r="A76" s="235">
        <v>74</v>
      </c>
      <c r="B76" s="237"/>
      <c r="C76" s="256" t="s">
        <v>671</v>
      </c>
      <c r="D76" s="237" t="s">
        <v>672</v>
      </c>
      <c r="E76" s="237">
        <v>48</v>
      </c>
      <c r="F76" s="237" t="s">
        <v>75</v>
      </c>
      <c r="G76" s="237" t="s">
        <v>673</v>
      </c>
      <c r="H76" s="243" t="s">
        <v>188</v>
      </c>
      <c r="I76" s="243"/>
      <c r="K76" s="240"/>
      <c r="L76" s="243" t="s">
        <v>231</v>
      </c>
      <c r="M76" s="243" t="s">
        <v>231</v>
      </c>
      <c r="N76" s="237"/>
      <c r="O76" s="237"/>
      <c r="P76" s="237"/>
      <c r="Q76" s="245">
        <v>45758</v>
      </c>
      <c r="R76" s="237" t="s">
        <v>309</v>
      </c>
      <c r="S76" s="331" t="s">
        <v>233</v>
      </c>
      <c r="T76" s="237" t="s">
        <v>228</v>
      </c>
      <c r="U76" s="237" t="s">
        <v>234</v>
      </c>
      <c r="V76" s="237" t="s">
        <v>652</v>
      </c>
      <c r="W76" s="245">
        <v>45947</v>
      </c>
      <c r="X76" s="237" t="s">
        <v>674</v>
      </c>
      <c r="Y76" s="237" t="s">
        <v>237</v>
      </c>
      <c r="Z76" s="237" t="s">
        <v>228</v>
      </c>
      <c r="AA76" s="237" t="s">
        <v>675</v>
      </c>
      <c r="AB76" s="237" t="s">
        <v>228</v>
      </c>
      <c r="AC76" s="237" t="s">
        <v>228</v>
      </c>
    </row>
    <row r="77" spans="1:29" ht="13.5" customHeight="1">
      <c r="A77" s="235">
        <v>75</v>
      </c>
      <c r="B77" s="237"/>
      <c r="C77" s="256" t="s">
        <v>676</v>
      </c>
      <c r="D77" s="237" t="s">
        <v>677</v>
      </c>
      <c r="E77" s="237">
        <v>22</v>
      </c>
      <c r="F77" s="237" t="s">
        <v>75</v>
      </c>
      <c r="G77" s="237" t="s">
        <v>678</v>
      </c>
      <c r="H77" s="243" t="s">
        <v>188</v>
      </c>
      <c r="I77" s="243"/>
      <c r="K77" s="240"/>
      <c r="L77" s="243" t="s">
        <v>231</v>
      </c>
      <c r="M77" s="243" t="s">
        <v>231</v>
      </c>
      <c r="N77" s="237" t="s">
        <v>679</v>
      </c>
      <c r="O77" s="237"/>
      <c r="P77" s="237"/>
      <c r="Q77" s="245">
        <v>45775</v>
      </c>
      <c r="R77" s="237" t="s">
        <v>309</v>
      </c>
      <c r="S77" s="331" t="s">
        <v>233</v>
      </c>
      <c r="T77" s="237" t="s">
        <v>228</v>
      </c>
      <c r="U77" s="237" t="s">
        <v>234</v>
      </c>
      <c r="V77" s="237" t="s">
        <v>652</v>
      </c>
      <c r="W77" s="245">
        <v>45947</v>
      </c>
      <c r="X77" s="237" t="s">
        <v>680</v>
      </c>
      <c r="Y77" s="237" t="s">
        <v>237</v>
      </c>
      <c r="Z77" s="237" t="s">
        <v>228</v>
      </c>
      <c r="AA77" s="237" t="s">
        <v>681</v>
      </c>
      <c r="AB77" s="237" t="s">
        <v>228</v>
      </c>
      <c r="AC77" s="237" t="s">
        <v>228</v>
      </c>
    </row>
    <row r="78" spans="1:29" ht="13.5" customHeight="1">
      <c r="A78" s="235">
        <v>76</v>
      </c>
      <c r="B78" s="237"/>
      <c r="C78" s="256" t="s">
        <v>682</v>
      </c>
      <c r="D78" s="237" t="s">
        <v>683</v>
      </c>
      <c r="E78" s="237">
        <v>34</v>
      </c>
      <c r="F78" s="237" t="s">
        <v>60</v>
      </c>
      <c r="G78" s="237" t="s">
        <v>684</v>
      </c>
      <c r="H78" s="243" t="s">
        <v>188</v>
      </c>
      <c r="I78" s="243"/>
      <c r="K78" s="240"/>
      <c r="L78" s="243" t="s">
        <v>231</v>
      </c>
      <c r="M78" s="243" t="s">
        <v>231</v>
      </c>
      <c r="N78" s="237"/>
      <c r="O78" s="237"/>
      <c r="P78" s="237"/>
      <c r="Q78" s="245">
        <v>45731</v>
      </c>
      <c r="R78" s="237" t="s">
        <v>309</v>
      </c>
      <c r="S78" s="331" t="s">
        <v>233</v>
      </c>
      <c r="T78" s="237" t="s">
        <v>228</v>
      </c>
      <c r="U78" s="237" t="s">
        <v>234</v>
      </c>
      <c r="V78" s="237" t="s">
        <v>652</v>
      </c>
      <c r="W78" s="245">
        <v>45947</v>
      </c>
      <c r="X78" s="237" t="s">
        <v>685</v>
      </c>
      <c r="Y78" s="237" t="s">
        <v>237</v>
      </c>
      <c r="Z78" s="237" t="s">
        <v>237</v>
      </c>
      <c r="AA78" s="237" t="s">
        <v>686</v>
      </c>
      <c r="AB78" s="237" t="s">
        <v>228</v>
      </c>
      <c r="AC78" s="237" t="s">
        <v>228</v>
      </c>
    </row>
    <row r="79" spans="1:29" ht="13.5" customHeight="1">
      <c r="A79" s="235">
        <v>77</v>
      </c>
      <c r="B79" s="237"/>
      <c r="C79" s="256" t="s">
        <v>687</v>
      </c>
      <c r="D79" s="237" t="s">
        <v>688</v>
      </c>
      <c r="E79" s="237">
        <v>44</v>
      </c>
      <c r="F79" s="237" t="s">
        <v>60</v>
      </c>
      <c r="G79" s="237" t="s">
        <v>689</v>
      </c>
      <c r="H79" s="243" t="s">
        <v>188</v>
      </c>
      <c r="I79" s="243"/>
      <c r="K79" s="240"/>
      <c r="L79" s="243" t="s">
        <v>231</v>
      </c>
      <c r="M79" s="243" t="s">
        <v>231</v>
      </c>
      <c r="N79" s="237"/>
      <c r="O79" s="237"/>
      <c r="P79" s="237"/>
      <c r="Q79" s="245">
        <v>45721</v>
      </c>
      <c r="R79" s="237" t="s">
        <v>309</v>
      </c>
      <c r="S79" s="331" t="s">
        <v>233</v>
      </c>
      <c r="T79" s="237" t="s">
        <v>228</v>
      </c>
      <c r="U79" s="237" t="s">
        <v>234</v>
      </c>
      <c r="V79" s="237" t="s">
        <v>652</v>
      </c>
      <c r="W79" s="245">
        <v>45947</v>
      </c>
      <c r="X79" s="237" t="s">
        <v>690</v>
      </c>
      <c r="Y79" s="237" t="s">
        <v>237</v>
      </c>
      <c r="Z79" s="237" t="s">
        <v>228</v>
      </c>
      <c r="AA79" s="237" t="s">
        <v>691</v>
      </c>
      <c r="AB79" s="237" t="s">
        <v>228</v>
      </c>
      <c r="AC79" s="237" t="s">
        <v>228</v>
      </c>
    </row>
    <row r="80" spans="1:29" ht="13.5" customHeight="1">
      <c r="A80" s="235">
        <v>78</v>
      </c>
      <c r="B80" s="237"/>
      <c r="C80" s="256" t="s">
        <v>692</v>
      </c>
      <c r="D80" s="237" t="s">
        <v>693</v>
      </c>
      <c r="E80" s="237">
        <v>32</v>
      </c>
      <c r="F80" s="237" t="s">
        <v>60</v>
      </c>
      <c r="G80" s="237" t="s">
        <v>694</v>
      </c>
      <c r="H80" s="243" t="s">
        <v>188</v>
      </c>
      <c r="I80" s="243"/>
      <c r="K80" s="240"/>
      <c r="L80" s="243" t="s">
        <v>231</v>
      </c>
      <c r="M80" s="243" t="s">
        <v>231</v>
      </c>
      <c r="N80" s="237"/>
      <c r="O80" s="237"/>
      <c r="P80" s="237"/>
      <c r="Q80" s="245">
        <v>45775</v>
      </c>
      <c r="R80" s="237" t="s">
        <v>309</v>
      </c>
      <c r="S80" s="331" t="s">
        <v>233</v>
      </c>
      <c r="T80" s="237" t="s">
        <v>228</v>
      </c>
      <c r="U80" s="237" t="s">
        <v>234</v>
      </c>
      <c r="V80" s="237" t="s">
        <v>652</v>
      </c>
      <c r="W80" s="245">
        <v>45947</v>
      </c>
      <c r="X80" s="237" t="s">
        <v>695</v>
      </c>
      <c r="Y80" s="237" t="s">
        <v>237</v>
      </c>
      <c r="Z80" s="237" t="s">
        <v>237</v>
      </c>
      <c r="AA80" s="237" t="s">
        <v>696</v>
      </c>
      <c r="AB80" s="237" t="s">
        <v>228</v>
      </c>
      <c r="AC80" s="237" t="s">
        <v>228</v>
      </c>
    </row>
    <row r="81" spans="1:29" ht="13.5" customHeight="1">
      <c r="A81" s="235">
        <v>79</v>
      </c>
      <c r="B81" s="237"/>
      <c r="C81" s="256" t="s">
        <v>697</v>
      </c>
      <c r="D81" s="237" t="s">
        <v>698</v>
      </c>
      <c r="E81" s="237">
        <v>23</v>
      </c>
      <c r="F81" s="237" t="s">
        <v>75</v>
      </c>
      <c r="G81" s="237" t="s">
        <v>699</v>
      </c>
      <c r="H81" s="243" t="s">
        <v>188</v>
      </c>
      <c r="I81" s="243"/>
      <c r="K81" s="240"/>
      <c r="L81" s="243" t="s">
        <v>231</v>
      </c>
      <c r="M81" s="243" t="s">
        <v>231</v>
      </c>
      <c r="N81" s="237"/>
      <c r="O81" s="237"/>
      <c r="P81" s="237"/>
      <c r="Q81" s="245">
        <v>45727</v>
      </c>
      <c r="R81" s="237" t="s">
        <v>309</v>
      </c>
      <c r="S81" s="331" t="s">
        <v>233</v>
      </c>
      <c r="T81" s="237" t="s">
        <v>228</v>
      </c>
      <c r="U81" s="237" t="s">
        <v>234</v>
      </c>
      <c r="V81" s="237" t="s">
        <v>652</v>
      </c>
      <c r="W81" s="245">
        <v>45947</v>
      </c>
      <c r="X81" s="237" t="s">
        <v>700</v>
      </c>
      <c r="Y81" s="237" t="s">
        <v>237</v>
      </c>
      <c r="Z81" s="237" t="s">
        <v>228</v>
      </c>
      <c r="AA81" s="237" t="s">
        <v>701</v>
      </c>
      <c r="AB81" s="237" t="s">
        <v>228</v>
      </c>
      <c r="AC81" s="237" t="s">
        <v>228</v>
      </c>
    </row>
    <row r="82" spans="1:29" ht="13.5" customHeight="1">
      <c r="A82" s="235">
        <v>80</v>
      </c>
      <c r="B82" s="237"/>
      <c r="C82" s="256" t="s">
        <v>702</v>
      </c>
      <c r="D82" s="237" t="s">
        <v>703</v>
      </c>
      <c r="E82" s="237">
        <v>23</v>
      </c>
      <c r="F82" s="237" t="s">
        <v>75</v>
      </c>
      <c r="G82" s="237" t="s">
        <v>704</v>
      </c>
      <c r="H82" s="243" t="s">
        <v>188</v>
      </c>
      <c r="I82" s="243"/>
      <c r="K82" s="240"/>
      <c r="L82" s="243" t="s">
        <v>231</v>
      </c>
      <c r="M82" s="243" t="s">
        <v>231</v>
      </c>
      <c r="N82" s="237"/>
      <c r="O82" s="237"/>
      <c r="P82" s="237"/>
      <c r="Q82" s="245">
        <v>45727</v>
      </c>
      <c r="R82" s="237" t="s">
        <v>309</v>
      </c>
      <c r="S82" s="331" t="s">
        <v>233</v>
      </c>
      <c r="T82" s="237" t="s">
        <v>228</v>
      </c>
      <c r="U82" s="237" t="s">
        <v>234</v>
      </c>
      <c r="V82" s="237" t="s">
        <v>652</v>
      </c>
      <c r="W82" s="245">
        <v>45947</v>
      </c>
      <c r="X82" s="237" t="s">
        <v>705</v>
      </c>
      <c r="Y82" s="237" t="s">
        <v>237</v>
      </c>
      <c r="Z82" s="237" t="s">
        <v>228</v>
      </c>
      <c r="AA82" s="237" t="s">
        <v>706</v>
      </c>
      <c r="AB82" s="237" t="s">
        <v>228</v>
      </c>
      <c r="AC82" s="237" t="s">
        <v>228</v>
      </c>
    </row>
    <row r="83" spans="1:29" ht="13.5" customHeight="1">
      <c r="A83" s="235">
        <v>81</v>
      </c>
      <c r="B83" s="237"/>
      <c r="C83" s="256" t="s">
        <v>707</v>
      </c>
      <c r="D83" s="237" t="s">
        <v>708</v>
      </c>
      <c r="E83" s="237">
        <v>53</v>
      </c>
      <c r="F83" s="237" t="s">
        <v>75</v>
      </c>
      <c r="G83" s="237" t="s">
        <v>709</v>
      </c>
      <c r="H83" s="243" t="s">
        <v>188</v>
      </c>
      <c r="I83" s="243"/>
      <c r="K83" s="240"/>
      <c r="L83" s="243" t="s">
        <v>231</v>
      </c>
      <c r="M83" s="243" t="s">
        <v>231</v>
      </c>
      <c r="N83" s="237"/>
      <c r="O83" s="237"/>
      <c r="P83" s="237"/>
      <c r="Q83" s="245">
        <v>45726</v>
      </c>
      <c r="R83" s="237" t="s">
        <v>309</v>
      </c>
      <c r="S83" s="331" t="s">
        <v>233</v>
      </c>
      <c r="T83" s="237" t="s">
        <v>228</v>
      </c>
      <c r="U83" s="237" t="s">
        <v>234</v>
      </c>
      <c r="V83" s="237" t="s">
        <v>652</v>
      </c>
      <c r="W83" s="245">
        <v>45947</v>
      </c>
      <c r="X83" s="237" t="s">
        <v>710</v>
      </c>
      <c r="Y83" s="237" t="s">
        <v>237</v>
      </c>
      <c r="Z83" s="237" t="s">
        <v>228</v>
      </c>
      <c r="AA83" s="237" t="s">
        <v>711</v>
      </c>
      <c r="AB83" s="237" t="s">
        <v>228</v>
      </c>
      <c r="AC83" s="237" t="s">
        <v>228</v>
      </c>
    </row>
    <row r="84" spans="1:29" ht="13.5" customHeight="1">
      <c r="A84" s="235">
        <v>82</v>
      </c>
      <c r="B84" s="237"/>
      <c r="C84" s="256" t="s">
        <v>712</v>
      </c>
      <c r="D84" s="237" t="s">
        <v>713</v>
      </c>
      <c r="E84" s="237">
        <v>58</v>
      </c>
      <c r="F84" s="237" t="s">
        <v>60</v>
      </c>
      <c r="G84" s="237" t="s">
        <v>714</v>
      </c>
      <c r="H84" s="243" t="s">
        <v>188</v>
      </c>
      <c r="I84" s="243"/>
      <c r="K84" s="240"/>
      <c r="L84" s="243" t="s">
        <v>231</v>
      </c>
      <c r="M84" s="243" t="s">
        <v>231</v>
      </c>
      <c r="N84" s="237"/>
      <c r="O84" s="237"/>
      <c r="P84" s="237"/>
      <c r="Q84" s="245">
        <v>45758</v>
      </c>
      <c r="R84" s="237" t="s">
        <v>309</v>
      </c>
      <c r="S84" s="331" t="s">
        <v>233</v>
      </c>
      <c r="T84" s="237" t="s">
        <v>228</v>
      </c>
      <c r="U84" s="237" t="s">
        <v>234</v>
      </c>
      <c r="V84" s="237" t="s">
        <v>652</v>
      </c>
      <c r="W84" s="245">
        <v>45947</v>
      </c>
      <c r="X84" s="237" t="s">
        <v>715</v>
      </c>
      <c r="Y84" s="237" t="s">
        <v>237</v>
      </c>
      <c r="Z84" s="237" t="s">
        <v>228</v>
      </c>
      <c r="AA84" s="237" t="s">
        <v>716</v>
      </c>
      <c r="AB84" s="237" t="s">
        <v>228</v>
      </c>
      <c r="AC84" s="237" t="s">
        <v>228</v>
      </c>
    </row>
    <row r="85" spans="1:29" ht="13.5" customHeight="1">
      <c r="A85" s="235">
        <v>83</v>
      </c>
      <c r="B85" s="237"/>
      <c r="C85" s="256" t="s">
        <v>717</v>
      </c>
      <c r="D85" s="237" t="s">
        <v>718</v>
      </c>
      <c r="E85" s="237">
        <v>38</v>
      </c>
      <c r="F85" s="237" t="s">
        <v>75</v>
      </c>
      <c r="G85" s="237" t="s">
        <v>719</v>
      </c>
      <c r="H85" s="243" t="s">
        <v>188</v>
      </c>
      <c r="I85" s="243"/>
      <c r="K85" s="240"/>
      <c r="L85" s="243" t="s">
        <v>231</v>
      </c>
      <c r="M85" s="243" t="s">
        <v>231</v>
      </c>
      <c r="N85" s="237"/>
      <c r="O85" s="237"/>
      <c r="P85" s="237"/>
      <c r="Q85" s="245">
        <v>45897</v>
      </c>
      <c r="R85" s="237" t="s">
        <v>309</v>
      </c>
      <c r="S85" s="331" t="s">
        <v>233</v>
      </c>
      <c r="T85" s="237" t="s">
        <v>228</v>
      </c>
      <c r="U85" s="237" t="s">
        <v>298</v>
      </c>
      <c r="V85" s="237" t="s">
        <v>652</v>
      </c>
      <c r="W85" s="245">
        <v>45947</v>
      </c>
      <c r="X85" s="237" t="s">
        <v>720</v>
      </c>
      <c r="Y85" s="237" t="s">
        <v>588</v>
      </c>
      <c r="Z85" s="237" t="s">
        <v>228</v>
      </c>
      <c r="AA85" s="237" t="s">
        <v>721</v>
      </c>
      <c r="AB85" s="237" t="s">
        <v>228</v>
      </c>
      <c r="AC85" s="237" t="s">
        <v>228</v>
      </c>
    </row>
    <row r="86" spans="1:29" ht="13.5" customHeight="1">
      <c r="A86" s="235">
        <v>84</v>
      </c>
      <c r="B86" s="237"/>
      <c r="C86" s="256" t="s">
        <v>722</v>
      </c>
      <c r="D86" s="237" t="s">
        <v>723</v>
      </c>
      <c r="E86" s="237">
        <v>23</v>
      </c>
      <c r="F86" s="237" t="s">
        <v>75</v>
      </c>
      <c r="G86" s="237" t="s">
        <v>724</v>
      </c>
      <c r="H86" s="243" t="s">
        <v>188</v>
      </c>
      <c r="I86" s="243"/>
      <c r="K86" s="240"/>
      <c r="L86" s="243" t="s">
        <v>231</v>
      </c>
      <c r="M86" s="243" t="s">
        <v>231</v>
      </c>
      <c r="N86" s="237"/>
      <c r="O86" s="237"/>
      <c r="P86" s="237"/>
      <c r="Q86" s="245">
        <v>45743</v>
      </c>
      <c r="R86" s="237" t="s">
        <v>309</v>
      </c>
      <c r="S86" s="331" t="s">
        <v>233</v>
      </c>
      <c r="T86" s="237" t="s">
        <v>228</v>
      </c>
      <c r="U86" s="237" t="s">
        <v>234</v>
      </c>
      <c r="V86" s="237" t="s">
        <v>652</v>
      </c>
      <c r="W86" s="245">
        <v>45947</v>
      </c>
      <c r="X86" s="237" t="s">
        <v>725</v>
      </c>
      <c r="Y86" s="237" t="s">
        <v>237</v>
      </c>
      <c r="Z86" s="237" t="s">
        <v>228</v>
      </c>
      <c r="AA86" s="237" t="s">
        <v>726</v>
      </c>
      <c r="AB86" s="237" t="s">
        <v>228</v>
      </c>
      <c r="AC86" s="237" t="s">
        <v>228</v>
      </c>
    </row>
    <row r="87" spans="1:29" ht="13.5" customHeight="1">
      <c r="A87" s="235">
        <v>85</v>
      </c>
      <c r="B87" s="237"/>
      <c r="C87" s="256" t="s">
        <v>727</v>
      </c>
      <c r="D87" s="237" t="s">
        <v>728</v>
      </c>
      <c r="E87" s="237">
        <v>25</v>
      </c>
      <c r="F87" s="237" t="s">
        <v>75</v>
      </c>
      <c r="G87" s="237" t="s">
        <v>729</v>
      </c>
      <c r="H87" s="243" t="s">
        <v>188</v>
      </c>
      <c r="I87" s="243"/>
      <c r="K87" s="240"/>
      <c r="L87" s="243" t="s">
        <v>231</v>
      </c>
      <c r="M87" s="243" t="s">
        <v>231</v>
      </c>
      <c r="N87" s="237"/>
      <c r="O87" s="237"/>
      <c r="P87" s="237"/>
      <c r="Q87" s="245">
        <v>45727</v>
      </c>
      <c r="R87" s="237" t="s">
        <v>309</v>
      </c>
      <c r="S87" s="331" t="s">
        <v>233</v>
      </c>
      <c r="T87" s="237" t="s">
        <v>228</v>
      </c>
      <c r="U87" s="237" t="s">
        <v>234</v>
      </c>
      <c r="V87" s="237" t="s">
        <v>652</v>
      </c>
      <c r="W87" s="245">
        <v>45947</v>
      </c>
      <c r="X87" s="237" t="s">
        <v>730</v>
      </c>
      <c r="Y87" s="237" t="s">
        <v>237</v>
      </c>
      <c r="Z87" s="237" t="s">
        <v>228</v>
      </c>
      <c r="AA87" s="237" t="s">
        <v>731</v>
      </c>
      <c r="AB87" s="237" t="s">
        <v>228</v>
      </c>
      <c r="AC87" s="237" t="s">
        <v>228</v>
      </c>
    </row>
    <row r="88" spans="1:29" ht="13.5" customHeight="1">
      <c r="A88" s="235">
        <v>86</v>
      </c>
      <c r="B88" s="237"/>
      <c r="C88" s="256" t="s">
        <v>732</v>
      </c>
      <c r="D88" s="237" t="s">
        <v>733</v>
      </c>
      <c r="E88" s="237">
        <v>29</v>
      </c>
      <c r="F88" s="237" t="s">
        <v>75</v>
      </c>
      <c r="G88" s="237" t="s">
        <v>734</v>
      </c>
      <c r="H88" s="243" t="s">
        <v>188</v>
      </c>
      <c r="I88" s="243"/>
      <c r="K88" s="240"/>
      <c r="L88" s="243" t="s">
        <v>231</v>
      </c>
      <c r="M88" s="243" t="s">
        <v>231</v>
      </c>
      <c r="N88" s="237" t="s">
        <v>735</v>
      </c>
      <c r="O88" s="237"/>
      <c r="P88" s="237"/>
      <c r="Q88" s="245">
        <v>45768</v>
      </c>
      <c r="R88" s="237" t="s">
        <v>309</v>
      </c>
      <c r="S88" s="331" t="s">
        <v>233</v>
      </c>
      <c r="T88" s="237" t="s">
        <v>228</v>
      </c>
      <c r="U88" s="237" t="s">
        <v>234</v>
      </c>
      <c r="V88" s="237" t="s">
        <v>652</v>
      </c>
      <c r="W88" s="245">
        <v>45947</v>
      </c>
      <c r="X88" s="237" t="s">
        <v>736</v>
      </c>
      <c r="Y88" s="237" t="s">
        <v>588</v>
      </c>
      <c r="Z88" s="237" t="s">
        <v>228</v>
      </c>
      <c r="AA88" s="237" t="s">
        <v>737</v>
      </c>
      <c r="AB88" s="237" t="s">
        <v>228</v>
      </c>
      <c r="AC88" s="237" t="s">
        <v>228</v>
      </c>
    </row>
    <row r="89" spans="1:29" ht="13.5" customHeight="1">
      <c r="A89" s="235">
        <v>87</v>
      </c>
      <c r="B89" s="237"/>
      <c r="C89" s="256" t="s">
        <v>738</v>
      </c>
      <c r="D89" s="237" t="s">
        <v>739</v>
      </c>
      <c r="E89" s="237">
        <v>49</v>
      </c>
      <c r="F89" s="237" t="s">
        <v>75</v>
      </c>
      <c r="G89" s="237" t="s">
        <v>740</v>
      </c>
      <c r="H89" s="243" t="s">
        <v>188</v>
      </c>
      <c r="I89" s="243"/>
      <c r="K89" s="240"/>
      <c r="L89" s="243" t="s">
        <v>231</v>
      </c>
      <c r="M89" s="243" t="s">
        <v>231</v>
      </c>
      <c r="N89" s="237"/>
      <c r="O89" s="237"/>
      <c r="P89" s="237"/>
      <c r="Q89" s="245">
        <v>45733</v>
      </c>
      <c r="R89" s="237" t="s">
        <v>309</v>
      </c>
      <c r="S89" s="331" t="s">
        <v>233</v>
      </c>
      <c r="T89" s="237" t="s">
        <v>228</v>
      </c>
      <c r="U89" s="237" t="s">
        <v>234</v>
      </c>
      <c r="V89" s="237" t="s">
        <v>652</v>
      </c>
      <c r="W89" s="245">
        <v>45947</v>
      </c>
      <c r="X89" s="237" t="s">
        <v>741</v>
      </c>
      <c r="Y89" s="237" t="s">
        <v>237</v>
      </c>
      <c r="Z89" s="237" t="s">
        <v>228</v>
      </c>
      <c r="AA89" s="237" t="s">
        <v>742</v>
      </c>
      <c r="AB89" s="237" t="s">
        <v>228</v>
      </c>
      <c r="AC89" s="237" t="s">
        <v>228</v>
      </c>
    </row>
    <row r="90" spans="1:29" ht="13.5" customHeight="1">
      <c r="A90" s="235">
        <v>88</v>
      </c>
      <c r="B90" s="237"/>
      <c r="C90" s="256" t="s">
        <v>743</v>
      </c>
      <c r="D90" s="237" t="s">
        <v>744</v>
      </c>
      <c r="E90" s="237">
        <v>47</v>
      </c>
      <c r="F90" s="237" t="s">
        <v>75</v>
      </c>
      <c r="G90" s="237" t="s">
        <v>745</v>
      </c>
      <c r="H90" s="243" t="s">
        <v>188</v>
      </c>
      <c r="I90" s="243"/>
      <c r="K90" s="240"/>
      <c r="L90" s="243" t="s">
        <v>231</v>
      </c>
      <c r="M90" s="243" t="s">
        <v>231</v>
      </c>
      <c r="N90" s="237"/>
      <c r="O90" s="237"/>
      <c r="P90" s="237"/>
      <c r="Q90" s="245">
        <v>45897</v>
      </c>
      <c r="R90" s="237" t="s">
        <v>309</v>
      </c>
      <c r="S90" s="331" t="s">
        <v>233</v>
      </c>
      <c r="T90" s="237" t="s">
        <v>228</v>
      </c>
      <c r="U90" s="237" t="s">
        <v>234</v>
      </c>
      <c r="V90" s="237" t="s">
        <v>652</v>
      </c>
      <c r="W90" s="245">
        <v>45947</v>
      </c>
      <c r="X90" s="237" t="s">
        <v>746</v>
      </c>
      <c r="Y90" s="237" t="s">
        <v>237</v>
      </c>
      <c r="Z90" s="237" t="s">
        <v>228</v>
      </c>
      <c r="AA90" s="237" t="s">
        <v>747</v>
      </c>
      <c r="AB90" s="237" t="s">
        <v>228</v>
      </c>
      <c r="AC90" s="237" t="s">
        <v>228</v>
      </c>
    </row>
    <row r="91" spans="1:29" ht="13.5" customHeight="1">
      <c r="A91" s="235">
        <v>89</v>
      </c>
      <c r="B91" s="237"/>
      <c r="C91" s="256" t="s">
        <v>748</v>
      </c>
      <c r="D91" s="237" t="s">
        <v>749</v>
      </c>
      <c r="E91" s="237">
        <v>57</v>
      </c>
      <c r="F91" s="237" t="s">
        <v>60</v>
      </c>
      <c r="G91" s="237" t="s">
        <v>750</v>
      </c>
      <c r="H91" s="243" t="s">
        <v>188</v>
      </c>
      <c r="I91" s="243"/>
      <c r="K91" s="240"/>
      <c r="L91" s="243" t="s">
        <v>231</v>
      </c>
      <c r="M91" s="243" t="s">
        <v>751</v>
      </c>
      <c r="N91" s="237"/>
      <c r="O91" s="237"/>
      <c r="P91" s="237"/>
      <c r="Q91" s="245">
        <v>45769</v>
      </c>
      <c r="R91" s="237" t="s">
        <v>309</v>
      </c>
      <c r="S91" s="331" t="s">
        <v>233</v>
      </c>
      <c r="T91" s="237" t="s">
        <v>228</v>
      </c>
      <c r="U91" s="237" t="s">
        <v>234</v>
      </c>
      <c r="V91" s="237" t="s">
        <v>652</v>
      </c>
      <c r="W91" s="245">
        <v>45947</v>
      </c>
      <c r="X91" s="237" t="s">
        <v>752</v>
      </c>
      <c r="Y91" s="237" t="s">
        <v>237</v>
      </c>
      <c r="Z91" s="237" t="s">
        <v>228</v>
      </c>
      <c r="AA91" s="237" t="s">
        <v>753</v>
      </c>
      <c r="AB91" s="237" t="s">
        <v>228</v>
      </c>
      <c r="AC91" s="237" t="s">
        <v>228</v>
      </c>
    </row>
    <row r="92" spans="1:29" ht="12.75" customHeight="1">
      <c r="A92" s="235">
        <v>90</v>
      </c>
      <c r="B92" s="237"/>
      <c r="C92" s="256" t="s">
        <v>754</v>
      </c>
      <c r="D92" s="237" t="s">
        <v>755</v>
      </c>
      <c r="E92" s="237">
        <v>48</v>
      </c>
      <c r="F92" s="237" t="s">
        <v>60</v>
      </c>
      <c r="G92" s="237" t="s">
        <v>756</v>
      </c>
      <c r="H92" s="243" t="s">
        <v>188</v>
      </c>
      <c r="I92" s="243"/>
      <c r="K92" s="240"/>
      <c r="L92" s="243" t="s">
        <v>231</v>
      </c>
      <c r="M92" s="243" t="s">
        <v>231</v>
      </c>
      <c r="N92" s="237"/>
      <c r="O92" s="237"/>
      <c r="P92" s="237"/>
      <c r="Q92" s="245">
        <v>45733</v>
      </c>
      <c r="R92" s="237" t="s">
        <v>309</v>
      </c>
      <c r="S92" s="331" t="s">
        <v>233</v>
      </c>
      <c r="T92" s="237" t="s">
        <v>228</v>
      </c>
      <c r="U92" s="237" t="s">
        <v>234</v>
      </c>
      <c r="V92" s="237" t="s">
        <v>652</v>
      </c>
      <c r="W92" s="245">
        <v>45947</v>
      </c>
      <c r="X92" s="237" t="s">
        <v>757</v>
      </c>
      <c r="Y92" s="237" t="s">
        <v>237</v>
      </c>
      <c r="Z92" s="237" t="s">
        <v>228</v>
      </c>
      <c r="AA92" s="237" t="s">
        <v>758</v>
      </c>
      <c r="AB92" s="237" t="s">
        <v>228</v>
      </c>
      <c r="AC92" s="237" t="s">
        <v>228</v>
      </c>
    </row>
    <row r="93" spans="1:29" ht="13.5" customHeight="1">
      <c r="A93" s="235">
        <v>91</v>
      </c>
      <c r="B93" s="237"/>
      <c r="C93" s="256" t="s">
        <v>759</v>
      </c>
      <c r="D93" s="237" t="s">
        <v>760</v>
      </c>
      <c r="E93" s="237">
        <v>55</v>
      </c>
      <c r="F93" s="237" t="s">
        <v>60</v>
      </c>
      <c r="G93" s="237" t="s">
        <v>761</v>
      </c>
      <c r="H93" s="243" t="s">
        <v>188</v>
      </c>
      <c r="I93" s="243"/>
      <c r="K93" s="240"/>
      <c r="L93" s="243" t="s">
        <v>231</v>
      </c>
      <c r="M93" s="243" t="s">
        <v>231</v>
      </c>
      <c r="N93" s="237"/>
      <c r="O93" s="237"/>
      <c r="P93" s="237"/>
      <c r="Q93" s="245">
        <v>45726</v>
      </c>
      <c r="R93" s="237" t="s">
        <v>309</v>
      </c>
      <c r="S93" s="331" t="s">
        <v>233</v>
      </c>
      <c r="T93" s="237" t="s">
        <v>228</v>
      </c>
      <c r="U93" s="237" t="s">
        <v>234</v>
      </c>
      <c r="V93" s="237" t="s">
        <v>652</v>
      </c>
      <c r="W93" s="245">
        <v>45947</v>
      </c>
      <c r="X93" s="237" t="s">
        <v>762</v>
      </c>
      <c r="Y93" s="237" t="s">
        <v>237</v>
      </c>
      <c r="Z93" s="237" t="s">
        <v>228</v>
      </c>
      <c r="AA93" s="237" t="s">
        <v>763</v>
      </c>
      <c r="AB93" s="237" t="s">
        <v>228</v>
      </c>
      <c r="AC93" s="237" t="s">
        <v>228</v>
      </c>
    </row>
    <row r="94" spans="1:29" ht="13.5" customHeight="1">
      <c r="A94" s="235">
        <v>92</v>
      </c>
      <c r="B94" s="237"/>
      <c r="C94" s="256" t="s">
        <v>764</v>
      </c>
      <c r="D94" s="237" t="s">
        <v>765</v>
      </c>
      <c r="E94" s="237">
        <v>24</v>
      </c>
      <c r="F94" s="237" t="s">
        <v>60</v>
      </c>
      <c r="G94" s="237" t="s">
        <v>766</v>
      </c>
      <c r="H94" s="243" t="s">
        <v>188</v>
      </c>
      <c r="I94" s="243"/>
      <c r="K94" s="240"/>
      <c r="L94" s="243" t="s">
        <v>231</v>
      </c>
      <c r="M94" s="243" t="s">
        <v>231</v>
      </c>
      <c r="N94" s="237"/>
      <c r="O94" s="237"/>
      <c r="P94" s="237"/>
      <c r="Q94" s="245">
        <v>45758</v>
      </c>
      <c r="R94" s="237" t="s">
        <v>309</v>
      </c>
      <c r="S94" s="331" t="s">
        <v>233</v>
      </c>
      <c r="T94" s="237" t="s">
        <v>228</v>
      </c>
      <c r="U94" s="237" t="s">
        <v>234</v>
      </c>
      <c r="V94" s="237" t="s">
        <v>652</v>
      </c>
      <c r="W94" s="245">
        <v>45947</v>
      </c>
      <c r="X94" s="237" t="s">
        <v>767</v>
      </c>
      <c r="Y94" s="237" t="s">
        <v>237</v>
      </c>
      <c r="Z94" s="237" t="s">
        <v>228</v>
      </c>
      <c r="AA94" s="237" t="s">
        <v>768</v>
      </c>
      <c r="AB94" s="237" t="s">
        <v>228</v>
      </c>
      <c r="AC94" s="237" t="s">
        <v>228</v>
      </c>
    </row>
    <row r="95" spans="1:29" ht="13.5" customHeight="1">
      <c r="A95" s="235">
        <v>93</v>
      </c>
      <c r="B95" s="237"/>
      <c r="C95" s="256" t="s">
        <v>769</v>
      </c>
      <c r="D95" s="237" t="s">
        <v>770</v>
      </c>
      <c r="E95" s="237">
        <v>33</v>
      </c>
      <c r="F95" s="237" t="s">
        <v>60</v>
      </c>
      <c r="G95" s="237" t="s">
        <v>771</v>
      </c>
      <c r="H95" s="243" t="s">
        <v>188</v>
      </c>
      <c r="I95" s="243"/>
      <c r="K95" s="240"/>
      <c r="L95" s="243" t="s">
        <v>231</v>
      </c>
      <c r="M95" s="243" t="s">
        <v>231</v>
      </c>
      <c r="N95" s="237"/>
      <c r="O95" s="237"/>
      <c r="P95" s="237"/>
      <c r="Q95" s="245">
        <v>45694</v>
      </c>
      <c r="R95" s="237" t="s">
        <v>309</v>
      </c>
      <c r="S95" s="331" t="s">
        <v>233</v>
      </c>
      <c r="T95" s="237" t="s">
        <v>228</v>
      </c>
      <c r="U95" s="237" t="s">
        <v>234</v>
      </c>
      <c r="V95" s="237" t="s">
        <v>652</v>
      </c>
      <c r="W95" s="245">
        <v>45947</v>
      </c>
      <c r="X95" s="237" t="s">
        <v>772</v>
      </c>
      <c r="Y95" s="237" t="s">
        <v>237</v>
      </c>
      <c r="Z95" s="237" t="s">
        <v>237</v>
      </c>
      <c r="AA95" s="237" t="s">
        <v>773</v>
      </c>
      <c r="AB95" s="237" t="s">
        <v>228</v>
      </c>
      <c r="AC95" s="237" t="s">
        <v>228</v>
      </c>
    </row>
    <row r="96" spans="1:29" ht="13.5" customHeight="1">
      <c r="A96" s="235">
        <v>94</v>
      </c>
      <c r="B96" s="237"/>
      <c r="C96" s="256" t="s">
        <v>774</v>
      </c>
      <c r="D96" s="237" t="s">
        <v>775</v>
      </c>
      <c r="E96" s="237">
        <v>23</v>
      </c>
      <c r="F96" s="237" t="s">
        <v>75</v>
      </c>
      <c r="G96" s="237" t="s">
        <v>776</v>
      </c>
      <c r="H96" s="243" t="s">
        <v>188</v>
      </c>
      <c r="I96" s="243"/>
      <c r="K96" s="240"/>
      <c r="L96" s="243" t="s">
        <v>231</v>
      </c>
      <c r="M96" s="243" t="s">
        <v>231</v>
      </c>
      <c r="N96" s="237"/>
      <c r="O96" s="237"/>
      <c r="P96" s="237"/>
      <c r="Q96" s="245">
        <v>45777</v>
      </c>
      <c r="R96" s="237" t="s">
        <v>309</v>
      </c>
      <c r="S96" s="331" t="s">
        <v>233</v>
      </c>
      <c r="T96" s="237" t="s">
        <v>228</v>
      </c>
      <c r="U96" s="237" t="s">
        <v>234</v>
      </c>
      <c r="V96" s="237" t="s">
        <v>652</v>
      </c>
      <c r="W96" s="245">
        <v>45947</v>
      </c>
      <c r="X96" s="237" t="s">
        <v>777</v>
      </c>
      <c r="Y96" s="237" t="s">
        <v>588</v>
      </c>
      <c r="Z96" s="237" t="s">
        <v>228</v>
      </c>
      <c r="AA96" s="237" t="s">
        <v>778</v>
      </c>
      <c r="AB96" s="237" t="s">
        <v>228</v>
      </c>
      <c r="AC96" s="237" t="s">
        <v>228</v>
      </c>
    </row>
    <row r="97" spans="1:29" ht="13.5" customHeight="1">
      <c r="A97" s="235">
        <v>95</v>
      </c>
      <c r="B97" s="237"/>
      <c r="C97" s="256" t="s">
        <v>779</v>
      </c>
      <c r="D97" s="237" t="s">
        <v>780</v>
      </c>
      <c r="E97" s="237">
        <v>36</v>
      </c>
      <c r="F97" s="237" t="s">
        <v>75</v>
      </c>
      <c r="G97" s="237" t="s">
        <v>781</v>
      </c>
      <c r="H97" s="243" t="s">
        <v>188</v>
      </c>
      <c r="I97" s="243"/>
      <c r="K97" s="240"/>
      <c r="L97" s="237"/>
      <c r="M97" s="243" t="s">
        <v>32</v>
      </c>
      <c r="N97" s="237"/>
      <c r="O97" s="237"/>
      <c r="P97" s="237"/>
      <c r="Q97" s="245">
        <v>45775</v>
      </c>
      <c r="R97" s="237" t="s">
        <v>309</v>
      </c>
      <c r="S97" s="331" t="s">
        <v>233</v>
      </c>
      <c r="T97" s="237" t="s">
        <v>228</v>
      </c>
      <c r="U97" s="237" t="s">
        <v>234</v>
      </c>
      <c r="V97" s="237" t="s">
        <v>652</v>
      </c>
      <c r="W97" s="245">
        <v>45947</v>
      </c>
      <c r="X97" s="237" t="s">
        <v>782</v>
      </c>
      <c r="Y97" s="237" t="s">
        <v>588</v>
      </c>
      <c r="Z97" s="237" t="s">
        <v>228</v>
      </c>
      <c r="AA97" s="237" t="s">
        <v>783</v>
      </c>
      <c r="AB97" s="237" t="s">
        <v>228</v>
      </c>
      <c r="AC97" s="237" t="s">
        <v>228</v>
      </c>
    </row>
    <row r="98" spans="1:29" ht="13.5" customHeight="1">
      <c r="A98" s="235">
        <v>96</v>
      </c>
      <c r="B98" s="237"/>
      <c r="C98" s="256" t="s">
        <v>784</v>
      </c>
      <c r="D98" s="237" t="s">
        <v>785</v>
      </c>
      <c r="E98" s="237">
        <v>25</v>
      </c>
      <c r="F98" s="237" t="s">
        <v>60</v>
      </c>
      <c r="G98" s="237" t="s">
        <v>786</v>
      </c>
      <c r="H98" s="243" t="s">
        <v>188</v>
      </c>
      <c r="I98" s="243"/>
      <c r="K98" s="240"/>
      <c r="L98" s="243" t="s">
        <v>231</v>
      </c>
      <c r="M98" s="243" t="s">
        <v>231</v>
      </c>
      <c r="N98" s="237"/>
      <c r="O98" s="237"/>
      <c r="P98" s="237"/>
      <c r="Q98" s="245">
        <v>45743</v>
      </c>
      <c r="R98" s="237" t="s">
        <v>309</v>
      </c>
      <c r="S98" s="331" t="s">
        <v>233</v>
      </c>
      <c r="T98" s="237" t="s">
        <v>228</v>
      </c>
      <c r="U98" s="237" t="s">
        <v>234</v>
      </c>
      <c r="V98" s="237" t="s">
        <v>652</v>
      </c>
      <c r="W98" s="245">
        <v>45947</v>
      </c>
      <c r="X98" s="237" t="s">
        <v>787</v>
      </c>
      <c r="Y98" s="237" t="s">
        <v>237</v>
      </c>
      <c r="Z98" s="237" t="s">
        <v>228</v>
      </c>
      <c r="AA98" s="237" t="s">
        <v>788</v>
      </c>
      <c r="AB98" s="237" t="s">
        <v>228</v>
      </c>
      <c r="AC98" s="237" t="s">
        <v>228</v>
      </c>
    </row>
    <row r="99" spans="1:29" ht="15" customHeight="1">
      <c r="A99" s="235">
        <v>97</v>
      </c>
      <c r="B99" s="237"/>
      <c r="C99" s="256" t="s">
        <v>789</v>
      </c>
      <c r="D99" s="237" t="s">
        <v>790</v>
      </c>
      <c r="E99" s="237">
        <v>57</v>
      </c>
      <c r="F99" s="237" t="s">
        <v>75</v>
      </c>
      <c r="G99" s="237" t="s">
        <v>791</v>
      </c>
      <c r="H99" s="243" t="s">
        <v>188</v>
      </c>
      <c r="I99" s="243"/>
      <c r="K99" s="240"/>
      <c r="L99" s="243" t="s">
        <v>231</v>
      </c>
      <c r="M99" s="243" t="s">
        <v>231</v>
      </c>
      <c r="N99" s="237"/>
      <c r="O99" s="237"/>
      <c r="P99" s="237"/>
      <c r="Q99" s="245">
        <v>45756</v>
      </c>
      <c r="R99" s="237" t="s">
        <v>309</v>
      </c>
      <c r="S99" s="331" t="s">
        <v>233</v>
      </c>
      <c r="T99" s="237" t="s">
        <v>228</v>
      </c>
      <c r="U99" s="237" t="s">
        <v>234</v>
      </c>
      <c r="V99" s="237" t="s">
        <v>652</v>
      </c>
      <c r="W99" s="245">
        <v>45947</v>
      </c>
      <c r="X99" s="237" t="s">
        <v>792</v>
      </c>
      <c r="Y99" s="237" t="s">
        <v>237</v>
      </c>
      <c r="Z99" s="237" t="s">
        <v>228</v>
      </c>
      <c r="AA99" s="237" t="s">
        <v>793</v>
      </c>
      <c r="AB99" s="237" t="s">
        <v>228</v>
      </c>
      <c r="AC99" s="237" t="s">
        <v>228</v>
      </c>
    </row>
    <row r="100" spans="1:29" ht="13.5" customHeight="1">
      <c r="A100" s="235">
        <v>98</v>
      </c>
      <c r="B100" s="237"/>
      <c r="C100" s="256" t="s">
        <v>794</v>
      </c>
      <c r="D100" s="237" t="s">
        <v>795</v>
      </c>
      <c r="E100" s="237">
        <v>78</v>
      </c>
      <c r="F100" s="237" t="s">
        <v>424</v>
      </c>
      <c r="G100" s="237" t="s">
        <v>796</v>
      </c>
      <c r="H100" s="243" t="s">
        <v>27</v>
      </c>
      <c r="I100" s="240" t="s">
        <v>39</v>
      </c>
      <c r="J100" s="235" t="s">
        <v>433</v>
      </c>
      <c r="K100" s="243" t="s">
        <v>32</v>
      </c>
      <c r="L100" s="243"/>
      <c r="M100" s="246" t="s">
        <v>228</v>
      </c>
      <c r="N100" s="237"/>
      <c r="O100" s="237"/>
      <c r="P100" s="237"/>
      <c r="Q100" s="245">
        <v>45666</v>
      </c>
      <c r="R100" s="237" t="s">
        <v>309</v>
      </c>
      <c r="S100" s="331" t="s">
        <v>233</v>
      </c>
      <c r="T100" s="237">
        <v>8</v>
      </c>
      <c r="U100" s="237" t="s">
        <v>234</v>
      </c>
      <c r="V100" s="237" t="s">
        <v>797</v>
      </c>
      <c r="W100" s="245">
        <v>45685</v>
      </c>
      <c r="X100" s="237" t="s">
        <v>798</v>
      </c>
      <c r="Y100" s="237" t="s">
        <v>588</v>
      </c>
      <c r="Z100" s="237" t="s">
        <v>228</v>
      </c>
      <c r="AA100" s="237" t="s">
        <v>799</v>
      </c>
      <c r="AB100" s="237" t="s">
        <v>228</v>
      </c>
      <c r="AC100" s="237" t="s">
        <v>228</v>
      </c>
    </row>
    <row r="101" spans="1:29" ht="13.5" customHeight="1">
      <c r="A101" s="235">
        <v>99</v>
      </c>
      <c r="B101" s="237"/>
      <c r="C101" s="256" t="s">
        <v>800</v>
      </c>
      <c r="D101" s="237" t="s">
        <v>801</v>
      </c>
      <c r="E101" s="237">
        <v>32</v>
      </c>
      <c r="F101" s="237" t="s">
        <v>60</v>
      </c>
      <c r="G101" s="237" t="s">
        <v>802</v>
      </c>
      <c r="H101" s="243" t="s">
        <v>188</v>
      </c>
      <c r="I101" s="243"/>
      <c r="K101" s="240"/>
      <c r="L101" s="243" t="s">
        <v>231</v>
      </c>
      <c r="M101" s="243" t="s">
        <v>231</v>
      </c>
      <c r="N101" s="237"/>
      <c r="O101" s="237"/>
      <c r="P101" s="237"/>
      <c r="Q101" s="245">
        <v>45758</v>
      </c>
      <c r="R101" s="237" t="s">
        <v>309</v>
      </c>
      <c r="S101" s="331" t="s">
        <v>233</v>
      </c>
      <c r="T101" s="237" t="s">
        <v>228</v>
      </c>
      <c r="U101" s="237" t="s">
        <v>234</v>
      </c>
      <c r="V101" s="237" t="s">
        <v>652</v>
      </c>
      <c r="W101" s="245">
        <v>45947</v>
      </c>
      <c r="X101" s="237" t="s">
        <v>803</v>
      </c>
      <c r="Y101" s="237" t="s">
        <v>237</v>
      </c>
      <c r="Z101" s="237" t="s">
        <v>237</v>
      </c>
      <c r="AA101" s="237" t="s">
        <v>804</v>
      </c>
      <c r="AB101" s="237" t="s">
        <v>228</v>
      </c>
      <c r="AC101" s="237" t="s">
        <v>228</v>
      </c>
    </row>
    <row r="102" spans="1:29" ht="13.5" customHeight="1">
      <c r="A102" s="235">
        <v>100</v>
      </c>
      <c r="B102" s="237"/>
      <c r="C102" s="256" t="s">
        <v>805</v>
      </c>
      <c r="D102" s="237" t="s">
        <v>806</v>
      </c>
      <c r="E102" s="237">
        <v>45</v>
      </c>
      <c r="F102" s="237" t="s">
        <v>75</v>
      </c>
      <c r="G102" s="237" t="s">
        <v>807</v>
      </c>
      <c r="H102" s="243" t="s">
        <v>188</v>
      </c>
      <c r="I102" s="243"/>
      <c r="K102" s="240"/>
      <c r="L102" s="243" t="s">
        <v>231</v>
      </c>
      <c r="M102" s="243" t="s">
        <v>231</v>
      </c>
      <c r="N102" s="237"/>
      <c r="O102" s="237"/>
      <c r="P102" s="237"/>
      <c r="Q102" s="245">
        <v>45755</v>
      </c>
      <c r="R102" s="237" t="s">
        <v>309</v>
      </c>
      <c r="S102" s="331" t="s">
        <v>233</v>
      </c>
      <c r="T102" s="237" t="s">
        <v>228</v>
      </c>
      <c r="U102" s="237" t="s">
        <v>234</v>
      </c>
      <c r="V102" s="237" t="s">
        <v>652</v>
      </c>
      <c r="W102" s="245">
        <v>45947</v>
      </c>
      <c r="X102" s="237" t="s">
        <v>808</v>
      </c>
      <c r="Y102" s="237" t="s">
        <v>237</v>
      </c>
      <c r="Z102" s="237" t="s">
        <v>228</v>
      </c>
      <c r="AA102" s="237" t="s">
        <v>809</v>
      </c>
      <c r="AB102" s="237" t="s">
        <v>228</v>
      </c>
      <c r="AC102" s="237" t="s">
        <v>228</v>
      </c>
    </row>
    <row r="103" spans="1:29" ht="13.5" customHeight="1">
      <c r="A103" s="235">
        <v>101</v>
      </c>
      <c r="B103" s="237">
        <v>1</v>
      </c>
      <c r="C103" s="255" t="s">
        <v>810</v>
      </c>
      <c r="D103" s="237" t="s">
        <v>811</v>
      </c>
      <c r="E103" s="237">
        <v>53</v>
      </c>
      <c r="F103" s="237" t="s">
        <v>60</v>
      </c>
      <c r="G103" s="237" t="s">
        <v>812</v>
      </c>
      <c r="H103" s="243" t="s">
        <v>188</v>
      </c>
      <c r="I103" s="243"/>
      <c r="K103" s="240"/>
      <c r="L103" s="243" t="s">
        <v>231</v>
      </c>
      <c r="M103" s="246" t="s">
        <v>228</v>
      </c>
      <c r="N103" s="237" t="s">
        <v>228</v>
      </c>
      <c r="O103" s="237" t="s">
        <v>228</v>
      </c>
      <c r="P103" s="237" t="s">
        <v>231</v>
      </c>
      <c r="Q103" s="245">
        <v>44699</v>
      </c>
      <c r="R103" s="237" t="s">
        <v>232</v>
      </c>
      <c r="S103" s="331" t="s">
        <v>233</v>
      </c>
      <c r="T103" s="237" t="s">
        <v>228</v>
      </c>
      <c r="U103" s="237" t="s">
        <v>234</v>
      </c>
      <c r="V103" s="237" t="s">
        <v>235</v>
      </c>
      <c r="W103" s="245" t="s">
        <v>228</v>
      </c>
      <c r="X103" s="237" t="s">
        <v>813</v>
      </c>
      <c r="Y103" s="237" t="s">
        <v>237</v>
      </c>
      <c r="Z103" s="237" t="s">
        <v>237</v>
      </c>
      <c r="AA103" s="237" t="s">
        <v>814</v>
      </c>
      <c r="AB103" s="237" t="s">
        <v>228</v>
      </c>
      <c r="AC103" s="237" t="s">
        <v>228</v>
      </c>
    </row>
    <row r="104" spans="1:29" ht="13.5" customHeight="1">
      <c r="A104" s="235">
        <v>102</v>
      </c>
      <c r="B104" s="237">
        <v>162</v>
      </c>
      <c r="C104" s="256" t="s">
        <v>815</v>
      </c>
      <c r="D104" s="237" t="s">
        <v>816</v>
      </c>
      <c r="E104" s="237">
        <v>50</v>
      </c>
      <c r="F104" s="237" t="s">
        <v>75</v>
      </c>
      <c r="G104" s="237" t="s">
        <v>817</v>
      </c>
      <c r="H104" s="243" t="s">
        <v>188</v>
      </c>
      <c r="I104" s="243"/>
      <c r="K104" s="240"/>
      <c r="L104" s="243" t="s">
        <v>231</v>
      </c>
      <c r="M104" s="246" t="s">
        <v>228</v>
      </c>
      <c r="N104" s="237" t="s">
        <v>228</v>
      </c>
      <c r="O104" s="237" t="s">
        <v>228</v>
      </c>
      <c r="P104" s="237" t="s">
        <v>231</v>
      </c>
      <c r="Q104" s="245">
        <v>45161</v>
      </c>
      <c r="R104" s="237" t="s">
        <v>309</v>
      </c>
      <c r="S104" s="331" t="s">
        <v>233</v>
      </c>
      <c r="T104" s="237">
        <v>8.6999999999999993</v>
      </c>
      <c r="U104" s="237" t="s">
        <v>234</v>
      </c>
      <c r="V104" s="237" t="s">
        <v>235</v>
      </c>
      <c r="W104" s="245">
        <v>45183</v>
      </c>
      <c r="X104" s="237" t="s">
        <v>818</v>
      </c>
      <c r="Y104" s="237" t="s">
        <v>237</v>
      </c>
      <c r="Z104" s="237" t="s">
        <v>237</v>
      </c>
      <c r="AA104" s="237" t="s">
        <v>819</v>
      </c>
      <c r="AB104" s="237" t="s">
        <v>237</v>
      </c>
      <c r="AC104" s="237" t="s">
        <v>353</v>
      </c>
    </row>
    <row r="105" spans="1:29" ht="13.5" customHeight="1">
      <c r="A105" s="235">
        <v>103</v>
      </c>
      <c r="B105" s="237">
        <v>198</v>
      </c>
      <c r="C105" s="256" t="s">
        <v>820</v>
      </c>
      <c r="D105" s="237" t="s">
        <v>821</v>
      </c>
      <c r="E105" s="237">
        <v>40</v>
      </c>
      <c r="F105" s="237" t="s">
        <v>60</v>
      </c>
      <c r="G105" s="237" t="s">
        <v>822</v>
      </c>
      <c r="H105" s="243" t="s">
        <v>15</v>
      </c>
      <c r="I105" s="240" t="s">
        <v>823</v>
      </c>
      <c r="K105" s="240" t="s">
        <v>824</v>
      </c>
      <c r="L105" s="243"/>
      <c r="M105" s="243" t="s">
        <v>825</v>
      </c>
      <c r="N105" s="237" t="s">
        <v>826</v>
      </c>
      <c r="O105" s="237" t="s">
        <v>228</v>
      </c>
      <c r="P105" s="237"/>
      <c r="Q105" s="245">
        <v>45415</v>
      </c>
      <c r="R105" s="237" t="s">
        <v>309</v>
      </c>
      <c r="S105" s="331" t="s">
        <v>233</v>
      </c>
      <c r="T105" s="237" t="s">
        <v>827</v>
      </c>
      <c r="U105" s="237" t="s">
        <v>298</v>
      </c>
      <c r="V105" s="237" t="s">
        <v>235</v>
      </c>
      <c r="W105" s="245">
        <v>45456</v>
      </c>
      <c r="X105" s="237" t="s">
        <v>828</v>
      </c>
      <c r="Y105" s="237" t="s">
        <v>237</v>
      </c>
      <c r="Z105" s="237" t="s">
        <v>237</v>
      </c>
      <c r="AA105" s="237" t="s">
        <v>829</v>
      </c>
      <c r="AB105" s="237" t="s">
        <v>228</v>
      </c>
      <c r="AC105" s="237" t="s">
        <v>228</v>
      </c>
    </row>
    <row r="106" spans="1:29" ht="13.5" customHeight="1">
      <c r="A106" s="235">
        <v>104</v>
      </c>
      <c r="B106" s="237">
        <v>237</v>
      </c>
      <c r="C106" s="256" t="s">
        <v>830</v>
      </c>
      <c r="D106" s="237" t="s">
        <v>831</v>
      </c>
      <c r="E106" s="237">
        <v>42</v>
      </c>
      <c r="F106" s="237" t="s">
        <v>75</v>
      </c>
      <c r="G106" s="237" t="s">
        <v>832</v>
      </c>
      <c r="H106" s="243" t="s">
        <v>188</v>
      </c>
      <c r="I106" s="243"/>
      <c r="K106" s="240"/>
      <c r="L106" s="243" t="s">
        <v>231</v>
      </c>
      <c r="M106" s="246" t="s">
        <v>228</v>
      </c>
      <c r="N106" s="237"/>
      <c r="O106" s="237"/>
      <c r="P106" s="237"/>
      <c r="Q106" s="245">
        <v>45582</v>
      </c>
      <c r="R106" s="237" t="s">
        <v>309</v>
      </c>
      <c r="S106" s="331" t="s">
        <v>233</v>
      </c>
      <c r="T106" s="237">
        <v>9</v>
      </c>
      <c r="U106" s="237" t="s">
        <v>298</v>
      </c>
      <c r="V106" s="237" t="s">
        <v>235</v>
      </c>
      <c r="W106" s="245">
        <v>45624</v>
      </c>
      <c r="X106" s="237" t="s">
        <v>833</v>
      </c>
      <c r="Y106" s="237" t="s">
        <v>237</v>
      </c>
      <c r="Z106" s="237" t="s">
        <v>237</v>
      </c>
      <c r="AA106" s="237" t="s">
        <v>834</v>
      </c>
      <c r="AB106" s="237" t="s">
        <v>228</v>
      </c>
      <c r="AC106" s="237" t="s">
        <v>228</v>
      </c>
    </row>
    <row r="107" spans="1:29" ht="13.5" customHeight="1">
      <c r="A107" s="235">
        <v>105</v>
      </c>
      <c r="B107" s="237">
        <v>294</v>
      </c>
      <c r="C107" s="256" t="s">
        <v>835</v>
      </c>
      <c r="D107" s="237" t="s">
        <v>836</v>
      </c>
      <c r="E107" s="237">
        <v>33</v>
      </c>
      <c r="F107" s="237" t="s">
        <v>75</v>
      </c>
      <c r="G107" s="237" t="s">
        <v>837</v>
      </c>
      <c r="H107" s="243" t="s">
        <v>188</v>
      </c>
      <c r="I107" s="243"/>
      <c r="K107" s="240"/>
      <c r="L107" s="243" t="s">
        <v>231</v>
      </c>
      <c r="M107" s="246" t="s">
        <v>228</v>
      </c>
      <c r="N107" s="237"/>
      <c r="O107" s="237"/>
      <c r="P107" s="237"/>
      <c r="Q107" s="245">
        <v>45617</v>
      </c>
      <c r="R107" s="237" t="s">
        <v>309</v>
      </c>
      <c r="S107" s="331" t="s">
        <v>233</v>
      </c>
      <c r="T107" s="237">
        <v>8.6</v>
      </c>
      <c r="U107" s="237" t="s">
        <v>234</v>
      </c>
      <c r="V107" s="237" t="s">
        <v>235</v>
      </c>
      <c r="W107" s="245">
        <v>45677</v>
      </c>
      <c r="X107" s="237" t="s">
        <v>838</v>
      </c>
      <c r="Y107" s="237" t="s">
        <v>237</v>
      </c>
      <c r="Z107" s="237" t="s">
        <v>237</v>
      </c>
      <c r="AA107" s="237" t="s">
        <v>839</v>
      </c>
      <c r="AB107" s="237" t="s">
        <v>237</v>
      </c>
      <c r="AC107" s="237" t="s">
        <v>353</v>
      </c>
    </row>
    <row r="108" spans="1:29" ht="13.5" customHeight="1">
      <c r="A108" s="235">
        <v>106</v>
      </c>
      <c r="B108" s="237">
        <v>398</v>
      </c>
      <c r="C108" s="256" t="s">
        <v>840</v>
      </c>
      <c r="D108" s="237" t="s">
        <v>841</v>
      </c>
      <c r="E108" s="237">
        <v>24</v>
      </c>
      <c r="F108" s="237" t="s">
        <v>75</v>
      </c>
      <c r="G108" s="237" t="s">
        <v>842</v>
      </c>
      <c r="H108" s="243" t="s">
        <v>188</v>
      </c>
      <c r="I108" s="240" t="s">
        <v>39</v>
      </c>
      <c r="K108" s="240"/>
      <c r="L108" s="243" t="s">
        <v>231</v>
      </c>
      <c r="M108" s="243" t="s">
        <v>843</v>
      </c>
      <c r="N108" s="237"/>
      <c r="O108" s="237"/>
      <c r="P108" s="237"/>
      <c r="Q108" s="245">
        <v>45643</v>
      </c>
      <c r="R108" s="237" t="s">
        <v>309</v>
      </c>
      <c r="S108" s="331" t="s">
        <v>233</v>
      </c>
      <c r="T108" s="237">
        <v>8.4</v>
      </c>
      <c r="U108" s="237" t="s">
        <v>298</v>
      </c>
      <c r="V108" s="237" t="s">
        <v>797</v>
      </c>
      <c r="W108" s="245">
        <v>45685</v>
      </c>
      <c r="X108" s="237" t="s">
        <v>844</v>
      </c>
      <c r="Y108" s="237" t="s">
        <v>237</v>
      </c>
      <c r="Z108" s="237" t="s">
        <v>237</v>
      </c>
      <c r="AA108" s="237" t="s">
        <v>845</v>
      </c>
      <c r="AB108" s="237" t="s">
        <v>228</v>
      </c>
      <c r="AC108" s="237" t="s">
        <v>228</v>
      </c>
    </row>
    <row r="109" spans="1:29" ht="13.5" customHeight="1">
      <c r="A109" s="235">
        <v>107</v>
      </c>
      <c r="B109" s="237"/>
      <c r="C109" s="256" t="s">
        <v>846</v>
      </c>
      <c r="D109" s="237" t="s">
        <v>847</v>
      </c>
      <c r="E109" s="237">
        <v>41</v>
      </c>
      <c r="F109" s="237" t="s">
        <v>60</v>
      </c>
      <c r="G109" s="237" t="s">
        <v>848</v>
      </c>
      <c r="H109" s="243" t="s">
        <v>188</v>
      </c>
      <c r="I109" s="243"/>
      <c r="K109" s="240"/>
      <c r="L109" s="243" t="s">
        <v>231</v>
      </c>
      <c r="M109" s="246" t="s">
        <v>228</v>
      </c>
      <c r="N109" s="237"/>
      <c r="O109" s="237"/>
      <c r="P109" s="237"/>
      <c r="Q109" s="245">
        <v>45672</v>
      </c>
      <c r="R109" s="237" t="s">
        <v>309</v>
      </c>
      <c r="S109" s="331" t="s">
        <v>233</v>
      </c>
      <c r="T109" s="237" t="s">
        <v>228</v>
      </c>
      <c r="U109" s="237" t="s">
        <v>234</v>
      </c>
      <c r="V109" s="237" t="s">
        <v>652</v>
      </c>
      <c r="W109" s="245">
        <v>45734</v>
      </c>
      <c r="X109" s="237" t="s">
        <v>849</v>
      </c>
      <c r="Y109" s="237" t="s">
        <v>237</v>
      </c>
      <c r="Z109" s="237" t="s">
        <v>228</v>
      </c>
      <c r="AA109" s="237" t="s">
        <v>850</v>
      </c>
      <c r="AB109" s="237" t="s">
        <v>228</v>
      </c>
      <c r="AC109" s="237" t="s">
        <v>228</v>
      </c>
    </row>
    <row r="110" spans="1:29" ht="13.5" customHeight="1">
      <c r="A110" s="235">
        <v>108</v>
      </c>
      <c r="B110" s="237"/>
      <c r="C110" s="256" t="s">
        <v>851</v>
      </c>
      <c r="D110" s="237" t="s">
        <v>852</v>
      </c>
      <c r="E110" s="237">
        <v>25</v>
      </c>
      <c r="F110" s="237" t="s">
        <v>60</v>
      </c>
      <c r="G110" s="237" t="s">
        <v>853</v>
      </c>
      <c r="H110" s="243" t="s">
        <v>188</v>
      </c>
      <c r="I110" s="243"/>
      <c r="K110" s="240"/>
      <c r="L110" s="243" t="s">
        <v>231</v>
      </c>
      <c r="M110" s="243" t="s">
        <v>231</v>
      </c>
      <c r="N110" s="237"/>
      <c r="O110" s="237"/>
      <c r="P110" s="237"/>
      <c r="Q110" s="245">
        <v>45799</v>
      </c>
      <c r="R110" s="237" t="s">
        <v>309</v>
      </c>
      <c r="S110" s="331" t="s">
        <v>233</v>
      </c>
      <c r="T110" s="237" t="s">
        <v>228</v>
      </c>
      <c r="U110" s="237" t="s">
        <v>234</v>
      </c>
      <c r="V110" s="237" t="s">
        <v>473</v>
      </c>
      <c r="W110" s="245">
        <v>45918</v>
      </c>
      <c r="X110" s="237" t="s">
        <v>854</v>
      </c>
      <c r="Y110" s="237" t="s">
        <v>588</v>
      </c>
      <c r="Z110" s="237" t="s">
        <v>228</v>
      </c>
      <c r="AA110" s="237" t="s">
        <v>855</v>
      </c>
      <c r="AB110" s="237" t="s">
        <v>228</v>
      </c>
      <c r="AC110" s="237" t="s">
        <v>228</v>
      </c>
    </row>
    <row r="111" spans="1:29" ht="13.5" customHeight="1">
      <c r="A111" s="235">
        <v>109</v>
      </c>
      <c r="B111" s="237"/>
      <c r="C111" s="256" t="s">
        <v>856</v>
      </c>
      <c r="D111" s="237" t="s">
        <v>857</v>
      </c>
      <c r="E111" s="237">
        <v>63</v>
      </c>
      <c r="F111" s="237" t="s">
        <v>60</v>
      </c>
      <c r="G111" s="237" t="s">
        <v>858</v>
      </c>
      <c r="H111" s="243" t="s">
        <v>27</v>
      </c>
      <c r="I111" s="243"/>
      <c r="J111" s="235" t="s">
        <v>433</v>
      </c>
      <c r="K111" s="240"/>
      <c r="L111" s="243" t="s">
        <v>231</v>
      </c>
      <c r="M111" s="246" t="s">
        <v>228</v>
      </c>
      <c r="N111" s="237"/>
      <c r="O111" s="237"/>
      <c r="P111" s="237"/>
      <c r="Q111" s="245">
        <v>45819</v>
      </c>
      <c r="R111" s="237" t="s">
        <v>309</v>
      </c>
      <c r="S111" s="331" t="s">
        <v>233</v>
      </c>
      <c r="T111" s="237" t="s">
        <v>228</v>
      </c>
      <c r="U111" s="237" t="s">
        <v>234</v>
      </c>
      <c r="V111" s="237" t="s">
        <v>473</v>
      </c>
      <c r="W111" s="245">
        <v>45918</v>
      </c>
      <c r="X111" s="237" t="s">
        <v>859</v>
      </c>
      <c r="Y111" s="237" t="s">
        <v>588</v>
      </c>
      <c r="Z111" s="237" t="s">
        <v>228</v>
      </c>
      <c r="AA111" s="237" t="s">
        <v>860</v>
      </c>
      <c r="AB111" s="237" t="s">
        <v>228</v>
      </c>
      <c r="AC111" s="237" t="s">
        <v>228</v>
      </c>
    </row>
    <row r="112" spans="1:29" ht="13.5" customHeight="1">
      <c r="A112" s="235">
        <v>110</v>
      </c>
      <c r="B112" s="237"/>
      <c r="C112" s="256" t="s">
        <v>861</v>
      </c>
      <c r="D112" s="237" t="s">
        <v>862</v>
      </c>
      <c r="E112" s="237">
        <v>76</v>
      </c>
      <c r="F112" s="237" t="s">
        <v>60</v>
      </c>
      <c r="G112" s="237" t="s">
        <v>863</v>
      </c>
      <c r="H112" s="243" t="s">
        <v>188</v>
      </c>
      <c r="I112" s="243"/>
      <c r="K112" s="240"/>
      <c r="L112" s="243" t="s">
        <v>231</v>
      </c>
      <c r="M112" s="243" t="s">
        <v>231</v>
      </c>
      <c r="N112" s="237"/>
      <c r="O112" s="237"/>
      <c r="P112" s="237"/>
      <c r="Q112" s="245">
        <v>45835</v>
      </c>
      <c r="R112" s="237" t="s">
        <v>309</v>
      </c>
      <c r="S112" s="331" t="s">
        <v>233</v>
      </c>
      <c r="T112" s="237" t="s">
        <v>228</v>
      </c>
      <c r="U112" s="237" t="s">
        <v>234</v>
      </c>
      <c r="V112" s="237" t="s">
        <v>473</v>
      </c>
      <c r="W112" s="245">
        <v>45918</v>
      </c>
      <c r="X112" s="237" t="s">
        <v>864</v>
      </c>
      <c r="Y112" s="237" t="s">
        <v>588</v>
      </c>
      <c r="Z112" s="237" t="s">
        <v>228</v>
      </c>
      <c r="AA112" s="237" t="s">
        <v>865</v>
      </c>
      <c r="AB112" s="237" t="s">
        <v>228</v>
      </c>
      <c r="AC112" s="237" t="s">
        <v>228</v>
      </c>
    </row>
    <row r="113" spans="1:39" ht="13.5" customHeight="1">
      <c r="A113" s="235">
        <v>111</v>
      </c>
      <c r="B113" s="237">
        <v>28</v>
      </c>
      <c r="C113" s="255" t="s">
        <v>866</v>
      </c>
      <c r="D113" s="237" t="s">
        <v>867</v>
      </c>
      <c r="E113" s="237">
        <v>29</v>
      </c>
      <c r="F113" s="237" t="s">
        <v>60</v>
      </c>
      <c r="G113" s="237" t="s">
        <v>868</v>
      </c>
      <c r="H113" s="243" t="s">
        <v>4</v>
      </c>
      <c r="I113" s="243"/>
      <c r="K113" s="240" t="s">
        <v>869</v>
      </c>
      <c r="L113" s="72" t="s">
        <v>62</v>
      </c>
      <c r="M113" s="246" t="s">
        <v>228</v>
      </c>
      <c r="N113" s="237" t="s">
        <v>228</v>
      </c>
      <c r="O113" s="237" t="s">
        <v>228</v>
      </c>
      <c r="P113" s="237" t="s">
        <v>231</v>
      </c>
      <c r="Q113" s="245">
        <v>44778</v>
      </c>
      <c r="R113" s="237" t="s">
        <v>232</v>
      </c>
      <c r="S113" s="331" t="s">
        <v>233</v>
      </c>
      <c r="T113" s="237">
        <v>9.4</v>
      </c>
      <c r="U113" s="237" t="s">
        <v>234</v>
      </c>
      <c r="V113" s="237" t="s">
        <v>235</v>
      </c>
      <c r="W113" s="245" t="s">
        <v>228</v>
      </c>
      <c r="X113" s="237" t="s">
        <v>870</v>
      </c>
      <c r="Y113" s="237" t="s">
        <v>237</v>
      </c>
      <c r="Z113" s="237" t="s">
        <v>237</v>
      </c>
      <c r="AA113" s="237" t="s">
        <v>871</v>
      </c>
      <c r="AB113" s="237" t="s">
        <v>237</v>
      </c>
      <c r="AC113" s="237" t="s">
        <v>228</v>
      </c>
    </row>
    <row r="114" spans="1:39" ht="13.5" customHeight="1">
      <c r="A114" s="235">
        <v>112</v>
      </c>
      <c r="B114" s="8"/>
      <c r="C114" s="109" t="s">
        <v>872</v>
      </c>
      <c r="D114" s="110" t="s">
        <v>867</v>
      </c>
      <c r="E114" s="110">
        <v>32</v>
      </c>
      <c r="F114" s="110" t="s">
        <v>424</v>
      </c>
      <c r="G114" s="110" t="s">
        <v>868</v>
      </c>
      <c r="H114" s="109" t="s">
        <v>5</v>
      </c>
      <c r="I114" s="109"/>
      <c r="J114" s="9"/>
      <c r="K114" s="109" t="s">
        <v>62</v>
      </c>
      <c r="L114" s="72" t="s">
        <v>62</v>
      </c>
      <c r="M114" s="110"/>
      <c r="N114" s="110"/>
      <c r="O114" s="110"/>
      <c r="P114" s="237"/>
      <c r="Q114" s="245">
        <v>45708</v>
      </c>
      <c r="R114" s="237" t="s">
        <v>309</v>
      </c>
      <c r="S114" s="237" t="s">
        <v>233</v>
      </c>
      <c r="T114" s="246" t="s">
        <v>228</v>
      </c>
      <c r="U114" s="237" t="s">
        <v>234</v>
      </c>
      <c r="V114" s="237" t="s">
        <v>473</v>
      </c>
      <c r="W114" s="245">
        <v>45747</v>
      </c>
      <c r="X114" s="237" t="s">
        <v>873</v>
      </c>
      <c r="Y114" s="237" t="s">
        <v>237</v>
      </c>
      <c r="Z114" s="237" t="s">
        <v>237</v>
      </c>
      <c r="AA114" s="9"/>
      <c r="AB114" s="237" t="s">
        <v>228</v>
      </c>
      <c r="AC114" s="237" t="s">
        <v>874</v>
      </c>
      <c r="AD114" s="9"/>
      <c r="AE114" s="9"/>
      <c r="AF114" s="9"/>
      <c r="AG114" s="9"/>
      <c r="AH114" s="9"/>
      <c r="AI114" s="9"/>
      <c r="AJ114" s="9"/>
      <c r="AK114" s="9"/>
      <c r="AL114" s="9"/>
      <c r="AM114" s="9"/>
    </row>
    <row r="115" spans="1:39" ht="13.5" customHeight="1">
      <c r="A115" s="235">
        <v>113</v>
      </c>
      <c r="B115" s="237">
        <v>3</v>
      </c>
      <c r="C115" s="255" t="s">
        <v>875</v>
      </c>
      <c r="D115" s="237" t="s">
        <v>876</v>
      </c>
      <c r="E115" s="237">
        <v>43</v>
      </c>
      <c r="F115" s="237" t="s">
        <v>60</v>
      </c>
      <c r="G115" s="237" t="s">
        <v>877</v>
      </c>
      <c r="H115" s="243" t="s">
        <v>4</v>
      </c>
      <c r="I115" s="243"/>
      <c r="K115" s="240" t="s">
        <v>878</v>
      </c>
      <c r="L115" s="72" t="s">
        <v>63</v>
      </c>
      <c r="M115" s="246" t="s">
        <v>228</v>
      </c>
      <c r="N115" s="237" t="s">
        <v>879</v>
      </c>
      <c r="O115" s="237" t="s">
        <v>880</v>
      </c>
      <c r="P115" s="237" t="s">
        <v>231</v>
      </c>
      <c r="Q115" s="245">
        <v>44791</v>
      </c>
      <c r="R115" s="237" t="s">
        <v>232</v>
      </c>
      <c r="S115" s="331" t="s">
        <v>233</v>
      </c>
      <c r="T115" s="237">
        <v>9</v>
      </c>
      <c r="U115" s="237" t="s">
        <v>234</v>
      </c>
      <c r="V115" s="237" t="s">
        <v>235</v>
      </c>
      <c r="W115" s="245" t="s">
        <v>228</v>
      </c>
      <c r="X115" s="237" t="s">
        <v>881</v>
      </c>
      <c r="Y115" s="237" t="s">
        <v>237</v>
      </c>
      <c r="Z115" s="237" t="s">
        <v>237</v>
      </c>
      <c r="AA115" s="237" t="s">
        <v>882</v>
      </c>
      <c r="AB115" s="237" t="s">
        <v>228</v>
      </c>
      <c r="AC115" s="237" t="s">
        <v>228</v>
      </c>
    </row>
    <row r="116" spans="1:39" ht="13.5" customHeight="1">
      <c r="A116" s="235">
        <v>114</v>
      </c>
      <c r="B116" s="237">
        <v>61</v>
      </c>
      <c r="C116" s="255" t="s">
        <v>883</v>
      </c>
      <c r="D116" s="237" t="s">
        <v>884</v>
      </c>
      <c r="E116" s="237">
        <v>55</v>
      </c>
      <c r="F116" s="237" t="s">
        <v>75</v>
      </c>
      <c r="G116" s="237" t="s">
        <v>885</v>
      </c>
      <c r="H116" s="243" t="s">
        <v>3</v>
      </c>
      <c r="I116" s="243"/>
      <c r="J116" s="240" t="s">
        <v>886</v>
      </c>
      <c r="K116" s="240" t="s">
        <v>887</v>
      </c>
      <c r="L116" s="72" t="s">
        <v>45</v>
      </c>
      <c r="M116" s="246" t="s">
        <v>228</v>
      </c>
      <c r="N116" s="237" t="s">
        <v>888</v>
      </c>
      <c r="O116" s="237" t="s">
        <v>889</v>
      </c>
      <c r="P116" s="237" t="s">
        <v>231</v>
      </c>
      <c r="Q116" s="245">
        <v>44911</v>
      </c>
      <c r="R116" s="237" t="s">
        <v>309</v>
      </c>
      <c r="S116" s="331" t="s">
        <v>233</v>
      </c>
      <c r="T116" s="237">
        <v>8.4</v>
      </c>
      <c r="U116" s="237" t="s">
        <v>234</v>
      </c>
      <c r="V116" s="237" t="s">
        <v>235</v>
      </c>
      <c r="W116" s="245" t="s">
        <v>228</v>
      </c>
      <c r="X116" s="237" t="s">
        <v>890</v>
      </c>
      <c r="Y116" s="237" t="s">
        <v>237</v>
      </c>
      <c r="Z116" s="237" t="s">
        <v>237</v>
      </c>
      <c r="AA116" s="237" t="s">
        <v>891</v>
      </c>
      <c r="AB116" s="237" t="s">
        <v>228</v>
      </c>
      <c r="AC116" s="237" t="s">
        <v>228</v>
      </c>
    </row>
    <row r="117" spans="1:39" ht="13.5" customHeight="1">
      <c r="A117" s="235">
        <v>115</v>
      </c>
      <c r="B117" s="237">
        <v>67</v>
      </c>
      <c r="C117" s="255" t="s">
        <v>892</v>
      </c>
      <c r="D117" s="237" t="s">
        <v>893</v>
      </c>
      <c r="E117" s="237">
        <v>41</v>
      </c>
      <c r="F117" s="237" t="s">
        <v>75</v>
      </c>
      <c r="G117" s="237" t="s">
        <v>894</v>
      </c>
      <c r="H117" s="243" t="s">
        <v>3</v>
      </c>
      <c r="I117" s="243"/>
      <c r="J117" s="240" t="s">
        <v>886</v>
      </c>
      <c r="K117" s="240" t="s">
        <v>895</v>
      </c>
      <c r="L117" s="72" t="s">
        <v>45</v>
      </c>
      <c r="M117" s="246" t="s">
        <v>228</v>
      </c>
      <c r="N117" s="237" t="s">
        <v>896</v>
      </c>
      <c r="O117" s="237" t="s">
        <v>897</v>
      </c>
      <c r="P117" s="237" t="s">
        <v>231</v>
      </c>
      <c r="Q117" s="245">
        <v>44921</v>
      </c>
      <c r="R117" s="237" t="s">
        <v>232</v>
      </c>
      <c r="S117" s="331" t="s">
        <v>233</v>
      </c>
      <c r="T117" s="237">
        <v>8</v>
      </c>
      <c r="U117" s="237" t="s">
        <v>234</v>
      </c>
      <c r="V117" s="237" t="s">
        <v>235</v>
      </c>
      <c r="W117" s="245" t="s">
        <v>228</v>
      </c>
      <c r="X117" s="237" t="s">
        <v>898</v>
      </c>
      <c r="Y117" s="237" t="s">
        <v>237</v>
      </c>
      <c r="Z117" s="237" t="s">
        <v>237</v>
      </c>
      <c r="AA117" s="237" t="s">
        <v>899</v>
      </c>
      <c r="AB117" s="237" t="s">
        <v>228</v>
      </c>
      <c r="AC117" s="237" t="s">
        <v>228</v>
      </c>
    </row>
    <row r="118" spans="1:39" ht="13.5" customHeight="1">
      <c r="A118" s="235">
        <v>116</v>
      </c>
      <c r="B118" s="237">
        <v>76</v>
      </c>
      <c r="C118" s="255" t="s">
        <v>900</v>
      </c>
      <c r="D118" s="237" t="s">
        <v>901</v>
      </c>
      <c r="E118" s="237">
        <v>74</v>
      </c>
      <c r="F118" s="237" t="s">
        <v>60</v>
      </c>
      <c r="G118" s="237" t="s">
        <v>902</v>
      </c>
      <c r="H118" s="243" t="s">
        <v>3</v>
      </c>
      <c r="I118" s="243"/>
      <c r="J118" s="240" t="s">
        <v>886</v>
      </c>
      <c r="K118" s="240" t="s">
        <v>903</v>
      </c>
      <c r="L118" s="72" t="s">
        <v>45</v>
      </c>
      <c r="M118" s="246" t="s">
        <v>228</v>
      </c>
      <c r="N118" s="237" t="s">
        <v>904</v>
      </c>
      <c r="O118" s="237" t="s">
        <v>905</v>
      </c>
      <c r="P118" s="237" t="s">
        <v>231</v>
      </c>
      <c r="Q118" s="245">
        <v>44928</v>
      </c>
      <c r="R118" s="237" t="s">
        <v>309</v>
      </c>
      <c r="S118" s="331" t="s">
        <v>233</v>
      </c>
      <c r="T118" s="237">
        <v>8.1999999999999993</v>
      </c>
      <c r="U118" s="237" t="s">
        <v>234</v>
      </c>
      <c r="V118" s="237" t="s">
        <v>235</v>
      </c>
      <c r="W118" s="245" t="s">
        <v>228</v>
      </c>
      <c r="X118" s="237" t="s">
        <v>906</v>
      </c>
      <c r="Y118" s="237" t="s">
        <v>237</v>
      </c>
      <c r="Z118" s="237" t="s">
        <v>237</v>
      </c>
      <c r="AA118" s="237" t="s">
        <v>907</v>
      </c>
      <c r="AB118" s="237" t="s">
        <v>228</v>
      </c>
      <c r="AC118" s="237" t="s">
        <v>228</v>
      </c>
    </row>
    <row r="119" spans="1:39" ht="13.5" customHeight="1">
      <c r="A119" s="235">
        <v>117</v>
      </c>
      <c r="B119" s="237">
        <v>83</v>
      </c>
      <c r="C119" s="255" t="s">
        <v>908</v>
      </c>
      <c r="D119" s="237" t="s">
        <v>909</v>
      </c>
      <c r="E119" s="237">
        <v>48</v>
      </c>
      <c r="F119" s="237" t="s">
        <v>60</v>
      </c>
      <c r="G119" s="237" t="s">
        <v>910</v>
      </c>
      <c r="H119" s="243" t="s">
        <v>3</v>
      </c>
      <c r="I119" s="243"/>
      <c r="J119" s="240" t="s">
        <v>886</v>
      </c>
      <c r="K119" s="240" t="s">
        <v>911</v>
      </c>
      <c r="L119" s="72" t="s">
        <v>65</v>
      </c>
      <c r="M119" s="246" t="s">
        <v>228</v>
      </c>
      <c r="N119" s="237" t="s">
        <v>912</v>
      </c>
      <c r="O119" s="237" t="s">
        <v>228</v>
      </c>
      <c r="P119" s="237" t="s">
        <v>231</v>
      </c>
      <c r="Q119" s="245">
        <v>44946</v>
      </c>
      <c r="R119" s="237" t="s">
        <v>309</v>
      </c>
      <c r="S119" s="331" t="s">
        <v>233</v>
      </c>
      <c r="T119" s="237">
        <v>8.5</v>
      </c>
      <c r="U119" s="237" t="s">
        <v>234</v>
      </c>
      <c r="V119" s="237" t="s">
        <v>235</v>
      </c>
      <c r="W119" s="245" t="s">
        <v>228</v>
      </c>
      <c r="X119" s="237" t="s">
        <v>913</v>
      </c>
      <c r="Y119" s="237" t="s">
        <v>237</v>
      </c>
      <c r="Z119" s="237" t="s">
        <v>237</v>
      </c>
      <c r="AA119" s="237" t="s">
        <v>228</v>
      </c>
      <c r="AB119" s="237" t="s">
        <v>228</v>
      </c>
      <c r="AC119" s="237" t="s">
        <v>228</v>
      </c>
    </row>
    <row r="120" spans="1:39" s="306" customFormat="1" ht="13.5" customHeight="1">
      <c r="A120" s="235">
        <v>118</v>
      </c>
      <c r="B120" s="264">
        <v>99</v>
      </c>
      <c r="C120" s="307" t="s">
        <v>914</v>
      </c>
      <c r="D120" s="264" t="s">
        <v>915</v>
      </c>
      <c r="E120" s="264">
        <v>31</v>
      </c>
      <c r="F120" s="264" t="s">
        <v>60</v>
      </c>
      <c r="G120" s="264" t="s">
        <v>916</v>
      </c>
      <c r="H120" s="289" t="s">
        <v>3</v>
      </c>
      <c r="I120" s="289"/>
      <c r="J120" s="290" t="s">
        <v>886</v>
      </c>
      <c r="K120" s="290" t="s">
        <v>917</v>
      </c>
      <c r="L120" s="264"/>
      <c r="M120" s="313" t="s">
        <v>228</v>
      </c>
      <c r="N120" s="264" t="s">
        <v>918</v>
      </c>
      <c r="O120" s="264" t="s">
        <v>358</v>
      </c>
      <c r="P120" s="264" t="s">
        <v>231</v>
      </c>
      <c r="Q120" s="314">
        <v>44949</v>
      </c>
      <c r="R120" s="264" t="s">
        <v>309</v>
      </c>
      <c r="S120" s="332" t="s">
        <v>233</v>
      </c>
      <c r="T120" s="264">
        <v>8.5</v>
      </c>
      <c r="U120" s="264" t="s">
        <v>234</v>
      </c>
      <c r="V120" s="264" t="s">
        <v>235</v>
      </c>
      <c r="W120" s="314" t="s">
        <v>228</v>
      </c>
      <c r="X120" s="264" t="s">
        <v>919</v>
      </c>
      <c r="Y120" s="264" t="s">
        <v>237</v>
      </c>
      <c r="Z120" s="237" t="s">
        <v>237</v>
      </c>
      <c r="AA120" s="264" t="s">
        <v>920</v>
      </c>
      <c r="AB120" s="264" t="s">
        <v>228</v>
      </c>
      <c r="AC120" s="264" t="s">
        <v>228</v>
      </c>
      <c r="AD120" s="309"/>
      <c r="AE120" s="309"/>
      <c r="AF120" s="309"/>
      <c r="AG120" s="309"/>
      <c r="AH120" s="309"/>
      <c r="AI120" s="309"/>
      <c r="AJ120" s="309"/>
      <c r="AK120" s="309"/>
      <c r="AL120" s="309"/>
      <c r="AM120" s="310"/>
    </row>
    <row r="121" spans="1:39" ht="13.5" customHeight="1">
      <c r="A121" s="235">
        <v>119</v>
      </c>
      <c r="B121" s="237">
        <v>16</v>
      </c>
      <c r="C121" s="255" t="s">
        <v>921</v>
      </c>
      <c r="D121" s="237" t="s">
        <v>922</v>
      </c>
      <c r="E121" s="237">
        <v>69</v>
      </c>
      <c r="F121" s="237" t="s">
        <v>60</v>
      </c>
      <c r="G121" s="237" t="s">
        <v>923</v>
      </c>
      <c r="H121" s="243" t="s">
        <v>3</v>
      </c>
      <c r="I121" s="243"/>
      <c r="J121" s="240" t="s">
        <v>924</v>
      </c>
      <c r="K121" s="240" t="s">
        <v>925</v>
      </c>
      <c r="L121" s="237"/>
      <c r="M121" s="246" t="s">
        <v>228</v>
      </c>
      <c r="N121" s="237" t="s">
        <v>927</v>
      </c>
      <c r="O121" s="237" t="s">
        <v>228</v>
      </c>
      <c r="P121" s="237" t="s">
        <v>231</v>
      </c>
      <c r="Q121" s="245">
        <v>44953</v>
      </c>
      <c r="R121" s="237" t="s">
        <v>309</v>
      </c>
      <c r="S121" s="331" t="s">
        <v>233</v>
      </c>
      <c r="T121" s="237">
        <v>8.6</v>
      </c>
      <c r="U121" s="237" t="s">
        <v>234</v>
      </c>
      <c r="V121" s="237" t="s">
        <v>235</v>
      </c>
      <c r="W121" s="245" t="s">
        <v>228</v>
      </c>
      <c r="X121" s="237" t="s">
        <v>928</v>
      </c>
      <c r="Y121" s="237" t="s">
        <v>237</v>
      </c>
      <c r="Z121" s="237" t="s">
        <v>237</v>
      </c>
      <c r="AA121" s="237" t="s">
        <v>929</v>
      </c>
      <c r="AB121" s="237" t="s">
        <v>228</v>
      </c>
      <c r="AC121" s="237" t="s">
        <v>228</v>
      </c>
    </row>
    <row r="122" spans="1:39" ht="13.5" customHeight="1">
      <c r="A122" s="235">
        <v>120</v>
      </c>
      <c r="B122" s="237">
        <v>114</v>
      </c>
      <c r="C122" s="255" t="s">
        <v>930</v>
      </c>
      <c r="D122" s="237" t="s">
        <v>931</v>
      </c>
      <c r="E122" s="237">
        <v>39</v>
      </c>
      <c r="F122" s="237" t="s">
        <v>60</v>
      </c>
      <c r="G122" s="237" t="s">
        <v>932</v>
      </c>
      <c r="H122" s="243" t="s">
        <v>4</v>
      </c>
      <c r="I122" s="243"/>
      <c r="J122" s="240" t="s">
        <v>886</v>
      </c>
      <c r="K122" s="240" t="s">
        <v>933</v>
      </c>
      <c r="L122" s="237"/>
      <c r="M122" s="246" t="s">
        <v>228</v>
      </c>
      <c r="N122" s="237" t="s">
        <v>934</v>
      </c>
      <c r="O122" s="237" t="s">
        <v>228</v>
      </c>
      <c r="P122" s="237" t="s">
        <v>231</v>
      </c>
      <c r="Q122" s="245">
        <v>44959</v>
      </c>
      <c r="R122" s="237" t="s">
        <v>309</v>
      </c>
      <c r="S122" s="331" t="s">
        <v>233</v>
      </c>
      <c r="T122" s="237">
        <v>8.1</v>
      </c>
      <c r="U122" s="237" t="s">
        <v>234</v>
      </c>
      <c r="V122" s="237" t="s">
        <v>235</v>
      </c>
      <c r="W122" s="245" t="s">
        <v>228</v>
      </c>
      <c r="X122" s="237" t="s">
        <v>935</v>
      </c>
      <c r="Y122" s="237" t="s">
        <v>237</v>
      </c>
      <c r="Z122" s="237" t="s">
        <v>237</v>
      </c>
      <c r="AA122" s="237" t="s">
        <v>936</v>
      </c>
      <c r="AB122" s="237" t="s">
        <v>228</v>
      </c>
      <c r="AC122" s="237" t="s">
        <v>228</v>
      </c>
    </row>
    <row r="123" spans="1:39" ht="13.5" customHeight="1">
      <c r="A123" s="235">
        <v>121</v>
      </c>
      <c r="B123" s="237">
        <v>115</v>
      </c>
      <c r="C123" s="255" t="s">
        <v>937</v>
      </c>
      <c r="D123" s="237" t="s">
        <v>938</v>
      </c>
      <c r="E123" s="237">
        <v>45</v>
      </c>
      <c r="F123" s="237" t="s">
        <v>75</v>
      </c>
      <c r="G123" s="237" t="s">
        <v>939</v>
      </c>
      <c r="H123" s="243" t="s">
        <v>3</v>
      </c>
      <c r="I123" s="243"/>
      <c r="J123" s="265" t="s">
        <v>886</v>
      </c>
      <c r="K123" s="265" t="s">
        <v>940</v>
      </c>
      <c r="L123" s="237"/>
      <c r="M123" s="246" t="s">
        <v>228</v>
      </c>
      <c r="N123" s="237" t="s">
        <v>941</v>
      </c>
      <c r="O123" s="237" t="s">
        <v>942</v>
      </c>
      <c r="P123" s="237" t="s">
        <v>231</v>
      </c>
      <c r="Q123" s="245">
        <v>44964</v>
      </c>
      <c r="R123" s="237" t="s">
        <v>309</v>
      </c>
      <c r="S123" s="331" t="s">
        <v>233</v>
      </c>
      <c r="T123" s="237">
        <v>9.1999999999999993</v>
      </c>
      <c r="U123" s="237" t="s">
        <v>234</v>
      </c>
      <c r="V123" s="237" t="s">
        <v>235</v>
      </c>
      <c r="W123" s="245" t="s">
        <v>228</v>
      </c>
      <c r="X123" s="237" t="s">
        <v>943</v>
      </c>
      <c r="Y123" s="237" t="s">
        <v>237</v>
      </c>
      <c r="Z123" s="237" t="s">
        <v>237</v>
      </c>
      <c r="AA123" s="237" t="s">
        <v>944</v>
      </c>
      <c r="AB123" s="237" t="s">
        <v>228</v>
      </c>
      <c r="AC123" s="237" t="s">
        <v>228</v>
      </c>
    </row>
    <row r="124" spans="1:39" ht="13.5" customHeight="1">
      <c r="A124" s="235">
        <v>122</v>
      </c>
      <c r="B124" s="237">
        <v>116</v>
      </c>
      <c r="C124" s="255" t="s">
        <v>945</v>
      </c>
      <c r="D124" s="237" t="s">
        <v>946</v>
      </c>
      <c r="E124" s="237">
        <v>40</v>
      </c>
      <c r="F124" s="237" t="s">
        <v>60</v>
      </c>
      <c r="G124" s="237" t="s">
        <v>947</v>
      </c>
      <c r="H124" s="243" t="s">
        <v>3</v>
      </c>
      <c r="I124" s="243"/>
      <c r="J124" s="240" t="s">
        <v>886</v>
      </c>
      <c r="K124" s="240" t="s">
        <v>948</v>
      </c>
      <c r="L124" s="237"/>
      <c r="M124" s="246" t="s">
        <v>228</v>
      </c>
      <c r="N124" s="237" t="s">
        <v>949</v>
      </c>
      <c r="O124" s="237" t="s">
        <v>228</v>
      </c>
      <c r="P124" s="237" t="s">
        <v>231</v>
      </c>
      <c r="Q124" s="245">
        <v>44964</v>
      </c>
      <c r="R124" s="237" t="s">
        <v>309</v>
      </c>
      <c r="S124" s="331" t="s">
        <v>233</v>
      </c>
      <c r="T124" s="237">
        <v>9.1999999999999993</v>
      </c>
      <c r="U124" s="237" t="s">
        <v>234</v>
      </c>
      <c r="V124" s="237" t="s">
        <v>235</v>
      </c>
      <c r="W124" s="245" t="s">
        <v>228</v>
      </c>
      <c r="X124" s="237" t="s">
        <v>950</v>
      </c>
      <c r="Y124" s="237" t="s">
        <v>237</v>
      </c>
      <c r="Z124" s="237" t="s">
        <v>237</v>
      </c>
      <c r="AA124" s="237" t="s">
        <v>951</v>
      </c>
      <c r="AB124" s="237" t="s">
        <v>237</v>
      </c>
      <c r="AC124" s="237" t="s">
        <v>228</v>
      </c>
    </row>
    <row r="125" spans="1:39" s="306" customFormat="1" ht="13.5" customHeight="1">
      <c r="A125" s="235">
        <v>123</v>
      </c>
      <c r="B125" s="264">
        <v>117</v>
      </c>
      <c r="C125" s="307" t="s">
        <v>952</v>
      </c>
      <c r="D125" s="264" t="s">
        <v>953</v>
      </c>
      <c r="E125" s="264">
        <v>42</v>
      </c>
      <c r="F125" s="264" t="s">
        <v>75</v>
      </c>
      <c r="G125" s="264" t="s">
        <v>954</v>
      </c>
      <c r="H125" s="289" t="s">
        <v>3</v>
      </c>
      <c r="I125" s="289"/>
      <c r="J125" s="290" t="s">
        <v>886</v>
      </c>
      <c r="K125" s="290" t="s">
        <v>955</v>
      </c>
      <c r="L125" s="264"/>
      <c r="M125" s="313" t="s">
        <v>228</v>
      </c>
      <c r="N125" s="264" t="s">
        <v>956</v>
      </c>
      <c r="O125" s="264" t="s">
        <v>957</v>
      </c>
      <c r="P125" s="264" t="s">
        <v>231</v>
      </c>
      <c r="Q125" s="314">
        <v>44965</v>
      </c>
      <c r="R125" s="264" t="s">
        <v>309</v>
      </c>
      <c r="S125" s="332" t="s">
        <v>233</v>
      </c>
      <c r="T125" s="264">
        <v>8.6999999999999993</v>
      </c>
      <c r="U125" s="264" t="s">
        <v>234</v>
      </c>
      <c r="V125" s="264" t="s">
        <v>235</v>
      </c>
      <c r="W125" s="314" t="s">
        <v>228</v>
      </c>
      <c r="X125" s="264" t="s">
        <v>958</v>
      </c>
      <c r="Y125" s="264" t="s">
        <v>237</v>
      </c>
      <c r="Z125" s="237" t="s">
        <v>237</v>
      </c>
      <c r="AA125" s="264" t="s">
        <v>959</v>
      </c>
      <c r="AB125" s="264" t="s">
        <v>228</v>
      </c>
      <c r="AC125" s="264" t="s">
        <v>874</v>
      </c>
      <c r="AD125" s="309"/>
      <c r="AE125" s="309"/>
      <c r="AF125" s="309"/>
      <c r="AG125" s="309"/>
      <c r="AH125" s="309"/>
      <c r="AI125" s="309"/>
      <c r="AJ125" s="309"/>
      <c r="AK125" s="309"/>
      <c r="AL125" s="309"/>
      <c r="AM125" s="310"/>
    </row>
    <row r="126" spans="1:39" ht="13.5" customHeight="1">
      <c r="A126" s="235">
        <v>124</v>
      </c>
      <c r="B126" s="237">
        <v>122</v>
      </c>
      <c r="C126" s="255" t="s">
        <v>960</v>
      </c>
      <c r="D126" s="237" t="s">
        <v>961</v>
      </c>
      <c r="E126" s="237">
        <v>57</v>
      </c>
      <c r="F126" s="237" t="s">
        <v>60</v>
      </c>
      <c r="G126" s="237" t="s">
        <v>962</v>
      </c>
      <c r="H126" s="243" t="s">
        <v>3</v>
      </c>
      <c r="I126" s="243"/>
      <c r="J126" s="240" t="s">
        <v>886</v>
      </c>
      <c r="K126" s="240" t="s">
        <v>963</v>
      </c>
      <c r="L126" s="237"/>
      <c r="M126" s="246" t="s">
        <v>228</v>
      </c>
      <c r="N126" s="237" t="s">
        <v>964</v>
      </c>
      <c r="O126" s="237" t="s">
        <v>965</v>
      </c>
      <c r="P126" s="237" t="s">
        <v>231</v>
      </c>
      <c r="Q126" s="245">
        <v>44967</v>
      </c>
      <c r="R126" s="237" t="s">
        <v>309</v>
      </c>
      <c r="S126" s="331" t="s">
        <v>233</v>
      </c>
      <c r="T126" s="237">
        <v>9</v>
      </c>
      <c r="U126" s="237" t="s">
        <v>234</v>
      </c>
      <c r="V126" s="237" t="s">
        <v>235</v>
      </c>
      <c r="W126" s="245" t="s">
        <v>228</v>
      </c>
      <c r="X126" s="237" t="s">
        <v>966</v>
      </c>
      <c r="Y126" s="237" t="s">
        <v>237</v>
      </c>
      <c r="Z126" s="237" t="s">
        <v>237</v>
      </c>
      <c r="AA126" s="237" t="s">
        <v>967</v>
      </c>
      <c r="AB126" s="237" t="s">
        <v>228</v>
      </c>
      <c r="AC126" s="237" t="s">
        <v>228</v>
      </c>
    </row>
    <row r="127" spans="1:39" ht="13.5" customHeight="1">
      <c r="A127" s="235">
        <v>125</v>
      </c>
      <c r="B127" s="237">
        <v>123</v>
      </c>
      <c r="C127" s="255" t="s">
        <v>968</v>
      </c>
      <c r="D127" s="237" t="s">
        <v>969</v>
      </c>
      <c r="E127" s="237">
        <v>27</v>
      </c>
      <c r="F127" s="237" t="s">
        <v>60</v>
      </c>
      <c r="G127" s="237" t="s">
        <v>970</v>
      </c>
      <c r="H127" s="243" t="s">
        <v>3</v>
      </c>
      <c r="I127" s="243"/>
      <c r="J127" s="240" t="s">
        <v>886</v>
      </c>
      <c r="K127" s="240" t="s">
        <v>948</v>
      </c>
      <c r="L127" s="237"/>
      <c r="M127" s="246" t="s">
        <v>228</v>
      </c>
      <c r="N127" s="237" t="s">
        <v>971</v>
      </c>
      <c r="O127" s="237" t="s">
        <v>972</v>
      </c>
      <c r="P127" s="237" t="s">
        <v>231</v>
      </c>
      <c r="Q127" s="245">
        <v>44971</v>
      </c>
      <c r="R127" s="237" t="s">
        <v>309</v>
      </c>
      <c r="S127" s="331" t="s">
        <v>233</v>
      </c>
      <c r="T127" s="237">
        <v>9.1999999999999993</v>
      </c>
      <c r="U127" s="237" t="s">
        <v>234</v>
      </c>
      <c r="V127" s="237" t="s">
        <v>235</v>
      </c>
      <c r="W127" s="245" t="s">
        <v>228</v>
      </c>
      <c r="X127" s="237" t="s">
        <v>973</v>
      </c>
      <c r="Y127" s="237" t="s">
        <v>237</v>
      </c>
      <c r="Z127" s="237" t="s">
        <v>237</v>
      </c>
      <c r="AA127" s="237" t="s">
        <v>974</v>
      </c>
      <c r="AB127" s="237" t="s">
        <v>228</v>
      </c>
      <c r="AC127" s="237" t="s">
        <v>228</v>
      </c>
    </row>
    <row r="128" spans="1:39" s="306" customFormat="1" ht="13.5" customHeight="1">
      <c r="A128" s="235">
        <v>126</v>
      </c>
      <c r="B128" s="264">
        <v>124</v>
      </c>
      <c r="C128" s="307" t="s">
        <v>975</v>
      </c>
      <c r="D128" s="264" t="s">
        <v>976</v>
      </c>
      <c r="E128" s="264">
        <v>41</v>
      </c>
      <c r="F128" s="264" t="s">
        <v>75</v>
      </c>
      <c r="G128" s="264" t="s">
        <v>977</v>
      </c>
      <c r="H128" s="289" t="s">
        <v>3</v>
      </c>
      <c r="I128" s="289"/>
      <c r="J128" s="290" t="s">
        <v>886</v>
      </c>
      <c r="K128" s="290" t="s">
        <v>978</v>
      </c>
      <c r="L128" s="264"/>
      <c r="M128" s="313" t="s">
        <v>228</v>
      </c>
      <c r="N128" s="264" t="s">
        <v>979</v>
      </c>
      <c r="O128" s="264" t="s">
        <v>980</v>
      </c>
      <c r="P128" s="264" t="s">
        <v>231</v>
      </c>
      <c r="Q128" s="314">
        <v>44973</v>
      </c>
      <c r="R128" s="264" t="s">
        <v>309</v>
      </c>
      <c r="S128" s="332" t="s">
        <v>233</v>
      </c>
      <c r="T128" s="264">
        <v>8.4</v>
      </c>
      <c r="U128" s="264" t="s">
        <v>234</v>
      </c>
      <c r="V128" s="264" t="s">
        <v>235</v>
      </c>
      <c r="W128" s="314" t="s">
        <v>228</v>
      </c>
      <c r="X128" s="264" t="s">
        <v>981</v>
      </c>
      <c r="Y128" s="264" t="s">
        <v>237</v>
      </c>
      <c r="Z128" s="237" t="s">
        <v>237</v>
      </c>
      <c r="AA128" s="264" t="s">
        <v>982</v>
      </c>
      <c r="AB128" s="264" t="s">
        <v>228</v>
      </c>
      <c r="AC128" s="264" t="s">
        <v>228</v>
      </c>
      <c r="AD128" s="309"/>
      <c r="AE128" s="309"/>
      <c r="AF128" s="309"/>
      <c r="AG128" s="309"/>
      <c r="AH128" s="309"/>
      <c r="AI128" s="309"/>
      <c r="AJ128" s="309"/>
      <c r="AK128" s="309"/>
      <c r="AL128" s="309"/>
      <c r="AM128" s="310"/>
    </row>
    <row r="129" spans="1:29" ht="13.5" customHeight="1">
      <c r="A129" s="235">
        <v>127</v>
      </c>
      <c r="B129" s="237">
        <v>127</v>
      </c>
      <c r="C129" s="255" t="s">
        <v>983</v>
      </c>
      <c r="D129" s="237" t="s">
        <v>984</v>
      </c>
      <c r="E129" s="237">
        <v>61</v>
      </c>
      <c r="F129" s="237" t="s">
        <v>60</v>
      </c>
      <c r="G129" s="237" t="s">
        <v>985</v>
      </c>
      <c r="H129" s="243" t="s">
        <v>3</v>
      </c>
      <c r="I129" s="243"/>
      <c r="J129" s="240" t="s">
        <v>886</v>
      </c>
      <c r="K129" s="240" t="s">
        <v>986</v>
      </c>
      <c r="L129" s="237"/>
      <c r="M129" s="246" t="s">
        <v>228</v>
      </c>
      <c r="N129" s="237" t="s">
        <v>987</v>
      </c>
      <c r="O129" s="237" t="s">
        <v>988</v>
      </c>
      <c r="P129" s="237" t="s">
        <v>231</v>
      </c>
      <c r="Q129" s="245">
        <v>44974</v>
      </c>
      <c r="R129" s="237" t="s">
        <v>309</v>
      </c>
      <c r="S129" s="331" t="s">
        <v>233</v>
      </c>
      <c r="T129" s="237">
        <v>8.6</v>
      </c>
      <c r="U129" s="237" t="s">
        <v>234</v>
      </c>
      <c r="V129" s="237" t="s">
        <v>235</v>
      </c>
      <c r="W129" s="245" t="s">
        <v>228</v>
      </c>
      <c r="X129" s="237" t="s">
        <v>989</v>
      </c>
      <c r="Y129" s="237" t="s">
        <v>237</v>
      </c>
      <c r="Z129" s="237" t="s">
        <v>237</v>
      </c>
      <c r="AA129" s="237" t="s">
        <v>990</v>
      </c>
      <c r="AB129" s="237" t="s">
        <v>228</v>
      </c>
      <c r="AC129" s="237" t="s">
        <v>228</v>
      </c>
    </row>
    <row r="130" spans="1:29" ht="13.5" customHeight="1">
      <c r="A130" s="235">
        <v>128</v>
      </c>
      <c r="B130" s="237">
        <v>132</v>
      </c>
      <c r="C130" s="255" t="s">
        <v>991</v>
      </c>
      <c r="D130" s="237" t="s">
        <v>992</v>
      </c>
      <c r="E130" s="237">
        <v>52</v>
      </c>
      <c r="F130" s="237" t="s">
        <v>75</v>
      </c>
      <c r="G130" s="237" t="s">
        <v>993</v>
      </c>
      <c r="H130" s="243" t="s">
        <v>3</v>
      </c>
      <c r="I130" s="243"/>
      <c r="J130" s="240"/>
      <c r="K130" s="240" t="s">
        <v>994</v>
      </c>
      <c r="L130" s="237"/>
      <c r="M130" s="246" t="s">
        <v>228</v>
      </c>
      <c r="N130" s="237" t="s">
        <v>995</v>
      </c>
      <c r="O130" s="237" t="s">
        <v>996</v>
      </c>
      <c r="P130" s="237" t="s">
        <v>231</v>
      </c>
      <c r="Q130" s="245">
        <v>44980</v>
      </c>
      <c r="R130" s="237" t="s">
        <v>309</v>
      </c>
      <c r="S130" s="331" t="s">
        <v>233</v>
      </c>
      <c r="T130" s="237">
        <v>8.1</v>
      </c>
      <c r="U130" s="237" t="s">
        <v>234</v>
      </c>
      <c r="V130" s="237" t="s">
        <v>235</v>
      </c>
      <c r="W130" s="245" t="s">
        <v>228</v>
      </c>
      <c r="X130" s="237" t="s">
        <v>997</v>
      </c>
      <c r="Y130" s="237" t="s">
        <v>237</v>
      </c>
      <c r="Z130" s="237" t="s">
        <v>237</v>
      </c>
      <c r="AA130" s="237" t="s">
        <v>998</v>
      </c>
      <c r="AB130" s="237" t="s">
        <v>228</v>
      </c>
      <c r="AC130" s="237" t="s">
        <v>228</v>
      </c>
    </row>
    <row r="131" spans="1:29" ht="13.5" customHeight="1">
      <c r="A131" s="235">
        <v>129</v>
      </c>
      <c r="B131" s="237">
        <v>142</v>
      </c>
      <c r="C131" s="255" t="s">
        <v>999</v>
      </c>
      <c r="D131" s="237" t="s">
        <v>1000</v>
      </c>
      <c r="E131" s="237">
        <v>52</v>
      </c>
      <c r="F131" s="237" t="s">
        <v>60</v>
      </c>
      <c r="G131" s="237" t="s">
        <v>1001</v>
      </c>
      <c r="H131" s="243" t="s">
        <v>3</v>
      </c>
      <c r="I131" s="243"/>
      <c r="J131" s="240"/>
      <c r="K131" s="240" t="s">
        <v>917</v>
      </c>
      <c r="L131" s="237"/>
      <c r="M131" s="246" t="s">
        <v>228</v>
      </c>
      <c r="N131" s="237" t="s">
        <v>1002</v>
      </c>
      <c r="O131" s="237" t="s">
        <v>228</v>
      </c>
      <c r="P131" s="237" t="s">
        <v>231</v>
      </c>
      <c r="Q131" s="245">
        <v>45048</v>
      </c>
      <c r="R131" s="237" t="s">
        <v>309</v>
      </c>
      <c r="S131" s="331" t="s">
        <v>233</v>
      </c>
      <c r="T131" s="237" t="s">
        <v>228</v>
      </c>
      <c r="U131" s="237" t="s">
        <v>234</v>
      </c>
      <c r="V131" s="237" t="s">
        <v>235</v>
      </c>
      <c r="W131" s="245">
        <v>45076</v>
      </c>
      <c r="X131" s="237" t="s">
        <v>1003</v>
      </c>
      <c r="Y131" s="237" t="s">
        <v>237</v>
      </c>
      <c r="Z131" s="237" t="s">
        <v>237</v>
      </c>
      <c r="AA131" s="237" t="s">
        <v>1004</v>
      </c>
      <c r="AB131" s="237" t="s">
        <v>228</v>
      </c>
      <c r="AC131" s="237" t="s">
        <v>228</v>
      </c>
    </row>
    <row r="132" spans="1:29" ht="13.5" customHeight="1">
      <c r="A132" s="235">
        <v>130</v>
      </c>
      <c r="B132" s="237">
        <v>72</v>
      </c>
      <c r="C132" s="255" t="s">
        <v>1005</v>
      </c>
      <c r="D132" s="237" t="s">
        <v>1006</v>
      </c>
      <c r="E132" s="237">
        <v>38</v>
      </c>
      <c r="F132" s="237" t="s">
        <v>60</v>
      </c>
      <c r="G132" s="237" t="s">
        <v>1007</v>
      </c>
      <c r="H132" s="243" t="s">
        <v>3</v>
      </c>
      <c r="I132" s="243"/>
      <c r="J132" s="240" t="s">
        <v>886</v>
      </c>
      <c r="K132" s="240" t="s">
        <v>887</v>
      </c>
      <c r="L132" s="237"/>
      <c r="M132" s="246" t="s">
        <v>228</v>
      </c>
      <c r="N132" s="237" t="s">
        <v>1008</v>
      </c>
      <c r="O132" s="237" t="s">
        <v>1009</v>
      </c>
      <c r="P132" s="237" t="s">
        <v>231</v>
      </c>
      <c r="Q132" s="245">
        <v>44923</v>
      </c>
      <c r="R132" s="237" t="s">
        <v>232</v>
      </c>
      <c r="S132" s="331" t="s">
        <v>233</v>
      </c>
      <c r="T132" s="237" t="s">
        <v>228</v>
      </c>
      <c r="U132" s="237" t="s">
        <v>234</v>
      </c>
      <c r="V132" s="237" t="s">
        <v>235</v>
      </c>
      <c r="W132" s="245">
        <v>45076</v>
      </c>
      <c r="X132" s="237" t="s">
        <v>1010</v>
      </c>
      <c r="Y132" s="237" t="s">
        <v>237</v>
      </c>
      <c r="Z132" s="237" t="s">
        <v>228</v>
      </c>
      <c r="AA132" s="237" t="s">
        <v>228</v>
      </c>
      <c r="AB132" s="237" t="s">
        <v>228</v>
      </c>
      <c r="AC132" s="237" t="s">
        <v>228</v>
      </c>
    </row>
    <row r="133" spans="1:29" ht="13.5" customHeight="1">
      <c r="A133" s="235">
        <v>131</v>
      </c>
      <c r="B133" s="237">
        <v>154</v>
      </c>
      <c r="C133" s="255" t="s">
        <v>1011</v>
      </c>
      <c r="D133" s="237" t="s">
        <v>1012</v>
      </c>
      <c r="E133" s="237">
        <v>44</v>
      </c>
      <c r="F133" s="237" t="s">
        <v>75</v>
      </c>
      <c r="G133" s="237" t="s">
        <v>1013</v>
      </c>
      <c r="H133" s="243" t="s">
        <v>3</v>
      </c>
      <c r="I133" s="243"/>
      <c r="K133" s="240" t="s">
        <v>1014</v>
      </c>
      <c r="L133" s="237"/>
      <c r="M133" s="246" t="s">
        <v>228</v>
      </c>
      <c r="N133" s="237" t="s">
        <v>1015</v>
      </c>
      <c r="O133" s="237" t="s">
        <v>1016</v>
      </c>
      <c r="P133" s="237" t="s">
        <v>231</v>
      </c>
      <c r="Q133" s="245">
        <v>45088</v>
      </c>
      <c r="R133" s="237" t="s">
        <v>309</v>
      </c>
      <c r="S133" s="331" t="s">
        <v>233</v>
      </c>
      <c r="T133" s="237">
        <v>8.6</v>
      </c>
      <c r="U133" s="237" t="s">
        <v>298</v>
      </c>
      <c r="V133" s="237" t="s">
        <v>235</v>
      </c>
      <c r="W133" s="245">
        <v>45398</v>
      </c>
      <c r="X133" s="237" t="s">
        <v>1017</v>
      </c>
      <c r="Y133" s="237" t="s">
        <v>237</v>
      </c>
      <c r="Z133" s="237" t="s">
        <v>237</v>
      </c>
      <c r="AA133" s="237" t="s">
        <v>1018</v>
      </c>
      <c r="AB133" s="237" t="s">
        <v>228</v>
      </c>
      <c r="AC133" s="237" t="s">
        <v>228</v>
      </c>
    </row>
    <row r="134" spans="1:29" ht="13.5" customHeight="1">
      <c r="A134" s="235">
        <v>132</v>
      </c>
      <c r="B134" s="237">
        <v>171</v>
      </c>
      <c r="C134" s="255" t="s">
        <v>1019</v>
      </c>
      <c r="D134" s="237" t="s">
        <v>1020</v>
      </c>
      <c r="E134" s="237">
        <v>44</v>
      </c>
      <c r="F134" s="237" t="s">
        <v>75</v>
      </c>
      <c r="G134" s="237" t="s">
        <v>1021</v>
      </c>
      <c r="H134" s="243" t="s">
        <v>3</v>
      </c>
      <c r="I134" s="243"/>
      <c r="K134" s="240" t="s">
        <v>1022</v>
      </c>
      <c r="L134" s="237"/>
      <c r="M134" s="246" t="s">
        <v>228</v>
      </c>
      <c r="N134" s="237" t="s">
        <v>228</v>
      </c>
      <c r="O134" s="237" t="s">
        <v>228</v>
      </c>
      <c r="P134" s="237" t="s">
        <v>231</v>
      </c>
      <c r="Q134" s="245">
        <v>45273</v>
      </c>
      <c r="R134" s="237" t="s">
        <v>309</v>
      </c>
      <c r="S134" s="331" t="s">
        <v>233</v>
      </c>
      <c r="T134" s="237">
        <v>6.8</v>
      </c>
      <c r="U134" s="237" t="s">
        <v>298</v>
      </c>
      <c r="V134" s="237" t="s">
        <v>235</v>
      </c>
      <c r="W134" s="245">
        <v>45294</v>
      </c>
      <c r="X134" s="237" t="s">
        <v>1023</v>
      </c>
      <c r="Y134" s="237" t="s">
        <v>237</v>
      </c>
      <c r="Z134" s="237" t="s">
        <v>237</v>
      </c>
      <c r="AA134" s="237" t="s">
        <v>1024</v>
      </c>
      <c r="AB134" s="237" t="s">
        <v>228</v>
      </c>
      <c r="AC134" s="237" t="s">
        <v>228</v>
      </c>
    </row>
    <row r="135" spans="1:29" ht="13.5" customHeight="1">
      <c r="A135" s="235">
        <v>133</v>
      </c>
      <c r="B135" s="237">
        <v>172</v>
      </c>
      <c r="C135" s="255" t="s">
        <v>1025</v>
      </c>
      <c r="D135" s="237" t="s">
        <v>1026</v>
      </c>
      <c r="E135" s="237">
        <v>64</v>
      </c>
      <c r="F135" s="237" t="s">
        <v>60</v>
      </c>
      <c r="G135" s="237" t="s">
        <v>1027</v>
      </c>
      <c r="H135" s="243" t="s">
        <v>3</v>
      </c>
      <c r="I135" s="243"/>
      <c r="K135" s="240" t="s">
        <v>1028</v>
      </c>
      <c r="L135" s="237"/>
      <c r="M135" s="243" t="s">
        <v>528</v>
      </c>
      <c r="N135" s="237" t="s">
        <v>228</v>
      </c>
      <c r="O135" s="237" t="s">
        <v>228</v>
      </c>
      <c r="P135" s="237" t="s">
        <v>231</v>
      </c>
      <c r="Q135" s="245">
        <v>45273</v>
      </c>
      <c r="R135" s="237" t="s">
        <v>309</v>
      </c>
      <c r="S135" s="331" t="s">
        <v>233</v>
      </c>
      <c r="T135" s="237">
        <v>6.8</v>
      </c>
      <c r="U135" s="237" t="s">
        <v>298</v>
      </c>
      <c r="V135" s="237" t="s">
        <v>235</v>
      </c>
      <c r="W135" s="245">
        <v>45294</v>
      </c>
      <c r="X135" s="237" t="s">
        <v>1029</v>
      </c>
      <c r="Y135" s="237" t="s">
        <v>237</v>
      </c>
      <c r="Z135" s="237" t="s">
        <v>237</v>
      </c>
      <c r="AA135" s="237" t="s">
        <v>1030</v>
      </c>
      <c r="AB135" s="237" t="s">
        <v>228</v>
      </c>
      <c r="AC135" s="237" t="s">
        <v>228</v>
      </c>
    </row>
    <row r="136" spans="1:29" ht="13.5" customHeight="1">
      <c r="A136" s="235">
        <v>134</v>
      </c>
      <c r="B136" s="237">
        <v>175</v>
      </c>
      <c r="C136" s="255" t="s">
        <v>1031</v>
      </c>
      <c r="D136" s="237" t="s">
        <v>1032</v>
      </c>
      <c r="E136" s="237">
        <v>39</v>
      </c>
      <c r="F136" s="237" t="s">
        <v>60</v>
      </c>
      <c r="G136" s="237" t="s">
        <v>1033</v>
      </c>
      <c r="H136" s="243" t="s">
        <v>3</v>
      </c>
      <c r="I136" s="243"/>
      <c r="K136" s="240" t="s">
        <v>1034</v>
      </c>
      <c r="L136" s="237"/>
      <c r="M136" s="246" t="s">
        <v>228</v>
      </c>
      <c r="N136" s="237" t="s">
        <v>228</v>
      </c>
      <c r="O136" s="237" t="s">
        <v>228</v>
      </c>
      <c r="P136" s="237" t="s">
        <v>231</v>
      </c>
      <c r="Q136" s="245">
        <v>45278</v>
      </c>
      <c r="R136" s="237" t="s">
        <v>309</v>
      </c>
      <c r="S136" s="331" t="s">
        <v>233</v>
      </c>
      <c r="T136" s="237">
        <v>7</v>
      </c>
      <c r="U136" s="237" t="s">
        <v>234</v>
      </c>
      <c r="V136" s="237" t="s">
        <v>235</v>
      </c>
      <c r="W136" s="245">
        <v>45321</v>
      </c>
      <c r="X136" s="237" t="s">
        <v>1035</v>
      </c>
      <c r="Y136" s="237" t="s">
        <v>237</v>
      </c>
      <c r="Z136" s="237" t="s">
        <v>237</v>
      </c>
      <c r="AA136" s="237" t="s">
        <v>1036</v>
      </c>
      <c r="AB136" s="237" t="s">
        <v>228</v>
      </c>
      <c r="AC136" s="237" t="s">
        <v>228</v>
      </c>
    </row>
    <row r="137" spans="1:29" ht="13.5" customHeight="1">
      <c r="A137" s="235">
        <v>135</v>
      </c>
      <c r="B137" s="237">
        <v>196</v>
      </c>
      <c r="C137" s="255" t="s">
        <v>1037</v>
      </c>
      <c r="D137" s="237" t="s">
        <v>294</v>
      </c>
      <c r="E137" s="237">
        <v>52</v>
      </c>
      <c r="F137" s="237" t="s">
        <v>60</v>
      </c>
      <c r="G137" s="237" t="s">
        <v>295</v>
      </c>
      <c r="H137" s="243" t="s">
        <v>3</v>
      </c>
      <c r="I137" s="243"/>
      <c r="K137" s="240" t="s">
        <v>1038</v>
      </c>
      <c r="L137" s="237"/>
      <c r="M137" s="246" t="s">
        <v>228</v>
      </c>
      <c r="N137" s="237" t="s">
        <v>1039</v>
      </c>
      <c r="O137" s="237" t="s">
        <v>228</v>
      </c>
      <c r="P137" s="237"/>
      <c r="Q137" s="245">
        <v>45400</v>
      </c>
      <c r="R137" s="237" t="s">
        <v>309</v>
      </c>
      <c r="S137" s="331" t="s">
        <v>233</v>
      </c>
      <c r="T137" s="237" t="s">
        <v>389</v>
      </c>
      <c r="U137" s="237" t="s">
        <v>298</v>
      </c>
      <c r="V137" s="237" t="s">
        <v>235</v>
      </c>
      <c r="W137" s="245">
        <v>45435</v>
      </c>
      <c r="X137" s="237" t="s">
        <v>1040</v>
      </c>
      <c r="Y137" s="237" t="s">
        <v>237</v>
      </c>
      <c r="Z137" s="237" t="s">
        <v>237</v>
      </c>
      <c r="AA137" s="237" t="s">
        <v>1041</v>
      </c>
      <c r="AB137" s="237" t="s">
        <v>228</v>
      </c>
      <c r="AC137" s="237" t="s">
        <v>228</v>
      </c>
    </row>
    <row r="138" spans="1:29" ht="13.5" customHeight="1">
      <c r="A138" s="235">
        <v>136</v>
      </c>
      <c r="B138" s="237">
        <v>22</v>
      </c>
      <c r="C138" s="255" t="s">
        <v>1042</v>
      </c>
      <c r="D138" s="237" t="s">
        <v>1043</v>
      </c>
      <c r="E138" s="237">
        <v>39</v>
      </c>
      <c r="F138" s="237" t="s">
        <v>60</v>
      </c>
      <c r="G138" s="237" t="s">
        <v>1044</v>
      </c>
      <c r="H138" s="243" t="s">
        <v>3</v>
      </c>
      <c r="I138" s="243"/>
      <c r="K138" s="240" t="s">
        <v>1045</v>
      </c>
      <c r="L138" s="237"/>
      <c r="M138" s="246" t="s">
        <v>228</v>
      </c>
      <c r="N138" s="237" t="s">
        <v>228</v>
      </c>
      <c r="O138" s="237" t="s">
        <v>228</v>
      </c>
      <c r="P138" s="237"/>
      <c r="Q138" s="245">
        <v>45467</v>
      </c>
      <c r="R138" s="237" t="s">
        <v>309</v>
      </c>
      <c r="S138" s="331" t="s">
        <v>233</v>
      </c>
      <c r="T138" s="237" t="s">
        <v>1046</v>
      </c>
      <c r="U138" s="237" t="s">
        <v>234</v>
      </c>
      <c r="V138" s="237" t="s">
        <v>235</v>
      </c>
      <c r="W138" s="245">
        <v>45510</v>
      </c>
      <c r="X138" s="237" t="s">
        <v>1047</v>
      </c>
      <c r="Y138" s="237" t="s">
        <v>237</v>
      </c>
      <c r="Z138" s="237" t="s">
        <v>237</v>
      </c>
      <c r="AA138" s="237" t="s">
        <v>1048</v>
      </c>
      <c r="AB138" s="237" t="s">
        <v>228</v>
      </c>
      <c r="AC138" s="237" t="s">
        <v>228</v>
      </c>
    </row>
    <row r="139" spans="1:29" ht="13.5" customHeight="1">
      <c r="A139" s="235">
        <v>137</v>
      </c>
      <c r="B139" s="237">
        <v>23</v>
      </c>
      <c r="C139" s="255" t="s">
        <v>1049</v>
      </c>
      <c r="D139" s="237" t="s">
        <v>1050</v>
      </c>
      <c r="E139" s="237">
        <v>52</v>
      </c>
      <c r="F139" s="237" t="s">
        <v>60</v>
      </c>
      <c r="G139" s="237" t="s">
        <v>1051</v>
      </c>
      <c r="H139" s="243" t="s">
        <v>3</v>
      </c>
      <c r="I139" s="243"/>
      <c r="K139" s="240" t="s">
        <v>887</v>
      </c>
      <c r="L139" s="237"/>
      <c r="M139" s="246" t="s">
        <v>228</v>
      </c>
      <c r="N139" s="237" t="s">
        <v>228</v>
      </c>
      <c r="O139" s="237" t="s">
        <v>228</v>
      </c>
      <c r="P139" s="237"/>
      <c r="Q139" s="245">
        <v>45470</v>
      </c>
      <c r="R139" s="237" t="s">
        <v>309</v>
      </c>
      <c r="S139" s="331" t="s">
        <v>233</v>
      </c>
      <c r="T139" s="237" t="s">
        <v>1052</v>
      </c>
      <c r="U139" s="237" t="s">
        <v>234</v>
      </c>
      <c r="V139" s="237" t="s">
        <v>235</v>
      </c>
      <c r="W139" s="245">
        <v>45510</v>
      </c>
      <c r="X139" s="237" t="s">
        <v>1053</v>
      </c>
      <c r="Y139" s="237" t="s">
        <v>237</v>
      </c>
      <c r="Z139" s="237" t="s">
        <v>237</v>
      </c>
      <c r="AA139" s="237" t="s">
        <v>1054</v>
      </c>
      <c r="AB139" s="237" t="s">
        <v>228</v>
      </c>
      <c r="AC139" s="237" t="s">
        <v>228</v>
      </c>
    </row>
    <row r="140" spans="1:29" ht="13.5" customHeight="1">
      <c r="A140" s="235">
        <v>138</v>
      </c>
      <c r="B140" s="237">
        <v>27</v>
      </c>
      <c r="C140" s="255" t="s">
        <v>1055</v>
      </c>
      <c r="D140" s="237" t="s">
        <v>1056</v>
      </c>
      <c r="E140" s="237">
        <v>36</v>
      </c>
      <c r="F140" s="237" t="s">
        <v>75</v>
      </c>
      <c r="G140" s="237" t="s">
        <v>1057</v>
      </c>
      <c r="H140" s="243" t="s">
        <v>3</v>
      </c>
      <c r="I140" s="243"/>
      <c r="K140" s="240" t="s">
        <v>1058</v>
      </c>
      <c r="L140" s="237"/>
      <c r="M140" s="243" t="s">
        <v>426</v>
      </c>
      <c r="N140" s="237" t="s">
        <v>228</v>
      </c>
      <c r="O140" s="237" t="s">
        <v>228</v>
      </c>
      <c r="P140" s="237"/>
      <c r="Q140" s="245">
        <v>45481</v>
      </c>
      <c r="R140" s="237" t="s">
        <v>309</v>
      </c>
      <c r="S140" s="331" t="s">
        <v>233</v>
      </c>
      <c r="T140" s="237" t="s">
        <v>1059</v>
      </c>
      <c r="U140" s="237" t="s">
        <v>234</v>
      </c>
      <c r="V140" s="237" t="s">
        <v>235</v>
      </c>
      <c r="W140" s="245">
        <v>45516</v>
      </c>
      <c r="X140" s="237" t="s">
        <v>1060</v>
      </c>
      <c r="Y140" s="237" t="s">
        <v>237</v>
      </c>
      <c r="Z140" s="237" t="s">
        <v>237</v>
      </c>
      <c r="AA140" s="237" t="s">
        <v>1061</v>
      </c>
      <c r="AB140" s="237" t="s">
        <v>228</v>
      </c>
      <c r="AC140" s="237" t="s">
        <v>228</v>
      </c>
    </row>
    <row r="141" spans="1:29" ht="13.5" customHeight="1">
      <c r="A141" s="235">
        <v>139</v>
      </c>
      <c r="B141" s="237">
        <v>21</v>
      </c>
      <c r="C141" s="255" t="s">
        <v>1062</v>
      </c>
      <c r="D141" s="237" t="s">
        <v>1063</v>
      </c>
      <c r="E141" s="237">
        <v>54</v>
      </c>
      <c r="F141" s="237" t="s">
        <v>60</v>
      </c>
      <c r="G141" s="237" t="s">
        <v>1064</v>
      </c>
      <c r="H141" s="243" t="s">
        <v>3</v>
      </c>
      <c r="I141" s="243"/>
      <c r="K141" s="240" t="s">
        <v>1065</v>
      </c>
      <c r="L141" s="237"/>
      <c r="M141" s="243" t="s">
        <v>1066</v>
      </c>
      <c r="N141" s="237" t="s">
        <v>228</v>
      </c>
      <c r="O141" s="237" t="s">
        <v>228</v>
      </c>
      <c r="P141" s="237"/>
      <c r="Q141" s="245">
        <v>45490</v>
      </c>
      <c r="R141" s="237" t="s">
        <v>309</v>
      </c>
      <c r="S141" s="331" t="s">
        <v>233</v>
      </c>
      <c r="T141" s="237" t="s">
        <v>410</v>
      </c>
      <c r="U141" s="237" t="s">
        <v>234</v>
      </c>
      <c r="V141" s="237" t="s">
        <v>235</v>
      </c>
      <c r="W141" s="245">
        <v>45527</v>
      </c>
      <c r="X141" s="237" t="s">
        <v>1067</v>
      </c>
      <c r="Y141" s="237" t="s">
        <v>237</v>
      </c>
      <c r="Z141" s="237" t="s">
        <v>237</v>
      </c>
      <c r="AA141" s="237" t="s">
        <v>1068</v>
      </c>
      <c r="AB141" s="237" t="s">
        <v>228</v>
      </c>
      <c r="AC141" s="237" t="s">
        <v>228</v>
      </c>
    </row>
    <row r="142" spans="1:29" ht="13.5" customHeight="1">
      <c r="A142" s="235">
        <v>140</v>
      </c>
      <c r="B142" s="237">
        <v>211</v>
      </c>
      <c r="C142" s="255" t="s">
        <v>1069</v>
      </c>
      <c r="D142" s="237" t="s">
        <v>1070</v>
      </c>
      <c r="E142" s="237">
        <v>62</v>
      </c>
      <c r="F142" s="237" t="s">
        <v>60</v>
      </c>
      <c r="G142" s="237" t="s">
        <v>1071</v>
      </c>
      <c r="H142" s="243" t="s">
        <v>3</v>
      </c>
      <c r="I142" s="243"/>
      <c r="K142" s="240" t="s">
        <v>925</v>
      </c>
      <c r="L142" s="237"/>
      <c r="M142" s="243" t="s">
        <v>528</v>
      </c>
      <c r="N142" s="237" t="s">
        <v>228</v>
      </c>
      <c r="O142" s="237" t="s">
        <v>228</v>
      </c>
      <c r="P142" s="237"/>
      <c r="Q142" s="245">
        <v>45495</v>
      </c>
      <c r="R142" s="237" t="s">
        <v>309</v>
      </c>
      <c r="S142" s="331" t="s">
        <v>233</v>
      </c>
      <c r="T142" s="237" t="s">
        <v>1072</v>
      </c>
      <c r="U142" s="237" t="s">
        <v>234</v>
      </c>
      <c r="V142" s="237" t="s">
        <v>235</v>
      </c>
      <c r="W142" s="245">
        <v>45530</v>
      </c>
      <c r="X142" s="237" t="s">
        <v>1073</v>
      </c>
      <c r="Y142" s="237" t="s">
        <v>237</v>
      </c>
      <c r="Z142" s="237" t="s">
        <v>237</v>
      </c>
      <c r="AA142" s="237" t="s">
        <v>1074</v>
      </c>
      <c r="AB142" s="237" t="s">
        <v>228</v>
      </c>
      <c r="AC142" s="237" t="s">
        <v>228</v>
      </c>
    </row>
    <row r="143" spans="1:29" ht="13.5" customHeight="1">
      <c r="A143" s="235">
        <v>141</v>
      </c>
      <c r="B143" s="237">
        <v>224</v>
      </c>
      <c r="C143" s="255" t="s">
        <v>1075</v>
      </c>
      <c r="D143" s="237" t="s">
        <v>1076</v>
      </c>
      <c r="E143" s="237">
        <v>27</v>
      </c>
      <c r="F143" s="237" t="s">
        <v>60</v>
      </c>
      <c r="G143" s="237" t="s">
        <v>1077</v>
      </c>
      <c r="H143" s="289" t="s">
        <v>3</v>
      </c>
      <c r="I143" s="243"/>
      <c r="K143" s="240" t="s">
        <v>20</v>
      </c>
      <c r="L143" s="237"/>
      <c r="M143" s="246" t="s">
        <v>228</v>
      </c>
      <c r="N143" s="237"/>
      <c r="O143" s="237"/>
      <c r="P143" s="237"/>
      <c r="Q143" s="245">
        <v>45530</v>
      </c>
      <c r="R143" s="237" t="s">
        <v>309</v>
      </c>
      <c r="S143" s="331" t="s">
        <v>233</v>
      </c>
      <c r="T143" s="237">
        <v>8.3000000000000007</v>
      </c>
      <c r="U143" s="237" t="s">
        <v>234</v>
      </c>
      <c r="V143" s="237" t="s">
        <v>235</v>
      </c>
      <c r="W143" s="245">
        <v>45593</v>
      </c>
      <c r="X143" s="237" t="s">
        <v>1079</v>
      </c>
      <c r="Y143" s="237" t="s">
        <v>237</v>
      </c>
      <c r="Z143" s="237" t="s">
        <v>237</v>
      </c>
      <c r="AA143" s="237" t="s">
        <v>1080</v>
      </c>
      <c r="AB143" s="237" t="s">
        <v>237</v>
      </c>
      <c r="AC143" s="237" t="s">
        <v>353</v>
      </c>
    </row>
    <row r="144" spans="1:29" ht="13.5" customHeight="1">
      <c r="A144" s="235">
        <v>142</v>
      </c>
      <c r="B144" s="237">
        <v>225</v>
      </c>
      <c r="C144" s="255" t="s">
        <v>1081</v>
      </c>
      <c r="D144" s="237" t="s">
        <v>1082</v>
      </c>
      <c r="E144" s="237">
        <v>76</v>
      </c>
      <c r="F144" s="237" t="s">
        <v>60</v>
      </c>
      <c r="G144" s="237" t="s">
        <v>1083</v>
      </c>
      <c r="H144" s="243" t="s">
        <v>3</v>
      </c>
      <c r="I144" s="243"/>
      <c r="K144" s="243" t="s">
        <v>151</v>
      </c>
      <c r="L144" s="237"/>
      <c r="M144" s="243" t="s">
        <v>528</v>
      </c>
      <c r="N144" s="237"/>
      <c r="O144" s="237"/>
      <c r="P144" s="237"/>
      <c r="Q144" s="245">
        <v>45540</v>
      </c>
      <c r="R144" s="237" t="s">
        <v>309</v>
      </c>
      <c r="S144" s="331" t="s">
        <v>233</v>
      </c>
      <c r="T144" s="237">
        <v>7.8</v>
      </c>
      <c r="U144" s="237" t="s">
        <v>298</v>
      </c>
      <c r="V144" s="237" t="s">
        <v>235</v>
      </c>
      <c r="W144" s="245">
        <v>45593</v>
      </c>
      <c r="X144" s="237" t="s">
        <v>1084</v>
      </c>
      <c r="Y144" s="237" t="s">
        <v>237</v>
      </c>
      <c r="Z144" s="237" t="s">
        <v>237</v>
      </c>
      <c r="AA144" s="237" t="s">
        <v>1085</v>
      </c>
      <c r="AB144" s="237" t="s">
        <v>237</v>
      </c>
      <c r="AC144" s="237" t="s">
        <v>353</v>
      </c>
    </row>
    <row r="145" spans="1:29" ht="13.5" customHeight="1">
      <c r="A145" s="235">
        <v>143</v>
      </c>
      <c r="B145" s="237">
        <v>251</v>
      </c>
      <c r="C145" s="243" t="s">
        <v>1086</v>
      </c>
      <c r="D145" s="237" t="s">
        <v>1087</v>
      </c>
      <c r="E145" s="237">
        <v>52</v>
      </c>
      <c r="F145" s="237" t="s">
        <v>424</v>
      </c>
      <c r="G145" s="237" t="s">
        <v>1088</v>
      </c>
      <c r="H145" s="243" t="s">
        <v>3</v>
      </c>
      <c r="I145" s="243"/>
      <c r="K145" s="240" t="s">
        <v>1089</v>
      </c>
      <c r="L145" s="237"/>
      <c r="M145" s="246" t="s">
        <v>228</v>
      </c>
      <c r="N145" s="237"/>
      <c r="O145" s="237"/>
      <c r="P145" s="237"/>
      <c r="Q145" s="245">
        <v>45590</v>
      </c>
      <c r="R145" s="237" t="s">
        <v>309</v>
      </c>
      <c r="S145" s="331" t="s">
        <v>233</v>
      </c>
      <c r="T145" s="237">
        <v>7.7</v>
      </c>
      <c r="U145" s="237" t="s">
        <v>298</v>
      </c>
      <c r="V145" s="237" t="s">
        <v>235</v>
      </c>
      <c r="W145" s="245">
        <v>45631</v>
      </c>
      <c r="X145" s="237" t="s">
        <v>1090</v>
      </c>
      <c r="Y145" s="237" t="s">
        <v>237</v>
      </c>
      <c r="Z145" s="237" t="s">
        <v>237</v>
      </c>
      <c r="AA145" s="237" t="s">
        <v>1091</v>
      </c>
      <c r="AB145" s="237" t="s">
        <v>228</v>
      </c>
      <c r="AC145" s="237" t="s">
        <v>228</v>
      </c>
    </row>
    <row r="146" spans="1:29" ht="13.5" customHeight="1">
      <c r="A146" s="235">
        <v>144</v>
      </c>
      <c r="B146" s="237">
        <v>263</v>
      </c>
      <c r="C146" s="256" t="s">
        <v>1092</v>
      </c>
      <c r="D146" s="237" t="s">
        <v>1093</v>
      </c>
      <c r="E146" s="237">
        <v>35</v>
      </c>
      <c r="F146" s="237" t="s">
        <v>75</v>
      </c>
      <c r="G146" s="237" t="s">
        <v>1094</v>
      </c>
      <c r="H146" s="243" t="s">
        <v>3</v>
      </c>
      <c r="I146" s="243"/>
      <c r="J146" s="235" t="s">
        <v>620</v>
      </c>
      <c r="K146" s="240" t="s">
        <v>994</v>
      </c>
      <c r="L146" s="237"/>
      <c r="M146" s="246" t="s">
        <v>228</v>
      </c>
      <c r="N146" s="237"/>
      <c r="O146" s="237"/>
      <c r="P146" s="237"/>
      <c r="Q146" s="245">
        <v>45604</v>
      </c>
      <c r="R146" s="237" t="s">
        <v>309</v>
      </c>
      <c r="S146" s="331" t="s">
        <v>233</v>
      </c>
      <c r="T146" s="237" t="s">
        <v>228</v>
      </c>
      <c r="U146" s="237" t="s">
        <v>234</v>
      </c>
      <c r="V146" s="237" t="s">
        <v>235</v>
      </c>
      <c r="W146" s="245">
        <v>45659</v>
      </c>
      <c r="X146" s="237" t="s">
        <v>1095</v>
      </c>
      <c r="Y146" s="237" t="s">
        <v>237</v>
      </c>
      <c r="Z146" s="237" t="s">
        <v>237</v>
      </c>
      <c r="AA146" s="237" t="s">
        <v>1096</v>
      </c>
      <c r="AB146" s="237" t="s">
        <v>237</v>
      </c>
      <c r="AC146" s="237" t="s">
        <v>228</v>
      </c>
    </row>
    <row r="147" spans="1:29" ht="13.5" customHeight="1">
      <c r="A147" s="235">
        <v>145</v>
      </c>
      <c r="B147" s="237">
        <v>29</v>
      </c>
      <c r="C147" s="256" t="s">
        <v>1097</v>
      </c>
      <c r="D147" s="237" t="s">
        <v>1098</v>
      </c>
      <c r="E147" s="237">
        <v>44</v>
      </c>
      <c r="F147" s="237" t="s">
        <v>1099</v>
      </c>
      <c r="G147" s="237" t="s">
        <v>1100</v>
      </c>
      <c r="H147" s="243" t="s">
        <v>3</v>
      </c>
      <c r="I147" s="243"/>
      <c r="K147" s="240" t="s">
        <v>1101</v>
      </c>
      <c r="L147" s="237"/>
      <c r="M147" s="246" t="s">
        <v>228</v>
      </c>
      <c r="N147" s="237"/>
      <c r="O147" s="237"/>
      <c r="P147" s="237"/>
      <c r="Q147" s="245">
        <v>45607</v>
      </c>
      <c r="R147" s="237" t="s">
        <v>309</v>
      </c>
      <c r="S147" s="331" t="s">
        <v>233</v>
      </c>
      <c r="T147" s="237">
        <v>8.1999999999999993</v>
      </c>
      <c r="U147" s="237" t="s">
        <v>1103</v>
      </c>
      <c r="V147" s="237" t="s">
        <v>235</v>
      </c>
      <c r="W147" s="245">
        <v>45677</v>
      </c>
      <c r="X147" s="237" t="s">
        <v>1104</v>
      </c>
      <c r="Y147" s="237" t="s">
        <v>237</v>
      </c>
      <c r="Z147" s="237" t="s">
        <v>237</v>
      </c>
      <c r="AA147" s="237" t="s">
        <v>1105</v>
      </c>
      <c r="AB147" s="237" t="s">
        <v>237</v>
      </c>
      <c r="AC147" s="237" t="s">
        <v>353</v>
      </c>
    </row>
    <row r="148" spans="1:29" ht="13.5" customHeight="1">
      <c r="A148" s="235">
        <v>146</v>
      </c>
      <c r="B148" s="237">
        <v>323</v>
      </c>
      <c r="C148" s="243" t="s">
        <v>1106</v>
      </c>
      <c r="D148" s="237" t="s">
        <v>1107</v>
      </c>
      <c r="E148" s="237">
        <v>77</v>
      </c>
      <c r="F148" s="237" t="s">
        <v>60</v>
      </c>
      <c r="G148" s="237" t="s">
        <v>1108</v>
      </c>
      <c r="H148" s="243" t="s">
        <v>3</v>
      </c>
      <c r="I148" s="243"/>
      <c r="K148" s="240" t="s">
        <v>1109</v>
      </c>
      <c r="L148" s="237"/>
      <c r="M148" s="243" t="s">
        <v>1110</v>
      </c>
      <c r="N148" s="237"/>
      <c r="O148" s="237"/>
      <c r="P148" s="237"/>
      <c r="Q148" s="245">
        <v>45636</v>
      </c>
      <c r="R148" s="237" t="s">
        <v>309</v>
      </c>
      <c r="S148" s="331" t="s">
        <v>233</v>
      </c>
      <c r="T148" s="237">
        <v>8.6999999999999993</v>
      </c>
      <c r="U148" s="237" t="s">
        <v>298</v>
      </c>
      <c r="V148" s="237" t="s">
        <v>235</v>
      </c>
      <c r="W148" s="245">
        <v>45677</v>
      </c>
      <c r="X148" s="237" t="s">
        <v>1111</v>
      </c>
      <c r="Y148" s="237" t="s">
        <v>237</v>
      </c>
      <c r="Z148" s="237" t="s">
        <v>237</v>
      </c>
      <c r="AA148" s="237" t="s">
        <v>1112</v>
      </c>
      <c r="AB148" s="237" t="s">
        <v>228</v>
      </c>
      <c r="AC148" s="237" t="s">
        <v>228</v>
      </c>
    </row>
    <row r="149" spans="1:29" ht="13.5" customHeight="1">
      <c r="A149" s="235">
        <v>147</v>
      </c>
      <c r="B149" s="237" t="s">
        <v>1113</v>
      </c>
      <c r="C149" s="243" t="s">
        <v>1114</v>
      </c>
      <c r="D149" s="237" t="s">
        <v>1115</v>
      </c>
      <c r="E149" s="237">
        <v>45</v>
      </c>
      <c r="F149" s="237" t="s">
        <v>75</v>
      </c>
      <c r="G149" s="237" t="s">
        <v>1116</v>
      </c>
      <c r="H149" s="243" t="s">
        <v>3</v>
      </c>
      <c r="I149" s="243"/>
      <c r="J149" s="235" t="s">
        <v>620</v>
      </c>
      <c r="K149" s="240" t="s">
        <v>887</v>
      </c>
      <c r="L149" s="237"/>
      <c r="M149" s="246" t="s">
        <v>228</v>
      </c>
      <c r="N149" s="237"/>
      <c r="O149" s="237"/>
      <c r="P149" s="237"/>
      <c r="Q149" s="245">
        <v>45631</v>
      </c>
      <c r="R149" s="237" t="s">
        <v>309</v>
      </c>
      <c r="S149" s="331" t="s">
        <v>233</v>
      </c>
      <c r="T149" s="237" t="s">
        <v>228</v>
      </c>
      <c r="U149" s="237" t="s">
        <v>234</v>
      </c>
      <c r="V149" s="237" t="s">
        <v>652</v>
      </c>
      <c r="W149" s="245">
        <v>45734</v>
      </c>
      <c r="X149" s="237" t="s">
        <v>1118</v>
      </c>
      <c r="Y149" s="237" t="s">
        <v>237</v>
      </c>
      <c r="Z149" s="237" t="s">
        <v>237</v>
      </c>
      <c r="AA149" s="237" t="s">
        <v>1119</v>
      </c>
      <c r="AB149" s="237" t="s">
        <v>228</v>
      </c>
      <c r="AC149" s="237" t="s">
        <v>228</v>
      </c>
    </row>
    <row r="150" spans="1:29" ht="13.5" customHeight="1">
      <c r="A150" s="235">
        <v>148</v>
      </c>
      <c r="B150" s="237">
        <v>195</v>
      </c>
      <c r="C150" s="243" t="s">
        <v>1120</v>
      </c>
      <c r="D150" s="237" t="s">
        <v>1121</v>
      </c>
      <c r="E150" s="237">
        <v>67</v>
      </c>
      <c r="F150" s="237" t="s">
        <v>60</v>
      </c>
      <c r="G150" s="237" t="s">
        <v>1122</v>
      </c>
      <c r="H150" s="243" t="s">
        <v>3</v>
      </c>
      <c r="I150" s="243"/>
      <c r="J150" s="235" t="s">
        <v>620</v>
      </c>
      <c r="K150" s="240" t="s">
        <v>1123</v>
      </c>
      <c r="L150" s="237"/>
      <c r="M150" s="246" t="s">
        <v>228</v>
      </c>
      <c r="N150" s="237"/>
      <c r="O150" s="237"/>
      <c r="P150" s="237"/>
      <c r="Q150" s="245">
        <v>45624</v>
      </c>
      <c r="R150" s="237" t="s">
        <v>309</v>
      </c>
      <c r="S150" s="331" t="s">
        <v>233</v>
      </c>
      <c r="T150" s="237" t="s">
        <v>228</v>
      </c>
      <c r="U150" s="237" t="s">
        <v>234</v>
      </c>
      <c r="V150" s="237" t="s">
        <v>473</v>
      </c>
      <c r="W150" s="245">
        <v>45768</v>
      </c>
      <c r="X150" s="237" t="s">
        <v>1124</v>
      </c>
      <c r="Y150" s="237" t="s">
        <v>237</v>
      </c>
      <c r="Z150" s="237" t="s">
        <v>228</v>
      </c>
      <c r="AA150" s="237" t="s">
        <v>1125</v>
      </c>
      <c r="AB150" s="237" t="s">
        <v>228</v>
      </c>
      <c r="AC150" s="237" t="s">
        <v>228</v>
      </c>
    </row>
    <row r="151" spans="1:29" ht="13.5" customHeight="1">
      <c r="A151" s="235">
        <v>149</v>
      </c>
      <c r="B151" s="237">
        <v>196</v>
      </c>
      <c r="C151" s="243" t="s">
        <v>1126</v>
      </c>
      <c r="D151" s="237" t="s">
        <v>1127</v>
      </c>
      <c r="E151" s="237">
        <v>40</v>
      </c>
      <c r="F151" s="237" t="s">
        <v>75</v>
      </c>
      <c r="G151" s="237" t="s">
        <v>1128</v>
      </c>
      <c r="H151" s="243" t="s">
        <v>3</v>
      </c>
      <c r="I151" s="243"/>
      <c r="J151" s="235" t="s">
        <v>620</v>
      </c>
      <c r="K151" s="240" t="s">
        <v>1129</v>
      </c>
      <c r="L151" s="237"/>
      <c r="M151" s="246" t="s">
        <v>228</v>
      </c>
      <c r="N151" s="237"/>
      <c r="O151" s="237"/>
      <c r="P151" s="237"/>
      <c r="Q151" s="245">
        <v>45625</v>
      </c>
      <c r="R151" s="237" t="s">
        <v>309</v>
      </c>
      <c r="S151" s="331" t="s">
        <v>233</v>
      </c>
      <c r="T151" s="237" t="s">
        <v>228</v>
      </c>
      <c r="U151" s="237" t="s">
        <v>234</v>
      </c>
      <c r="V151" s="237" t="s">
        <v>473</v>
      </c>
      <c r="W151" s="245">
        <v>45768</v>
      </c>
      <c r="X151" s="237" t="s">
        <v>1130</v>
      </c>
      <c r="Y151" s="237" t="s">
        <v>237</v>
      </c>
      <c r="Z151" s="237" t="s">
        <v>237</v>
      </c>
      <c r="AA151" s="237" t="s">
        <v>1131</v>
      </c>
      <c r="AB151" s="237" t="s">
        <v>228</v>
      </c>
      <c r="AC151" s="237" t="s">
        <v>228</v>
      </c>
    </row>
    <row r="152" spans="1:29" ht="13.5" customHeight="1">
      <c r="A152" s="235">
        <v>150</v>
      </c>
      <c r="B152" s="237">
        <v>198</v>
      </c>
      <c r="C152" s="243" t="s">
        <v>1132</v>
      </c>
      <c r="D152" s="237" t="s">
        <v>1133</v>
      </c>
      <c r="E152" s="237">
        <v>72</v>
      </c>
      <c r="F152" s="237" t="s">
        <v>60</v>
      </c>
      <c r="G152" s="237" t="s">
        <v>1134</v>
      </c>
      <c r="H152" s="243" t="s">
        <v>3</v>
      </c>
      <c r="I152" s="243"/>
      <c r="J152" s="235" t="s">
        <v>620</v>
      </c>
      <c r="K152" s="240" t="s">
        <v>1135</v>
      </c>
      <c r="L152" s="237"/>
      <c r="M152" s="246" t="s">
        <v>228</v>
      </c>
      <c r="N152" s="237"/>
      <c r="O152" s="237"/>
      <c r="P152" s="237"/>
      <c r="Q152" s="245">
        <v>45628</v>
      </c>
      <c r="R152" s="237" t="s">
        <v>309</v>
      </c>
      <c r="S152" s="331" t="s">
        <v>233</v>
      </c>
      <c r="T152" s="237" t="s">
        <v>228</v>
      </c>
      <c r="U152" s="237" t="s">
        <v>234</v>
      </c>
      <c r="V152" s="237" t="s">
        <v>473</v>
      </c>
      <c r="W152" s="245">
        <v>45768</v>
      </c>
      <c r="X152" s="237" t="s">
        <v>1136</v>
      </c>
      <c r="Y152" s="237" t="s">
        <v>237</v>
      </c>
      <c r="Z152" s="237" t="s">
        <v>228</v>
      </c>
      <c r="AA152" s="237" t="s">
        <v>1137</v>
      </c>
      <c r="AB152" s="237" t="s">
        <v>228</v>
      </c>
      <c r="AC152" s="237" t="s">
        <v>228</v>
      </c>
    </row>
    <row r="153" spans="1:29" ht="13.5" customHeight="1">
      <c r="A153" s="235">
        <v>151</v>
      </c>
      <c r="B153" s="237">
        <v>199</v>
      </c>
      <c r="C153" s="243" t="s">
        <v>1138</v>
      </c>
      <c r="D153" s="237" t="s">
        <v>1139</v>
      </c>
      <c r="E153" s="237">
        <v>71</v>
      </c>
      <c r="F153" s="237" t="s">
        <v>60</v>
      </c>
      <c r="G153" s="237" t="s">
        <v>1140</v>
      </c>
      <c r="H153" s="243" t="s">
        <v>3</v>
      </c>
      <c r="I153" s="243"/>
      <c r="J153" s="235" t="s">
        <v>620</v>
      </c>
      <c r="K153" s="240" t="s">
        <v>903</v>
      </c>
      <c r="L153" s="237"/>
      <c r="M153" s="246" t="s">
        <v>228</v>
      </c>
      <c r="N153" s="237"/>
      <c r="O153" s="237"/>
      <c r="P153" s="237"/>
      <c r="Q153" s="245">
        <v>45629</v>
      </c>
      <c r="R153" s="237" t="s">
        <v>309</v>
      </c>
      <c r="S153" s="331" t="s">
        <v>233</v>
      </c>
      <c r="T153" s="237" t="s">
        <v>228</v>
      </c>
      <c r="U153" s="237" t="s">
        <v>234</v>
      </c>
      <c r="V153" s="237" t="s">
        <v>473</v>
      </c>
      <c r="W153" s="245">
        <v>45768</v>
      </c>
      <c r="X153" s="237" t="s">
        <v>1141</v>
      </c>
      <c r="Y153" s="237" t="s">
        <v>237</v>
      </c>
      <c r="Z153" s="237" t="s">
        <v>228</v>
      </c>
      <c r="AA153" s="237" t="s">
        <v>1142</v>
      </c>
      <c r="AB153" s="237" t="s">
        <v>228</v>
      </c>
      <c r="AC153" s="237" t="s">
        <v>228</v>
      </c>
    </row>
    <row r="154" spans="1:29" ht="13.5" customHeight="1">
      <c r="A154" s="235">
        <v>152</v>
      </c>
      <c r="B154" s="237">
        <v>2</v>
      </c>
      <c r="C154" s="243" t="s">
        <v>1143</v>
      </c>
      <c r="D154" s="237" t="s">
        <v>1144</v>
      </c>
      <c r="E154" s="237">
        <v>70</v>
      </c>
      <c r="F154" s="237" t="s">
        <v>60</v>
      </c>
      <c r="G154" s="237" t="s">
        <v>1145</v>
      </c>
      <c r="H154" s="243" t="s">
        <v>3</v>
      </c>
      <c r="I154" s="243"/>
      <c r="J154" s="235" t="s">
        <v>620</v>
      </c>
      <c r="K154" s="240" t="s">
        <v>123</v>
      </c>
      <c r="L154" s="237"/>
      <c r="M154" s="246" t="s">
        <v>228</v>
      </c>
      <c r="N154" s="237"/>
      <c r="O154" s="237"/>
      <c r="P154" s="237"/>
      <c r="Q154" s="245">
        <v>45631</v>
      </c>
      <c r="R154" s="237" t="s">
        <v>309</v>
      </c>
      <c r="S154" s="331" t="s">
        <v>233</v>
      </c>
      <c r="T154" s="237" t="s">
        <v>228</v>
      </c>
      <c r="U154" s="237" t="s">
        <v>234</v>
      </c>
      <c r="V154" s="237" t="s">
        <v>473</v>
      </c>
      <c r="W154" s="245">
        <v>45768</v>
      </c>
      <c r="X154" s="237" t="s">
        <v>1146</v>
      </c>
      <c r="Y154" s="237" t="s">
        <v>237</v>
      </c>
      <c r="Z154" s="237" t="s">
        <v>237</v>
      </c>
      <c r="AA154" s="237" t="s">
        <v>1147</v>
      </c>
      <c r="AB154" s="237" t="s">
        <v>228</v>
      </c>
      <c r="AC154" s="237" t="s">
        <v>228</v>
      </c>
    </row>
    <row r="155" spans="1:29" ht="13.5" customHeight="1">
      <c r="A155" s="235">
        <v>153</v>
      </c>
      <c r="B155" s="237">
        <v>22</v>
      </c>
      <c r="C155" s="243" t="s">
        <v>1148</v>
      </c>
      <c r="D155" s="237" t="s">
        <v>1149</v>
      </c>
      <c r="E155" s="237">
        <v>53</v>
      </c>
      <c r="F155" s="237" t="s">
        <v>75</v>
      </c>
      <c r="G155" s="237" t="s">
        <v>1150</v>
      </c>
      <c r="H155" s="243" t="s">
        <v>3</v>
      </c>
      <c r="I155" s="243"/>
      <c r="J155" s="235" t="s">
        <v>620</v>
      </c>
      <c r="K155" s="240" t="s">
        <v>1151</v>
      </c>
      <c r="L155" s="237"/>
      <c r="M155" s="246" t="s">
        <v>228</v>
      </c>
      <c r="N155" s="237"/>
      <c r="O155" s="237"/>
      <c r="P155" s="237"/>
      <c r="Q155" s="245">
        <v>45632</v>
      </c>
      <c r="R155" s="237" t="s">
        <v>309</v>
      </c>
      <c r="S155" s="331" t="s">
        <v>233</v>
      </c>
      <c r="T155" s="237" t="s">
        <v>228</v>
      </c>
      <c r="U155" s="237" t="s">
        <v>234</v>
      </c>
      <c r="V155" s="237" t="s">
        <v>473</v>
      </c>
      <c r="W155" s="245">
        <v>45768</v>
      </c>
      <c r="X155" s="237" t="s">
        <v>1152</v>
      </c>
      <c r="Y155" s="237" t="s">
        <v>237</v>
      </c>
      <c r="Z155" s="237" t="s">
        <v>237</v>
      </c>
      <c r="AA155" s="237" t="s">
        <v>1153</v>
      </c>
      <c r="AB155" s="237" t="s">
        <v>228</v>
      </c>
      <c r="AC155" s="237" t="s">
        <v>228</v>
      </c>
    </row>
    <row r="156" spans="1:29" ht="13.5" customHeight="1">
      <c r="A156" s="235">
        <v>154</v>
      </c>
      <c r="B156" s="237">
        <v>23</v>
      </c>
      <c r="C156" s="243" t="s">
        <v>1154</v>
      </c>
      <c r="D156" s="237" t="s">
        <v>1155</v>
      </c>
      <c r="E156" s="237">
        <v>68</v>
      </c>
      <c r="F156" s="237" t="s">
        <v>75</v>
      </c>
      <c r="G156" s="237" t="s">
        <v>1156</v>
      </c>
      <c r="H156" s="243" t="s">
        <v>3</v>
      </c>
      <c r="I156" s="243"/>
      <c r="J156" s="235" t="s">
        <v>620</v>
      </c>
      <c r="K156" s="240" t="s">
        <v>1157</v>
      </c>
      <c r="L156" s="237"/>
      <c r="M156" s="246" t="s">
        <v>228</v>
      </c>
      <c r="N156" s="237"/>
      <c r="O156" s="237"/>
      <c r="P156" s="237"/>
      <c r="Q156" s="245">
        <v>45636</v>
      </c>
      <c r="R156" s="237" t="s">
        <v>309</v>
      </c>
      <c r="S156" s="331" t="s">
        <v>233</v>
      </c>
      <c r="T156" s="237" t="s">
        <v>228</v>
      </c>
      <c r="U156" s="237" t="s">
        <v>234</v>
      </c>
      <c r="V156" s="237" t="s">
        <v>473</v>
      </c>
      <c r="W156" s="245">
        <v>45768</v>
      </c>
      <c r="X156" s="237" t="s">
        <v>1158</v>
      </c>
      <c r="Y156" s="237" t="s">
        <v>237</v>
      </c>
      <c r="Z156" s="237" t="s">
        <v>237</v>
      </c>
      <c r="AA156" s="237" t="s">
        <v>1159</v>
      </c>
      <c r="AB156" s="237" t="s">
        <v>228</v>
      </c>
      <c r="AC156" s="237" t="s">
        <v>228</v>
      </c>
    </row>
    <row r="157" spans="1:29" ht="13.5" customHeight="1">
      <c r="A157" s="235">
        <v>155</v>
      </c>
      <c r="B157" s="237">
        <v>24</v>
      </c>
      <c r="C157" s="243" t="s">
        <v>1160</v>
      </c>
      <c r="D157" s="237" t="s">
        <v>1161</v>
      </c>
      <c r="E157" s="237">
        <v>56</v>
      </c>
      <c r="F157" s="237" t="s">
        <v>60</v>
      </c>
      <c r="G157" s="237" t="s">
        <v>1162</v>
      </c>
      <c r="H157" s="243" t="s">
        <v>3</v>
      </c>
      <c r="I157" s="243"/>
      <c r="J157" s="235" t="s">
        <v>620</v>
      </c>
      <c r="K157" s="240" t="s">
        <v>948</v>
      </c>
      <c r="L157" s="237"/>
      <c r="M157" s="246" t="s">
        <v>228</v>
      </c>
      <c r="N157" s="237"/>
      <c r="O157" s="237"/>
      <c r="P157" s="237"/>
      <c r="Q157" s="245">
        <v>45637</v>
      </c>
      <c r="R157" s="237" t="s">
        <v>309</v>
      </c>
      <c r="S157" s="331" t="s">
        <v>233</v>
      </c>
      <c r="T157" s="237" t="s">
        <v>228</v>
      </c>
      <c r="U157" s="237" t="s">
        <v>234</v>
      </c>
      <c r="V157" s="237" t="s">
        <v>473</v>
      </c>
      <c r="W157" s="245">
        <v>45768</v>
      </c>
      <c r="X157" s="237" t="s">
        <v>1163</v>
      </c>
      <c r="Y157" s="237" t="s">
        <v>237</v>
      </c>
      <c r="Z157" s="237" t="s">
        <v>237</v>
      </c>
      <c r="AA157" s="237" t="s">
        <v>1164</v>
      </c>
      <c r="AB157" s="237" t="s">
        <v>228</v>
      </c>
      <c r="AC157" s="237" t="s">
        <v>228</v>
      </c>
    </row>
    <row r="158" spans="1:29" ht="13.5" customHeight="1">
      <c r="A158" s="235">
        <v>156</v>
      </c>
      <c r="B158" s="237">
        <v>25</v>
      </c>
      <c r="C158" s="243" t="s">
        <v>1165</v>
      </c>
      <c r="D158" s="237" t="s">
        <v>1166</v>
      </c>
      <c r="E158" s="237">
        <v>64</v>
      </c>
      <c r="F158" s="237" t="s">
        <v>60</v>
      </c>
      <c r="G158" s="237" t="s">
        <v>1167</v>
      </c>
      <c r="H158" s="243" t="s">
        <v>3</v>
      </c>
      <c r="I158" s="243"/>
      <c r="J158" s="235" t="s">
        <v>620</v>
      </c>
      <c r="K158" s="240" t="s">
        <v>903</v>
      </c>
      <c r="L158" s="237"/>
      <c r="M158" s="246" t="s">
        <v>228</v>
      </c>
      <c r="N158" s="237"/>
      <c r="O158" s="237"/>
      <c r="P158" s="237"/>
      <c r="Q158" s="245">
        <v>45637</v>
      </c>
      <c r="R158" s="237" t="s">
        <v>309</v>
      </c>
      <c r="S158" s="331" t="s">
        <v>233</v>
      </c>
      <c r="T158" s="237" t="s">
        <v>228</v>
      </c>
      <c r="U158" s="237" t="s">
        <v>234</v>
      </c>
      <c r="V158" s="237" t="s">
        <v>473</v>
      </c>
      <c r="W158" s="245">
        <v>45768</v>
      </c>
      <c r="X158" s="237" t="s">
        <v>1168</v>
      </c>
      <c r="Y158" s="237" t="s">
        <v>237</v>
      </c>
      <c r="Z158" s="237" t="s">
        <v>237</v>
      </c>
      <c r="AA158" s="237" t="s">
        <v>1169</v>
      </c>
      <c r="AB158" s="237" t="s">
        <v>228</v>
      </c>
      <c r="AC158" s="237" t="s">
        <v>228</v>
      </c>
    </row>
    <row r="159" spans="1:29" ht="13.5" customHeight="1">
      <c r="A159" s="235">
        <v>157</v>
      </c>
      <c r="B159" s="237">
        <v>26</v>
      </c>
      <c r="C159" s="243" t="s">
        <v>1170</v>
      </c>
      <c r="D159" s="237" t="s">
        <v>1171</v>
      </c>
      <c r="E159" s="237">
        <v>60</v>
      </c>
      <c r="F159" s="237" t="s">
        <v>60</v>
      </c>
      <c r="G159" s="237" t="s">
        <v>1172</v>
      </c>
      <c r="H159" s="243" t="s">
        <v>3</v>
      </c>
      <c r="I159" s="243"/>
      <c r="J159" s="235" t="s">
        <v>620</v>
      </c>
      <c r="K159" s="240" t="s">
        <v>903</v>
      </c>
      <c r="L159" s="237"/>
      <c r="M159" s="246" t="s">
        <v>228</v>
      </c>
      <c r="N159" s="237"/>
      <c r="O159" s="237"/>
      <c r="P159" s="237"/>
      <c r="Q159" s="245">
        <v>45638</v>
      </c>
      <c r="R159" s="237" t="s">
        <v>309</v>
      </c>
      <c r="S159" s="331" t="s">
        <v>233</v>
      </c>
      <c r="T159" s="237" t="s">
        <v>228</v>
      </c>
      <c r="U159" s="237" t="s">
        <v>234</v>
      </c>
      <c r="V159" s="237" t="s">
        <v>473</v>
      </c>
      <c r="W159" s="245">
        <v>45768</v>
      </c>
      <c r="X159" s="237" t="s">
        <v>1173</v>
      </c>
      <c r="Y159" s="237" t="s">
        <v>237</v>
      </c>
      <c r="Z159" s="237" t="s">
        <v>237</v>
      </c>
      <c r="AA159" s="237" t="s">
        <v>1174</v>
      </c>
      <c r="AB159" s="237" t="s">
        <v>228</v>
      </c>
      <c r="AC159" s="237" t="s">
        <v>228</v>
      </c>
    </row>
    <row r="160" spans="1:29" ht="13.5" customHeight="1">
      <c r="A160" s="235">
        <v>158</v>
      </c>
      <c r="B160" s="237">
        <v>27</v>
      </c>
      <c r="C160" s="243" t="s">
        <v>1175</v>
      </c>
      <c r="D160" s="237" t="s">
        <v>1176</v>
      </c>
      <c r="E160" s="237">
        <v>61</v>
      </c>
      <c r="F160" s="237" t="s">
        <v>60</v>
      </c>
      <c r="G160" s="237" t="s">
        <v>1177</v>
      </c>
      <c r="H160" s="243" t="s">
        <v>3</v>
      </c>
      <c r="I160" s="243"/>
      <c r="J160" s="235" t="s">
        <v>620</v>
      </c>
      <c r="K160" s="240" t="s">
        <v>948</v>
      </c>
      <c r="L160" s="237"/>
      <c r="M160" s="246" t="s">
        <v>228</v>
      </c>
      <c r="N160" s="237"/>
      <c r="O160" s="237"/>
      <c r="P160" s="237"/>
      <c r="Q160" s="245">
        <v>45642</v>
      </c>
      <c r="R160" s="237" t="s">
        <v>309</v>
      </c>
      <c r="S160" s="331" t="s">
        <v>233</v>
      </c>
      <c r="T160" s="237" t="s">
        <v>228</v>
      </c>
      <c r="U160" s="237" t="s">
        <v>234</v>
      </c>
      <c r="V160" s="237" t="s">
        <v>473</v>
      </c>
      <c r="W160" s="245">
        <v>45768</v>
      </c>
      <c r="X160" s="237" t="s">
        <v>1178</v>
      </c>
      <c r="Y160" s="237" t="s">
        <v>237</v>
      </c>
      <c r="Z160" s="237" t="s">
        <v>237</v>
      </c>
      <c r="AA160" s="237" t="s">
        <v>1179</v>
      </c>
      <c r="AB160" s="237" t="s">
        <v>228</v>
      </c>
      <c r="AC160" s="237" t="s">
        <v>228</v>
      </c>
    </row>
    <row r="161" spans="1:39" ht="13.5" customHeight="1">
      <c r="A161" s="235">
        <v>159</v>
      </c>
      <c r="B161" s="237">
        <v>28</v>
      </c>
      <c r="C161" s="243" t="s">
        <v>1180</v>
      </c>
      <c r="D161" s="237" t="s">
        <v>1181</v>
      </c>
      <c r="E161" s="237">
        <v>70</v>
      </c>
      <c r="F161" s="237" t="s">
        <v>75</v>
      </c>
      <c r="G161" s="237" t="s">
        <v>1182</v>
      </c>
      <c r="H161" s="243" t="s">
        <v>3</v>
      </c>
      <c r="I161" s="243"/>
      <c r="J161" s="235" t="s">
        <v>620</v>
      </c>
      <c r="K161" s="240" t="s">
        <v>1183</v>
      </c>
      <c r="L161" s="237"/>
      <c r="M161" s="246" t="s">
        <v>228</v>
      </c>
      <c r="N161" s="237"/>
      <c r="O161" s="237"/>
      <c r="P161" s="237"/>
      <c r="Q161" s="245">
        <v>45643</v>
      </c>
      <c r="R161" s="237" t="s">
        <v>309</v>
      </c>
      <c r="S161" s="331" t="s">
        <v>233</v>
      </c>
      <c r="T161" s="237" t="s">
        <v>228</v>
      </c>
      <c r="U161" s="237" t="s">
        <v>234</v>
      </c>
      <c r="V161" s="237" t="s">
        <v>473</v>
      </c>
      <c r="W161" s="245">
        <v>45768</v>
      </c>
      <c r="X161" s="237" t="s">
        <v>1184</v>
      </c>
      <c r="Y161" s="237" t="s">
        <v>237</v>
      </c>
      <c r="Z161" s="237" t="s">
        <v>237</v>
      </c>
      <c r="AA161" s="237" t="s">
        <v>1185</v>
      </c>
      <c r="AB161" s="237" t="s">
        <v>228</v>
      </c>
      <c r="AC161" s="237" t="s">
        <v>228</v>
      </c>
    </row>
    <row r="162" spans="1:39" ht="13.5" customHeight="1">
      <c r="A162" s="235">
        <v>160</v>
      </c>
      <c r="B162" s="237">
        <v>29</v>
      </c>
      <c r="C162" s="243" t="s">
        <v>1186</v>
      </c>
      <c r="D162" s="237" t="s">
        <v>1187</v>
      </c>
      <c r="E162" s="237">
        <v>62</v>
      </c>
      <c r="F162" s="237" t="s">
        <v>75</v>
      </c>
      <c r="G162" s="237" t="s">
        <v>1188</v>
      </c>
      <c r="H162" s="243" t="s">
        <v>3</v>
      </c>
      <c r="I162" s="243"/>
      <c r="J162" s="235" t="s">
        <v>620</v>
      </c>
      <c r="K162" s="240" t="s">
        <v>1189</v>
      </c>
      <c r="L162" s="237"/>
      <c r="M162" s="246" t="s">
        <v>228</v>
      </c>
      <c r="N162" s="237"/>
      <c r="O162" s="237"/>
      <c r="P162" s="237"/>
      <c r="Q162" s="245">
        <v>45643</v>
      </c>
      <c r="R162" s="237" t="s">
        <v>309</v>
      </c>
      <c r="S162" s="331" t="s">
        <v>233</v>
      </c>
      <c r="T162" s="237" t="s">
        <v>228</v>
      </c>
      <c r="U162" s="237" t="s">
        <v>234</v>
      </c>
      <c r="V162" s="237" t="s">
        <v>473</v>
      </c>
      <c r="W162" s="245">
        <v>45768</v>
      </c>
      <c r="X162" s="237" t="s">
        <v>1191</v>
      </c>
      <c r="Y162" s="237" t="s">
        <v>237</v>
      </c>
      <c r="Z162" s="237" t="s">
        <v>237</v>
      </c>
      <c r="AA162" s="237" t="s">
        <v>1192</v>
      </c>
      <c r="AB162" s="237" t="s">
        <v>228</v>
      </c>
      <c r="AC162" s="237" t="s">
        <v>228</v>
      </c>
    </row>
    <row r="163" spans="1:39" ht="13.5" customHeight="1">
      <c r="A163" s="235">
        <v>161</v>
      </c>
      <c r="B163" s="237">
        <v>21</v>
      </c>
      <c r="C163" s="243" t="s">
        <v>1193</v>
      </c>
      <c r="D163" s="237" t="s">
        <v>1194</v>
      </c>
      <c r="E163" s="237">
        <v>68</v>
      </c>
      <c r="F163" s="237" t="s">
        <v>75</v>
      </c>
      <c r="G163" s="237" t="s">
        <v>1195</v>
      </c>
      <c r="H163" s="243" t="s">
        <v>3</v>
      </c>
      <c r="I163" s="243"/>
      <c r="J163" s="235" t="s">
        <v>620</v>
      </c>
      <c r="K163" s="240" t="s">
        <v>87</v>
      </c>
      <c r="L163" s="237"/>
      <c r="M163" s="246" t="s">
        <v>228</v>
      </c>
      <c r="N163" s="237"/>
      <c r="O163" s="237"/>
      <c r="P163" s="237"/>
      <c r="Q163" s="245">
        <v>45645</v>
      </c>
      <c r="R163" s="237" t="s">
        <v>309</v>
      </c>
      <c r="S163" s="331" t="s">
        <v>233</v>
      </c>
      <c r="T163" s="237" t="s">
        <v>228</v>
      </c>
      <c r="U163" s="237" t="s">
        <v>234</v>
      </c>
      <c r="V163" s="237" t="s">
        <v>473</v>
      </c>
      <c r="W163" s="245">
        <v>45768</v>
      </c>
      <c r="X163" s="237" t="s">
        <v>1196</v>
      </c>
      <c r="Y163" s="237" t="s">
        <v>237</v>
      </c>
      <c r="Z163" s="237" t="s">
        <v>237</v>
      </c>
      <c r="AA163" s="237" t="s">
        <v>1197</v>
      </c>
      <c r="AB163" s="237" t="s">
        <v>228</v>
      </c>
      <c r="AC163" s="237" t="s">
        <v>228</v>
      </c>
    </row>
    <row r="164" spans="1:39" ht="13.5" customHeight="1">
      <c r="A164" s="235">
        <v>162</v>
      </c>
      <c r="B164" s="237">
        <v>212</v>
      </c>
      <c r="C164" s="243" t="s">
        <v>1198</v>
      </c>
      <c r="D164" s="237" t="s">
        <v>1199</v>
      </c>
      <c r="E164" s="237">
        <v>52</v>
      </c>
      <c r="F164" s="237" t="s">
        <v>75</v>
      </c>
      <c r="G164" s="237" t="s">
        <v>1200</v>
      </c>
      <c r="H164" s="243" t="s">
        <v>3</v>
      </c>
      <c r="I164" s="243"/>
      <c r="J164" s="235" t="s">
        <v>620</v>
      </c>
      <c r="K164" s="240" t="s">
        <v>1201</v>
      </c>
      <c r="L164" s="237"/>
      <c r="M164" s="246" t="s">
        <v>228</v>
      </c>
      <c r="N164" s="237"/>
      <c r="O164" s="237"/>
      <c r="P164" s="237"/>
      <c r="Q164" s="245">
        <v>45653</v>
      </c>
      <c r="R164" s="237" t="s">
        <v>309</v>
      </c>
      <c r="S164" s="331" t="s">
        <v>233</v>
      </c>
      <c r="T164" s="237" t="s">
        <v>228</v>
      </c>
      <c r="U164" s="237" t="s">
        <v>234</v>
      </c>
      <c r="V164" s="237" t="s">
        <v>473</v>
      </c>
      <c r="W164" s="245">
        <v>45768</v>
      </c>
      <c r="X164" s="237" t="s">
        <v>1202</v>
      </c>
      <c r="Y164" s="237" t="s">
        <v>237</v>
      </c>
      <c r="Z164" s="237" t="s">
        <v>237</v>
      </c>
      <c r="AA164" s="237" t="s">
        <v>1203</v>
      </c>
      <c r="AB164" s="237" t="s">
        <v>228</v>
      </c>
      <c r="AC164" s="237" t="s">
        <v>228</v>
      </c>
    </row>
    <row r="165" spans="1:39" ht="13.5" customHeight="1">
      <c r="A165" s="235">
        <v>163</v>
      </c>
      <c r="B165" s="237">
        <v>213</v>
      </c>
      <c r="C165" s="243" t="s">
        <v>1204</v>
      </c>
      <c r="D165" s="237" t="s">
        <v>1205</v>
      </c>
      <c r="E165" s="237">
        <v>65</v>
      </c>
      <c r="F165" s="237" t="s">
        <v>75</v>
      </c>
      <c r="G165" s="237" t="s">
        <v>1206</v>
      </c>
      <c r="H165" s="243" t="s">
        <v>3</v>
      </c>
      <c r="I165" s="243"/>
      <c r="J165" s="235" t="s">
        <v>620</v>
      </c>
      <c r="K165" s="240" t="s">
        <v>940</v>
      </c>
      <c r="L165" s="237"/>
      <c r="M165" s="246" t="s">
        <v>228</v>
      </c>
      <c r="N165" s="237"/>
      <c r="O165" s="237"/>
      <c r="P165" s="237"/>
      <c r="Q165" s="245">
        <v>45653</v>
      </c>
      <c r="R165" s="237" t="s">
        <v>309</v>
      </c>
      <c r="S165" s="331" t="s">
        <v>233</v>
      </c>
      <c r="T165" s="237" t="s">
        <v>228</v>
      </c>
      <c r="U165" s="237" t="s">
        <v>234</v>
      </c>
      <c r="V165" s="237" t="s">
        <v>473</v>
      </c>
      <c r="W165" s="245">
        <v>45768</v>
      </c>
      <c r="X165" s="237" t="s">
        <v>1207</v>
      </c>
      <c r="Y165" s="237" t="s">
        <v>237</v>
      </c>
      <c r="Z165" s="237" t="s">
        <v>228</v>
      </c>
      <c r="AA165" s="237" t="s">
        <v>1208</v>
      </c>
      <c r="AB165" s="237" t="s">
        <v>228</v>
      </c>
      <c r="AC165" s="237" t="s">
        <v>228</v>
      </c>
    </row>
    <row r="166" spans="1:39" ht="13.5" customHeight="1">
      <c r="A166" s="235">
        <v>164</v>
      </c>
      <c r="B166" s="237">
        <v>214</v>
      </c>
      <c r="C166" s="243" t="s">
        <v>1209</v>
      </c>
      <c r="D166" s="237" t="s">
        <v>1210</v>
      </c>
      <c r="E166" s="237">
        <v>45</v>
      </c>
      <c r="F166" s="237" t="s">
        <v>75</v>
      </c>
      <c r="G166" s="237" t="s">
        <v>1211</v>
      </c>
      <c r="H166" s="243" t="s">
        <v>3</v>
      </c>
      <c r="I166" s="243"/>
      <c r="J166" s="235" t="s">
        <v>620</v>
      </c>
      <c r="K166" s="240" t="s">
        <v>986</v>
      </c>
      <c r="L166" s="237"/>
      <c r="M166" s="246" t="s">
        <v>228</v>
      </c>
      <c r="N166" s="237"/>
      <c r="O166" s="237"/>
      <c r="P166" s="237"/>
      <c r="Q166" s="245">
        <v>45653</v>
      </c>
      <c r="R166" s="237" t="s">
        <v>309</v>
      </c>
      <c r="S166" s="331" t="s">
        <v>233</v>
      </c>
      <c r="T166" s="237" t="s">
        <v>228</v>
      </c>
      <c r="U166" s="237" t="s">
        <v>234</v>
      </c>
      <c r="V166" s="237" t="s">
        <v>473</v>
      </c>
      <c r="W166" s="245">
        <v>45768</v>
      </c>
      <c r="X166" s="237" t="s">
        <v>1212</v>
      </c>
      <c r="Y166" s="237" t="s">
        <v>237</v>
      </c>
      <c r="Z166" s="237" t="s">
        <v>237</v>
      </c>
      <c r="AA166" s="237" t="s">
        <v>1213</v>
      </c>
      <c r="AB166" s="237" t="s">
        <v>228</v>
      </c>
      <c r="AC166" s="237" t="s">
        <v>228</v>
      </c>
    </row>
    <row r="167" spans="1:39" ht="13.5" customHeight="1">
      <c r="A167" s="235">
        <v>165</v>
      </c>
      <c r="B167" s="237" t="s">
        <v>1214</v>
      </c>
      <c r="C167" s="243" t="s">
        <v>1215</v>
      </c>
      <c r="D167" s="237" t="s">
        <v>1216</v>
      </c>
      <c r="E167" s="237">
        <v>78</v>
      </c>
      <c r="F167" s="237" t="s">
        <v>60</v>
      </c>
      <c r="G167" s="237" t="s">
        <v>1217</v>
      </c>
      <c r="H167" s="243" t="s">
        <v>3</v>
      </c>
      <c r="I167" s="243"/>
      <c r="J167" s="240" t="s">
        <v>886</v>
      </c>
      <c r="K167" s="240" t="s">
        <v>1135</v>
      </c>
      <c r="L167" s="237"/>
      <c r="M167" s="246" t="s">
        <v>228</v>
      </c>
      <c r="N167" s="237"/>
      <c r="O167" s="237"/>
      <c r="P167" s="237"/>
      <c r="Q167" s="245">
        <v>45658</v>
      </c>
      <c r="R167" s="237" t="s">
        <v>309</v>
      </c>
      <c r="S167" s="331" t="s">
        <v>233</v>
      </c>
      <c r="T167" s="237" t="s">
        <v>228</v>
      </c>
      <c r="U167" s="237" t="s">
        <v>234</v>
      </c>
      <c r="V167" s="237" t="s">
        <v>473</v>
      </c>
      <c r="W167" s="245">
        <v>45817</v>
      </c>
      <c r="X167" s="237" t="s">
        <v>1184</v>
      </c>
      <c r="Y167" s="237" t="s">
        <v>237</v>
      </c>
      <c r="Z167" s="237" t="s">
        <v>228</v>
      </c>
      <c r="AA167" s="237" t="s">
        <v>1218</v>
      </c>
      <c r="AB167" s="237" t="s">
        <v>228</v>
      </c>
      <c r="AC167" s="237" t="s">
        <v>228</v>
      </c>
    </row>
    <row r="168" spans="1:39" s="306" customFormat="1" ht="13.5" customHeight="1">
      <c r="A168" s="235">
        <v>166</v>
      </c>
      <c r="B168" s="264" t="s">
        <v>1219</v>
      </c>
      <c r="C168" s="289" t="s">
        <v>1220</v>
      </c>
      <c r="D168" s="264" t="s">
        <v>1221</v>
      </c>
      <c r="E168" s="264">
        <v>32</v>
      </c>
      <c r="F168" s="264" t="s">
        <v>75</v>
      </c>
      <c r="G168" s="264" t="s">
        <v>1222</v>
      </c>
      <c r="H168" s="289" t="s">
        <v>3</v>
      </c>
      <c r="I168" s="289"/>
      <c r="J168" s="306" t="s">
        <v>433</v>
      </c>
      <c r="K168" s="289" t="s">
        <v>132</v>
      </c>
      <c r="L168" s="264"/>
      <c r="M168" s="313" t="s">
        <v>228</v>
      </c>
      <c r="N168" s="264"/>
      <c r="O168" s="264"/>
      <c r="P168" s="264"/>
      <c r="Q168" s="314">
        <v>45720</v>
      </c>
      <c r="R168" s="264" t="s">
        <v>309</v>
      </c>
      <c r="S168" s="332" t="s">
        <v>233</v>
      </c>
      <c r="T168" s="264" t="s">
        <v>228</v>
      </c>
      <c r="U168" s="264" t="s">
        <v>234</v>
      </c>
      <c r="V168" s="264" t="s">
        <v>473</v>
      </c>
      <c r="W168" s="314">
        <v>45747</v>
      </c>
      <c r="X168" s="264" t="s">
        <v>1223</v>
      </c>
      <c r="Y168" s="264" t="s">
        <v>237</v>
      </c>
      <c r="Z168" s="237" t="s">
        <v>228</v>
      </c>
      <c r="AA168" s="264" t="s">
        <v>1224</v>
      </c>
      <c r="AB168" s="264" t="s">
        <v>228</v>
      </c>
      <c r="AC168" s="264" t="s">
        <v>228</v>
      </c>
      <c r="AD168" s="309"/>
      <c r="AE168" s="309"/>
      <c r="AF168" s="309"/>
      <c r="AG168" s="309"/>
      <c r="AH168" s="309"/>
      <c r="AI168" s="309"/>
      <c r="AJ168" s="309"/>
      <c r="AK168" s="309"/>
      <c r="AL168" s="309"/>
      <c r="AM168" s="310"/>
    </row>
    <row r="169" spans="1:39" ht="13.5" customHeight="1">
      <c r="A169" s="235">
        <v>167</v>
      </c>
      <c r="B169" s="237">
        <v>44</v>
      </c>
      <c r="C169" s="255" t="s">
        <v>1225</v>
      </c>
      <c r="D169" s="237" t="s">
        <v>1226</v>
      </c>
      <c r="E169" s="237">
        <v>47</v>
      </c>
      <c r="F169" s="237" t="s">
        <v>75</v>
      </c>
      <c r="G169" s="237" t="s">
        <v>1227</v>
      </c>
      <c r="H169" s="243" t="s">
        <v>3</v>
      </c>
      <c r="I169" s="243"/>
      <c r="J169" s="235" t="s">
        <v>620</v>
      </c>
      <c r="K169" s="240" t="s">
        <v>1228</v>
      </c>
      <c r="L169" s="237"/>
      <c r="M169" s="243" t="s">
        <v>231</v>
      </c>
      <c r="N169" s="237"/>
      <c r="O169" s="237"/>
      <c r="P169" s="237"/>
      <c r="Q169" s="245">
        <v>45629</v>
      </c>
      <c r="R169" s="237" t="s">
        <v>309</v>
      </c>
      <c r="S169" s="331" t="s">
        <v>233</v>
      </c>
      <c r="T169" s="237" t="s">
        <v>228</v>
      </c>
      <c r="U169" s="237" t="s">
        <v>234</v>
      </c>
      <c r="V169" s="237" t="s">
        <v>473</v>
      </c>
      <c r="W169" s="245">
        <v>45933</v>
      </c>
      <c r="X169" s="237" t="s">
        <v>1229</v>
      </c>
      <c r="Y169" s="237" t="s">
        <v>237</v>
      </c>
      <c r="Z169" s="237" t="s">
        <v>237</v>
      </c>
      <c r="AA169" s="237" t="s">
        <v>1230</v>
      </c>
      <c r="AB169" s="237" t="s">
        <v>228</v>
      </c>
      <c r="AC169" s="237" t="s">
        <v>228</v>
      </c>
    </row>
    <row r="170" spans="1:39" ht="13.5" customHeight="1">
      <c r="A170" s="235">
        <v>168</v>
      </c>
      <c r="B170" s="237">
        <v>46</v>
      </c>
      <c r="C170" s="255" t="s">
        <v>1231</v>
      </c>
      <c r="D170" s="237" t="s">
        <v>1232</v>
      </c>
      <c r="E170" s="237">
        <v>52</v>
      </c>
      <c r="F170" s="237" t="s">
        <v>75</v>
      </c>
      <c r="G170" s="237" t="s">
        <v>1233</v>
      </c>
      <c r="H170" s="243" t="s">
        <v>3</v>
      </c>
      <c r="I170" s="243"/>
      <c r="J170" s="235" t="s">
        <v>620</v>
      </c>
      <c r="K170" s="240" t="s">
        <v>57</v>
      </c>
      <c r="L170" s="237"/>
      <c r="M170" s="243" t="s">
        <v>231</v>
      </c>
      <c r="N170" s="237"/>
      <c r="O170" s="237"/>
      <c r="P170" s="237"/>
      <c r="Q170" s="245">
        <v>45632</v>
      </c>
      <c r="R170" s="237" t="s">
        <v>309</v>
      </c>
      <c r="S170" s="331" t="s">
        <v>233</v>
      </c>
      <c r="T170" s="237" t="s">
        <v>228</v>
      </c>
      <c r="U170" s="237" t="s">
        <v>234</v>
      </c>
      <c r="V170" s="237" t="s">
        <v>473</v>
      </c>
      <c r="W170" s="245">
        <v>45933</v>
      </c>
      <c r="X170" s="237" t="s">
        <v>1234</v>
      </c>
      <c r="Y170" s="237" t="s">
        <v>237</v>
      </c>
      <c r="Z170" s="237" t="s">
        <v>237</v>
      </c>
      <c r="AA170" s="237" t="s">
        <v>1235</v>
      </c>
      <c r="AB170" s="237" t="s">
        <v>228</v>
      </c>
      <c r="AC170" s="237" t="s">
        <v>228</v>
      </c>
    </row>
    <row r="171" spans="1:39" ht="13.5" customHeight="1">
      <c r="A171" s="235">
        <v>169</v>
      </c>
      <c r="B171" s="237">
        <v>47</v>
      </c>
      <c r="C171" s="255" t="s">
        <v>1236</v>
      </c>
      <c r="D171" s="237" t="s">
        <v>1237</v>
      </c>
      <c r="E171" s="237">
        <v>91</v>
      </c>
      <c r="F171" s="237" t="s">
        <v>60</v>
      </c>
      <c r="G171" s="237" t="s">
        <v>1238</v>
      </c>
      <c r="H171" s="243" t="s">
        <v>3</v>
      </c>
      <c r="I171" s="243"/>
      <c r="J171" s="235" t="s">
        <v>620</v>
      </c>
      <c r="K171" s="240" t="s">
        <v>1239</v>
      </c>
      <c r="L171" s="237"/>
      <c r="M171" s="243" t="s">
        <v>231</v>
      </c>
      <c r="N171" s="237"/>
      <c r="O171" s="237"/>
      <c r="P171" s="237"/>
      <c r="Q171" s="245">
        <v>45642</v>
      </c>
      <c r="R171" s="237" t="s">
        <v>309</v>
      </c>
      <c r="S171" s="331" t="s">
        <v>233</v>
      </c>
      <c r="T171" s="237" t="s">
        <v>228</v>
      </c>
      <c r="U171" s="237" t="s">
        <v>234</v>
      </c>
      <c r="V171" s="237" t="s">
        <v>473</v>
      </c>
      <c r="W171" s="245">
        <v>45933</v>
      </c>
      <c r="X171" s="237" t="s">
        <v>1240</v>
      </c>
      <c r="Y171" s="237" t="s">
        <v>237</v>
      </c>
      <c r="Z171" s="237" t="s">
        <v>237</v>
      </c>
      <c r="AA171" s="237" t="s">
        <v>1241</v>
      </c>
      <c r="AB171" s="237" t="s">
        <v>228</v>
      </c>
      <c r="AC171" s="237" t="s">
        <v>228</v>
      </c>
    </row>
    <row r="172" spans="1:39" ht="13.5" customHeight="1">
      <c r="A172" s="235">
        <v>170</v>
      </c>
      <c r="B172" s="237"/>
      <c r="C172" s="243" t="s">
        <v>1242</v>
      </c>
      <c r="D172" s="237" t="s">
        <v>1243</v>
      </c>
      <c r="E172" s="237">
        <v>68</v>
      </c>
      <c r="F172" s="237" t="s">
        <v>424</v>
      </c>
      <c r="G172" s="237" t="s">
        <v>1244</v>
      </c>
      <c r="H172" s="243" t="s">
        <v>3</v>
      </c>
      <c r="I172" s="243"/>
      <c r="J172" s="240" t="s">
        <v>886</v>
      </c>
      <c r="K172" s="240" t="s">
        <v>1245</v>
      </c>
      <c r="L172" s="237"/>
      <c r="M172" s="243" t="s">
        <v>231</v>
      </c>
      <c r="N172" s="237"/>
      <c r="O172" s="237"/>
      <c r="P172" s="237"/>
      <c r="Q172" s="245">
        <v>44981</v>
      </c>
      <c r="R172" s="237" t="s">
        <v>309</v>
      </c>
      <c r="S172" s="331" t="s">
        <v>233</v>
      </c>
      <c r="T172" s="237" t="s">
        <v>228</v>
      </c>
      <c r="U172" s="237" t="s">
        <v>234</v>
      </c>
      <c r="V172" s="237" t="s">
        <v>652</v>
      </c>
      <c r="W172" s="245">
        <v>45947</v>
      </c>
      <c r="X172" s="237" t="s">
        <v>1246</v>
      </c>
      <c r="Y172" s="237" t="s">
        <v>237</v>
      </c>
      <c r="Z172" s="237" t="s">
        <v>228</v>
      </c>
      <c r="AA172" s="237" t="s">
        <v>1247</v>
      </c>
      <c r="AB172" s="237" t="s">
        <v>228</v>
      </c>
      <c r="AC172" s="237" t="s">
        <v>228</v>
      </c>
    </row>
    <row r="173" spans="1:39" ht="13.5" customHeight="1">
      <c r="A173" s="235">
        <v>171</v>
      </c>
      <c r="B173" s="237"/>
      <c r="C173" s="243" t="s">
        <v>1248</v>
      </c>
      <c r="D173" s="237" t="s">
        <v>1249</v>
      </c>
      <c r="E173" s="237">
        <v>72</v>
      </c>
      <c r="F173" s="237" t="s">
        <v>75</v>
      </c>
      <c r="G173" s="237" t="s">
        <v>1250</v>
      </c>
      <c r="H173" s="243" t="s">
        <v>3</v>
      </c>
      <c r="I173" s="243"/>
      <c r="J173" s="240" t="s">
        <v>886</v>
      </c>
      <c r="K173" s="240" t="s">
        <v>1022</v>
      </c>
      <c r="L173" s="237"/>
      <c r="M173" s="243" t="s">
        <v>231</v>
      </c>
      <c r="N173" s="237"/>
      <c r="O173" s="237"/>
      <c r="P173" s="237"/>
      <c r="Q173" s="245">
        <v>44981</v>
      </c>
      <c r="R173" s="237" t="s">
        <v>309</v>
      </c>
      <c r="S173" s="331" t="s">
        <v>233</v>
      </c>
      <c r="T173" s="237" t="s">
        <v>228</v>
      </c>
      <c r="U173" s="237" t="s">
        <v>234</v>
      </c>
      <c r="V173" s="237" t="s">
        <v>652</v>
      </c>
      <c r="W173" s="245">
        <v>45947</v>
      </c>
      <c r="X173" s="237" t="s">
        <v>1251</v>
      </c>
      <c r="Y173" s="237" t="s">
        <v>237</v>
      </c>
      <c r="Z173" s="237" t="s">
        <v>228</v>
      </c>
      <c r="AA173" s="237" t="s">
        <v>1252</v>
      </c>
      <c r="AB173" s="237" t="s">
        <v>228</v>
      </c>
      <c r="AC173" s="237" t="s">
        <v>228</v>
      </c>
    </row>
    <row r="174" spans="1:39" ht="13.5" customHeight="1">
      <c r="A174" s="235">
        <v>172</v>
      </c>
      <c r="B174" s="237"/>
      <c r="C174" s="243" t="s">
        <v>1253</v>
      </c>
      <c r="D174" s="237" t="s">
        <v>1254</v>
      </c>
      <c r="E174" s="237">
        <v>55</v>
      </c>
      <c r="F174" s="237" t="s">
        <v>424</v>
      </c>
      <c r="G174" s="237" t="s">
        <v>1255</v>
      </c>
      <c r="H174" s="243" t="s">
        <v>3</v>
      </c>
      <c r="I174" s="243"/>
      <c r="J174" s="240" t="s">
        <v>886</v>
      </c>
      <c r="K174" s="240" t="s">
        <v>1135</v>
      </c>
      <c r="L174" s="237"/>
      <c r="M174" s="243" t="s">
        <v>231</v>
      </c>
      <c r="N174" s="237"/>
      <c r="O174" s="237"/>
      <c r="P174" s="237"/>
      <c r="Q174" s="245">
        <v>44984</v>
      </c>
      <c r="R174" s="237" t="s">
        <v>309</v>
      </c>
      <c r="S174" s="331" t="s">
        <v>233</v>
      </c>
      <c r="T174" s="237" t="s">
        <v>228</v>
      </c>
      <c r="U174" s="237" t="s">
        <v>234</v>
      </c>
      <c r="V174" s="237" t="s">
        <v>652</v>
      </c>
      <c r="W174" s="245">
        <v>45947</v>
      </c>
      <c r="X174" s="237" t="s">
        <v>1256</v>
      </c>
      <c r="Y174" s="237" t="s">
        <v>237</v>
      </c>
      <c r="Z174" s="237" t="s">
        <v>228</v>
      </c>
      <c r="AA174" s="237" t="s">
        <v>1257</v>
      </c>
      <c r="AB174" s="237" t="s">
        <v>228</v>
      </c>
      <c r="AC174" s="237" t="s">
        <v>228</v>
      </c>
    </row>
    <row r="175" spans="1:39" ht="13.5" customHeight="1">
      <c r="A175" s="235">
        <v>173</v>
      </c>
      <c r="B175" s="237"/>
      <c r="C175" s="243" t="s">
        <v>1258</v>
      </c>
      <c r="D175" s="237" t="s">
        <v>1259</v>
      </c>
      <c r="E175" s="237">
        <v>69</v>
      </c>
      <c r="F175" s="237" t="s">
        <v>424</v>
      </c>
      <c r="G175" s="237" t="s">
        <v>1260</v>
      </c>
      <c r="H175" s="243" t="s">
        <v>3</v>
      </c>
      <c r="I175" s="243"/>
      <c r="J175" s="240" t="s">
        <v>886</v>
      </c>
      <c r="K175" s="240" t="s">
        <v>1245</v>
      </c>
      <c r="L175" s="237"/>
      <c r="M175" s="243" t="s">
        <v>231</v>
      </c>
      <c r="N175" s="237"/>
      <c r="O175" s="237"/>
      <c r="P175" s="237"/>
      <c r="Q175" s="245">
        <v>44984</v>
      </c>
      <c r="R175" s="237" t="s">
        <v>309</v>
      </c>
      <c r="S175" s="331" t="s">
        <v>233</v>
      </c>
      <c r="T175" s="237" t="s">
        <v>228</v>
      </c>
      <c r="U175" s="237" t="s">
        <v>234</v>
      </c>
      <c r="V175" s="237" t="s">
        <v>652</v>
      </c>
      <c r="W175" s="245">
        <v>45947</v>
      </c>
      <c r="X175" s="237" t="s">
        <v>1261</v>
      </c>
      <c r="Y175" s="237" t="s">
        <v>237</v>
      </c>
      <c r="Z175" s="237" t="s">
        <v>228</v>
      </c>
      <c r="AA175" s="237" t="s">
        <v>1262</v>
      </c>
      <c r="AB175" s="237" t="s">
        <v>228</v>
      </c>
      <c r="AC175" s="237" t="s">
        <v>228</v>
      </c>
    </row>
    <row r="176" spans="1:39" ht="13.5" customHeight="1">
      <c r="A176" s="235">
        <v>174</v>
      </c>
      <c r="B176" s="237"/>
      <c r="C176" s="243" t="s">
        <v>1263</v>
      </c>
      <c r="D176" s="237" t="s">
        <v>1264</v>
      </c>
      <c r="E176" s="237">
        <v>59</v>
      </c>
      <c r="F176" s="237" t="s">
        <v>75</v>
      </c>
      <c r="G176" s="237" t="s">
        <v>1265</v>
      </c>
      <c r="H176" s="243" t="s">
        <v>3</v>
      </c>
      <c r="I176" s="243"/>
      <c r="J176" s="240" t="s">
        <v>886</v>
      </c>
      <c r="K176" s="240" t="s">
        <v>1266</v>
      </c>
      <c r="L176" s="237"/>
      <c r="M176" s="243" t="s">
        <v>231</v>
      </c>
      <c r="N176" s="237"/>
      <c r="O176" s="237"/>
      <c r="P176" s="237"/>
      <c r="Q176" s="245">
        <v>44984</v>
      </c>
      <c r="R176" s="237" t="s">
        <v>309</v>
      </c>
      <c r="S176" s="331" t="s">
        <v>233</v>
      </c>
      <c r="T176" s="237" t="s">
        <v>228</v>
      </c>
      <c r="U176" s="237" t="s">
        <v>234</v>
      </c>
      <c r="V176" s="237" t="s">
        <v>652</v>
      </c>
      <c r="W176" s="245">
        <v>45947</v>
      </c>
      <c r="X176" s="237" t="s">
        <v>1267</v>
      </c>
      <c r="Y176" s="237" t="s">
        <v>237</v>
      </c>
      <c r="Z176" s="237" t="s">
        <v>228</v>
      </c>
      <c r="AA176" s="237" t="s">
        <v>1268</v>
      </c>
      <c r="AB176" s="237" t="s">
        <v>228</v>
      </c>
      <c r="AC176" s="237" t="s">
        <v>228</v>
      </c>
    </row>
    <row r="177" spans="1:29" ht="13.5" customHeight="1">
      <c r="A177" s="235">
        <v>175</v>
      </c>
      <c r="B177" s="237"/>
      <c r="C177" s="243" t="s">
        <v>1269</v>
      </c>
      <c r="D177" s="237" t="s">
        <v>1270</v>
      </c>
      <c r="E177" s="237">
        <v>56</v>
      </c>
      <c r="F177" s="237" t="s">
        <v>75</v>
      </c>
      <c r="G177" s="237" t="s">
        <v>1271</v>
      </c>
      <c r="H177" s="243" t="s">
        <v>3</v>
      </c>
      <c r="I177" s="243"/>
      <c r="J177" s="240" t="s">
        <v>886</v>
      </c>
      <c r="K177" s="240" t="s">
        <v>87</v>
      </c>
      <c r="L177" s="237"/>
      <c r="M177" s="243" t="s">
        <v>231</v>
      </c>
      <c r="N177" s="237"/>
      <c r="O177" s="237"/>
      <c r="P177" s="237"/>
      <c r="Q177" s="245">
        <v>44984</v>
      </c>
      <c r="R177" s="237" t="s">
        <v>309</v>
      </c>
      <c r="S177" s="331" t="s">
        <v>233</v>
      </c>
      <c r="T177" s="237" t="s">
        <v>228</v>
      </c>
      <c r="U177" s="237" t="s">
        <v>234</v>
      </c>
      <c r="V177" s="237" t="s">
        <v>652</v>
      </c>
      <c r="W177" s="245">
        <v>45947</v>
      </c>
      <c r="X177" s="237" t="s">
        <v>1272</v>
      </c>
      <c r="Y177" s="237" t="s">
        <v>237</v>
      </c>
      <c r="Z177" s="237" t="s">
        <v>228</v>
      </c>
      <c r="AA177" s="237" t="s">
        <v>1273</v>
      </c>
      <c r="AB177" s="237" t="s">
        <v>228</v>
      </c>
      <c r="AC177" s="237" t="s">
        <v>228</v>
      </c>
    </row>
    <row r="178" spans="1:29" ht="13.5" customHeight="1">
      <c r="A178" s="235">
        <v>176</v>
      </c>
      <c r="B178" s="237"/>
      <c r="C178" s="255" t="s">
        <v>1274</v>
      </c>
      <c r="D178" s="237" t="s">
        <v>1275</v>
      </c>
      <c r="E178" s="237">
        <v>75</v>
      </c>
      <c r="F178" s="237" t="s">
        <v>60</v>
      </c>
      <c r="G178" s="237" t="s">
        <v>1276</v>
      </c>
      <c r="H178" s="243" t="s">
        <v>3</v>
      </c>
      <c r="I178" s="243"/>
      <c r="J178" s="240" t="s">
        <v>886</v>
      </c>
      <c r="K178" s="240" t="s">
        <v>903</v>
      </c>
      <c r="L178" s="237"/>
      <c r="M178" s="243" t="s">
        <v>231</v>
      </c>
      <c r="N178" s="237"/>
      <c r="O178" s="237"/>
      <c r="P178" s="237"/>
      <c r="Q178" s="245">
        <v>45660</v>
      </c>
      <c r="R178" s="237" t="s">
        <v>309</v>
      </c>
      <c r="S178" s="331" t="s">
        <v>233</v>
      </c>
      <c r="T178" s="237" t="s">
        <v>228</v>
      </c>
      <c r="U178" s="237" t="s">
        <v>234</v>
      </c>
      <c r="V178" s="237" t="s">
        <v>652</v>
      </c>
      <c r="W178" s="245">
        <v>45947</v>
      </c>
      <c r="X178" s="237" t="s">
        <v>1277</v>
      </c>
      <c r="Y178" s="237" t="s">
        <v>237</v>
      </c>
      <c r="Z178" s="237" t="s">
        <v>228</v>
      </c>
      <c r="AA178" s="237" t="s">
        <v>1278</v>
      </c>
      <c r="AB178" s="237" t="s">
        <v>228</v>
      </c>
      <c r="AC178" s="237" t="s">
        <v>228</v>
      </c>
    </row>
    <row r="179" spans="1:29" ht="13.5" customHeight="1">
      <c r="A179" s="235">
        <v>177</v>
      </c>
      <c r="B179" s="237"/>
      <c r="C179" s="243" t="s">
        <v>1279</v>
      </c>
      <c r="D179" s="237" t="s">
        <v>1280</v>
      </c>
      <c r="E179" s="237">
        <v>77</v>
      </c>
      <c r="F179" s="237" t="s">
        <v>60</v>
      </c>
      <c r="G179" s="237" t="s">
        <v>1281</v>
      </c>
      <c r="H179" s="243" t="s">
        <v>3</v>
      </c>
      <c r="I179" s="243"/>
      <c r="J179" s="240" t="s">
        <v>886</v>
      </c>
      <c r="K179" s="240" t="s">
        <v>1135</v>
      </c>
      <c r="L179" s="237"/>
      <c r="M179" s="246" t="s">
        <v>228</v>
      </c>
      <c r="N179" s="237"/>
      <c r="O179" s="237"/>
      <c r="P179" s="237"/>
      <c r="Q179" s="245">
        <v>45664</v>
      </c>
      <c r="R179" s="237" t="s">
        <v>309</v>
      </c>
      <c r="S179" s="331" t="s">
        <v>233</v>
      </c>
      <c r="T179" s="237" t="s">
        <v>228</v>
      </c>
      <c r="U179" s="237" t="s">
        <v>234</v>
      </c>
      <c r="V179" s="237" t="s">
        <v>652</v>
      </c>
      <c r="W179" s="245">
        <v>45947</v>
      </c>
      <c r="X179" s="237" t="s">
        <v>1282</v>
      </c>
      <c r="Y179" s="237" t="s">
        <v>237</v>
      </c>
      <c r="Z179" s="237" t="s">
        <v>228</v>
      </c>
      <c r="AA179" s="237" t="s">
        <v>1283</v>
      </c>
      <c r="AB179" s="237" t="s">
        <v>228</v>
      </c>
      <c r="AC179" s="237" t="s">
        <v>228</v>
      </c>
    </row>
    <row r="180" spans="1:29" ht="13.5" customHeight="1">
      <c r="A180" s="235">
        <v>178</v>
      </c>
      <c r="B180" s="237">
        <v>4</v>
      </c>
      <c r="C180" s="243" t="s">
        <v>1284</v>
      </c>
      <c r="D180" s="237" t="s">
        <v>1285</v>
      </c>
      <c r="E180" s="237">
        <v>66</v>
      </c>
      <c r="F180" s="237" t="s">
        <v>75</v>
      </c>
      <c r="G180" s="237" t="s">
        <v>1286</v>
      </c>
      <c r="H180" s="243" t="s">
        <v>3</v>
      </c>
      <c r="I180" s="243"/>
      <c r="K180" s="240"/>
      <c r="L180" s="237"/>
      <c r="M180" s="246" t="s">
        <v>228</v>
      </c>
      <c r="N180" s="237" t="s">
        <v>1287</v>
      </c>
      <c r="O180" s="237" t="s">
        <v>228</v>
      </c>
      <c r="P180" s="237" t="s">
        <v>231</v>
      </c>
      <c r="Q180" s="245">
        <v>44835</v>
      </c>
      <c r="R180" s="237" t="s">
        <v>232</v>
      </c>
      <c r="S180" s="331" t="s">
        <v>233</v>
      </c>
      <c r="T180" s="237">
        <v>3.7</v>
      </c>
      <c r="U180" s="237" t="s">
        <v>298</v>
      </c>
      <c r="V180" s="237" t="s">
        <v>235</v>
      </c>
      <c r="W180" s="245" t="s">
        <v>228</v>
      </c>
      <c r="X180" s="237" t="s">
        <v>1288</v>
      </c>
      <c r="Y180" s="237" t="s">
        <v>237</v>
      </c>
      <c r="Z180" s="237" t="s">
        <v>237</v>
      </c>
      <c r="AA180" s="237" t="s">
        <v>1289</v>
      </c>
      <c r="AB180" s="237" t="s">
        <v>228</v>
      </c>
      <c r="AC180" s="237" t="s">
        <v>228</v>
      </c>
    </row>
    <row r="181" spans="1:29" ht="13.5" customHeight="1">
      <c r="A181" s="235">
        <v>179</v>
      </c>
      <c r="B181" s="237">
        <v>129</v>
      </c>
      <c r="C181" s="243" t="s">
        <v>1290</v>
      </c>
      <c r="D181" s="237" t="s">
        <v>1291</v>
      </c>
      <c r="E181" s="237">
        <v>76</v>
      </c>
      <c r="F181" s="237" t="s">
        <v>60</v>
      </c>
      <c r="G181" s="237" t="s">
        <v>1292</v>
      </c>
      <c r="H181" s="243" t="s">
        <v>3</v>
      </c>
      <c r="I181" s="243"/>
      <c r="K181" s="240"/>
      <c r="L181" s="237"/>
      <c r="M181" s="246" t="s">
        <v>228</v>
      </c>
      <c r="N181" s="237" t="s">
        <v>1293</v>
      </c>
      <c r="O181" s="237" t="s">
        <v>1294</v>
      </c>
      <c r="P181" s="237" t="s">
        <v>231</v>
      </c>
      <c r="Q181" s="245">
        <v>44975</v>
      </c>
      <c r="R181" s="237" t="s">
        <v>309</v>
      </c>
      <c r="S181" s="331" t="s">
        <v>233</v>
      </c>
      <c r="T181" s="237">
        <v>8.6</v>
      </c>
      <c r="U181" s="237" t="s">
        <v>234</v>
      </c>
      <c r="V181" s="237" t="s">
        <v>235</v>
      </c>
      <c r="W181" s="245" t="s">
        <v>228</v>
      </c>
      <c r="X181" s="237" t="s">
        <v>1295</v>
      </c>
      <c r="Y181" s="237" t="s">
        <v>237</v>
      </c>
      <c r="Z181" s="237" t="s">
        <v>237</v>
      </c>
      <c r="AA181" s="237" t="s">
        <v>1296</v>
      </c>
      <c r="AB181" s="237" t="s">
        <v>228</v>
      </c>
      <c r="AC181" s="237" t="s">
        <v>228</v>
      </c>
    </row>
    <row r="182" spans="1:29" ht="13.5" customHeight="1">
      <c r="A182" s="235">
        <v>180</v>
      </c>
      <c r="B182" s="237"/>
      <c r="C182" s="255" t="s">
        <v>1297</v>
      </c>
      <c r="D182" s="237" t="s">
        <v>1298</v>
      </c>
      <c r="E182" s="237">
        <v>45</v>
      </c>
      <c r="F182" s="237" t="s">
        <v>60</v>
      </c>
      <c r="G182" s="237" t="s">
        <v>1299</v>
      </c>
      <c r="H182" s="243" t="s">
        <v>20</v>
      </c>
      <c r="I182" s="240" t="s">
        <v>39</v>
      </c>
      <c r="K182" s="240"/>
      <c r="L182" s="237"/>
      <c r="M182" s="243" t="s">
        <v>231</v>
      </c>
      <c r="N182" s="237"/>
      <c r="O182" s="237"/>
      <c r="P182" s="237"/>
      <c r="Q182" s="245">
        <v>45799</v>
      </c>
      <c r="R182" s="237" t="s">
        <v>309</v>
      </c>
      <c r="S182" s="331" t="s">
        <v>233</v>
      </c>
      <c r="T182" s="237" t="s">
        <v>228</v>
      </c>
      <c r="U182" s="237" t="s">
        <v>234</v>
      </c>
      <c r="V182" s="237" t="s">
        <v>473</v>
      </c>
      <c r="W182" s="245">
        <v>45918</v>
      </c>
      <c r="X182" s="237" t="s">
        <v>1301</v>
      </c>
      <c r="Y182" s="237" t="s">
        <v>588</v>
      </c>
      <c r="Z182" s="237" t="s">
        <v>228</v>
      </c>
      <c r="AA182" s="237" t="s">
        <v>1302</v>
      </c>
      <c r="AB182" s="237" t="s">
        <v>228</v>
      </c>
      <c r="AC182" s="237" t="s">
        <v>228</v>
      </c>
    </row>
    <row r="183" spans="1:29" ht="13.5" customHeight="1">
      <c r="A183" s="235">
        <v>181</v>
      </c>
      <c r="B183" s="237"/>
      <c r="C183" s="243">
        <v>5</v>
      </c>
      <c r="D183" s="237" t="s">
        <v>1303</v>
      </c>
      <c r="E183" s="237">
        <v>60</v>
      </c>
      <c r="F183" s="237" t="s">
        <v>60</v>
      </c>
      <c r="G183" s="237" t="s">
        <v>230</v>
      </c>
      <c r="H183" s="243" t="s">
        <v>4</v>
      </c>
      <c r="I183" s="243"/>
      <c r="K183" s="288" t="s">
        <v>1304</v>
      </c>
      <c r="L183" s="237"/>
      <c r="M183" s="243" t="s">
        <v>231</v>
      </c>
      <c r="N183" s="237" t="s">
        <v>228</v>
      </c>
      <c r="O183" s="237" t="s">
        <v>1306</v>
      </c>
      <c r="P183" s="237" t="s">
        <v>231</v>
      </c>
      <c r="Q183" s="245" t="s">
        <v>228</v>
      </c>
      <c r="R183" s="237" t="s">
        <v>232</v>
      </c>
      <c r="S183" s="331" t="s">
        <v>233</v>
      </c>
      <c r="T183" s="237" t="s">
        <v>228</v>
      </c>
      <c r="U183" s="237" t="s">
        <v>234</v>
      </c>
      <c r="V183" s="237" t="s">
        <v>235</v>
      </c>
      <c r="W183" s="245" t="s">
        <v>228</v>
      </c>
      <c r="X183" s="237" t="s">
        <v>231</v>
      </c>
      <c r="Y183" s="237" t="s">
        <v>237</v>
      </c>
      <c r="Z183" s="237" t="s">
        <v>228</v>
      </c>
      <c r="AA183" s="237"/>
      <c r="AB183" s="237" t="s">
        <v>228</v>
      </c>
      <c r="AC183" s="237" t="s">
        <v>228</v>
      </c>
    </row>
    <row r="184" spans="1:29" ht="13.5" customHeight="1">
      <c r="A184" s="235">
        <v>182</v>
      </c>
      <c r="B184" s="237">
        <v>15</v>
      </c>
      <c r="C184" s="243" t="s">
        <v>1307</v>
      </c>
      <c r="D184" s="237" t="s">
        <v>1308</v>
      </c>
      <c r="E184" s="237">
        <v>86</v>
      </c>
      <c r="F184" s="237" t="s">
        <v>75</v>
      </c>
      <c r="G184" s="237" t="s">
        <v>1309</v>
      </c>
      <c r="H184" s="243" t="s">
        <v>4</v>
      </c>
      <c r="I184" s="243"/>
      <c r="K184" s="240" t="s">
        <v>1310</v>
      </c>
      <c r="L184" s="237"/>
      <c r="M184" s="246" t="s">
        <v>228</v>
      </c>
      <c r="N184" s="237" t="s">
        <v>1311</v>
      </c>
      <c r="O184" s="237" t="s">
        <v>228</v>
      </c>
      <c r="P184" s="237" t="s">
        <v>1312</v>
      </c>
      <c r="Q184" s="245">
        <v>44701</v>
      </c>
      <c r="R184" s="237" t="s">
        <v>232</v>
      </c>
      <c r="S184" s="331" t="s">
        <v>233</v>
      </c>
      <c r="T184" s="237" t="s">
        <v>228</v>
      </c>
      <c r="U184" s="237" t="s">
        <v>234</v>
      </c>
      <c r="V184" s="237" t="s">
        <v>235</v>
      </c>
      <c r="W184" s="245" t="s">
        <v>228</v>
      </c>
      <c r="X184" s="237" t="s">
        <v>1313</v>
      </c>
      <c r="Y184" s="237" t="s">
        <v>237</v>
      </c>
      <c r="Z184" s="237" t="s">
        <v>237</v>
      </c>
      <c r="AA184" s="237" t="s">
        <v>1314</v>
      </c>
      <c r="AB184" s="237" t="s">
        <v>228</v>
      </c>
      <c r="AC184" s="237" t="s">
        <v>228</v>
      </c>
    </row>
    <row r="185" spans="1:29" ht="13.5" customHeight="1">
      <c r="A185" s="235">
        <v>183</v>
      </c>
      <c r="B185" s="237">
        <v>33</v>
      </c>
      <c r="C185" s="243" t="s">
        <v>1315</v>
      </c>
      <c r="D185" s="237" t="s">
        <v>1316</v>
      </c>
      <c r="E185" s="237">
        <v>26</v>
      </c>
      <c r="F185" s="237" t="s">
        <v>75</v>
      </c>
      <c r="G185" s="237" t="s">
        <v>1317</v>
      </c>
      <c r="H185" s="243" t="s">
        <v>4</v>
      </c>
      <c r="I185" s="243"/>
      <c r="K185" s="240" t="s">
        <v>1318</v>
      </c>
      <c r="L185" s="237"/>
      <c r="M185" s="246" t="s">
        <v>228</v>
      </c>
      <c r="N185" s="237" t="s">
        <v>1319</v>
      </c>
      <c r="O185" s="237" t="s">
        <v>358</v>
      </c>
      <c r="P185" s="237" t="s">
        <v>231</v>
      </c>
      <c r="Q185" s="245">
        <v>44845</v>
      </c>
      <c r="R185" s="237" t="s">
        <v>232</v>
      </c>
      <c r="S185" s="331" t="s">
        <v>233</v>
      </c>
      <c r="T185" s="237">
        <v>9.6999999999999993</v>
      </c>
      <c r="U185" s="237" t="s">
        <v>234</v>
      </c>
      <c r="V185" s="237" t="s">
        <v>235</v>
      </c>
      <c r="W185" s="245" t="s">
        <v>228</v>
      </c>
      <c r="X185" s="237" t="s">
        <v>270</v>
      </c>
      <c r="Y185" s="237" t="s">
        <v>237</v>
      </c>
      <c r="Z185" s="237" t="s">
        <v>237</v>
      </c>
      <c r="AA185" s="237" t="s">
        <v>1320</v>
      </c>
      <c r="AB185" s="237" t="s">
        <v>228</v>
      </c>
      <c r="AC185" s="237" t="s">
        <v>228</v>
      </c>
    </row>
    <row r="186" spans="1:29" ht="13.5" customHeight="1">
      <c r="A186" s="235">
        <v>184</v>
      </c>
      <c r="B186" s="237">
        <v>35</v>
      </c>
      <c r="C186" s="243" t="s">
        <v>1321</v>
      </c>
      <c r="D186" s="237" t="s">
        <v>1322</v>
      </c>
      <c r="E186" s="237">
        <v>48</v>
      </c>
      <c r="F186" s="237" t="s">
        <v>75</v>
      </c>
      <c r="G186" s="237" t="s">
        <v>1323</v>
      </c>
      <c r="H186" s="243" t="s">
        <v>4</v>
      </c>
      <c r="I186" s="243"/>
      <c r="K186" s="240"/>
      <c r="L186" s="237"/>
      <c r="M186" s="246" t="s">
        <v>228</v>
      </c>
      <c r="N186" s="237" t="s">
        <v>228</v>
      </c>
      <c r="O186" s="237" t="s">
        <v>228</v>
      </c>
      <c r="P186" s="237" t="s">
        <v>1312</v>
      </c>
      <c r="Q186" s="245" t="s">
        <v>228</v>
      </c>
      <c r="R186" s="237" t="s">
        <v>232</v>
      </c>
      <c r="S186" s="331" t="s">
        <v>233</v>
      </c>
      <c r="T186" s="237">
        <v>9.6</v>
      </c>
      <c r="U186" s="237" t="s">
        <v>234</v>
      </c>
      <c r="V186" s="237" t="s">
        <v>235</v>
      </c>
      <c r="W186" s="245" t="s">
        <v>228</v>
      </c>
      <c r="X186" s="237" t="s">
        <v>1324</v>
      </c>
      <c r="Y186" s="237" t="s">
        <v>237</v>
      </c>
      <c r="Z186" s="237" t="s">
        <v>237</v>
      </c>
      <c r="AA186" s="237" t="s">
        <v>1325</v>
      </c>
      <c r="AB186" s="237" t="s">
        <v>228</v>
      </c>
      <c r="AC186" s="237" t="s">
        <v>228</v>
      </c>
    </row>
    <row r="187" spans="1:29" ht="13.5" customHeight="1">
      <c r="A187" s="235">
        <v>185</v>
      </c>
      <c r="B187" s="237">
        <v>42</v>
      </c>
      <c r="C187" s="243" t="s">
        <v>1326</v>
      </c>
      <c r="D187" s="237" t="s">
        <v>1327</v>
      </c>
      <c r="E187" s="237">
        <v>58</v>
      </c>
      <c r="F187" s="237" t="s">
        <v>75</v>
      </c>
      <c r="G187" s="237" t="s">
        <v>1328</v>
      </c>
      <c r="H187" s="243" t="s">
        <v>4</v>
      </c>
      <c r="I187" s="243"/>
      <c r="K187" s="240" t="s">
        <v>1329</v>
      </c>
      <c r="L187" s="237"/>
      <c r="M187" s="246" t="s">
        <v>228</v>
      </c>
      <c r="N187" s="237" t="s">
        <v>1330</v>
      </c>
      <c r="O187" s="237" t="s">
        <v>228</v>
      </c>
      <c r="P187" s="237" t="s">
        <v>1331</v>
      </c>
      <c r="Q187" s="245">
        <v>44867</v>
      </c>
      <c r="R187" s="237" t="s">
        <v>232</v>
      </c>
      <c r="S187" s="331" t="s">
        <v>233</v>
      </c>
      <c r="T187" s="237">
        <v>8.5</v>
      </c>
      <c r="U187" s="237" t="s">
        <v>234</v>
      </c>
      <c r="V187" s="237" t="s">
        <v>235</v>
      </c>
      <c r="W187" s="245" t="s">
        <v>228</v>
      </c>
      <c r="X187" s="237" t="s">
        <v>1332</v>
      </c>
      <c r="Y187" s="237" t="s">
        <v>237</v>
      </c>
      <c r="Z187" s="237" t="s">
        <v>228</v>
      </c>
      <c r="AA187" s="237" t="s">
        <v>1333</v>
      </c>
      <c r="AB187" s="237" t="s">
        <v>228</v>
      </c>
      <c r="AC187" s="237" t="s">
        <v>228</v>
      </c>
    </row>
    <row r="188" spans="1:29" ht="13.5" customHeight="1">
      <c r="A188" s="235">
        <v>186</v>
      </c>
      <c r="B188" s="237">
        <v>48</v>
      </c>
      <c r="C188" s="243" t="s">
        <v>1334</v>
      </c>
      <c r="D188" s="237" t="s">
        <v>1335</v>
      </c>
      <c r="E188" s="237">
        <v>38</v>
      </c>
      <c r="F188" s="237" t="s">
        <v>60</v>
      </c>
      <c r="G188" s="237" t="s">
        <v>1336</v>
      </c>
      <c r="H188" s="243" t="s">
        <v>4</v>
      </c>
      <c r="I188" s="243"/>
      <c r="J188" s="240" t="s">
        <v>886</v>
      </c>
      <c r="K188" s="240" t="s">
        <v>1337</v>
      </c>
      <c r="L188" s="237"/>
      <c r="M188" s="246" t="s">
        <v>228</v>
      </c>
      <c r="N188" s="237" t="s">
        <v>1338</v>
      </c>
      <c r="O188" s="237" t="s">
        <v>228</v>
      </c>
      <c r="P188" s="237" t="s">
        <v>231</v>
      </c>
      <c r="Q188" s="245">
        <v>44887</v>
      </c>
      <c r="R188" s="237" t="s">
        <v>232</v>
      </c>
      <c r="S188" s="331" t="s">
        <v>233</v>
      </c>
      <c r="T188" s="237">
        <v>8.6999999999999993</v>
      </c>
      <c r="U188" s="237" t="s">
        <v>234</v>
      </c>
      <c r="V188" s="237" t="s">
        <v>235</v>
      </c>
      <c r="W188" s="245" t="s">
        <v>228</v>
      </c>
      <c r="X188" s="237" t="s">
        <v>1339</v>
      </c>
      <c r="Y188" s="237" t="s">
        <v>237</v>
      </c>
      <c r="Z188" s="237" t="s">
        <v>237</v>
      </c>
      <c r="AA188" s="237" t="s">
        <v>1340</v>
      </c>
      <c r="AB188" s="237" t="s">
        <v>228</v>
      </c>
      <c r="AC188" s="237" t="s">
        <v>228</v>
      </c>
    </row>
    <row r="189" spans="1:29" ht="13.5" customHeight="1">
      <c r="A189" s="235">
        <v>187</v>
      </c>
      <c r="B189" s="237">
        <v>51</v>
      </c>
      <c r="C189" s="243" t="s">
        <v>1341</v>
      </c>
      <c r="D189" s="237" t="s">
        <v>1342</v>
      </c>
      <c r="E189" s="237">
        <v>62</v>
      </c>
      <c r="F189" s="237" t="s">
        <v>75</v>
      </c>
      <c r="G189" s="237" t="s">
        <v>1343</v>
      </c>
      <c r="H189" s="243" t="s">
        <v>4</v>
      </c>
      <c r="I189" s="243"/>
      <c r="J189" s="240" t="s">
        <v>886</v>
      </c>
      <c r="K189" s="240" t="s">
        <v>887</v>
      </c>
      <c r="L189" s="237"/>
      <c r="M189" s="246" t="s">
        <v>228</v>
      </c>
      <c r="N189" s="237" t="s">
        <v>1344</v>
      </c>
      <c r="O189" s="237" t="s">
        <v>1345</v>
      </c>
      <c r="P189" s="237" t="s">
        <v>231</v>
      </c>
      <c r="Q189" s="245">
        <v>44895</v>
      </c>
      <c r="R189" s="237" t="s">
        <v>309</v>
      </c>
      <c r="S189" s="331" t="s">
        <v>233</v>
      </c>
      <c r="T189" s="237">
        <v>8.9</v>
      </c>
      <c r="U189" s="237" t="s">
        <v>234</v>
      </c>
      <c r="V189" s="237" t="s">
        <v>235</v>
      </c>
      <c r="W189" s="245" t="s">
        <v>228</v>
      </c>
      <c r="X189" s="237" t="s">
        <v>434</v>
      </c>
      <c r="Y189" s="237" t="s">
        <v>237</v>
      </c>
      <c r="Z189" s="237" t="s">
        <v>228</v>
      </c>
      <c r="AA189" s="237" t="s">
        <v>1346</v>
      </c>
      <c r="AB189" s="237" t="s">
        <v>228</v>
      </c>
      <c r="AC189" s="237" t="s">
        <v>228</v>
      </c>
    </row>
    <row r="190" spans="1:29" ht="13.5" customHeight="1">
      <c r="A190" s="235">
        <v>188</v>
      </c>
      <c r="B190" s="237">
        <v>52</v>
      </c>
      <c r="C190" s="243" t="s">
        <v>1347</v>
      </c>
      <c r="D190" s="237" t="s">
        <v>1348</v>
      </c>
      <c r="E190" s="237">
        <v>52</v>
      </c>
      <c r="F190" s="237" t="s">
        <v>75</v>
      </c>
      <c r="G190" s="237" t="s">
        <v>1349</v>
      </c>
      <c r="H190" s="243" t="s">
        <v>4</v>
      </c>
      <c r="I190" s="243"/>
      <c r="J190" s="240" t="s">
        <v>886</v>
      </c>
      <c r="K190" s="240" t="s">
        <v>887</v>
      </c>
      <c r="L190" s="237"/>
      <c r="M190" s="246" t="s">
        <v>228</v>
      </c>
      <c r="N190" s="237" t="s">
        <v>1350</v>
      </c>
      <c r="O190" s="237" t="s">
        <v>1351</v>
      </c>
      <c r="P190" s="237" t="s">
        <v>231</v>
      </c>
      <c r="Q190" s="245">
        <v>44895</v>
      </c>
      <c r="R190" s="237" t="s">
        <v>309</v>
      </c>
      <c r="S190" s="331" t="s">
        <v>233</v>
      </c>
      <c r="T190" s="237">
        <v>8.4</v>
      </c>
      <c r="U190" s="237" t="s">
        <v>234</v>
      </c>
      <c r="V190" s="237" t="s">
        <v>235</v>
      </c>
      <c r="W190" s="245" t="s">
        <v>228</v>
      </c>
      <c r="X190" s="237" t="s">
        <v>1352</v>
      </c>
      <c r="Y190" s="237" t="s">
        <v>237</v>
      </c>
      <c r="Z190" s="237" t="s">
        <v>228</v>
      </c>
      <c r="AA190" s="237" t="s">
        <v>1353</v>
      </c>
      <c r="AB190" s="237" t="s">
        <v>228</v>
      </c>
      <c r="AC190" s="237" t="s">
        <v>228</v>
      </c>
    </row>
    <row r="191" spans="1:29" ht="13.5" customHeight="1">
      <c r="A191" s="235">
        <v>189</v>
      </c>
      <c r="B191" s="237">
        <v>53</v>
      </c>
      <c r="C191" s="243" t="s">
        <v>1354</v>
      </c>
      <c r="D191" s="237" t="s">
        <v>1355</v>
      </c>
      <c r="E191" s="237">
        <v>72</v>
      </c>
      <c r="F191" s="237" t="s">
        <v>60</v>
      </c>
      <c r="G191" s="237" t="s">
        <v>1356</v>
      </c>
      <c r="H191" s="243" t="s">
        <v>4</v>
      </c>
      <c r="I191" s="243"/>
      <c r="J191" s="240"/>
      <c r="K191" s="240"/>
      <c r="L191" s="237"/>
      <c r="M191" s="246" t="s">
        <v>228</v>
      </c>
      <c r="N191" s="237" t="s">
        <v>228</v>
      </c>
      <c r="O191" s="237" t="s">
        <v>228</v>
      </c>
      <c r="P191" s="237" t="s">
        <v>1312</v>
      </c>
      <c r="Q191" s="245">
        <v>44901</v>
      </c>
      <c r="R191" s="237" t="s">
        <v>309</v>
      </c>
      <c r="S191" s="331" t="s">
        <v>233</v>
      </c>
      <c r="T191" s="237">
        <v>7.4</v>
      </c>
      <c r="U191" s="237" t="s">
        <v>234</v>
      </c>
      <c r="V191" s="237" t="s">
        <v>235</v>
      </c>
      <c r="W191" s="245" t="s">
        <v>228</v>
      </c>
      <c r="X191" s="237" t="s">
        <v>1358</v>
      </c>
      <c r="Y191" s="237" t="s">
        <v>237</v>
      </c>
      <c r="Z191" s="237" t="s">
        <v>228</v>
      </c>
      <c r="AA191" s="237" t="s">
        <v>1359</v>
      </c>
      <c r="AB191" s="237" t="s">
        <v>228</v>
      </c>
      <c r="AC191" s="237" t="s">
        <v>228</v>
      </c>
    </row>
    <row r="192" spans="1:29" ht="13.5" customHeight="1">
      <c r="A192" s="235">
        <v>190</v>
      </c>
      <c r="B192" s="237">
        <v>59</v>
      </c>
      <c r="C192" s="243" t="s">
        <v>1360</v>
      </c>
      <c r="D192" s="237" t="s">
        <v>1361</v>
      </c>
      <c r="E192" s="237">
        <v>70</v>
      </c>
      <c r="F192" s="237" t="s">
        <v>75</v>
      </c>
      <c r="G192" s="237" t="s">
        <v>1362</v>
      </c>
      <c r="H192" s="243" t="s">
        <v>4</v>
      </c>
      <c r="I192" s="243"/>
      <c r="J192" s="240" t="s">
        <v>886</v>
      </c>
      <c r="K192" s="240" t="s">
        <v>887</v>
      </c>
      <c r="L192" s="237"/>
      <c r="M192" s="246" t="s">
        <v>228</v>
      </c>
      <c r="N192" s="237" t="s">
        <v>1363</v>
      </c>
      <c r="O192" s="237" t="s">
        <v>228</v>
      </c>
      <c r="P192" s="237" t="s">
        <v>231</v>
      </c>
      <c r="Q192" s="245">
        <v>44907</v>
      </c>
      <c r="R192" s="237" t="s">
        <v>309</v>
      </c>
      <c r="S192" s="331" t="s">
        <v>233</v>
      </c>
      <c r="T192" s="237">
        <v>7.8</v>
      </c>
      <c r="U192" s="237" t="s">
        <v>234</v>
      </c>
      <c r="V192" s="237" t="s">
        <v>235</v>
      </c>
      <c r="W192" s="245" t="s">
        <v>228</v>
      </c>
      <c r="X192" s="237" t="s">
        <v>1364</v>
      </c>
      <c r="Y192" s="237" t="s">
        <v>237</v>
      </c>
      <c r="Z192" s="237" t="s">
        <v>228</v>
      </c>
      <c r="AA192" s="237" t="s">
        <v>1365</v>
      </c>
      <c r="AB192" s="237" t="s">
        <v>228</v>
      </c>
      <c r="AC192" s="237" t="s">
        <v>228</v>
      </c>
    </row>
    <row r="193" spans="1:29" ht="13.5" customHeight="1">
      <c r="A193" s="235">
        <v>191</v>
      </c>
      <c r="B193" s="237">
        <v>6</v>
      </c>
      <c r="C193" s="243" t="s">
        <v>1366</v>
      </c>
      <c r="D193" s="237" t="s">
        <v>1367</v>
      </c>
      <c r="E193" s="237">
        <v>65</v>
      </c>
      <c r="F193" s="237" t="s">
        <v>75</v>
      </c>
      <c r="G193" s="237" t="s">
        <v>1368</v>
      </c>
      <c r="H193" s="243" t="s">
        <v>4</v>
      </c>
      <c r="I193" s="243"/>
      <c r="J193" s="240" t="s">
        <v>886</v>
      </c>
      <c r="K193" s="240" t="s">
        <v>1369</v>
      </c>
      <c r="L193" s="237"/>
      <c r="M193" s="246" t="s">
        <v>228</v>
      </c>
      <c r="N193" s="237" t="s">
        <v>1370</v>
      </c>
      <c r="O193" s="237" t="s">
        <v>880</v>
      </c>
      <c r="P193" s="237" t="s">
        <v>1331</v>
      </c>
      <c r="Q193" s="245">
        <v>44908</v>
      </c>
      <c r="R193" s="237" t="s">
        <v>309</v>
      </c>
      <c r="S193" s="331" t="s">
        <v>233</v>
      </c>
      <c r="T193" s="237">
        <v>8.3000000000000007</v>
      </c>
      <c r="U193" s="237" t="s">
        <v>234</v>
      </c>
      <c r="V193" s="237" t="s">
        <v>235</v>
      </c>
      <c r="W193" s="245" t="s">
        <v>228</v>
      </c>
      <c r="X193" s="237" t="s">
        <v>1371</v>
      </c>
      <c r="Y193" s="237" t="s">
        <v>237</v>
      </c>
      <c r="Z193" s="237" t="s">
        <v>228</v>
      </c>
      <c r="AA193" s="237" t="s">
        <v>1372</v>
      </c>
      <c r="AB193" s="237" t="s">
        <v>228</v>
      </c>
      <c r="AC193" s="237" t="s">
        <v>228</v>
      </c>
    </row>
    <row r="194" spans="1:29" ht="13.5" customHeight="1">
      <c r="A194" s="235">
        <v>192</v>
      </c>
      <c r="B194" s="237">
        <v>62</v>
      </c>
      <c r="C194" s="243" t="s">
        <v>1373</v>
      </c>
      <c r="D194" s="237" t="s">
        <v>1374</v>
      </c>
      <c r="E194" s="237">
        <v>71</v>
      </c>
      <c r="F194" s="237" t="s">
        <v>75</v>
      </c>
      <c r="G194" s="237" t="s">
        <v>1375</v>
      </c>
      <c r="H194" s="243" t="s">
        <v>4</v>
      </c>
      <c r="I194" s="243"/>
      <c r="J194" s="240"/>
      <c r="K194" s="240" t="s">
        <v>1376</v>
      </c>
      <c r="L194" s="237"/>
      <c r="M194" s="246" t="s">
        <v>228</v>
      </c>
      <c r="N194" s="237" t="s">
        <v>32</v>
      </c>
      <c r="O194" s="237" t="s">
        <v>228</v>
      </c>
      <c r="P194" s="237" t="s">
        <v>231</v>
      </c>
      <c r="Q194" s="245">
        <v>44903</v>
      </c>
      <c r="R194" s="237" t="s">
        <v>309</v>
      </c>
      <c r="S194" s="331" t="s">
        <v>233</v>
      </c>
      <c r="T194" s="237">
        <v>8.5</v>
      </c>
      <c r="U194" s="237" t="s">
        <v>234</v>
      </c>
      <c r="V194" s="237" t="s">
        <v>235</v>
      </c>
      <c r="W194" s="245" t="s">
        <v>228</v>
      </c>
      <c r="X194" s="237" t="s">
        <v>1377</v>
      </c>
      <c r="Y194" s="237" t="s">
        <v>237</v>
      </c>
      <c r="Z194" s="237" t="s">
        <v>228</v>
      </c>
      <c r="AA194" s="237" t="s">
        <v>1378</v>
      </c>
      <c r="AB194" s="237" t="s">
        <v>228</v>
      </c>
      <c r="AC194" s="237" t="s">
        <v>228</v>
      </c>
    </row>
    <row r="195" spans="1:29" ht="13.5" customHeight="1">
      <c r="A195" s="235">
        <v>193</v>
      </c>
      <c r="B195" s="237">
        <v>69</v>
      </c>
      <c r="C195" s="243" t="s">
        <v>1379</v>
      </c>
      <c r="D195" s="237" t="s">
        <v>1380</v>
      </c>
      <c r="E195" s="237">
        <v>44</v>
      </c>
      <c r="F195" s="237" t="s">
        <v>75</v>
      </c>
      <c r="G195" s="237" t="s">
        <v>1381</v>
      </c>
      <c r="H195" s="243" t="s">
        <v>3</v>
      </c>
      <c r="I195" s="243"/>
      <c r="J195" s="240" t="s">
        <v>886</v>
      </c>
      <c r="K195" s="240" t="s">
        <v>887</v>
      </c>
      <c r="L195" s="237"/>
      <c r="M195" s="246" t="s">
        <v>228</v>
      </c>
      <c r="N195" s="237" t="s">
        <v>1382</v>
      </c>
      <c r="O195" s="237" t="s">
        <v>1383</v>
      </c>
      <c r="P195" s="237" t="s">
        <v>231</v>
      </c>
      <c r="Q195" s="245">
        <v>44922</v>
      </c>
      <c r="R195" s="237" t="s">
        <v>232</v>
      </c>
      <c r="S195" s="331" t="s">
        <v>233</v>
      </c>
      <c r="T195" s="237">
        <v>8.9</v>
      </c>
      <c r="U195" s="237" t="s">
        <v>234</v>
      </c>
      <c r="V195" s="237" t="s">
        <v>235</v>
      </c>
      <c r="W195" s="245" t="s">
        <v>228</v>
      </c>
      <c r="X195" s="237" t="s">
        <v>1384</v>
      </c>
      <c r="Y195" s="237" t="s">
        <v>237</v>
      </c>
      <c r="Z195" s="237" t="s">
        <v>228</v>
      </c>
      <c r="AA195" s="237" t="s">
        <v>1385</v>
      </c>
      <c r="AB195" s="237" t="s">
        <v>228</v>
      </c>
      <c r="AC195" s="237" t="s">
        <v>228</v>
      </c>
    </row>
    <row r="196" spans="1:29" ht="13.5" customHeight="1">
      <c r="A196" s="235">
        <v>194</v>
      </c>
      <c r="B196" s="237">
        <v>7</v>
      </c>
      <c r="C196" s="243" t="s">
        <v>1386</v>
      </c>
      <c r="D196" s="237" t="s">
        <v>1387</v>
      </c>
      <c r="E196" s="237">
        <v>52</v>
      </c>
      <c r="F196" s="237" t="s">
        <v>60</v>
      </c>
      <c r="G196" s="237" t="s">
        <v>1388</v>
      </c>
      <c r="H196" s="243" t="s">
        <v>4</v>
      </c>
      <c r="I196" s="243"/>
      <c r="J196" s="240" t="s">
        <v>886</v>
      </c>
      <c r="K196" s="240" t="s">
        <v>1389</v>
      </c>
      <c r="L196" s="237"/>
      <c r="M196" s="246" t="s">
        <v>228</v>
      </c>
      <c r="N196" s="237" t="s">
        <v>1390</v>
      </c>
      <c r="O196" s="237" t="s">
        <v>358</v>
      </c>
      <c r="P196" s="237" t="s">
        <v>231</v>
      </c>
      <c r="Q196" s="245">
        <v>44922</v>
      </c>
      <c r="R196" s="237" t="s">
        <v>232</v>
      </c>
      <c r="S196" s="331" t="s">
        <v>233</v>
      </c>
      <c r="T196" s="237">
        <v>8.6</v>
      </c>
      <c r="U196" s="237" t="s">
        <v>234</v>
      </c>
      <c r="V196" s="237" t="s">
        <v>235</v>
      </c>
      <c r="W196" s="245" t="s">
        <v>228</v>
      </c>
      <c r="X196" s="237" t="s">
        <v>1391</v>
      </c>
      <c r="Y196" s="237" t="s">
        <v>237</v>
      </c>
      <c r="Z196" s="237" t="s">
        <v>237</v>
      </c>
      <c r="AA196" s="237" t="s">
        <v>1392</v>
      </c>
      <c r="AB196" s="237" t="s">
        <v>228</v>
      </c>
      <c r="AC196" s="237" t="s">
        <v>228</v>
      </c>
    </row>
    <row r="197" spans="1:29" ht="13.5" customHeight="1">
      <c r="A197" s="235">
        <v>195</v>
      </c>
      <c r="B197" s="237">
        <v>73</v>
      </c>
      <c r="C197" s="243" t="s">
        <v>1393</v>
      </c>
      <c r="D197" s="237" t="s">
        <v>1394</v>
      </c>
      <c r="E197" s="237">
        <v>70</v>
      </c>
      <c r="F197" s="237" t="s">
        <v>75</v>
      </c>
      <c r="G197" s="237" t="s">
        <v>1395</v>
      </c>
      <c r="H197" s="243" t="s">
        <v>4</v>
      </c>
      <c r="I197" s="243"/>
      <c r="J197" s="240"/>
      <c r="K197" s="240"/>
      <c r="L197" s="237"/>
      <c r="M197" s="246" t="s">
        <v>228</v>
      </c>
      <c r="N197" s="237" t="s">
        <v>1397</v>
      </c>
      <c r="O197" s="237" t="s">
        <v>1398</v>
      </c>
      <c r="P197" s="237" t="s">
        <v>231</v>
      </c>
      <c r="Q197" s="245">
        <v>44925</v>
      </c>
      <c r="R197" s="237" t="s">
        <v>232</v>
      </c>
      <c r="S197" s="331" t="s">
        <v>233</v>
      </c>
      <c r="T197" s="237">
        <v>8.5</v>
      </c>
      <c r="U197" s="237" t="s">
        <v>234</v>
      </c>
      <c r="V197" s="237" t="s">
        <v>235</v>
      </c>
      <c r="W197" s="245" t="s">
        <v>228</v>
      </c>
      <c r="X197" s="237" t="s">
        <v>1399</v>
      </c>
      <c r="Y197" s="237" t="s">
        <v>237</v>
      </c>
      <c r="Z197" s="237" t="s">
        <v>228</v>
      </c>
      <c r="AA197" s="237" t="s">
        <v>1400</v>
      </c>
      <c r="AB197" s="237" t="s">
        <v>228</v>
      </c>
      <c r="AC197" s="237" t="s">
        <v>228</v>
      </c>
    </row>
    <row r="198" spans="1:29" ht="13.5" customHeight="1">
      <c r="A198" s="235">
        <v>196</v>
      </c>
      <c r="B198" s="237">
        <v>88</v>
      </c>
      <c r="C198" s="243" t="s">
        <v>1401</v>
      </c>
      <c r="D198" s="237" t="s">
        <v>1402</v>
      </c>
      <c r="E198" s="237">
        <v>72</v>
      </c>
      <c r="F198" s="237" t="s">
        <v>75</v>
      </c>
      <c r="G198" s="237" t="s">
        <v>1403</v>
      </c>
      <c r="H198" s="243" t="s">
        <v>4</v>
      </c>
      <c r="I198" s="243"/>
      <c r="J198" s="240" t="s">
        <v>886</v>
      </c>
      <c r="K198" s="240" t="s">
        <v>1404</v>
      </c>
      <c r="L198" s="237"/>
      <c r="M198" s="246" t="s">
        <v>228</v>
      </c>
      <c r="N198" s="237" t="s">
        <v>1405</v>
      </c>
      <c r="O198" s="237" t="s">
        <v>1406</v>
      </c>
      <c r="P198" s="237" t="s">
        <v>231</v>
      </c>
      <c r="Q198" s="245">
        <v>44936</v>
      </c>
      <c r="R198" s="237" t="s">
        <v>309</v>
      </c>
      <c r="S198" s="331" t="s">
        <v>233</v>
      </c>
      <c r="T198" s="237">
        <v>7.7</v>
      </c>
      <c r="U198" s="237" t="s">
        <v>234</v>
      </c>
      <c r="V198" s="237" t="s">
        <v>235</v>
      </c>
      <c r="W198" s="245" t="s">
        <v>228</v>
      </c>
      <c r="X198" s="237" t="s">
        <v>1407</v>
      </c>
      <c r="Y198" s="237" t="s">
        <v>237</v>
      </c>
      <c r="Z198" s="237" t="s">
        <v>228</v>
      </c>
      <c r="AA198" s="237" t="s">
        <v>1408</v>
      </c>
      <c r="AB198" s="237" t="s">
        <v>228</v>
      </c>
      <c r="AC198" s="237" t="s">
        <v>228</v>
      </c>
    </row>
    <row r="199" spans="1:29" ht="13.5" customHeight="1">
      <c r="A199" s="235">
        <v>197</v>
      </c>
      <c r="B199" s="237">
        <v>93</v>
      </c>
      <c r="C199" s="243" t="s">
        <v>1409</v>
      </c>
      <c r="D199" s="237" t="s">
        <v>1410</v>
      </c>
      <c r="E199" s="237">
        <v>59</v>
      </c>
      <c r="F199" s="237" t="s">
        <v>60</v>
      </c>
      <c r="G199" s="237" t="s">
        <v>1411</v>
      </c>
      <c r="H199" s="243" t="s">
        <v>4</v>
      </c>
      <c r="I199" s="243"/>
      <c r="J199" s="240" t="s">
        <v>886</v>
      </c>
      <c r="K199" s="240" t="s">
        <v>887</v>
      </c>
      <c r="L199" s="237"/>
      <c r="M199" s="246" t="s">
        <v>228</v>
      </c>
      <c r="N199" s="237" t="s">
        <v>1412</v>
      </c>
      <c r="O199" s="237" t="s">
        <v>1413</v>
      </c>
      <c r="P199" s="237" t="s">
        <v>231</v>
      </c>
      <c r="Q199" s="245">
        <v>44943</v>
      </c>
      <c r="R199" s="237" t="s">
        <v>309</v>
      </c>
      <c r="S199" s="331" t="s">
        <v>233</v>
      </c>
      <c r="T199" s="237">
        <v>8.6999999999999993</v>
      </c>
      <c r="U199" s="237" t="s">
        <v>234</v>
      </c>
      <c r="V199" s="237" t="s">
        <v>235</v>
      </c>
      <c r="W199" s="245" t="s">
        <v>228</v>
      </c>
      <c r="X199" s="237" t="s">
        <v>1414</v>
      </c>
      <c r="Y199" s="237" t="s">
        <v>237</v>
      </c>
      <c r="Z199" s="237" t="s">
        <v>228</v>
      </c>
      <c r="AA199" s="237" t="s">
        <v>1415</v>
      </c>
      <c r="AB199" s="237" t="s">
        <v>228</v>
      </c>
      <c r="AC199" s="237" t="s">
        <v>228</v>
      </c>
    </row>
    <row r="200" spans="1:29" ht="13.5" customHeight="1">
      <c r="A200" s="235">
        <v>198</v>
      </c>
      <c r="B200" s="237">
        <v>94</v>
      </c>
      <c r="C200" s="243" t="s">
        <v>1416</v>
      </c>
      <c r="D200" s="237" t="s">
        <v>1417</v>
      </c>
      <c r="E200" s="237">
        <v>36</v>
      </c>
      <c r="F200" s="237" t="s">
        <v>60</v>
      </c>
      <c r="G200" s="237" t="s">
        <v>1418</v>
      </c>
      <c r="H200" s="243" t="s">
        <v>4</v>
      </c>
      <c r="I200" s="243"/>
      <c r="J200" s="240" t="s">
        <v>886</v>
      </c>
      <c r="K200" s="240" t="s">
        <v>917</v>
      </c>
      <c r="L200" s="237"/>
      <c r="M200" s="246" t="s">
        <v>228</v>
      </c>
      <c r="N200" s="237" t="s">
        <v>1419</v>
      </c>
      <c r="O200" s="237" t="s">
        <v>1420</v>
      </c>
      <c r="P200" s="237" t="s">
        <v>231</v>
      </c>
      <c r="Q200" s="245">
        <v>44944</v>
      </c>
      <c r="R200" s="237" t="s">
        <v>309</v>
      </c>
      <c r="S200" s="331" t="s">
        <v>233</v>
      </c>
      <c r="T200" s="237">
        <v>8.6</v>
      </c>
      <c r="U200" s="237" t="s">
        <v>234</v>
      </c>
      <c r="V200" s="237" t="s">
        <v>235</v>
      </c>
      <c r="W200" s="245" t="s">
        <v>228</v>
      </c>
      <c r="X200" s="237" t="s">
        <v>1421</v>
      </c>
      <c r="Y200" s="237" t="s">
        <v>237</v>
      </c>
      <c r="Z200" s="237" t="s">
        <v>237</v>
      </c>
      <c r="AA200" s="237" t="s">
        <v>1422</v>
      </c>
      <c r="AB200" s="237" t="s">
        <v>228</v>
      </c>
      <c r="AC200" s="237" t="s">
        <v>228</v>
      </c>
    </row>
    <row r="201" spans="1:29" ht="13.5" customHeight="1">
      <c r="A201" s="235">
        <v>199</v>
      </c>
      <c r="B201" s="237">
        <v>95</v>
      </c>
      <c r="C201" s="243" t="s">
        <v>1423</v>
      </c>
      <c r="D201" s="237" t="s">
        <v>1424</v>
      </c>
      <c r="E201" s="237">
        <v>75</v>
      </c>
      <c r="F201" s="237" t="s">
        <v>75</v>
      </c>
      <c r="G201" s="237" t="s">
        <v>1425</v>
      </c>
      <c r="H201" s="243" t="s">
        <v>4</v>
      </c>
      <c r="I201" s="243"/>
      <c r="J201" s="240" t="s">
        <v>886</v>
      </c>
      <c r="K201" s="240" t="s">
        <v>917</v>
      </c>
      <c r="L201" s="237"/>
      <c r="M201" s="246" t="s">
        <v>228</v>
      </c>
      <c r="N201" s="237" t="s">
        <v>1426</v>
      </c>
      <c r="O201" s="237" t="s">
        <v>1427</v>
      </c>
      <c r="P201" s="237" t="s">
        <v>231</v>
      </c>
      <c r="Q201" s="245">
        <v>44944</v>
      </c>
      <c r="R201" s="237" t="s">
        <v>309</v>
      </c>
      <c r="S201" s="331" t="s">
        <v>233</v>
      </c>
      <c r="T201" s="237">
        <v>8.8000000000000007</v>
      </c>
      <c r="U201" s="237" t="s">
        <v>234</v>
      </c>
      <c r="V201" s="237" t="s">
        <v>235</v>
      </c>
      <c r="W201" s="245" t="s">
        <v>228</v>
      </c>
      <c r="X201" s="237" t="s">
        <v>1428</v>
      </c>
      <c r="Y201" s="237" t="s">
        <v>237</v>
      </c>
      <c r="Z201" s="237" t="s">
        <v>228</v>
      </c>
      <c r="AA201" s="237" t="s">
        <v>1429</v>
      </c>
      <c r="AB201" s="237" t="s">
        <v>228</v>
      </c>
      <c r="AC201" s="237" t="s">
        <v>228</v>
      </c>
    </row>
    <row r="202" spans="1:29" ht="13.5" customHeight="1">
      <c r="A202" s="235">
        <v>200</v>
      </c>
      <c r="B202" s="237">
        <v>96</v>
      </c>
      <c r="C202" s="243" t="s">
        <v>1430</v>
      </c>
      <c r="D202" s="237" t="s">
        <v>1431</v>
      </c>
      <c r="E202" s="237">
        <v>75</v>
      </c>
      <c r="F202" s="237" t="s">
        <v>60</v>
      </c>
      <c r="G202" s="237" t="s">
        <v>1432</v>
      </c>
      <c r="H202" s="243" t="s">
        <v>4</v>
      </c>
      <c r="I202" s="243"/>
      <c r="J202" s="240" t="s">
        <v>886</v>
      </c>
      <c r="K202" s="240" t="s">
        <v>887</v>
      </c>
      <c r="L202" s="237"/>
      <c r="M202" s="246" t="s">
        <v>228</v>
      </c>
      <c r="N202" s="237" t="s">
        <v>1433</v>
      </c>
      <c r="O202" s="237" t="s">
        <v>1434</v>
      </c>
      <c r="P202" s="237" t="s">
        <v>231</v>
      </c>
      <c r="Q202" s="245">
        <v>44945</v>
      </c>
      <c r="R202" s="237" t="s">
        <v>309</v>
      </c>
      <c r="S202" s="331" t="s">
        <v>233</v>
      </c>
      <c r="T202" s="237">
        <v>8.3000000000000007</v>
      </c>
      <c r="U202" s="237" t="s">
        <v>234</v>
      </c>
      <c r="V202" s="237" t="s">
        <v>235</v>
      </c>
      <c r="W202" s="245" t="s">
        <v>228</v>
      </c>
      <c r="X202" s="237" t="s">
        <v>1435</v>
      </c>
      <c r="Y202" s="237" t="s">
        <v>237</v>
      </c>
      <c r="Z202" s="237" t="s">
        <v>228</v>
      </c>
      <c r="AA202" s="237" t="s">
        <v>1436</v>
      </c>
      <c r="AB202" s="237" t="s">
        <v>228</v>
      </c>
      <c r="AC202" s="237" t="s">
        <v>228</v>
      </c>
    </row>
    <row r="203" spans="1:29" ht="13.5" customHeight="1">
      <c r="A203" s="235">
        <v>201</v>
      </c>
      <c r="B203" s="237">
        <v>98</v>
      </c>
      <c r="C203" s="243" t="s">
        <v>1437</v>
      </c>
      <c r="D203" s="237" t="s">
        <v>1438</v>
      </c>
      <c r="E203" s="237">
        <v>69</v>
      </c>
      <c r="F203" s="237" t="s">
        <v>60</v>
      </c>
      <c r="G203" s="237" t="s">
        <v>1439</v>
      </c>
      <c r="H203" s="243" t="s">
        <v>4</v>
      </c>
      <c r="I203" s="243"/>
      <c r="J203" s="240" t="s">
        <v>886</v>
      </c>
      <c r="K203" s="240" t="s">
        <v>948</v>
      </c>
      <c r="L203" s="237"/>
      <c r="M203" s="246" t="s">
        <v>228</v>
      </c>
      <c r="N203" s="237" t="s">
        <v>1440</v>
      </c>
      <c r="O203" s="237" t="s">
        <v>1441</v>
      </c>
      <c r="P203" s="237" t="s">
        <v>231</v>
      </c>
      <c r="Q203" s="245">
        <v>44946</v>
      </c>
      <c r="R203" s="237" t="s">
        <v>309</v>
      </c>
      <c r="S203" s="331" t="s">
        <v>233</v>
      </c>
      <c r="T203" s="237">
        <v>8.6999999999999993</v>
      </c>
      <c r="U203" s="237" t="s">
        <v>234</v>
      </c>
      <c r="V203" s="237" t="s">
        <v>235</v>
      </c>
      <c r="W203" s="245" t="s">
        <v>228</v>
      </c>
      <c r="X203" s="237" t="s">
        <v>1442</v>
      </c>
      <c r="Y203" s="237" t="s">
        <v>237</v>
      </c>
      <c r="Z203" s="237" t="s">
        <v>237</v>
      </c>
      <c r="AA203" s="237" t="s">
        <v>1443</v>
      </c>
      <c r="AB203" s="237" t="s">
        <v>228</v>
      </c>
      <c r="AC203" s="237" t="s">
        <v>228</v>
      </c>
    </row>
    <row r="204" spans="1:29" ht="13.5" customHeight="1">
      <c r="A204" s="235">
        <v>202</v>
      </c>
      <c r="B204" s="237">
        <v>84</v>
      </c>
      <c r="C204" s="243" t="s">
        <v>1444</v>
      </c>
      <c r="D204" s="237" t="s">
        <v>1445</v>
      </c>
      <c r="E204" s="237">
        <v>52</v>
      </c>
      <c r="F204" s="237" t="s">
        <v>75</v>
      </c>
      <c r="G204" s="237" t="s">
        <v>1446</v>
      </c>
      <c r="H204" s="243" t="s">
        <v>3</v>
      </c>
      <c r="I204" s="243"/>
      <c r="J204" s="240" t="s">
        <v>886</v>
      </c>
      <c r="K204" s="240" t="s">
        <v>903</v>
      </c>
      <c r="L204" s="237"/>
      <c r="M204" s="246" t="s">
        <v>228</v>
      </c>
      <c r="N204" s="248" t="s">
        <v>1447</v>
      </c>
      <c r="O204" s="237" t="s">
        <v>1448</v>
      </c>
      <c r="P204" s="237" t="s">
        <v>231</v>
      </c>
      <c r="Q204" s="245">
        <v>44950</v>
      </c>
      <c r="R204" s="237" t="s">
        <v>309</v>
      </c>
      <c r="S204" s="331" t="s">
        <v>233</v>
      </c>
      <c r="T204" s="237">
        <v>8.3000000000000007</v>
      </c>
      <c r="U204" s="237" t="s">
        <v>234</v>
      </c>
      <c r="V204" s="237" t="s">
        <v>235</v>
      </c>
      <c r="W204" s="245" t="s">
        <v>228</v>
      </c>
      <c r="X204" s="237" t="s">
        <v>1449</v>
      </c>
      <c r="Y204" s="237" t="s">
        <v>237</v>
      </c>
      <c r="Z204" s="237" t="s">
        <v>228</v>
      </c>
      <c r="AA204" s="237" t="s">
        <v>228</v>
      </c>
      <c r="AB204" s="237" t="s">
        <v>228</v>
      </c>
      <c r="AC204" s="237" t="s">
        <v>228</v>
      </c>
    </row>
    <row r="205" spans="1:29" ht="13.5" customHeight="1">
      <c r="A205" s="235">
        <v>203</v>
      </c>
      <c r="B205" s="237">
        <v>13</v>
      </c>
      <c r="C205" s="243" t="s">
        <v>1450</v>
      </c>
      <c r="D205" s="237" t="s">
        <v>1451</v>
      </c>
      <c r="E205" s="237">
        <v>38</v>
      </c>
      <c r="F205" s="237" t="s">
        <v>60</v>
      </c>
      <c r="G205" s="237" t="s">
        <v>1452</v>
      </c>
      <c r="H205" s="243" t="s">
        <v>4</v>
      </c>
      <c r="I205" s="243"/>
      <c r="J205" s="240" t="s">
        <v>886</v>
      </c>
      <c r="K205" s="240" t="s">
        <v>1404</v>
      </c>
      <c r="L205" s="237"/>
      <c r="M205" s="246" t="s">
        <v>228</v>
      </c>
      <c r="N205" s="237" t="s">
        <v>1453</v>
      </c>
      <c r="O205" s="237" t="s">
        <v>1454</v>
      </c>
      <c r="P205" s="237" t="s">
        <v>231</v>
      </c>
      <c r="Q205" s="245">
        <v>44950</v>
      </c>
      <c r="R205" s="237" t="s">
        <v>309</v>
      </c>
      <c r="S205" s="331" t="s">
        <v>233</v>
      </c>
      <c r="T205" s="237">
        <v>8.9</v>
      </c>
      <c r="U205" s="237" t="s">
        <v>234</v>
      </c>
      <c r="V205" s="237" t="s">
        <v>235</v>
      </c>
      <c r="W205" s="245" t="s">
        <v>228</v>
      </c>
      <c r="X205" s="237" t="s">
        <v>1455</v>
      </c>
      <c r="Y205" s="237" t="s">
        <v>237</v>
      </c>
      <c r="Z205" s="237" t="s">
        <v>228</v>
      </c>
      <c r="AA205" s="237" t="s">
        <v>1456</v>
      </c>
      <c r="AB205" s="237" t="s">
        <v>228</v>
      </c>
      <c r="AC205" s="237" t="s">
        <v>228</v>
      </c>
    </row>
    <row r="206" spans="1:29" ht="13.5" customHeight="1">
      <c r="A206" s="235">
        <v>204</v>
      </c>
      <c r="B206" s="237">
        <v>14</v>
      </c>
      <c r="C206" s="243" t="s">
        <v>1457</v>
      </c>
      <c r="D206" s="237" t="s">
        <v>1458</v>
      </c>
      <c r="E206" s="237">
        <v>65</v>
      </c>
      <c r="F206" s="237" t="s">
        <v>60</v>
      </c>
      <c r="G206" s="237" t="s">
        <v>1459</v>
      </c>
      <c r="H206" s="243" t="s">
        <v>4</v>
      </c>
      <c r="I206" s="243"/>
      <c r="J206" s="240" t="s">
        <v>886</v>
      </c>
      <c r="K206" s="240" t="s">
        <v>1404</v>
      </c>
      <c r="L206" s="237"/>
      <c r="M206" s="246" t="s">
        <v>228</v>
      </c>
      <c r="N206" s="237" t="s">
        <v>1460</v>
      </c>
      <c r="O206" s="237" t="s">
        <v>228</v>
      </c>
      <c r="P206" s="237" t="s">
        <v>231</v>
      </c>
      <c r="Q206" s="245">
        <v>44953</v>
      </c>
      <c r="R206" s="237" t="s">
        <v>309</v>
      </c>
      <c r="S206" s="331" t="s">
        <v>233</v>
      </c>
      <c r="T206" s="237">
        <v>8.8000000000000007</v>
      </c>
      <c r="U206" s="237" t="s">
        <v>234</v>
      </c>
      <c r="V206" s="237" t="s">
        <v>235</v>
      </c>
      <c r="W206" s="245" t="s">
        <v>228</v>
      </c>
      <c r="X206" s="237" t="s">
        <v>1461</v>
      </c>
      <c r="Y206" s="237" t="s">
        <v>237</v>
      </c>
      <c r="Z206" s="237" t="s">
        <v>228</v>
      </c>
      <c r="AA206" s="237" t="s">
        <v>1462</v>
      </c>
      <c r="AB206" s="237" t="s">
        <v>228</v>
      </c>
      <c r="AC206" s="237" t="s">
        <v>228</v>
      </c>
    </row>
    <row r="207" spans="1:29" ht="13.5" customHeight="1">
      <c r="A207" s="235">
        <v>205</v>
      </c>
      <c r="B207" s="237">
        <v>15</v>
      </c>
      <c r="C207" s="243" t="s">
        <v>1463</v>
      </c>
      <c r="D207" s="237" t="s">
        <v>1464</v>
      </c>
      <c r="E207" s="237">
        <v>31</v>
      </c>
      <c r="F207" s="237" t="s">
        <v>60</v>
      </c>
      <c r="G207" s="237" t="s">
        <v>1465</v>
      </c>
      <c r="H207" s="243" t="s">
        <v>3</v>
      </c>
      <c r="I207" s="243"/>
      <c r="J207" s="240" t="s">
        <v>924</v>
      </c>
      <c r="K207" s="240" t="s">
        <v>887</v>
      </c>
      <c r="L207" s="237"/>
      <c r="M207" s="246" t="s">
        <v>228</v>
      </c>
      <c r="N207" s="237" t="s">
        <v>1466</v>
      </c>
      <c r="O207" s="237" t="s">
        <v>228</v>
      </c>
      <c r="P207" s="237" t="s">
        <v>231</v>
      </c>
      <c r="Q207" s="245">
        <v>44953</v>
      </c>
      <c r="R207" s="237" t="s">
        <v>309</v>
      </c>
      <c r="S207" s="331" t="s">
        <v>233</v>
      </c>
      <c r="T207" s="237">
        <v>8.6999999999999993</v>
      </c>
      <c r="U207" s="237" t="s">
        <v>234</v>
      </c>
      <c r="V207" s="237" t="s">
        <v>235</v>
      </c>
      <c r="W207" s="245" t="s">
        <v>228</v>
      </c>
      <c r="X207" s="237" t="s">
        <v>1467</v>
      </c>
      <c r="Y207" s="237" t="s">
        <v>237</v>
      </c>
      <c r="Z207" s="237" t="s">
        <v>228</v>
      </c>
      <c r="AA207" s="237" t="s">
        <v>1468</v>
      </c>
      <c r="AB207" s="237" t="s">
        <v>228</v>
      </c>
      <c r="AC207" s="237" t="s">
        <v>228</v>
      </c>
    </row>
    <row r="208" spans="1:29" ht="13.5" customHeight="1">
      <c r="A208" s="235">
        <v>206</v>
      </c>
      <c r="B208" s="237">
        <v>17</v>
      </c>
      <c r="C208" s="243" t="s">
        <v>1469</v>
      </c>
      <c r="D208" s="237" t="s">
        <v>1470</v>
      </c>
      <c r="E208" s="237">
        <v>49</v>
      </c>
      <c r="F208" s="237" t="s">
        <v>60</v>
      </c>
      <c r="G208" s="237" t="s">
        <v>1471</v>
      </c>
      <c r="H208" s="243" t="s">
        <v>4</v>
      </c>
      <c r="I208" s="243"/>
      <c r="J208" s="240" t="s">
        <v>886</v>
      </c>
      <c r="K208" s="240" t="s">
        <v>948</v>
      </c>
      <c r="L208" s="237"/>
      <c r="M208" s="246" t="s">
        <v>228</v>
      </c>
      <c r="N208" s="237" t="s">
        <v>1472</v>
      </c>
      <c r="O208" s="237" t="s">
        <v>228</v>
      </c>
      <c r="P208" s="237" t="s">
        <v>231</v>
      </c>
      <c r="Q208" s="245">
        <v>44953</v>
      </c>
      <c r="R208" s="237" t="s">
        <v>309</v>
      </c>
      <c r="S208" s="331" t="s">
        <v>233</v>
      </c>
      <c r="T208" s="237">
        <v>8.6</v>
      </c>
      <c r="U208" s="237" t="s">
        <v>234</v>
      </c>
      <c r="V208" s="237" t="s">
        <v>235</v>
      </c>
      <c r="W208" s="245" t="s">
        <v>228</v>
      </c>
      <c r="X208" s="237" t="s">
        <v>1473</v>
      </c>
      <c r="Y208" s="237" t="s">
        <v>237</v>
      </c>
      <c r="Z208" s="237" t="s">
        <v>237</v>
      </c>
      <c r="AA208" s="237" t="s">
        <v>1474</v>
      </c>
      <c r="AB208" s="237" t="s">
        <v>228</v>
      </c>
      <c r="AC208" s="237" t="s">
        <v>228</v>
      </c>
    </row>
    <row r="209" spans="1:29" ht="13.5" customHeight="1">
      <c r="A209" s="235">
        <v>207</v>
      </c>
      <c r="B209" s="237">
        <v>18</v>
      </c>
      <c r="C209" s="243" t="s">
        <v>1475</v>
      </c>
      <c r="D209" s="237" t="s">
        <v>1476</v>
      </c>
      <c r="E209" s="237">
        <v>72</v>
      </c>
      <c r="F209" s="237" t="s">
        <v>75</v>
      </c>
      <c r="G209" s="237" t="s">
        <v>1477</v>
      </c>
      <c r="H209" s="243" t="s">
        <v>4</v>
      </c>
      <c r="I209" s="243"/>
      <c r="J209" s="240" t="s">
        <v>886</v>
      </c>
      <c r="K209" s="240" t="s">
        <v>948</v>
      </c>
      <c r="L209" s="237"/>
      <c r="M209" s="246" t="s">
        <v>228</v>
      </c>
      <c r="N209" s="237" t="s">
        <v>1478</v>
      </c>
      <c r="O209" s="237" t="s">
        <v>1479</v>
      </c>
      <c r="P209" s="237" t="s">
        <v>231</v>
      </c>
      <c r="Q209" s="245">
        <v>44956</v>
      </c>
      <c r="R209" s="237" t="s">
        <v>309</v>
      </c>
      <c r="S209" s="331" t="s">
        <v>233</v>
      </c>
      <c r="T209" s="237">
        <v>9</v>
      </c>
      <c r="U209" s="237" t="s">
        <v>234</v>
      </c>
      <c r="V209" s="237" t="s">
        <v>235</v>
      </c>
      <c r="W209" s="245" t="s">
        <v>228</v>
      </c>
      <c r="X209" s="237" t="s">
        <v>1480</v>
      </c>
      <c r="Y209" s="237" t="s">
        <v>237</v>
      </c>
      <c r="Z209" s="237" t="s">
        <v>237</v>
      </c>
      <c r="AA209" s="237" t="s">
        <v>1481</v>
      </c>
      <c r="AB209" s="237" t="s">
        <v>228</v>
      </c>
      <c r="AC209" s="237" t="s">
        <v>228</v>
      </c>
    </row>
    <row r="210" spans="1:29" ht="13.5" customHeight="1">
      <c r="A210" s="235">
        <v>208</v>
      </c>
      <c r="B210" s="237">
        <v>19</v>
      </c>
      <c r="C210" s="243" t="s">
        <v>1482</v>
      </c>
      <c r="D210" s="237" t="s">
        <v>1483</v>
      </c>
      <c r="E210" s="237">
        <v>62</v>
      </c>
      <c r="F210" s="237" t="s">
        <v>75</v>
      </c>
      <c r="G210" s="237" t="s">
        <v>1484</v>
      </c>
      <c r="H210" s="243" t="s">
        <v>3</v>
      </c>
      <c r="I210" s="243"/>
      <c r="J210" s="240" t="s">
        <v>886</v>
      </c>
      <c r="K210" s="240" t="s">
        <v>1485</v>
      </c>
      <c r="L210" s="237"/>
      <c r="M210" s="246" t="s">
        <v>228</v>
      </c>
      <c r="N210" s="237" t="s">
        <v>4388</v>
      </c>
      <c r="O210" s="237" t="s">
        <v>1487</v>
      </c>
      <c r="P210" s="237" t="s">
        <v>231</v>
      </c>
      <c r="Q210" s="245">
        <v>44956</v>
      </c>
      <c r="R210" s="237" t="s">
        <v>309</v>
      </c>
      <c r="S210" s="331" t="s">
        <v>233</v>
      </c>
      <c r="T210" s="237">
        <v>8.6999999999999993</v>
      </c>
      <c r="U210" s="237" t="s">
        <v>234</v>
      </c>
      <c r="V210" s="237" t="s">
        <v>235</v>
      </c>
      <c r="W210" s="245" t="s">
        <v>228</v>
      </c>
      <c r="X210" s="237" t="s">
        <v>1488</v>
      </c>
      <c r="Y210" s="237" t="s">
        <v>237</v>
      </c>
      <c r="Z210" s="237" t="s">
        <v>228</v>
      </c>
      <c r="AA210" s="237" t="s">
        <v>1489</v>
      </c>
      <c r="AB210" s="237" t="s">
        <v>228</v>
      </c>
      <c r="AC210" s="237" t="s">
        <v>228</v>
      </c>
    </row>
    <row r="211" spans="1:29" ht="13.5" customHeight="1">
      <c r="A211" s="235">
        <v>209</v>
      </c>
      <c r="B211" s="237">
        <v>11</v>
      </c>
      <c r="C211" s="243" t="s">
        <v>1490</v>
      </c>
      <c r="D211" s="237" t="s">
        <v>1491</v>
      </c>
      <c r="E211" s="237">
        <v>52</v>
      </c>
      <c r="F211" s="237" t="s">
        <v>75</v>
      </c>
      <c r="G211" s="237" t="s">
        <v>1492</v>
      </c>
      <c r="H211" s="243" t="s">
        <v>4</v>
      </c>
      <c r="I211" s="243"/>
      <c r="J211" s="240" t="s">
        <v>886</v>
      </c>
      <c r="K211" s="240" t="s">
        <v>887</v>
      </c>
      <c r="L211" s="237"/>
      <c r="M211" s="246" t="s">
        <v>228</v>
      </c>
      <c r="N211" s="237" t="s">
        <v>1493</v>
      </c>
      <c r="O211" s="237" t="s">
        <v>1494</v>
      </c>
      <c r="P211" s="237" t="s">
        <v>231</v>
      </c>
      <c r="Q211" s="245">
        <v>44956</v>
      </c>
      <c r="R211" s="237" t="s">
        <v>309</v>
      </c>
      <c r="S211" s="331" t="s">
        <v>233</v>
      </c>
      <c r="T211" s="237">
        <v>9</v>
      </c>
      <c r="U211" s="237" t="s">
        <v>234</v>
      </c>
      <c r="V211" s="237" t="s">
        <v>235</v>
      </c>
      <c r="W211" s="245" t="s">
        <v>228</v>
      </c>
      <c r="X211" s="237" t="s">
        <v>1495</v>
      </c>
      <c r="Y211" s="237" t="s">
        <v>237</v>
      </c>
      <c r="Z211" s="237" t="s">
        <v>228</v>
      </c>
      <c r="AA211" s="237" t="s">
        <v>1496</v>
      </c>
      <c r="AB211" s="237" t="s">
        <v>228</v>
      </c>
      <c r="AC211" s="237" t="s">
        <v>228</v>
      </c>
    </row>
    <row r="212" spans="1:29" ht="13.5" customHeight="1">
      <c r="A212" s="235">
        <v>210</v>
      </c>
      <c r="B212" s="237">
        <v>111</v>
      </c>
      <c r="C212" s="243" t="s">
        <v>1497</v>
      </c>
      <c r="D212" s="237" t="s">
        <v>1498</v>
      </c>
      <c r="E212" s="237">
        <v>26</v>
      </c>
      <c r="F212" s="237" t="s">
        <v>75</v>
      </c>
      <c r="G212" s="237" t="s">
        <v>1499</v>
      </c>
      <c r="H212" s="243" t="s">
        <v>4</v>
      </c>
      <c r="I212" s="243"/>
      <c r="J212" s="240" t="s">
        <v>886</v>
      </c>
      <c r="K212" s="240" t="s">
        <v>1404</v>
      </c>
      <c r="L212" s="237"/>
      <c r="M212" s="246" t="s">
        <v>228</v>
      </c>
      <c r="N212" s="237" t="s">
        <v>1500</v>
      </c>
      <c r="O212" s="237" t="s">
        <v>1501</v>
      </c>
      <c r="P212" s="237" t="s">
        <v>231</v>
      </c>
      <c r="Q212" s="245">
        <v>44957</v>
      </c>
      <c r="R212" s="237" t="s">
        <v>309</v>
      </c>
      <c r="S212" s="331" t="s">
        <v>233</v>
      </c>
      <c r="T212" s="237">
        <v>9.1</v>
      </c>
      <c r="U212" s="237" t="s">
        <v>234</v>
      </c>
      <c r="V212" s="237" t="s">
        <v>235</v>
      </c>
      <c r="W212" s="245" t="s">
        <v>228</v>
      </c>
      <c r="X212" s="237" t="s">
        <v>1502</v>
      </c>
      <c r="Y212" s="237" t="s">
        <v>237</v>
      </c>
      <c r="Z212" s="237" t="s">
        <v>228</v>
      </c>
      <c r="AA212" s="237" t="s">
        <v>1503</v>
      </c>
      <c r="AB212" s="237" t="s">
        <v>228</v>
      </c>
      <c r="AC212" s="237" t="s">
        <v>228</v>
      </c>
    </row>
    <row r="213" spans="1:29" ht="13.5" customHeight="1">
      <c r="A213" s="235">
        <v>211</v>
      </c>
      <c r="B213" s="237">
        <v>112</v>
      </c>
      <c r="C213" s="243" t="s">
        <v>1504</v>
      </c>
      <c r="D213" s="237" t="s">
        <v>1505</v>
      </c>
      <c r="E213" s="237">
        <v>57</v>
      </c>
      <c r="F213" s="237" t="s">
        <v>75</v>
      </c>
      <c r="G213" s="237" t="s">
        <v>1506</v>
      </c>
      <c r="H213" s="243" t="s">
        <v>4</v>
      </c>
      <c r="I213" s="243"/>
      <c r="J213" s="240" t="s">
        <v>886</v>
      </c>
      <c r="K213" s="240" t="s">
        <v>887</v>
      </c>
      <c r="L213" s="237"/>
      <c r="M213" s="246" t="s">
        <v>228</v>
      </c>
      <c r="N213" s="237" t="s">
        <v>1507</v>
      </c>
      <c r="O213" s="237" t="s">
        <v>1508</v>
      </c>
      <c r="P213" s="237" t="s">
        <v>231</v>
      </c>
      <c r="Q213" s="245">
        <v>44958</v>
      </c>
      <c r="R213" s="237" t="s">
        <v>309</v>
      </c>
      <c r="S213" s="331" t="s">
        <v>233</v>
      </c>
      <c r="T213" s="237">
        <v>9.1</v>
      </c>
      <c r="U213" s="237" t="s">
        <v>234</v>
      </c>
      <c r="V213" s="237" t="s">
        <v>235</v>
      </c>
      <c r="W213" s="245" t="s">
        <v>228</v>
      </c>
      <c r="X213" s="237" t="s">
        <v>1509</v>
      </c>
      <c r="Y213" s="237" t="s">
        <v>237</v>
      </c>
      <c r="Z213" s="237" t="s">
        <v>228</v>
      </c>
      <c r="AA213" s="237" t="s">
        <v>1510</v>
      </c>
      <c r="AB213" s="237" t="s">
        <v>228</v>
      </c>
      <c r="AC213" s="237" t="s">
        <v>228</v>
      </c>
    </row>
    <row r="214" spans="1:29" ht="13.5" customHeight="1">
      <c r="A214" s="235">
        <v>212</v>
      </c>
      <c r="B214" s="237">
        <v>113</v>
      </c>
      <c r="C214" s="243" t="s">
        <v>1511</v>
      </c>
      <c r="D214" s="237" t="s">
        <v>1512</v>
      </c>
      <c r="E214" s="237">
        <v>71</v>
      </c>
      <c r="F214" s="237" t="s">
        <v>60</v>
      </c>
      <c r="G214" s="237" t="s">
        <v>1513</v>
      </c>
      <c r="H214" s="243" t="s">
        <v>4</v>
      </c>
      <c r="I214" s="243"/>
      <c r="J214" s="240" t="s">
        <v>886</v>
      </c>
      <c r="K214" s="240" t="s">
        <v>1514</v>
      </c>
      <c r="L214" s="237"/>
      <c r="M214" s="246" t="s">
        <v>228</v>
      </c>
      <c r="N214" s="237" t="s">
        <v>1515</v>
      </c>
      <c r="O214" s="237" t="s">
        <v>228</v>
      </c>
      <c r="P214" s="237" t="s">
        <v>231</v>
      </c>
      <c r="Q214" s="245">
        <v>44958</v>
      </c>
      <c r="R214" s="237" t="s">
        <v>309</v>
      </c>
      <c r="S214" s="331" t="s">
        <v>233</v>
      </c>
      <c r="T214" s="237">
        <v>9.1</v>
      </c>
      <c r="U214" s="237" t="s">
        <v>234</v>
      </c>
      <c r="V214" s="237" t="s">
        <v>235</v>
      </c>
      <c r="W214" s="245" t="s">
        <v>228</v>
      </c>
      <c r="X214" s="237" t="s">
        <v>1516</v>
      </c>
      <c r="Y214" s="237" t="s">
        <v>237</v>
      </c>
      <c r="Z214" s="237" t="s">
        <v>228</v>
      </c>
      <c r="AA214" s="237" t="s">
        <v>1517</v>
      </c>
      <c r="AB214" s="237" t="s">
        <v>228</v>
      </c>
      <c r="AC214" s="237" t="s">
        <v>228</v>
      </c>
    </row>
    <row r="215" spans="1:29" ht="13.5" customHeight="1">
      <c r="A215" s="235">
        <v>213</v>
      </c>
      <c r="B215" s="237">
        <v>12</v>
      </c>
      <c r="C215" s="243" t="s">
        <v>1518</v>
      </c>
      <c r="D215" s="237" t="s">
        <v>1519</v>
      </c>
      <c r="E215" s="237">
        <v>65</v>
      </c>
      <c r="F215" s="237" t="s">
        <v>75</v>
      </c>
      <c r="G215" s="237" t="s">
        <v>1520</v>
      </c>
      <c r="H215" s="243" t="s">
        <v>4</v>
      </c>
      <c r="I215" s="243"/>
      <c r="J215" s="240" t="s">
        <v>886</v>
      </c>
      <c r="K215" s="240" t="s">
        <v>887</v>
      </c>
      <c r="L215" s="237"/>
      <c r="M215" s="246" t="s">
        <v>228</v>
      </c>
      <c r="N215" s="237" t="s">
        <v>1521</v>
      </c>
      <c r="O215" s="237" t="s">
        <v>228</v>
      </c>
      <c r="P215" s="237" t="s">
        <v>231</v>
      </c>
      <c r="Q215" s="245">
        <v>44966</v>
      </c>
      <c r="R215" s="237" t="s">
        <v>309</v>
      </c>
      <c r="S215" s="331" t="s">
        <v>233</v>
      </c>
      <c r="T215" s="237">
        <v>8.9</v>
      </c>
      <c r="U215" s="237" t="s">
        <v>234</v>
      </c>
      <c r="V215" s="237" t="s">
        <v>235</v>
      </c>
      <c r="W215" s="245" t="s">
        <v>228</v>
      </c>
      <c r="X215" s="237" t="s">
        <v>1522</v>
      </c>
      <c r="Y215" s="237" t="s">
        <v>237</v>
      </c>
      <c r="Z215" s="237" t="s">
        <v>228</v>
      </c>
      <c r="AA215" s="237" t="s">
        <v>1523</v>
      </c>
      <c r="AB215" s="237" t="s">
        <v>228</v>
      </c>
      <c r="AC215" s="237" t="s">
        <v>228</v>
      </c>
    </row>
    <row r="216" spans="1:29" ht="13.5" customHeight="1">
      <c r="A216" s="235">
        <v>214</v>
      </c>
      <c r="B216" s="237">
        <v>126</v>
      </c>
      <c r="C216" s="243" t="s">
        <v>1524</v>
      </c>
      <c r="D216" s="237" t="s">
        <v>1525</v>
      </c>
      <c r="E216" s="237">
        <v>59</v>
      </c>
      <c r="F216" s="237" t="s">
        <v>60</v>
      </c>
      <c r="G216" s="237" t="s">
        <v>1526</v>
      </c>
      <c r="H216" s="243" t="s">
        <v>4</v>
      </c>
      <c r="I216" s="243"/>
      <c r="J216" s="240" t="s">
        <v>886</v>
      </c>
      <c r="K216" s="240" t="s">
        <v>887</v>
      </c>
      <c r="L216" s="237"/>
      <c r="M216" s="246" t="s">
        <v>228</v>
      </c>
      <c r="N216" s="237" t="s">
        <v>1527</v>
      </c>
      <c r="O216" s="237" t="s">
        <v>1528</v>
      </c>
      <c r="P216" s="237" t="s">
        <v>231</v>
      </c>
      <c r="Q216" s="245">
        <v>44974</v>
      </c>
      <c r="R216" s="237" t="s">
        <v>309</v>
      </c>
      <c r="S216" s="331" t="s">
        <v>233</v>
      </c>
      <c r="T216" s="237">
        <v>8.5</v>
      </c>
      <c r="U216" s="237" t="s">
        <v>234</v>
      </c>
      <c r="V216" s="237" t="s">
        <v>235</v>
      </c>
      <c r="W216" s="245" t="s">
        <v>228</v>
      </c>
      <c r="X216" s="237" t="s">
        <v>1529</v>
      </c>
      <c r="Y216" s="237" t="s">
        <v>237</v>
      </c>
      <c r="Z216" s="237" t="s">
        <v>228</v>
      </c>
      <c r="AA216" s="237" t="s">
        <v>1530</v>
      </c>
      <c r="AB216" s="237" t="s">
        <v>228</v>
      </c>
      <c r="AC216" s="237" t="s">
        <v>228</v>
      </c>
    </row>
    <row r="217" spans="1:29" ht="13.5" customHeight="1">
      <c r="A217" s="235">
        <v>215</v>
      </c>
      <c r="B217" s="237">
        <v>9</v>
      </c>
      <c r="C217" s="243" t="s">
        <v>1531</v>
      </c>
      <c r="D217" s="237" t="s">
        <v>1532</v>
      </c>
      <c r="E217" s="237">
        <v>67</v>
      </c>
      <c r="F217" s="237" t="s">
        <v>60</v>
      </c>
      <c r="G217" s="237" t="s">
        <v>1533</v>
      </c>
      <c r="H217" s="243" t="s">
        <v>4</v>
      </c>
      <c r="I217" s="243"/>
      <c r="J217" s="240" t="s">
        <v>886</v>
      </c>
      <c r="K217" s="240" t="s">
        <v>1534</v>
      </c>
      <c r="L217" s="237"/>
      <c r="M217" s="246" t="s">
        <v>228</v>
      </c>
      <c r="N217" s="237" t="s">
        <v>1535</v>
      </c>
      <c r="O217" s="237" t="s">
        <v>1536</v>
      </c>
      <c r="P217" s="237" t="s">
        <v>231</v>
      </c>
      <c r="Q217" s="245">
        <v>44938</v>
      </c>
      <c r="R217" s="237" t="s">
        <v>309</v>
      </c>
      <c r="S217" s="331" t="s">
        <v>233</v>
      </c>
      <c r="T217" s="237">
        <v>8.5</v>
      </c>
      <c r="U217" s="237" t="s">
        <v>234</v>
      </c>
      <c r="V217" s="237" t="s">
        <v>235</v>
      </c>
      <c r="W217" s="245">
        <v>45076</v>
      </c>
      <c r="X217" s="237" t="s">
        <v>1537</v>
      </c>
      <c r="Y217" s="237" t="s">
        <v>237</v>
      </c>
      <c r="Z217" s="237" t="s">
        <v>228</v>
      </c>
      <c r="AA217" s="237" t="s">
        <v>228</v>
      </c>
      <c r="AB217" s="237" t="s">
        <v>228</v>
      </c>
      <c r="AC217" s="237" t="s">
        <v>228</v>
      </c>
    </row>
    <row r="218" spans="1:29" ht="13.5" customHeight="1">
      <c r="A218" s="235">
        <v>216</v>
      </c>
      <c r="B218" s="237">
        <v>68</v>
      </c>
      <c r="C218" s="243" t="s">
        <v>1538</v>
      </c>
      <c r="D218" s="237" t="s">
        <v>1539</v>
      </c>
      <c r="E218" s="237">
        <v>66</v>
      </c>
      <c r="F218" s="237" t="s">
        <v>60</v>
      </c>
      <c r="G218" s="237" t="s">
        <v>1540</v>
      </c>
      <c r="H218" s="243" t="s">
        <v>5</v>
      </c>
      <c r="I218" s="240"/>
      <c r="J218" s="240" t="s">
        <v>886</v>
      </c>
      <c r="K218" s="240" t="s">
        <v>948</v>
      </c>
      <c r="L218" s="237"/>
      <c r="M218" s="246" t="s">
        <v>228</v>
      </c>
      <c r="N218" s="237" t="s">
        <v>1541</v>
      </c>
      <c r="O218" s="237" t="s">
        <v>228</v>
      </c>
      <c r="P218" s="237" t="s">
        <v>231</v>
      </c>
      <c r="Q218" s="245">
        <v>44921</v>
      </c>
      <c r="R218" s="237" t="s">
        <v>232</v>
      </c>
      <c r="S218" s="331" t="s">
        <v>233</v>
      </c>
      <c r="T218" s="237">
        <v>7.9</v>
      </c>
      <c r="U218" s="237" t="s">
        <v>234</v>
      </c>
      <c r="V218" s="237" t="s">
        <v>235</v>
      </c>
      <c r="W218" s="245">
        <v>45076</v>
      </c>
      <c r="X218" s="237" t="s">
        <v>1542</v>
      </c>
      <c r="Y218" s="237" t="s">
        <v>237</v>
      </c>
      <c r="Z218" s="237" t="s">
        <v>237</v>
      </c>
      <c r="AA218" s="237" t="s">
        <v>228</v>
      </c>
      <c r="AB218" s="237" t="s">
        <v>237</v>
      </c>
      <c r="AC218" s="237" t="s">
        <v>353</v>
      </c>
    </row>
    <row r="219" spans="1:29" ht="13.5" customHeight="1">
      <c r="A219" s="235">
        <v>217</v>
      </c>
      <c r="B219" s="237">
        <v>169</v>
      </c>
      <c r="C219" s="243" t="s">
        <v>1543</v>
      </c>
      <c r="D219" s="237" t="s">
        <v>1544</v>
      </c>
      <c r="E219" s="237">
        <v>70</v>
      </c>
      <c r="F219" s="237" t="s">
        <v>60</v>
      </c>
      <c r="G219" s="237" t="s">
        <v>1545</v>
      </c>
      <c r="H219" s="243" t="s">
        <v>4</v>
      </c>
      <c r="I219" s="243"/>
      <c r="K219" s="240" t="s">
        <v>1546</v>
      </c>
      <c r="L219" s="237"/>
      <c r="M219" s="243" t="s">
        <v>1547</v>
      </c>
      <c r="N219" s="237" t="s">
        <v>1548</v>
      </c>
      <c r="O219" s="237" t="s">
        <v>228</v>
      </c>
      <c r="P219" s="237" t="s">
        <v>231</v>
      </c>
      <c r="Q219" s="245">
        <v>45265</v>
      </c>
      <c r="R219" s="237" t="s">
        <v>309</v>
      </c>
      <c r="S219" s="331" t="s">
        <v>233</v>
      </c>
      <c r="T219" s="237">
        <v>7.8</v>
      </c>
      <c r="U219" s="237" t="s">
        <v>298</v>
      </c>
      <c r="V219" s="237" t="s">
        <v>235</v>
      </c>
      <c r="W219" s="245">
        <v>45294</v>
      </c>
      <c r="X219" s="237" t="s">
        <v>1549</v>
      </c>
      <c r="Y219" s="237" t="s">
        <v>237</v>
      </c>
      <c r="Z219" s="237" t="s">
        <v>237</v>
      </c>
      <c r="AA219" s="237" t="s">
        <v>1550</v>
      </c>
      <c r="AB219" s="237" t="s">
        <v>237</v>
      </c>
      <c r="AC219" s="237" t="s">
        <v>353</v>
      </c>
    </row>
    <row r="220" spans="1:29" ht="13.5" customHeight="1">
      <c r="A220" s="235">
        <v>218</v>
      </c>
      <c r="B220" s="237">
        <v>178</v>
      </c>
      <c r="C220" s="243" t="s">
        <v>1551</v>
      </c>
      <c r="D220" s="237" t="s">
        <v>1552</v>
      </c>
      <c r="E220" s="237">
        <v>67</v>
      </c>
      <c r="F220" s="237" t="s">
        <v>75</v>
      </c>
      <c r="G220" s="237" t="s">
        <v>1553</v>
      </c>
      <c r="H220" s="243" t="s">
        <v>4</v>
      </c>
      <c r="I220" s="243"/>
      <c r="K220" s="290" t="s">
        <v>1554</v>
      </c>
      <c r="L220" s="237"/>
      <c r="M220" s="243" t="s">
        <v>426</v>
      </c>
      <c r="N220" s="248" t="s">
        <v>1555</v>
      </c>
      <c r="O220" s="237" t="s">
        <v>228</v>
      </c>
      <c r="P220" s="237" t="s">
        <v>1312</v>
      </c>
      <c r="Q220" s="245">
        <v>45286</v>
      </c>
      <c r="R220" s="237" t="s">
        <v>309</v>
      </c>
      <c r="S220" s="331" t="s">
        <v>233</v>
      </c>
      <c r="T220" s="237">
        <v>8.3000000000000007</v>
      </c>
      <c r="U220" s="237" t="s">
        <v>298</v>
      </c>
      <c r="V220" s="237" t="s">
        <v>235</v>
      </c>
      <c r="W220" s="245">
        <v>45320</v>
      </c>
      <c r="X220" s="237" t="s">
        <v>1556</v>
      </c>
      <c r="Y220" s="237" t="s">
        <v>237</v>
      </c>
      <c r="Z220" s="237" t="s">
        <v>237</v>
      </c>
      <c r="AA220" s="237" t="s">
        <v>1557</v>
      </c>
      <c r="AB220" s="237" t="s">
        <v>237</v>
      </c>
      <c r="AC220" s="237" t="s">
        <v>353</v>
      </c>
    </row>
    <row r="221" spans="1:29" ht="13.5" customHeight="1">
      <c r="A221" s="235">
        <v>219</v>
      </c>
      <c r="B221" s="237">
        <v>187</v>
      </c>
      <c r="C221" s="243" t="s">
        <v>1558</v>
      </c>
      <c r="D221" s="237" t="s">
        <v>1559</v>
      </c>
      <c r="E221" s="237">
        <v>54</v>
      </c>
      <c r="F221" s="237" t="s">
        <v>60</v>
      </c>
      <c r="G221" s="237" t="s">
        <v>1560</v>
      </c>
      <c r="H221" s="243" t="s">
        <v>4</v>
      </c>
      <c r="I221" s="243"/>
      <c r="K221" s="240" t="s">
        <v>1561</v>
      </c>
      <c r="L221" s="237"/>
      <c r="M221" s="246" t="s">
        <v>228</v>
      </c>
      <c r="N221" s="237" t="s">
        <v>1562</v>
      </c>
      <c r="O221" s="237" t="s">
        <v>228</v>
      </c>
      <c r="P221" s="237"/>
      <c r="Q221" s="245">
        <v>45309</v>
      </c>
      <c r="R221" s="237" t="s">
        <v>309</v>
      </c>
      <c r="S221" s="331" t="s">
        <v>233</v>
      </c>
      <c r="T221" s="237" t="s">
        <v>1563</v>
      </c>
      <c r="U221" s="237" t="s">
        <v>298</v>
      </c>
      <c r="V221" s="237" t="s">
        <v>235</v>
      </c>
      <c r="W221" s="245">
        <v>45347</v>
      </c>
      <c r="X221" s="237" t="s">
        <v>1564</v>
      </c>
      <c r="Y221" s="237" t="s">
        <v>237</v>
      </c>
      <c r="Z221" s="237" t="s">
        <v>237</v>
      </c>
      <c r="AA221" s="237" t="s">
        <v>1565</v>
      </c>
      <c r="AB221" s="237" t="s">
        <v>237</v>
      </c>
      <c r="AC221" s="237" t="s">
        <v>353</v>
      </c>
    </row>
    <row r="222" spans="1:29" ht="13.5" customHeight="1">
      <c r="A222" s="235">
        <v>220</v>
      </c>
      <c r="B222" s="237">
        <v>194</v>
      </c>
      <c r="C222" s="243" t="s">
        <v>1566</v>
      </c>
      <c r="D222" s="237" t="s">
        <v>1567</v>
      </c>
      <c r="E222" s="237">
        <v>67</v>
      </c>
      <c r="F222" s="237" t="s">
        <v>75</v>
      </c>
      <c r="G222" s="237" t="s">
        <v>1568</v>
      </c>
      <c r="H222" s="243" t="s">
        <v>4</v>
      </c>
      <c r="I222" s="243"/>
      <c r="K222" s="240" t="s">
        <v>1569</v>
      </c>
      <c r="L222" s="237"/>
      <c r="M222" s="243" t="s">
        <v>426</v>
      </c>
      <c r="N222" s="237" t="s">
        <v>1570</v>
      </c>
      <c r="O222" s="237" t="s">
        <v>228</v>
      </c>
      <c r="P222" s="237"/>
      <c r="Q222" s="245">
        <v>45396</v>
      </c>
      <c r="R222" s="237" t="s">
        <v>309</v>
      </c>
      <c r="S222" s="331" t="s">
        <v>233</v>
      </c>
      <c r="T222" s="237" t="s">
        <v>427</v>
      </c>
      <c r="U222" s="237" t="s">
        <v>298</v>
      </c>
      <c r="V222" s="237" t="s">
        <v>235</v>
      </c>
      <c r="W222" s="245">
        <v>45435</v>
      </c>
      <c r="X222" s="237" t="s">
        <v>1571</v>
      </c>
      <c r="Y222" s="237" t="s">
        <v>237</v>
      </c>
      <c r="Z222" s="237" t="s">
        <v>237</v>
      </c>
      <c r="AA222" s="237" t="s">
        <v>1572</v>
      </c>
      <c r="AB222" s="237" t="s">
        <v>228</v>
      </c>
      <c r="AC222" s="237" t="s">
        <v>228</v>
      </c>
    </row>
    <row r="223" spans="1:29" ht="13.5" customHeight="1">
      <c r="A223" s="235">
        <v>221</v>
      </c>
      <c r="B223" s="237">
        <v>197</v>
      </c>
      <c r="C223" s="243" t="s">
        <v>1573</v>
      </c>
      <c r="D223" s="237" t="s">
        <v>294</v>
      </c>
      <c r="E223" s="237">
        <v>52</v>
      </c>
      <c r="F223" s="237" t="s">
        <v>60</v>
      </c>
      <c r="G223" s="237" t="s">
        <v>295</v>
      </c>
      <c r="H223" s="243" t="s">
        <v>4</v>
      </c>
      <c r="I223" s="243"/>
      <c r="K223" s="240" t="s">
        <v>1038</v>
      </c>
      <c r="L223" s="237"/>
      <c r="M223" s="246" t="s">
        <v>228</v>
      </c>
      <c r="N223" s="237" t="s">
        <v>1039</v>
      </c>
      <c r="O223" s="237" t="s">
        <v>228</v>
      </c>
      <c r="P223" s="237"/>
      <c r="Q223" s="245">
        <v>45411</v>
      </c>
      <c r="R223" s="237" t="s">
        <v>309</v>
      </c>
      <c r="S223" s="331" t="s">
        <v>233</v>
      </c>
      <c r="T223" s="237" t="s">
        <v>827</v>
      </c>
      <c r="U223" s="237" t="s">
        <v>298</v>
      </c>
      <c r="V223" s="237" t="s">
        <v>235</v>
      </c>
      <c r="W223" s="245">
        <v>45456</v>
      </c>
      <c r="X223" s="237" t="s">
        <v>1574</v>
      </c>
      <c r="Y223" s="237" t="s">
        <v>237</v>
      </c>
      <c r="Z223" s="237" t="s">
        <v>237</v>
      </c>
      <c r="AA223" s="237" t="s">
        <v>1575</v>
      </c>
      <c r="AB223" s="237" t="s">
        <v>228</v>
      </c>
      <c r="AC223" s="237" t="s">
        <v>228</v>
      </c>
    </row>
    <row r="224" spans="1:29" ht="13.5" customHeight="1">
      <c r="A224" s="235">
        <v>222</v>
      </c>
      <c r="B224" s="237">
        <v>199</v>
      </c>
      <c r="C224" s="243" t="s">
        <v>1576</v>
      </c>
      <c r="D224" s="237" t="s">
        <v>1577</v>
      </c>
      <c r="E224" s="237">
        <v>64</v>
      </c>
      <c r="F224" s="237" t="s">
        <v>75</v>
      </c>
      <c r="G224" s="237" t="s">
        <v>1286</v>
      </c>
      <c r="H224" s="243" t="s">
        <v>4</v>
      </c>
      <c r="I224" s="243"/>
      <c r="K224" s="240" t="s">
        <v>1578</v>
      </c>
      <c r="L224" s="237"/>
      <c r="M224" s="246" t="s">
        <v>228</v>
      </c>
      <c r="N224" s="248" t="s">
        <v>1579</v>
      </c>
      <c r="O224" s="237" t="s">
        <v>228</v>
      </c>
      <c r="P224" s="237"/>
      <c r="Q224" s="245">
        <v>45418</v>
      </c>
      <c r="R224" s="237" t="s">
        <v>309</v>
      </c>
      <c r="S224" s="331" t="s">
        <v>233</v>
      </c>
      <c r="T224" s="237" t="s">
        <v>389</v>
      </c>
      <c r="U224" s="237" t="s">
        <v>298</v>
      </c>
      <c r="V224" s="237" t="s">
        <v>235</v>
      </c>
      <c r="W224" s="245">
        <v>45456</v>
      </c>
      <c r="X224" s="237" t="s">
        <v>1580</v>
      </c>
      <c r="Y224" s="237" t="s">
        <v>237</v>
      </c>
      <c r="Z224" s="237" t="s">
        <v>237</v>
      </c>
      <c r="AA224" s="237" t="s">
        <v>1581</v>
      </c>
      <c r="AB224" s="237" t="s">
        <v>237</v>
      </c>
      <c r="AC224" s="237" t="s">
        <v>228</v>
      </c>
    </row>
    <row r="225" spans="1:39" ht="13.5" customHeight="1">
      <c r="A225" s="235">
        <v>223</v>
      </c>
      <c r="B225" s="237">
        <v>358</v>
      </c>
      <c r="C225" s="243" t="s">
        <v>1582</v>
      </c>
      <c r="D225" s="237" t="s">
        <v>1583</v>
      </c>
      <c r="E225" s="237">
        <v>83</v>
      </c>
      <c r="F225" s="237" t="s">
        <v>75</v>
      </c>
      <c r="G225" s="237" t="s">
        <v>1584</v>
      </c>
      <c r="H225" s="243" t="s">
        <v>4</v>
      </c>
      <c r="I225" s="243"/>
      <c r="K225" s="240" t="s">
        <v>1585</v>
      </c>
      <c r="L225" s="237"/>
      <c r="M225" s="243" t="s">
        <v>1586</v>
      </c>
      <c r="N225" s="237"/>
      <c r="O225" s="237"/>
      <c r="P225" s="237"/>
      <c r="Q225" s="245">
        <v>45645</v>
      </c>
      <c r="R225" s="237" t="s">
        <v>309</v>
      </c>
      <c r="S225" s="331" t="s">
        <v>233</v>
      </c>
      <c r="T225" s="237">
        <v>8.5</v>
      </c>
      <c r="U225" s="237" t="s">
        <v>298</v>
      </c>
      <c r="V225" s="237" t="s">
        <v>235</v>
      </c>
      <c r="W225" s="245">
        <v>45692</v>
      </c>
      <c r="X225" s="237" t="s">
        <v>1587</v>
      </c>
      <c r="Y225" s="237" t="s">
        <v>237</v>
      </c>
      <c r="Z225" s="237" t="s">
        <v>237</v>
      </c>
      <c r="AA225" s="237" t="s">
        <v>1588</v>
      </c>
      <c r="AB225" s="237" t="s">
        <v>228</v>
      </c>
      <c r="AC225" s="237" t="s">
        <v>874</v>
      </c>
    </row>
    <row r="226" spans="1:39" ht="13.5" customHeight="1">
      <c r="A226" s="235">
        <v>224</v>
      </c>
      <c r="B226" s="237"/>
      <c r="C226" s="243" t="s">
        <v>1589</v>
      </c>
      <c r="D226" s="237" t="s">
        <v>1590</v>
      </c>
      <c r="E226" s="237">
        <v>52</v>
      </c>
      <c r="F226" s="237" t="s">
        <v>75</v>
      </c>
      <c r="G226" s="237" t="s">
        <v>1591</v>
      </c>
      <c r="H226" s="243" t="s">
        <v>4</v>
      </c>
      <c r="I226" s="243"/>
      <c r="K226" s="240" t="s">
        <v>1592</v>
      </c>
      <c r="L226" s="237"/>
      <c r="M226" s="246" t="s">
        <v>228</v>
      </c>
      <c r="N226" s="237"/>
      <c r="O226" s="237"/>
      <c r="P226" s="237"/>
      <c r="Q226" s="245">
        <v>45712</v>
      </c>
      <c r="R226" s="237" t="s">
        <v>309</v>
      </c>
      <c r="S226" s="331" t="s">
        <v>233</v>
      </c>
      <c r="T226" s="237" t="s">
        <v>228</v>
      </c>
      <c r="U226" s="237" t="s">
        <v>234</v>
      </c>
      <c r="V226" s="237" t="s">
        <v>473</v>
      </c>
      <c r="W226" s="245">
        <v>45747</v>
      </c>
      <c r="X226" s="237" t="s">
        <v>1593</v>
      </c>
      <c r="Y226" s="237" t="s">
        <v>237</v>
      </c>
      <c r="Z226" s="237" t="s">
        <v>228</v>
      </c>
      <c r="AA226" s="237" t="s">
        <v>1594</v>
      </c>
      <c r="AB226" s="237" t="s">
        <v>228</v>
      </c>
      <c r="AC226" s="237" t="s">
        <v>228</v>
      </c>
    </row>
    <row r="227" spans="1:39" ht="13.5" customHeight="1">
      <c r="A227" s="235">
        <v>225</v>
      </c>
      <c r="B227" s="237"/>
      <c r="C227" s="243" t="s">
        <v>1595</v>
      </c>
      <c r="D227" s="237" t="s">
        <v>1596</v>
      </c>
      <c r="E227" s="237">
        <v>62</v>
      </c>
      <c r="F227" s="237" t="s">
        <v>424</v>
      </c>
      <c r="G227" s="237" t="s">
        <v>1597</v>
      </c>
      <c r="H227" s="243" t="s">
        <v>4</v>
      </c>
      <c r="I227" s="243"/>
      <c r="K227" s="240" t="s">
        <v>1598</v>
      </c>
      <c r="L227" s="237"/>
      <c r="M227" s="246" t="s">
        <v>228</v>
      </c>
      <c r="N227" s="237"/>
      <c r="O227" s="237"/>
      <c r="P227" s="237"/>
      <c r="Q227" s="245">
        <v>45719</v>
      </c>
      <c r="R227" s="237" t="s">
        <v>309</v>
      </c>
      <c r="S227" s="331" t="s">
        <v>233</v>
      </c>
      <c r="T227" s="237" t="s">
        <v>228</v>
      </c>
      <c r="U227" s="237" t="s">
        <v>234</v>
      </c>
      <c r="V227" s="237" t="s">
        <v>473</v>
      </c>
      <c r="W227" s="245">
        <v>45747</v>
      </c>
      <c r="X227" s="237" t="s">
        <v>1599</v>
      </c>
      <c r="Y227" s="237" t="s">
        <v>237</v>
      </c>
      <c r="Z227" s="237" t="s">
        <v>228</v>
      </c>
      <c r="AA227" s="237" t="s">
        <v>1595</v>
      </c>
      <c r="AB227" s="237" t="s">
        <v>228</v>
      </c>
      <c r="AC227" s="237" t="s">
        <v>228</v>
      </c>
    </row>
    <row r="228" spans="1:39" s="306" customFormat="1" ht="13.5" customHeight="1">
      <c r="A228" s="235">
        <v>226</v>
      </c>
      <c r="B228" s="264">
        <v>215</v>
      </c>
      <c r="C228" s="289" t="s">
        <v>1600</v>
      </c>
      <c r="D228" s="264" t="s">
        <v>1601</v>
      </c>
      <c r="E228" s="264">
        <v>57</v>
      </c>
      <c r="F228" s="264" t="s">
        <v>75</v>
      </c>
      <c r="G228" s="264" t="s">
        <v>1602</v>
      </c>
      <c r="H228" s="289" t="s">
        <v>4</v>
      </c>
      <c r="I228" s="289" t="s">
        <v>1603</v>
      </c>
      <c r="K228" s="290"/>
      <c r="L228" s="264"/>
      <c r="M228" s="313" t="s">
        <v>228</v>
      </c>
      <c r="N228" s="264"/>
      <c r="O228" s="264"/>
      <c r="P228" s="264"/>
      <c r="Q228" s="314">
        <v>45746</v>
      </c>
      <c r="R228" s="264" t="s">
        <v>309</v>
      </c>
      <c r="S228" s="366" t="s">
        <v>233</v>
      </c>
      <c r="T228" s="264" t="s">
        <v>228</v>
      </c>
      <c r="U228" s="264" t="s">
        <v>298</v>
      </c>
      <c r="V228" s="264" t="s">
        <v>473</v>
      </c>
      <c r="W228" s="314">
        <v>45768</v>
      </c>
      <c r="X228" s="264" t="s">
        <v>1604</v>
      </c>
      <c r="Y228" s="264" t="s">
        <v>237</v>
      </c>
      <c r="Z228" s="237" t="s">
        <v>237</v>
      </c>
      <c r="AA228" s="264" t="s">
        <v>1605</v>
      </c>
      <c r="AB228" s="264" t="s">
        <v>228</v>
      </c>
      <c r="AC228" s="264" t="s">
        <v>228</v>
      </c>
      <c r="AD228" s="309"/>
      <c r="AE228" s="309"/>
      <c r="AF228" s="309"/>
      <c r="AG228" s="309"/>
      <c r="AH228" s="309"/>
      <c r="AI228" s="309"/>
      <c r="AJ228" s="309"/>
      <c r="AK228" s="309"/>
      <c r="AL228" s="309"/>
      <c r="AM228" s="310"/>
    </row>
    <row r="229" spans="1:39" ht="13.5" customHeight="1">
      <c r="A229" s="235">
        <v>227</v>
      </c>
      <c r="B229" s="237"/>
      <c r="C229" s="243" t="s">
        <v>1606</v>
      </c>
      <c r="D229" s="237" t="s">
        <v>1607</v>
      </c>
      <c r="E229" s="237">
        <v>58</v>
      </c>
      <c r="F229" s="237" t="s">
        <v>1608</v>
      </c>
      <c r="G229" s="237" t="s">
        <v>1609</v>
      </c>
      <c r="H229" s="243" t="s">
        <v>4</v>
      </c>
      <c r="I229" s="243"/>
      <c r="J229" s="240" t="s">
        <v>886</v>
      </c>
      <c r="K229" s="240" t="s">
        <v>887</v>
      </c>
      <c r="L229" s="237"/>
      <c r="M229" s="243" t="s">
        <v>231</v>
      </c>
      <c r="N229" s="237"/>
      <c r="O229" s="237"/>
      <c r="P229" s="237"/>
      <c r="Q229" s="245">
        <v>44977</v>
      </c>
      <c r="R229" s="237" t="s">
        <v>309</v>
      </c>
      <c r="S229" s="331" t="s">
        <v>233</v>
      </c>
      <c r="T229" s="237" t="s">
        <v>228</v>
      </c>
      <c r="U229" s="237" t="s">
        <v>234</v>
      </c>
      <c r="V229" s="237" t="s">
        <v>652</v>
      </c>
      <c r="W229" s="245">
        <v>45947</v>
      </c>
      <c r="X229" s="237" t="s">
        <v>1610</v>
      </c>
      <c r="Y229" s="237" t="s">
        <v>237</v>
      </c>
      <c r="Z229" s="237" t="s">
        <v>228</v>
      </c>
      <c r="AA229" s="237" t="s">
        <v>1611</v>
      </c>
      <c r="AB229" s="237" t="s">
        <v>228</v>
      </c>
      <c r="AC229" s="237" t="s">
        <v>228</v>
      </c>
    </row>
    <row r="230" spans="1:39" ht="13.5" customHeight="1">
      <c r="A230" s="235">
        <v>228</v>
      </c>
      <c r="B230" s="237"/>
      <c r="C230" s="243" t="s">
        <v>1612</v>
      </c>
      <c r="D230" s="237" t="s">
        <v>1613</v>
      </c>
      <c r="E230" s="237">
        <v>64</v>
      </c>
      <c r="F230" s="237" t="s">
        <v>60</v>
      </c>
      <c r="G230" s="237" t="s">
        <v>1614</v>
      </c>
      <c r="H230" s="243" t="s">
        <v>4</v>
      </c>
      <c r="I230" s="243"/>
      <c r="J230" s="240" t="s">
        <v>886</v>
      </c>
      <c r="K230" s="240" t="s">
        <v>887</v>
      </c>
      <c r="L230" s="237"/>
      <c r="M230" s="243" t="s">
        <v>231</v>
      </c>
      <c r="N230" s="237"/>
      <c r="O230" s="237"/>
      <c r="P230" s="237"/>
      <c r="Q230" s="245">
        <v>44977</v>
      </c>
      <c r="R230" s="237" t="s">
        <v>309</v>
      </c>
      <c r="S230" s="331" t="s">
        <v>233</v>
      </c>
      <c r="T230" s="237" t="s">
        <v>228</v>
      </c>
      <c r="U230" s="237" t="s">
        <v>234</v>
      </c>
      <c r="V230" s="237" t="s">
        <v>652</v>
      </c>
      <c r="W230" s="245">
        <v>45947</v>
      </c>
      <c r="X230" s="237" t="s">
        <v>1615</v>
      </c>
      <c r="Y230" s="237" t="s">
        <v>237</v>
      </c>
      <c r="Z230" s="237" t="s">
        <v>228</v>
      </c>
      <c r="AA230" s="237" t="s">
        <v>1616</v>
      </c>
      <c r="AB230" s="237" t="s">
        <v>228</v>
      </c>
      <c r="AC230" s="237" t="s">
        <v>228</v>
      </c>
    </row>
    <row r="231" spans="1:39" ht="13.5" customHeight="1">
      <c r="A231" s="235">
        <v>229</v>
      </c>
      <c r="B231" s="237"/>
      <c r="C231" s="243" t="s">
        <v>1617</v>
      </c>
      <c r="D231" s="237" t="s">
        <v>1618</v>
      </c>
      <c r="E231" s="237">
        <v>65</v>
      </c>
      <c r="F231" s="237" t="s">
        <v>75</v>
      </c>
      <c r="G231" s="237" t="s">
        <v>1619</v>
      </c>
      <c r="H231" s="243" t="s">
        <v>4</v>
      </c>
      <c r="I231" s="243"/>
      <c r="J231" s="240" t="s">
        <v>886</v>
      </c>
      <c r="K231" s="240" t="s">
        <v>1620</v>
      </c>
      <c r="L231" s="237"/>
      <c r="M231" s="243" t="s">
        <v>231</v>
      </c>
      <c r="N231" s="237"/>
      <c r="O231" s="237"/>
      <c r="P231" s="237"/>
      <c r="Q231" s="245">
        <v>44979</v>
      </c>
      <c r="R231" s="237" t="s">
        <v>309</v>
      </c>
      <c r="S231" s="331" t="s">
        <v>233</v>
      </c>
      <c r="T231" s="237" t="s">
        <v>228</v>
      </c>
      <c r="U231" s="237" t="s">
        <v>234</v>
      </c>
      <c r="V231" s="237" t="s">
        <v>652</v>
      </c>
      <c r="W231" s="245">
        <v>45947</v>
      </c>
      <c r="X231" s="237" t="s">
        <v>1621</v>
      </c>
      <c r="Y231" s="237" t="s">
        <v>237</v>
      </c>
      <c r="Z231" s="237" t="s">
        <v>228</v>
      </c>
      <c r="AA231" s="237" t="s">
        <v>1622</v>
      </c>
      <c r="AB231" s="237" t="s">
        <v>228</v>
      </c>
      <c r="AC231" s="237" t="s">
        <v>228</v>
      </c>
    </row>
    <row r="232" spans="1:39" ht="13.5" customHeight="1">
      <c r="A232" s="235">
        <v>230</v>
      </c>
      <c r="B232" s="237"/>
      <c r="C232" s="243" t="s">
        <v>1623</v>
      </c>
      <c r="D232" s="237" t="s">
        <v>1624</v>
      </c>
      <c r="E232" s="237">
        <v>48</v>
      </c>
      <c r="F232" s="237" t="s">
        <v>75</v>
      </c>
      <c r="G232" s="237" t="s">
        <v>1625</v>
      </c>
      <c r="H232" s="243" t="s">
        <v>4</v>
      </c>
      <c r="I232" s="243"/>
      <c r="J232" s="240" t="s">
        <v>886</v>
      </c>
      <c r="K232" s="240" t="s">
        <v>1626</v>
      </c>
      <c r="L232" s="237"/>
      <c r="M232" s="243" t="s">
        <v>231</v>
      </c>
      <c r="N232" s="237"/>
      <c r="O232" s="237"/>
      <c r="P232" s="237"/>
      <c r="Q232" s="245">
        <v>44980</v>
      </c>
      <c r="R232" s="237" t="s">
        <v>309</v>
      </c>
      <c r="S232" s="331" t="s">
        <v>233</v>
      </c>
      <c r="T232" s="237" t="s">
        <v>228</v>
      </c>
      <c r="U232" s="237" t="s">
        <v>234</v>
      </c>
      <c r="V232" s="237" t="s">
        <v>652</v>
      </c>
      <c r="W232" s="245">
        <v>45947</v>
      </c>
      <c r="X232" s="237" t="s">
        <v>1627</v>
      </c>
      <c r="Y232" s="237" t="s">
        <v>237</v>
      </c>
      <c r="Z232" s="237" t="s">
        <v>228</v>
      </c>
      <c r="AA232" s="237" t="s">
        <v>1628</v>
      </c>
      <c r="AB232" s="237" t="s">
        <v>228</v>
      </c>
      <c r="AC232" s="237" t="s">
        <v>228</v>
      </c>
    </row>
    <row r="233" spans="1:39" ht="13.5" customHeight="1">
      <c r="A233" s="235">
        <v>231</v>
      </c>
      <c r="B233" s="237"/>
      <c r="C233" s="243" t="s">
        <v>1629</v>
      </c>
      <c r="D233" s="237" t="s">
        <v>1630</v>
      </c>
      <c r="E233" s="237">
        <v>44</v>
      </c>
      <c r="F233" s="237" t="s">
        <v>75</v>
      </c>
      <c r="G233" s="237" t="s">
        <v>1631</v>
      </c>
      <c r="H233" s="243" t="s">
        <v>4</v>
      </c>
      <c r="I233" s="243"/>
      <c r="J233" s="240" t="s">
        <v>886</v>
      </c>
      <c r="K233" s="240" t="s">
        <v>1376</v>
      </c>
      <c r="L233" s="237"/>
      <c r="M233" s="243" t="s">
        <v>231</v>
      </c>
      <c r="N233" s="237"/>
      <c r="O233" s="237"/>
      <c r="P233" s="237"/>
      <c r="Q233" s="245">
        <v>44980</v>
      </c>
      <c r="R233" s="237" t="s">
        <v>309</v>
      </c>
      <c r="S233" s="331" t="s">
        <v>233</v>
      </c>
      <c r="T233" s="237" t="s">
        <v>228</v>
      </c>
      <c r="U233" s="237" t="s">
        <v>234</v>
      </c>
      <c r="V233" s="237" t="s">
        <v>652</v>
      </c>
      <c r="W233" s="245">
        <v>45947</v>
      </c>
      <c r="X233" s="237" t="s">
        <v>1632</v>
      </c>
      <c r="Y233" s="237" t="s">
        <v>237</v>
      </c>
      <c r="Z233" s="237" t="s">
        <v>228</v>
      </c>
      <c r="AA233" s="237" t="s">
        <v>1633</v>
      </c>
      <c r="AB233" s="237" t="s">
        <v>228</v>
      </c>
      <c r="AC233" s="237" t="s">
        <v>228</v>
      </c>
    </row>
    <row r="234" spans="1:39" ht="13.5" customHeight="1">
      <c r="A234" s="235">
        <v>232</v>
      </c>
      <c r="B234" s="237"/>
      <c r="C234" s="243" t="s">
        <v>1634</v>
      </c>
      <c r="D234" s="237" t="s">
        <v>1635</v>
      </c>
      <c r="E234" s="237">
        <v>65</v>
      </c>
      <c r="F234" s="237" t="s">
        <v>75</v>
      </c>
      <c r="G234" s="237" t="s">
        <v>1636</v>
      </c>
      <c r="H234" s="243" t="s">
        <v>4</v>
      </c>
      <c r="I234" s="243"/>
      <c r="J234" s="240" t="s">
        <v>886</v>
      </c>
      <c r="K234" s="240" t="s">
        <v>887</v>
      </c>
      <c r="L234" s="237"/>
      <c r="M234" s="243" t="s">
        <v>231</v>
      </c>
      <c r="N234" s="237"/>
      <c r="O234" s="237"/>
      <c r="P234" s="237"/>
      <c r="Q234" s="245">
        <v>44980</v>
      </c>
      <c r="R234" s="237" t="s">
        <v>309</v>
      </c>
      <c r="S234" s="331" t="s">
        <v>233</v>
      </c>
      <c r="T234" s="237" t="s">
        <v>228</v>
      </c>
      <c r="U234" s="237" t="s">
        <v>234</v>
      </c>
      <c r="V234" s="237" t="s">
        <v>652</v>
      </c>
      <c r="W234" s="245">
        <v>45947</v>
      </c>
      <c r="X234" s="237" t="s">
        <v>1637</v>
      </c>
      <c r="Y234" s="237" t="s">
        <v>237</v>
      </c>
      <c r="Z234" s="237" t="s">
        <v>228</v>
      </c>
      <c r="AA234" s="237" t="s">
        <v>1638</v>
      </c>
      <c r="AB234" s="237" t="s">
        <v>228</v>
      </c>
      <c r="AC234" s="237" t="s">
        <v>228</v>
      </c>
    </row>
    <row r="235" spans="1:39" ht="13.5" customHeight="1">
      <c r="A235" s="235">
        <v>233</v>
      </c>
      <c r="B235" s="237"/>
      <c r="C235" s="243" t="s">
        <v>1639</v>
      </c>
      <c r="D235" s="237" t="s">
        <v>1640</v>
      </c>
      <c r="E235" s="237">
        <v>62</v>
      </c>
      <c r="F235" s="237" t="s">
        <v>424</v>
      </c>
      <c r="G235" s="237" t="s">
        <v>1641</v>
      </c>
      <c r="H235" s="243" t="s">
        <v>4</v>
      </c>
      <c r="I235" s="243"/>
      <c r="J235" s="240" t="s">
        <v>886</v>
      </c>
      <c r="K235" s="240" t="s">
        <v>1038</v>
      </c>
      <c r="L235" s="237"/>
      <c r="M235" s="243" t="s">
        <v>231</v>
      </c>
      <c r="N235" s="237"/>
      <c r="O235" s="237"/>
      <c r="P235" s="237"/>
      <c r="Q235" s="245">
        <v>44984</v>
      </c>
      <c r="R235" s="237" t="s">
        <v>309</v>
      </c>
      <c r="S235" s="331" t="s">
        <v>233</v>
      </c>
      <c r="T235" s="237" t="s">
        <v>228</v>
      </c>
      <c r="U235" s="237" t="s">
        <v>234</v>
      </c>
      <c r="V235" s="237" t="s">
        <v>652</v>
      </c>
      <c r="W235" s="245">
        <v>45947</v>
      </c>
      <c r="X235" s="237" t="s">
        <v>1643</v>
      </c>
      <c r="Y235" s="237" t="s">
        <v>237</v>
      </c>
      <c r="Z235" s="237" t="s">
        <v>228</v>
      </c>
      <c r="AA235" s="237" t="s">
        <v>1644</v>
      </c>
      <c r="AB235" s="237" t="s">
        <v>228</v>
      </c>
      <c r="AC235" s="237" t="s">
        <v>228</v>
      </c>
    </row>
    <row r="236" spans="1:39" ht="13.5" customHeight="1">
      <c r="A236" s="235">
        <v>234</v>
      </c>
      <c r="B236" s="237"/>
      <c r="C236" s="243" t="s">
        <v>1645</v>
      </c>
      <c r="D236" s="237" t="s">
        <v>1646</v>
      </c>
      <c r="E236" s="237">
        <v>65</v>
      </c>
      <c r="F236" s="237" t="s">
        <v>424</v>
      </c>
      <c r="G236" s="237" t="s">
        <v>1647</v>
      </c>
      <c r="H236" s="243" t="s">
        <v>4</v>
      </c>
      <c r="I236" s="243"/>
      <c r="J236" s="240" t="s">
        <v>886</v>
      </c>
      <c r="K236" s="240" t="s">
        <v>1648</v>
      </c>
      <c r="L236" s="237"/>
      <c r="M236" s="243" t="s">
        <v>231</v>
      </c>
      <c r="N236" s="237"/>
      <c r="O236" s="237"/>
      <c r="P236" s="237"/>
      <c r="Q236" s="245">
        <v>44984</v>
      </c>
      <c r="R236" s="237" t="s">
        <v>309</v>
      </c>
      <c r="S236" s="331" t="s">
        <v>233</v>
      </c>
      <c r="T236" s="237" t="s">
        <v>228</v>
      </c>
      <c r="U236" s="237" t="s">
        <v>234</v>
      </c>
      <c r="V236" s="237" t="s">
        <v>652</v>
      </c>
      <c r="W236" s="245">
        <v>45947</v>
      </c>
      <c r="X236" s="237" t="s">
        <v>1649</v>
      </c>
      <c r="Y236" s="237" t="s">
        <v>237</v>
      </c>
      <c r="Z236" s="237" t="s">
        <v>228</v>
      </c>
      <c r="AA236" s="237" t="s">
        <v>1650</v>
      </c>
      <c r="AB236" s="237" t="s">
        <v>228</v>
      </c>
      <c r="AC236" s="237" t="s">
        <v>228</v>
      </c>
    </row>
    <row r="237" spans="1:39" ht="13.5" customHeight="1">
      <c r="A237" s="235">
        <v>235</v>
      </c>
      <c r="B237" s="237">
        <v>28</v>
      </c>
      <c r="C237" s="243" t="s">
        <v>1651</v>
      </c>
      <c r="D237" s="237" t="s">
        <v>294</v>
      </c>
      <c r="E237" s="237">
        <v>53</v>
      </c>
      <c r="F237" s="237" t="s">
        <v>60</v>
      </c>
      <c r="G237" s="237" t="s">
        <v>295</v>
      </c>
      <c r="H237" s="243" t="s">
        <v>5</v>
      </c>
      <c r="I237" s="243"/>
      <c r="K237" s="240" t="s">
        <v>1038</v>
      </c>
      <c r="L237" s="237"/>
      <c r="M237" s="246" t="s">
        <v>228</v>
      </c>
      <c r="N237" s="237"/>
      <c r="O237" s="237"/>
      <c r="P237" s="237"/>
      <c r="Q237" s="245">
        <v>45482</v>
      </c>
      <c r="R237" s="237" t="s">
        <v>309</v>
      </c>
      <c r="S237" s="331" t="s">
        <v>233</v>
      </c>
      <c r="T237" s="237" t="s">
        <v>228</v>
      </c>
      <c r="U237" s="237" t="s">
        <v>234</v>
      </c>
      <c r="V237" s="237" t="s">
        <v>652</v>
      </c>
      <c r="W237" s="245">
        <v>45947</v>
      </c>
      <c r="X237" s="237" t="s">
        <v>1652</v>
      </c>
      <c r="Y237" s="237" t="s">
        <v>237</v>
      </c>
      <c r="Z237" s="237" t="s">
        <v>228</v>
      </c>
      <c r="AA237" s="237" t="s">
        <v>1653</v>
      </c>
      <c r="AB237" s="237" t="s">
        <v>228</v>
      </c>
      <c r="AC237" s="237" t="s">
        <v>228</v>
      </c>
    </row>
    <row r="238" spans="1:39" ht="13.5" customHeight="1">
      <c r="A238" s="235">
        <v>236</v>
      </c>
      <c r="B238" s="237">
        <v>277</v>
      </c>
      <c r="C238" s="243" t="s">
        <v>1654</v>
      </c>
      <c r="D238" s="237" t="s">
        <v>1655</v>
      </c>
      <c r="E238" s="237">
        <v>76</v>
      </c>
      <c r="F238" s="237" t="s">
        <v>60</v>
      </c>
      <c r="G238" s="237" t="s">
        <v>1083</v>
      </c>
      <c r="H238" s="243" t="s">
        <v>4</v>
      </c>
      <c r="I238" s="243"/>
      <c r="K238" s="240" t="s">
        <v>1656</v>
      </c>
      <c r="L238" s="237"/>
      <c r="M238" s="246" t="s">
        <v>228</v>
      </c>
      <c r="N238" s="237"/>
      <c r="O238" s="237"/>
      <c r="P238" s="237"/>
      <c r="Q238" s="245">
        <v>45611</v>
      </c>
      <c r="R238" s="237" t="s">
        <v>309</v>
      </c>
      <c r="S238" s="331" t="s">
        <v>233</v>
      </c>
      <c r="T238" s="237" t="s">
        <v>228</v>
      </c>
      <c r="U238" s="237" t="s">
        <v>234</v>
      </c>
      <c r="V238" s="237" t="s">
        <v>652</v>
      </c>
      <c r="W238" s="245">
        <v>45947</v>
      </c>
      <c r="X238" s="237" t="s">
        <v>1657</v>
      </c>
      <c r="Y238" s="237" t="s">
        <v>237</v>
      </c>
      <c r="Z238" s="237" t="s">
        <v>228</v>
      </c>
      <c r="AA238" s="237" t="s">
        <v>1658</v>
      </c>
      <c r="AB238" s="237" t="s">
        <v>228</v>
      </c>
      <c r="AC238" s="237" t="s">
        <v>228</v>
      </c>
    </row>
    <row r="239" spans="1:39" ht="13.5" customHeight="1">
      <c r="A239" s="235">
        <v>237</v>
      </c>
      <c r="B239" s="237">
        <v>356</v>
      </c>
      <c r="C239" s="243" t="s">
        <v>1659</v>
      </c>
      <c r="D239" s="237" t="s">
        <v>1660</v>
      </c>
      <c r="E239" s="237">
        <v>61</v>
      </c>
      <c r="F239" s="237" t="s">
        <v>75</v>
      </c>
      <c r="G239" s="237" t="s">
        <v>1661</v>
      </c>
      <c r="H239" s="243" t="s">
        <v>4</v>
      </c>
      <c r="I239" s="243"/>
      <c r="K239" s="240" t="s">
        <v>1662</v>
      </c>
      <c r="L239" s="237"/>
      <c r="M239" s="246" t="s">
        <v>228</v>
      </c>
      <c r="N239" s="237"/>
      <c r="O239" s="237"/>
      <c r="P239" s="237"/>
      <c r="Q239" s="245">
        <v>45644</v>
      </c>
      <c r="R239" s="237" t="s">
        <v>309</v>
      </c>
      <c r="S239" s="331" t="s">
        <v>233</v>
      </c>
      <c r="T239" s="237" t="s">
        <v>228</v>
      </c>
      <c r="U239" s="237" t="s">
        <v>234</v>
      </c>
      <c r="V239" s="237" t="s">
        <v>652</v>
      </c>
      <c r="W239" s="245">
        <v>45947</v>
      </c>
      <c r="X239" s="237" t="s">
        <v>1663</v>
      </c>
      <c r="Y239" s="237" t="s">
        <v>237</v>
      </c>
      <c r="Z239" s="237" t="s">
        <v>228</v>
      </c>
      <c r="AA239" s="237" t="s">
        <v>1664</v>
      </c>
      <c r="AB239" s="237" t="s">
        <v>237</v>
      </c>
      <c r="AC239" s="237" t="s">
        <v>353</v>
      </c>
    </row>
    <row r="240" spans="1:39" ht="13.5" customHeight="1">
      <c r="A240" s="235">
        <v>238</v>
      </c>
      <c r="B240" s="237">
        <v>191</v>
      </c>
      <c r="C240" s="243" t="s">
        <v>1665</v>
      </c>
      <c r="D240" s="237" t="s">
        <v>1666</v>
      </c>
      <c r="E240" s="237">
        <v>72</v>
      </c>
      <c r="F240" s="237" t="s">
        <v>60</v>
      </c>
      <c r="G240" s="237" t="s">
        <v>1667</v>
      </c>
      <c r="H240" s="243" t="s">
        <v>4</v>
      </c>
      <c r="I240" s="243"/>
      <c r="K240" s="243" t="s">
        <v>142</v>
      </c>
      <c r="L240" s="237"/>
      <c r="M240" s="243" t="s">
        <v>426</v>
      </c>
      <c r="N240" s="237" t="s">
        <v>1668</v>
      </c>
      <c r="O240" s="237" t="s">
        <v>228</v>
      </c>
      <c r="P240" s="237"/>
      <c r="Q240" s="245">
        <v>45380</v>
      </c>
      <c r="R240" s="237" t="s">
        <v>309</v>
      </c>
      <c r="S240" s="331" t="s">
        <v>233</v>
      </c>
      <c r="T240" s="237" t="s">
        <v>1669</v>
      </c>
      <c r="U240" s="237" t="s">
        <v>298</v>
      </c>
      <c r="V240" s="237" t="s">
        <v>235</v>
      </c>
      <c r="W240" s="245">
        <v>45433</v>
      </c>
      <c r="X240" s="237">
        <v>0</v>
      </c>
      <c r="Y240" s="237" t="s">
        <v>237</v>
      </c>
      <c r="Z240" s="237" t="s">
        <v>237</v>
      </c>
      <c r="AA240" s="237" t="s">
        <v>1670</v>
      </c>
      <c r="AB240" s="237" t="s">
        <v>228</v>
      </c>
      <c r="AC240" s="237" t="s">
        <v>228</v>
      </c>
    </row>
    <row r="241" spans="1:39" ht="13.5" customHeight="1">
      <c r="A241" s="235">
        <v>239</v>
      </c>
      <c r="B241" s="237"/>
      <c r="C241" s="256">
        <v>4</v>
      </c>
      <c r="D241" s="237" t="s">
        <v>1671</v>
      </c>
      <c r="E241" s="237">
        <v>65</v>
      </c>
      <c r="F241" s="237" t="s">
        <v>75</v>
      </c>
      <c r="G241" s="237"/>
      <c r="H241" s="289" t="s">
        <v>4</v>
      </c>
      <c r="I241" s="243"/>
      <c r="K241" s="240" t="s">
        <v>1672</v>
      </c>
      <c r="L241" s="237"/>
      <c r="M241" s="243" t="s">
        <v>231</v>
      </c>
      <c r="N241" s="237" t="s">
        <v>228</v>
      </c>
      <c r="O241" s="237" t="s">
        <v>228</v>
      </c>
      <c r="P241" s="237" t="s">
        <v>231</v>
      </c>
      <c r="Q241" s="245" t="s">
        <v>228</v>
      </c>
      <c r="R241" s="237" t="s">
        <v>232</v>
      </c>
      <c r="S241" s="331" t="s">
        <v>233</v>
      </c>
      <c r="T241" s="237" t="s">
        <v>228</v>
      </c>
      <c r="U241" s="237" t="s">
        <v>298</v>
      </c>
      <c r="V241" s="237" t="s">
        <v>235</v>
      </c>
      <c r="W241" s="245" t="s">
        <v>228</v>
      </c>
      <c r="X241" s="237" t="s">
        <v>1673</v>
      </c>
      <c r="Y241" s="237" t="s">
        <v>237</v>
      </c>
      <c r="Z241" s="237" t="s">
        <v>228</v>
      </c>
      <c r="AA241" s="237"/>
      <c r="AB241" s="237" t="s">
        <v>237</v>
      </c>
      <c r="AC241" s="237" t="s">
        <v>353</v>
      </c>
    </row>
    <row r="242" spans="1:39" ht="13.5" customHeight="1">
      <c r="A242" s="235">
        <v>240</v>
      </c>
      <c r="B242" s="8">
        <v>188</v>
      </c>
      <c r="C242" s="109" t="s">
        <v>1674</v>
      </c>
      <c r="D242" s="110" t="s">
        <v>1671</v>
      </c>
      <c r="E242" s="110">
        <v>67</v>
      </c>
      <c r="F242" s="110" t="s">
        <v>75</v>
      </c>
      <c r="G242" s="110" t="s">
        <v>1675</v>
      </c>
      <c r="H242" s="109" t="s">
        <v>5</v>
      </c>
      <c r="I242" s="109"/>
      <c r="J242" s="72"/>
      <c r="K242" s="109" t="s">
        <v>84</v>
      </c>
      <c r="L242" s="237"/>
      <c r="M242" s="110" t="s">
        <v>1676</v>
      </c>
      <c r="N242" s="110" t="s">
        <v>228</v>
      </c>
      <c r="O242" s="110" t="s">
        <v>231</v>
      </c>
      <c r="P242" s="112"/>
      <c r="Q242" s="113">
        <v>45349</v>
      </c>
      <c r="R242" s="237" t="s">
        <v>309</v>
      </c>
      <c r="S242" s="237" t="s">
        <v>233</v>
      </c>
      <c r="T242" s="237" t="s">
        <v>1677</v>
      </c>
      <c r="U242" s="237" t="s">
        <v>298</v>
      </c>
      <c r="V242" s="237" t="s">
        <v>235</v>
      </c>
      <c r="W242" s="245" t="s">
        <v>1678</v>
      </c>
      <c r="X242" s="237" t="s">
        <v>1679</v>
      </c>
      <c r="Y242" s="237" t="s">
        <v>237</v>
      </c>
      <c r="Z242" s="237" t="s">
        <v>237</v>
      </c>
      <c r="AA242" s="72"/>
      <c r="AB242" s="72" t="s">
        <v>228</v>
      </c>
      <c r="AC242" s="72" t="s">
        <v>228</v>
      </c>
      <c r="AD242" s="72"/>
      <c r="AE242" s="72"/>
      <c r="AF242" s="72"/>
      <c r="AG242" s="72"/>
      <c r="AH242" s="72"/>
      <c r="AI242" s="72"/>
      <c r="AJ242" s="72"/>
      <c r="AK242" s="72"/>
      <c r="AL242" s="72"/>
      <c r="AM242" s="72"/>
    </row>
    <row r="243" spans="1:39" ht="13.5" customHeight="1">
      <c r="A243" s="235">
        <v>241</v>
      </c>
      <c r="B243" s="237"/>
      <c r="C243" s="255">
        <v>8</v>
      </c>
      <c r="D243" s="237" t="s">
        <v>1680</v>
      </c>
      <c r="E243" s="237">
        <v>55</v>
      </c>
      <c r="F243" s="237" t="s">
        <v>60</v>
      </c>
      <c r="G243" s="237"/>
      <c r="H243" s="289" t="s">
        <v>5</v>
      </c>
      <c r="I243" s="243"/>
      <c r="K243" s="240" t="s">
        <v>1681</v>
      </c>
      <c r="L243" s="237"/>
      <c r="M243" s="243" t="s">
        <v>231</v>
      </c>
      <c r="N243" s="237" t="s">
        <v>228</v>
      </c>
      <c r="O243" s="237" t="s">
        <v>228</v>
      </c>
      <c r="P243" s="237" t="s">
        <v>231</v>
      </c>
      <c r="Q243" s="245" t="s">
        <v>228</v>
      </c>
      <c r="R243" s="237" t="s">
        <v>232</v>
      </c>
      <c r="S243" s="331" t="s">
        <v>233</v>
      </c>
      <c r="T243" s="237" t="s">
        <v>228</v>
      </c>
      <c r="U243" s="237" t="s">
        <v>234</v>
      </c>
      <c r="V243" s="237" t="s">
        <v>235</v>
      </c>
      <c r="W243" s="245" t="s">
        <v>228</v>
      </c>
      <c r="X243" s="237" t="s">
        <v>1643</v>
      </c>
      <c r="Y243" s="237" t="s">
        <v>237</v>
      </c>
      <c r="Z243" s="237" t="s">
        <v>228</v>
      </c>
      <c r="AA243" s="237"/>
      <c r="AB243" s="237" t="s">
        <v>228</v>
      </c>
      <c r="AC243" s="237" t="s">
        <v>228</v>
      </c>
    </row>
    <row r="244" spans="1:39" ht="13.5" customHeight="1">
      <c r="A244" s="235">
        <v>242</v>
      </c>
      <c r="B244" s="237">
        <v>16</v>
      </c>
      <c r="C244" s="243" t="s">
        <v>1683</v>
      </c>
      <c r="D244" s="237" t="s">
        <v>1684</v>
      </c>
      <c r="E244" s="237">
        <v>24</v>
      </c>
      <c r="F244" s="237" t="s">
        <v>75</v>
      </c>
      <c r="G244" s="237" t="s">
        <v>1685</v>
      </c>
      <c r="H244" s="240" t="s">
        <v>15</v>
      </c>
      <c r="I244" s="240" t="s">
        <v>5</v>
      </c>
      <c r="K244" s="240" t="s">
        <v>1686</v>
      </c>
      <c r="L244" s="237"/>
      <c r="M244" s="246" t="s">
        <v>228</v>
      </c>
      <c r="N244" s="237" t="s">
        <v>228</v>
      </c>
      <c r="O244" s="237" t="s">
        <v>228</v>
      </c>
      <c r="P244" s="237" t="s">
        <v>231</v>
      </c>
      <c r="Q244" s="245">
        <v>44830</v>
      </c>
      <c r="R244" s="237" t="s">
        <v>232</v>
      </c>
      <c r="S244" s="331" t="s">
        <v>233</v>
      </c>
      <c r="T244" s="237" t="s">
        <v>228</v>
      </c>
      <c r="U244" s="237" t="s">
        <v>234</v>
      </c>
      <c r="V244" s="237" t="s">
        <v>235</v>
      </c>
      <c r="W244" s="245" t="s">
        <v>228</v>
      </c>
      <c r="X244" s="237" t="s">
        <v>1688</v>
      </c>
      <c r="Y244" s="237" t="s">
        <v>237</v>
      </c>
      <c r="Z244" s="237" t="s">
        <v>237</v>
      </c>
      <c r="AA244" s="237" t="s">
        <v>1689</v>
      </c>
      <c r="AB244" s="237" t="s">
        <v>228</v>
      </c>
      <c r="AC244" s="237" t="s">
        <v>228</v>
      </c>
    </row>
    <row r="245" spans="1:39" ht="13.5" customHeight="1">
      <c r="A245" s="235">
        <v>243</v>
      </c>
      <c r="B245" s="237">
        <v>19</v>
      </c>
      <c r="C245" s="243" t="s">
        <v>1690</v>
      </c>
      <c r="D245" s="237" t="s">
        <v>1691</v>
      </c>
      <c r="E245" s="237">
        <v>49</v>
      </c>
      <c r="F245" s="237" t="s">
        <v>75</v>
      </c>
      <c r="G245" s="237" t="s">
        <v>1692</v>
      </c>
      <c r="H245" s="243" t="s">
        <v>5</v>
      </c>
      <c r="I245" s="243"/>
      <c r="K245" s="240" t="s">
        <v>87</v>
      </c>
      <c r="L245" s="237"/>
      <c r="M245" s="246" t="s">
        <v>228</v>
      </c>
      <c r="N245" s="237" t="s">
        <v>1693</v>
      </c>
      <c r="O245" s="237" t="s">
        <v>228</v>
      </c>
      <c r="P245" s="237" t="s">
        <v>231</v>
      </c>
      <c r="Q245" s="245">
        <v>44748</v>
      </c>
      <c r="R245" s="237" t="s">
        <v>232</v>
      </c>
      <c r="S245" s="331" t="s">
        <v>233</v>
      </c>
      <c r="T245" s="237">
        <v>8.6999999999999993</v>
      </c>
      <c r="U245" s="237" t="s">
        <v>298</v>
      </c>
      <c r="V245" s="237" t="s">
        <v>235</v>
      </c>
      <c r="W245" s="245" t="s">
        <v>228</v>
      </c>
      <c r="X245" s="237" t="s">
        <v>1694</v>
      </c>
      <c r="Y245" s="237" t="s">
        <v>237</v>
      </c>
      <c r="Z245" s="237" t="s">
        <v>237</v>
      </c>
      <c r="AA245" s="237" t="s">
        <v>1695</v>
      </c>
      <c r="AB245" s="237" t="s">
        <v>228</v>
      </c>
      <c r="AC245" s="237" t="s">
        <v>228</v>
      </c>
    </row>
    <row r="246" spans="1:39" ht="13.5" customHeight="1">
      <c r="A246" s="235">
        <v>244</v>
      </c>
      <c r="B246" s="237">
        <v>46</v>
      </c>
      <c r="C246" s="243" t="s">
        <v>1696</v>
      </c>
      <c r="D246" s="237" t="s">
        <v>1697</v>
      </c>
      <c r="E246" s="237">
        <v>72</v>
      </c>
      <c r="F246" s="237" t="s">
        <v>60</v>
      </c>
      <c r="G246" s="237" t="s">
        <v>1698</v>
      </c>
      <c r="H246" s="243" t="s">
        <v>5</v>
      </c>
      <c r="I246" s="243"/>
      <c r="J246" s="240" t="s">
        <v>886</v>
      </c>
      <c r="K246" s="240" t="s">
        <v>917</v>
      </c>
      <c r="L246" s="237"/>
      <c r="M246" s="246" t="s">
        <v>228</v>
      </c>
      <c r="N246" s="237" t="s">
        <v>1699</v>
      </c>
      <c r="O246" s="237" t="s">
        <v>228</v>
      </c>
      <c r="P246" s="237" t="s">
        <v>231</v>
      </c>
      <c r="Q246" s="245">
        <v>44882</v>
      </c>
      <c r="R246" s="237" t="s">
        <v>232</v>
      </c>
      <c r="S246" s="331" t="s">
        <v>233</v>
      </c>
      <c r="T246" s="237">
        <v>8.8000000000000007</v>
      </c>
      <c r="U246" s="237" t="s">
        <v>234</v>
      </c>
      <c r="V246" s="237" t="s">
        <v>235</v>
      </c>
      <c r="W246" s="245" t="s">
        <v>228</v>
      </c>
      <c r="X246" s="237" t="s">
        <v>1700</v>
      </c>
      <c r="Y246" s="237" t="s">
        <v>237</v>
      </c>
      <c r="Z246" s="237" t="s">
        <v>228</v>
      </c>
      <c r="AA246" s="237" t="s">
        <v>1701</v>
      </c>
      <c r="AB246" s="237" t="s">
        <v>228</v>
      </c>
      <c r="AC246" s="237" t="s">
        <v>228</v>
      </c>
    </row>
    <row r="247" spans="1:39" ht="13.5" customHeight="1">
      <c r="A247" s="235">
        <v>245</v>
      </c>
      <c r="B247" s="237">
        <v>54</v>
      </c>
      <c r="C247" s="243" t="s">
        <v>1702</v>
      </c>
      <c r="D247" s="237" t="s">
        <v>1703</v>
      </c>
      <c r="E247" s="237">
        <v>60</v>
      </c>
      <c r="F247" s="237" t="s">
        <v>60</v>
      </c>
      <c r="G247" s="237" t="s">
        <v>1704</v>
      </c>
      <c r="H247" s="243" t="s">
        <v>4</v>
      </c>
      <c r="I247" s="243"/>
      <c r="J247" s="240" t="s">
        <v>886</v>
      </c>
      <c r="K247" s="240" t="s">
        <v>1705</v>
      </c>
      <c r="L247" s="237"/>
      <c r="M247" s="246" t="s">
        <v>228</v>
      </c>
      <c r="N247" s="237" t="s">
        <v>1707</v>
      </c>
      <c r="O247" s="237" t="s">
        <v>228</v>
      </c>
      <c r="P247" s="237" t="s">
        <v>231</v>
      </c>
      <c r="Q247" s="245">
        <v>44904</v>
      </c>
      <c r="R247" s="237" t="s">
        <v>309</v>
      </c>
      <c r="S247" s="331" t="s">
        <v>233</v>
      </c>
      <c r="T247" s="237">
        <v>8.5</v>
      </c>
      <c r="U247" s="237" t="s">
        <v>234</v>
      </c>
      <c r="V247" s="237" t="s">
        <v>235</v>
      </c>
      <c r="W247" s="245" t="s">
        <v>228</v>
      </c>
      <c r="X247" s="237" t="s">
        <v>1708</v>
      </c>
      <c r="Y247" s="237" t="s">
        <v>237</v>
      </c>
      <c r="Z247" s="237" t="s">
        <v>228</v>
      </c>
      <c r="AA247" s="237" t="s">
        <v>1709</v>
      </c>
      <c r="AB247" s="237" t="s">
        <v>228</v>
      </c>
      <c r="AC247" s="237" t="s">
        <v>228</v>
      </c>
    </row>
    <row r="248" spans="1:39" s="306" customFormat="1" ht="13.5" customHeight="1">
      <c r="A248" s="235">
        <v>246</v>
      </c>
      <c r="B248" s="264">
        <v>55</v>
      </c>
      <c r="C248" s="289" t="s">
        <v>1710</v>
      </c>
      <c r="D248" s="264" t="s">
        <v>1711</v>
      </c>
      <c r="E248" s="264">
        <v>48</v>
      </c>
      <c r="F248" s="264" t="s">
        <v>60</v>
      </c>
      <c r="G248" s="264" t="s">
        <v>1712</v>
      </c>
      <c r="H248" s="289" t="s">
        <v>5</v>
      </c>
      <c r="I248" s="289" t="s">
        <v>1713</v>
      </c>
      <c r="J248" s="290" t="s">
        <v>886</v>
      </c>
      <c r="K248" s="290" t="s">
        <v>948</v>
      </c>
      <c r="L248" s="264"/>
      <c r="M248" s="313" t="s">
        <v>228</v>
      </c>
      <c r="N248" s="264" t="s">
        <v>1714</v>
      </c>
      <c r="O248" s="264" t="s">
        <v>228</v>
      </c>
      <c r="P248" s="264" t="s">
        <v>231</v>
      </c>
      <c r="Q248" s="314">
        <v>44904</v>
      </c>
      <c r="R248" s="264" t="s">
        <v>309</v>
      </c>
      <c r="S248" s="366" t="s">
        <v>233</v>
      </c>
      <c r="T248" s="264">
        <v>8.6</v>
      </c>
      <c r="U248" s="264" t="s">
        <v>234</v>
      </c>
      <c r="V248" s="264" t="s">
        <v>235</v>
      </c>
      <c r="W248" s="314" t="s">
        <v>228</v>
      </c>
      <c r="X248" s="264" t="s">
        <v>1715</v>
      </c>
      <c r="Y248" s="264" t="s">
        <v>237</v>
      </c>
      <c r="Z248" s="237" t="s">
        <v>237</v>
      </c>
      <c r="AA248" s="264" t="s">
        <v>1716</v>
      </c>
      <c r="AB248" s="264" t="s">
        <v>228</v>
      </c>
      <c r="AC248" s="264" t="s">
        <v>228</v>
      </c>
      <c r="AD248" s="309"/>
      <c r="AE248" s="309"/>
      <c r="AF248" s="309"/>
      <c r="AG248" s="309"/>
      <c r="AH248" s="309"/>
      <c r="AI248" s="309"/>
      <c r="AJ248" s="309"/>
      <c r="AK248" s="309"/>
      <c r="AL248" s="309"/>
      <c r="AM248" s="310"/>
    </row>
    <row r="249" spans="1:39" ht="13.5" customHeight="1">
      <c r="A249" s="235">
        <v>247</v>
      </c>
      <c r="B249" s="237">
        <v>63</v>
      </c>
      <c r="C249" s="243" t="s">
        <v>1717</v>
      </c>
      <c r="D249" s="237" t="s">
        <v>1718</v>
      </c>
      <c r="E249" s="237">
        <v>44</v>
      </c>
      <c r="F249" s="237" t="s">
        <v>75</v>
      </c>
      <c r="G249" s="237" t="s">
        <v>1719</v>
      </c>
      <c r="H249" s="243" t="s">
        <v>5</v>
      </c>
      <c r="I249" s="243"/>
      <c r="J249" s="240" t="s">
        <v>886</v>
      </c>
      <c r="K249" s="240" t="s">
        <v>1720</v>
      </c>
      <c r="L249" s="237"/>
      <c r="M249" s="246" t="s">
        <v>228</v>
      </c>
      <c r="N249" s="237" t="s">
        <v>1721</v>
      </c>
      <c r="O249" s="237" t="s">
        <v>228</v>
      </c>
      <c r="P249" s="237" t="s">
        <v>231</v>
      </c>
      <c r="Q249" s="245">
        <v>44908</v>
      </c>
      <c r="R249" s="237" t="s">
        <v>232</v>
      </c>
      <c r="S249" s="331" t="s">
        <v>233</v>
      </c>
      <c r="T249" s="237">
        <v>8.5</v>
      </c>
      <c r="U249" s="237" t="s">
        <v>234</v>
      </c>
      <c r="V249" s="237" t="s">
        <v>235</v>
      </c>
      <c r="W249" s="245" t="s">
        <v>228</v>
      </c>
      <c r="X249" s="237" t="s">
        <v>1722</v>
      </c>
      <c r="Y249" s="237" t="s">
        <v>237</v>
      </c>
      <c r="Z249" s="237" t="s">
        <v>228</v>
      </c>
      <c r="AA249" s="237" t="s">
        <v>1723</v>
      </c>
      <c r="AB249" s="237" t="s">
        <v>228</v>
      </c>
      <c r="AC249" s="237" t="s">
        <v>228</v>
      </c>
    </row>
    <row r="250" spans="1:39" ht="13.5" customHeight="1">
      <c r="A250" s="235">
        <v>248</v>
      </c>
      <c r="B250" s="237">
        <v>64</v>
      </c>
      <c r="C250" s="243" t="s">
        <v>1724</v>
      </c>
      <c r="D250" s="237" t="s">
        <v>1725</v>
      </c>
      <c r="E250" s="237">
        <v>22</v>
      </c>
      <c r="F250" s="237" t="s">
        <v>60</v>
      </c>
      <c r="G250" s="237" t="s">
        <v>1726</v>
      </c>
      <c r="H250" s="243" t="s">
        <v>5</v>
      </c>
      <c r="I250" s="243"/>
      <c r="J250" s="240" t="s">
        <v>886</v>
      </c>
      <c r="K250" s="240" t="s">
        <v>1727</v>
      </c>
      <c r="L250" s="237"/>
      <c r="M250" s="246" t="s">
        <v>228</v>
      </c>
      <c r="N250" s="237" t="s">
        <v>1728</v>
      </c>
      <c r="O250" s="237" t="s">
        <v>1729</v>
      </c>
      <c r="P250" s="237" t="s">
        <v>231</v>
      </c>
      <c r="Q250" s="245">
        <v>44903</v>
      </c>
      <c r="R250" s="237" t="s">
        <v>309</v>
      </c>
      <c r="S250" s="331" t="s">
        <v>233</v>
      </c>
      <c r="T250" s="237">
        <v>8.4</v>
      </c>
      <c r="U250" s="237" t="s">
        <v>234</v>
      </c>
      <c r="V250" s="237" t="s">
        <v>235</v>
      </c>
      <c r="W250" s="245" t="s">
        <v>228</v>
      </c>
      <c r="X250" s="237" t="s">
        <v>1730</v>
      </c>
      <c r="Y250" s="237" t="s">
        <v>237</v>
      </c>
      <c r="Z250" s="237" t="s">
        <v>228</v>
      </c>
      <c r="AA250" s="237" t="s">
        <v>1731</v>
      </c>
      <c r="AB250" s="237" t="s">
        <v>228</v>
      </c>
      <c r="AC250" s="237" t="s">
        <v>228</v>
      </c>
    </row>
    <row r="251" spans="1:39" s="306" customFormat="1" ht="13.5" customHeight="1">
      <c r="A251" s="235">
        <v>249</v>
      </c>
      <c r="B251" s="264">
        <v>66</v>
      </c>
      <c r="C251" s="289" t="s">
        <v>1732</v>
      </c>
      <c r="D251" s="264" t="s">
        <v>1733</v>
      </c>
      <c r="E251" s="264">
        <v>66</v>
      </c>
      <c r="F251" s="264" t="s">
        <v>60</v>
      </c>
      <c r="G251" s="264" t="s">
        <v>1734</v>
      </c>
      <c r="H251" s="289" t="s">
        <v>5</v>
      </c>
      <c r="I251" s="289" t="s">
        <v>1713</v>
      </c>
      <c r="J251" s="290" t="s">
        <v>886</v>
      </c>
      <c r="K251" s="290" t="s">
        <v>917</v>
      </c>
      <c r="L251" s="264"/>
      <c r="M251" s="313" t="s">
        <v>228</v>
      </c>
      <c r="N251" s="264" t="s">
        <v>1735</v>
      </c>
      <c r="O251" s="264" t="s">
        <v>228</v>
      </c>
      <c r="P251" s="264" t="s">
        <v>231</v>
      </c>
      <c r="Q251" s="314">
        <v>44928</v>
      </c>
      <c r="R251" s="264" t="s">
        <v>309</v>
      </c>
      <c r="S251" s="366" t="s">
        <v>233</v>
      </c>
      <c r="T251" s="264">
        <v>8.5</v>
      </c>
      <c r="U251" s="264" t="s">
        <v>234</v>
      </c>
      <c r="V251" s="264" t="s">
        <v>235</v>
      </c>
      <c r="W251" s="314" t="s">
        <v>228</v>
      </c>
      <c r="X251" s="264" t="s">
        <v>1736</v>
      </c>
      <c r="Y251" s="264" t="s">
        <v>237</v>
      </c>
      <c r="Z251" s="237" t="s">
        <v>228</v>
      </c>
      <c r="AA251" s="264" t="s">
        <v>1737</v>
      </c>
      <c r="AB251" s="264" t="s">
        <v>228</v>
      </c>
      <c r="AC251" s="264" t="s">
        <v>228</v>
      </c>
      <c r="AD251" s="309"/>
      <c r="AE251" s="309"/>
      <c r="AF251" s="309"/>
      <c r="AG251" s="309"/>
      <c r="AH251" s="309"/>
      <c r="AI251" s="309"/>
      <c r="AJ251" s="309"/>
      <c r="AK251" s="309"/>
      <c r="AL251" s="309"/>
      <c r="AM251" s="310"/>
    </row>
    <row r="252" spans="1:39" ht="13.5" customHeight="1">
      <c r="A252" s="235">
        <v>250</v>
      </c>
      <c r="B252" s="237">
        <v>11</v>
      </c>
      <c r="C252" s="243" t="s">
        <v>1738</v>
      </c>
      <c r="D252" s="237" t="s">
        <v>1739</v>
      </c>
      <c r="E252" s="237">
        <v>27</v>
      </c>
      <c r="F252" s="237" t="s">
        <v>60</v>
      </c>
      <c r="G252" s="237" t="s">
        <v>1740</v>
      </c>
      <c r="H252" s="243" t="s">
        <v>5</v>
      </c>
      <c r="I252" s="243"/>
      <c r="J252" s="240" t="s">
        <v>886</v>
      </c>
      <c r="K252" s="240" t="s">
        <v>933</v>
      </c>
      <c r="L252" s="237"/>
      <c r="M252" s="246" t="s">
        <v>228</v>
      </c>
      <c r="N252" s="237" t="s">
        <v>1741</v>
      </c>
      <c r="O252" s="237" t="s">
        <v>228</v>
      </c>
      <c r="P252" s="237" t="s">
        <v>231</v>
      </c>
      <c r="Q252" s="245">
        <v>44950</v>
      </c>
      <c r="R252" s="237" t="s">
        <v>309</v>
      </c>
      <c r="S252" s="331" t="s">
        <v>233</v>
      </c>
      <c r="T252" s="237">
        <v>9.3000000000000007</v>
      </c>
      <c r="U252" s="237" t="s">
        <v>234</v>
      </c>
      <c r="V252" s="237" t="s">
        <v>235</v>
      </c>
      <c r="W252" s="245" t="s">
        <v>228</v>
      </c>
      <c r="X252" s="237" t="s">
        <v>1742</v>
      </c>
      <c r="Y252" s="237" t="s">
        <v>237</v>
      </c>
      <c r="Z252" s="237" t="s">
        <v>228</v>
      </c>
      <c r="AA252" s="237" t="s">
        <v>1743</v>
      </c>
      <c r="AB252" s="237" t="s">
        <v>228</v>
      </c>
      <c r="AC252" s="237" t="s">
        <v>228</v>
      </c>
    </row>
    <row r="253" spans="1:39" ht="13.5" customHeight="1">
      <c r="A253" s="235">
        <v>251</v>
      </c>
      <c r="B253" s="237">
        <v>118</v>
      </c>
      <c r="C253" s="243" t="s">
        <v>1744</v>
      </c>
      <c r="D253" s="237" t="s">
        <v>1745</v>
      </c>
      <c r="E253" s="237">
        <v>33</v>
      </c>
      <c r="F253" s="237" t="s">
        <v>60</v>
      </c>
      <c r="G253" s="237" t="s">
        <v>1746</v>
      </c>
      <c r="H253" s="243" t="s">
        <v>5</v>
      </c>
      <c r="I253" s="243"/>
      <c r="J253" s="240" t="s">
        <v>886</v>
      </c>
      <c r="K253" s="240" t="s">
        <v>1747</v>
      </c>
      <c r="L253" s="237"/>
      <c r="M253" s="246" t="s">
        <v>228</v>
      </c>
      <c r="N253" s="237" t="s">
        <v>1748</v>
      </c>
      <c r="O253" s="237" t="s">
        <v>228</v>
      </c>
      <c r="P253" s="237" t="s">
        <v>231</v>
      </c>
      <c r="Q253" s="245">
        <v>44966</v>
      </c>
      <c r="R253" s="237" t="s">
        <v>309</v>
      </c>
      <c r="S253" s="331" t="s">
        <v>233</v>
      </c>
      <c r="T253" s="237">
        <v>8.9</v>
      </c>
      <c r="U253" s="237" t="s">
        <v>234</v>
      </c>
      <c r="V253" s="237" t="s">
        <v>235</v>
      </c>
      <c r="W253" s="245" t="s">
        <v>228</v>
      </c>
      <c r="X253" s="237" t="s">
        <v>1749</v>
      </c>
      <c r="Y253" s="237" t="s">
        <v>237</v>
      </c>
      <c r="Z253" s="237" t="s">
        <v>228</v>
      </c>
      <c r="AA253" s="237" t="s">
        <v>1750</v>
      </c>
      <c r="AB253" s="237" t="s">
        <v>228</v>
      </c>
      <c r="AC253" s="237" t="s">
        <v>228</v>
      </c>
    </row>
    <row r="254" spans="1:39" ht="13.5" customHeight="1">
      <c r="A254" s="235">
        <v>252</v>
      </c>
      <c r="B254" s="237">
        <v>119</v>
      </c>
      <c r="C254" s="243" t="s">
        <v>1751</v>
      </c>
      <c r="D254" s="237" t="s">
        <v>1752</v>
      </c>
      <c r="E254" s="237">
        <v>61</v>
      </c>
      <c r="F254" s="237" t="s">
        <v>60</v>
      </c>
      <c r="G254" s="237" t="s">
        <v>1753</v>
      </c>
      <c r="H254" s="243" t="s">
        <v>5</v>
      </c>
      <c r="I254" s="243"/>
      <c r="J254" s="240" t="s">
        <v>886</v>
      </c>
      <c r="K254" s="240" t="s">
        <v>948</v>
      </c>
      <c r="L254" s="237"/>
      <c r="M254" s="246" t="s">
        <v>228</v>
      </c>
      <c r="N254" s="237" t="s">
        <v>1754</v>
      </c>
      <c r="O254" s="237" t="s">
        <v>228</v>
      </c>
      <c r="P254" s="237" t="s">
        <v>231</v>
      </c>
      <c r="Q254" s="245">
        <v>44966</v>
      </c>
      <c r="R254" s="237" t="s">
        <v>309</v>
      </c>
      <c r="S254" s="331" t="s">
        <v>233</v>
      </c>
      <c r="T254" s="237">
        <v>9.1</v>
      </c>
      <c r="U254" s="237" t="s">
        <v>234</v>
      </c>
      <c r="V254" s="237" t="s">
        <v>235</v>
      </c>
      <c r="W254" s="245" t="s">
        <v>228</v>
      </c>
      <c r="X254" s="237" t="s">
        <v>1755</v>
      </c>
      <c r="Y254" s="237" t="s">
        <v>237</v>
      </c>
      <c r="Z254" s="237" t="s">
        <v>237</v>
      </c>
      <c r="AA254" s="237" t="s">
        <v>1756</v>
      </c>
      <c r="AB254" s="237" t="s">
        <v>228</v>
      </c>
      <c r="AC254" s="237" t="s">
        <v>228</v>
      </c>
    </row>
    <row r="255" spans="1:39" ht="13.5" customHeight="1">
      <c r="A255" s="235">
        <v>253</v>
      </c>
      <c r="B255" s="237">
        <v>121</v>
      </c>
      <c r="C255" s="243" t="s">
        <v>1757</v>
      </c>
      <c r="D255" s="237" t="s">
        <v>1758</v>
      </c>
      <c r="E255" s="237">
        <v>72</v>
      </c>
      <c r="F255" s="237" t="s">
        <v>75</v>
      </c>
      <c r="G255" s="237" t="s">
        <v>1759</v>
      </c>
      <c r="H255" s="243" t="s">
        <v>5</v>
      </c>
      <c r="I255" s="243"/>
      <c r="J255" s="240" t="s">
        <v>886</v>
      </c>
      <c r="K255" s="240" t="s">
        <v>917</v>
      </c>
      <c r="L255" s="237"/>
      <c r="M255" s="246" t="s">
        <v>228</v>
      </c>
      <c r="N255" s="237" t="s">
        <v>1760</v>
      </c>
      <c r="O255" s="237" t="s">
        <v>228</v>
      </c>
      <c r="P255" s="237" t="s">
        <v>231</v>
      </c>
      <c r="Q255" s="245">
        <v>44967</v>
      </c>
      <c r="R255" s="237" t="s">
        <v>309</v>
      </c>
      <c r="S255" s="331" t="s">
        <v>233</v>
      </c>
      <c r="T255" s="237">
        <v>9</v>
      </c>
      <c r="U255" s="237" t="s">
        <v>234</v>
      </c>
      <c r="V255" s="237" t="s">
        <v>235</v>
      </c>
      <c r="W255" s="245" t="s">
        <v>228</v>
      </c>
      <c r="X255" s="237" t="s">
        <v>1761</v>
      </c>
      <c r="Y255" s="237" t="s">
        <v>237</v>
      </c>
      <c r="Z255" s="237" t="s">
        <v>228</v>
      </c>
      <c r="AA255" s="237" t="s">
        <v>1762</v>
      </c>
      <c r="AB255" s="237" t="s">
        <v>228</v>
      </c>
      <c r="AC255" s="237" t="s">
        <v>228</v>
      </c>
    </row>
    <row r="256" spans="1:39" ht="13.5" customHeight="1">
      <c r="A256" s="235">
        <v>254</v>
      </c>
      <c r="B256" s="237">
        <v>128</v>
      </c>
      <c r="C256" s="243" t="s">
        <v>1763</v>
      </c>
      <c r="D256" s="237" t="s">
        <v>1764</v>
      </c>
      <c r="E256" s="237">
        <v>54</v>
      </c>
      <c r="F256" s="237" t="s">
        <v>60</v>
      </c>
      <c r="G256" s="237" t="s">
        <v>1765</v>
      </c>
      <c r="H256" s="243" t="s">
        <v>5</v>
      </c>
      <c r="I256" s="243"/>
      <c r="J256" s="240" t="s">
        <v>886</v>
      </c>
      <c r="K256" s="240" t="s">
        <v>911</v>
      </c>
      <c r="L256" s="72" t="s">
        <v>65</v>
      </c>
      <c r="M256" s="246" t="s">
        <v>228</v>
      </c>
      <c r="N256" s="237" t="s">
        <v>228</v>
      </c>
      <c r="O256" s="237" t="s">
        <v>228</v>
      </c>
      <c r="P256" s="237" t="s">
        <v>231</v>
      </c>
      <c r="Q256" s="245">
        <v>44974</v>
      </c>
      <c r="R256" s="237" t="s">
        <v>309</v>
      </c>
      <c r="S256" s="331" t="s">
        <v>233</v>
      </c>
      <c r="T256" s="237">
        <v>8.6999999999999993</v>
      </c>
      <c r="U256" s="237" t="s">
        <v>234</v>
      </c>
      <c r="V256" s="237" t="s">
        <v>235</v>
      </c>
      <c r="W256" s="245" t="s">
        <v>228</v>
      </c>
      <c r="X256" s="237" t="s">
        <v>1766</v>
      </c>
      <c r="Y256" s="237" t="s">
        <v>237</v>
      </c>
      <c r="Z256" s="237" t="s">
        <v>228</v>
      </c>
      <c r="AA256" s="237" t="s">
        <v>1767</v>
      </c>
      <c r="AB256" s="237" t="s">
        <v>228</v>
      </c>
      <c r="AC256" s="237" t="s">
        <v>228</v>
      </c>
    </row>
    <row r="257" spans="1:39" ht="13.5" customHeight="1">
      <c r="A257" s="235">
        <v>255</v>
      </c>
      <c r="B257" s="237">
        <v>153</v>
      </c>
      <c r="C257" s="243" t="s">
        <v>1768</v>
      </c>
      <c r="D257" s="237" t="s">
        <v>1769</v>
      </c>
      <c r="E257" s="237">
        <v>61</v>
      </c>
      <c r="F257" s="237" t="s">
        <v>75</v>
      </c>
      <c r="G257" s="237" t="s">
        <v>1770</v>
      </c>
      <c r="H257" s="243" t="s">
        <v>5</v>
      </c>
      <c r="I257" s="243"/>
      <c r="K257" s="240" t="s">
        <v>119</v>
      </c>
      <c r="L257" s="72" t="s">
        <v>45</v>
      </c>
      <c r="M257" s="246" t="s">
        <v>228</v>
      </c>
      <c r="N257" s="237" t="s">
        <v>1771</v>
      </c>
      <c r="O257" s="237" t="s">
        <v>228</v>
      </c>
      <c r="P257" s="237" t="s">
        <v>231</v>
      </c>
      <c r="Q257" s="245">
        <v>45073</v>
      </c>
      <c r="R257" s="237" t="s">
        <v>309</v>
      </c>
      <c r="S257" s="331" t="s">
        <v>233</v>
      </c>
      <c r="T257" s="237">
        <v>7.8</v>
      </c>
      <c r="U257" s="237" t="s">
        <v>298</v>
      </c>
      <c r="V257" s="237" t="s">
        <v>235</v>
      </c>
      <c r="W257" s="245">
        <v>45294</v>
      </c>
      <c r="X257" s="237" t="s">
        <v>1772</v>
      </c>
      <c r="Y257" s="237" t="s">
        <v>1772</v>
      </c>
      <c r="Z257" s="237" t="s">
        <v>237</v>
      </c>
      <c r="AA257" s="237" t="s">
        <v>1773</v>
      </c>
      <c r="AB257" s="237" t="s">
        <v>237</v>
      </c>
      <c r="AC257" s="237" t="s">
        <v>353</v>
      </c>
    </row>
    <row r="258" spans="1:39" ht="13.5" customHeight="1">
      <c r="A258" s="235">
        <v>256</v>
      </c>
      <c r="B258" s="237">
        <v>157</v>
      </c>
      <c r="C258" s="243" t="s">
        <v>1774</v>
      </c>
      <c r="D258" s="237" t="s">
        <v>1775</v>
      </c>
      <c r="E258" s="237">
        <v>55</v>
      </c>
      <c r="F258" s="237" t="s">
        <v>75</v>
      </c>
      <c r="G258" s="237" t="s">
        <v>1776</v>
      </c>
      <c r="H258" s="243" t="s">
        <v>5</v>
      </c>
      <c r="I258" s="243"/>
      <c r="K258" s="240" t="s">
        <v>1266</v>
      </c>
      <c r="L258" s="72" t="s">
        <v>16</v>
      </c>
      <c r="M258" s="246" t="s">
        <v>228</v>
      </c>
      <c r="N258" s="237" t="s">
        <v>1777</v>
      </c>
      <c r="O258" s="237" t="s">
        <v>1778</v>
      </c>
      <c r="P258" s="237" t="s">
        <v>231</v>
      </c>
      <c r="Q258" s="245">
        <v>45124</v>
      </c>
      <c r="R258" s="237" t="s">
        <v>309</v>
      </c>
      <c r="S258" s="331" t="s">
        <v>233</v>
      </c>
      <c r="T258" s="237">
        <v>8.5</v>
      </c>
      <c r="U258" s="237" t="s">
        <v>298</v>
      </c>
      <c r="V258" s="237" t="s">
        <v>235</v>
      </c>
      <c r="W258" s="245">
        <v>45155</v>
      </c>
      <c r="X258" s="237" t="s">
        <v>1779</v>
      </c>
      <c r="Y258" s="237" t="s">
        <v>237</v>
      </c>
      <c r="Z258" s="237" t="s">
        <v>228</v>
      </c>
      <c r="AA258" s="237" t="s">
        <v>1780</v>
      </c>
      <c r="AB258" s="237" t="s">
        <v>228</v>
      </c>
      <c r="AC258" s="237" t="s">
        <v>228</v>
      </c>
    </row>
    <row r="259" spans="1:39" ht="13.5" customHeight="1">
      <c r="A259" s="235">
        <v>257</v>
      </c>
      <c r="B259" s="237">
        <v>16</v>
      </c>
      <c r="C259" s="243" t="s">
        <v>1781</v>
      </c>
      <c r="D259" s="237" t="s">
        <v>1782</v>
      </c>
      <c r="E259" s="237">
        <v>69</v>
      </c>
      <c r="F259" s="237" t="s">
        <v>60</v>
      </c>
      <c r="G259" s="237" t="s">
        <v>1783</v>
      </c>
      <c r="H259" s="243" t="s">
        <v>5</v>
      </c>
      <c r="I259" s="243"/>
      <c r="K259" s="240" t="s">
        <v>1784</v>
      </c>
      <c r="L259" s="72" t="s">
        <v>13</v>
      </c>
      <c r="M259" s="246" t="s">
        <v>228</v>
      </c>
      <c r="N259" s="237" t="s">
        <v>1785</v>
      </c>
      <c r="O259" s="237" t="s">
        <v>228</v>
      </c>
      <c r="P259" s="237" t="s">
        <v>231</v>
      </c>
      <c r="Q259" s="245">
        <v>45135</v>
      </c>
      <c r="R259" s="237" t="s">
        <v>309</v>
      </c>
      <c r="S259" s="331" t="s">
        <v>233</v>
      </c>
      <c r="T259" s="237">
        <v>8.6</v>
      </c>
      <c r="U259" s="237" t="s">
        <v>234</v>
      </c>
      <c r="V259" s="237" t="s">
        <v>235</v>
      </c>
      <c r="W259" s="245">
        <v>45155</v>
      </c>
      <c r="X259" s="237" t="s">
        <v>1786</v>
      </c>
      <c r="Y259" s="237" t="s">
        <v>237</v>
      </c>
      <c r="Z259" s="237" t="s">
        <v>228</v>
      </c>
      <c r="AA259" s="237" t="s">
        <v>1787</v>
      </c>
      <c r="AB259" s="237" t="s">
        <v>237</v>
      </c>
      <c r="AC259" s="237" t="s">
        <v>353</v>
      </c>
    </row>
    <row r="260" spans="1:39" ht="13.5" customHeight="1">
      <c r="A260" s="235">
        <v>258</v>
      </c>
      <c r="B260" s="237">
        <v>17</v>
      </c>
      <c r="C260" s="243" t="s">
        <v>1788</v>
      </c>
      <c r="D260" s="237" t="s">
        <v>1789</v>
      </c>
      <c r="E260" s="237">
        <v>26</v>
      </c>
      <c r="F260" s="237" t="s">
        <v>60</v>
      </c>
      <c r="G260" s="237" t="s">
        <v>1790</v>
      </c>
      <c r="H260" s="243" t="s">
        <v>5</v>
      </c>
      <c r="I260" s="243"/>
      <c r="K260" s="240" t="s">
        <v>1791</v>
      </c>
      <c r="L260" s="72" t="s">
        <v>62</v>
      </c>
      <c r="M260" s="243" t="s">
        <v>32</v>
      </c>
      <c r="N260" s="248" t="s">
        <v>1792</v>
      </c>
      <c r="O260" s="237" t="s">
        <v>228</v>
      </c>
      <c r="P260" s="237" t="s">
        <v>231</v>
      </c>
      <c r="Q260" s="245">
        <v>45268</v>
      </c>
      <c r="R260" s="237" t="s">
        <v>309</v>
      </c>
      <c r="S260" s="331" t="s">
        <v>233</v>
      </c>
      <c r="T260" s="237">
        <v>9.1999999999999993</v>
      </c>
      <c r="U260" s="237" t="s">
        <v>298</v>
      </c>
      <c r="V260" s="237" t="s">
        <v>235</v>
      </c>
      <c r="W260" s="245">
        <v>45294</v>
      </c>
      <c r="X260" s="237" t="s">
        <v>1793</v>
      </c>
      <c r="Y260" s="237" t="s">
        <v>237</v>
      </c>
      <c r="Z260" s="237" t="s">
        <v>228</v>
      </c>
      <c r="AA260" s="237" t="s">
        <v>1794</v>
      </c>
      <c r="AB260" s="237" t="s">
        <v>228</v>
      </c>
      <c r="AC260" s="237" t="s">
        <v>228</v>
      </c>
    </row>
    <row r="261" spans="1:39" ht="13.5" customHeight="1">
      <c r="A261" s="235">
        <v>259</v>
      </c>
      <c r="B261" s="237">
        <v>184</v>
      </c>
      <c r="C261" s="243" t="s">
        <v>1795</v>
      </c>
      <c r="D261" s="237" t="s">
        <v>1796</v>
      </c>
      <c r="E261" s="237">
        <v>63</v>
      </c>
      <c r="F261" s="237" t="s">
        <v>60</v>
      </c>
      <c r="G261" s="237" t="s">
        <v>1797</v>
      </c>
      <c r="H261" s="243" t="s">
        <v>5</v>
      </c>
      <c r="I261" s="243"/>
      <c r="K261" s="240" t="s">
        <v>1798</v>
      </c>
      <c r="L261" s="72" t="s">
        <v>67</v>
      </c>
      <c r="M261" s="243" t="s">
        <v>1799</v>
      </c>
      <c r="N261" s="237" t="s">
        <v>1800</v>
      </c>
      <c r="O261" s="237" t="s">
        <v>228</v>
      </c>
      <c r="P261" s="237"/>
      <c r="Q261" s="245">
        <v>45303</v>
      </c>
      <c r="R261" s="237" t="s">
        <v>309</v>
      </c>
      <c r="S261" s="331" t="s">
        <v>233</v>
      </c>
      <c r="T261" s="237">
        <v>8.6</v>
      </c>
      <c r="U261" s="237" t="s">
        <v>298</v>
      </c>
      <c r="V261" s="237" t="s">
        <v>235</v>
      </c>
      <c r="W261" s="245">
        <v>45341</v>
      </c>
      <c r="X261" s="237" t="s">
        <v>1801</v>
      </c>
      <c r="Y261" s="237" t="s">
        <v>237</v>
      </c>
      <c r="Z261" s="237" t="s">
        <v>237</v>
      </c>
      <c r="AA261" s="237" t="s">
        <v>1802</v>
      </c>
      <c r="AB261" s="237" t="s">
        <v>228</v>
      </c>
      <c r="AC261" s="237" t="s">
        <v>228</v>
      </c>
    </row>
    <row r="262" spans="1:39" ht="13.5" customHeight="1">
      <c r="A262" s="235">
        <v>260</v>
      </c>
      <c r="B262" s="258">
        <v>279</v>
      </c>
      <c r="C262" s="243" t="s">
        <v>1803</v>
      </c>
      <c r="D262" s="237" t="s">
        <v>1804</v>
      </c>
      <c r="E262" s="258">
        <v>72</v>
      </c>
      <c r="F262" s="258" t="s">
        <v>424</v>
      </c>
      <c r="G262" s="258" t="s">
        <v>1805</v>
      </c>
      <c r="H262" s="257" t="s">
        <v>5</v>
      </c>
      <c r="I262" s="257"/>
      <c r="J262" s="259" t="s">
        <v>433</v>
      </c>
      <c r="K262" s="240" t="s">
        <v>123</v>
      </c>
      <c r="L262" s="257" t="s">
        <v>1642</v>
      </c>
      <c r="M262" s="257" t="s">
        <v>32</v>
      </c>
      <c r="N262" s="258"/>
      <c r="O262" s="258"/>
      <c r="P262" s="258"/>
      <c r="Q262" s="261">
        <v>45607</v>
      </c>
      <c r="R262" s="258" t="s">
        <v>309</v>
      </c>
      <c r="S262" s="333" t="s">
        <v>233</v>
      </c>
      <c r="T262" s="258">
        <v>8.1</v>
      </c>
      <c r="U262" s="258" t="s">
        <v>234</v>
      </c>
      <c r="V262" s="258" t="s">
        <v>235</v>
      </c>
      <c r="W262" s="261">
        <v>45666</v>
      </c>
      <c r="X262" s="258" t="s">
        <v>1806</v>
      </c>
      <c r="Y262" s="258" t="s">
        <v>237</v>
      </c>
      <c r="Z262" s="237" t="s">
        <v>237</v>
      </c>
      <c r="AA262" s="258" t="s">
        <v>1807</v>
      </c>
      <c r="AB262" s="258" t="s">
        <v>228</v>
      </c>
      <c r="AC262" s="237" t="s">
        <v>228</v>
      </c>
    </row>
    <row r="263" spans="1:39" ht="13.5" customHeight="1">
      <c r="A263" s="235">
        <v>261</v>
      </c>
      <c r="B263" s="237"/>
      <c r="C263" s="243" t="s">
        <v>1808</v>
      </c>
      <c r="D263" s="237" t="s">
        <v>1809</v>
      </c>
      <c r="E263" s="237">
        <v>79</v>
      </c>
      <c r="F263" s="237" t="s">
        <v>424</v>
      </c>
      <c r="G263" s="237" t="s">
        <v>1810</v>
      </c>
      <c r="H263" s="243" t="s">
        <v>4</v>
      </c>
      <c r="I263" s="243"/>
      <c r="K263" s="240" t="s">
        <v>1811</v>
      </c>
      <c r="L263" s="72" t="s">
        <v>13</v>
      </c>
      <c r="M263" s="243" t="s">
        <v>1812</v>
      </c>
      <c r="N263" s="237"/>
      <c r="O263" s="237"/>
      <c r="P263" s="237"/>
      <c r="Q263" s="245">
        <v>45673</v>
      </c>
      <c r="R263" s="237" t="s">
        <v>309</v>
      </c>
      <c r="S263" s="331" t="s">
        <v>233</v>
      </c>
      <c r="T263" s="237" t="s">
        <v>228</v>
      </c>
      <c r="U263" s="237" t="s">
        <v>234</v>
      </c>
      <c r="V263" s="237" t="s">
        <v>473</v>
      </c>
      <c r="W263" s="245">
        <v>45747</v>
      </c>
      <c r="X263" s="237" t="s">
        <v>1813</v>
      </c>
      <c r="Y263" s="237" t="s">
        <v>237</v>
      </c>
      <c r="Z263" s="237" t="s">
        <v>228</v>
      </c>
      <c r="AA263" s="237" t="s">
        <v>1814</v>
      </c>
      <c r="AB263" s="237" t="s">
        <v>228</v>
      </c>
      <c r="AC263" s="237" t="s">
        <v>228</v>
      </c>
    </row>
    <row r="264" spans="1:39" ht="13.5" customHeight="1">
      <c r="A264" s="235">
        <v>262</v>
      </c>
      <c r="B264" s="237"/>
      <c r="C264" s="243" t="s">
        <v>1815</v>
      </c>
      <c r="D264" s="237" t="s">
        <v>1816</v>
      </c>
      <c r="E264" s="237">
        <v>50</v>
      </c>
      <c r="F264" s="237" t="s">
        <v>75</v>
      </c>
      <c r="G264" s="237" t="s">
        <v>1817</v>
      </c>
      <c r="H264" s="243" t="s">
        <v>5</v>
      </c>
      <c r="I264" s="243"/>
      <c r="J264" s="240" t="s">
        <v>886</v>
      </c>
      <c r="K264" s="240" t="s">
        <v>887</v>
      </c>
      <c r="L264" s="72" t="s">
        <v>45</v>
      </c>
      <c r="M264" s="243" t="s">
        <v>231</v>
      </c>
      <c r="N264" s="237"/>
      <c r="O264" s="237"/>
      <c r="P264" s="237"/>
      <c r="Q264" s="245">
        <v>44979</v>
      </c>
      <c r="R264" s="237" t="s">
        <v>309</v>
      </c>
      <c r="S264" s="331" t="s">
        <v>233</v>
      </c>
      <c r="T264" s="237" t="s">
        <v>228</v>
      </c>
      <c r="U264" s="237" t="s">
        <v>234</v>
      </c>
      <c r="V264" s="237" t="s">
        <v>652</v>
      </c>
      <c r="W264" s="245">
        <v>45947</v>
      </c>
      <c r="X264" s="237" t="s">
        <v>1818</v>
      </c>
      <c r="Y264" s="237" t="s">
        <v>237</v>
      </c>
      <c r="Z264" s="237" t="s">
        <v>228</v>
      </c>
      <c r="AA264" s="237" t="s">
        <v>1819</v>
      </c>
      <c r="AB264" s="237" t="s">
        <v>228</v>
      </c>
      <c r="AC264" s="237" t="s">
        <v>228</v>
      </c>
    </row>
    <row r="265" spans="1:39" ht="13.5" customHeight="1">
      <c r="A265" s="235">
        <v>263</v>
      </c>
      <c r="B265" s="237"/>
      <c r="C265" s="243" t="s">
        <v>1820</v>
      </c>
      <c r="D265" s="237" t="s">
        <v>1821</v>
      </c>
      <c r="E265" s="237">
        <v>53</v>
      </c>
      <c r="F265" s="237" t="s">
        <v>75</v>
      </c>
      <c r="G265" s="237" t="s">
        <v>1822</v>
      </c>
      <c r="H265" s="243" t="s">
        <v>5</v>
      </c>
      <c r="I265" s="243"/>
      <c r="J265" s="240" t="s">
        <v>886</v>
      </c>
      <c r="K265" s="240" t="s">
        <v>1823</v>
      </c>
      <c r="L265" s="243" t="s">
        <v>59</v>
      </c>
      <c r="M265" s="243" t="s">
        <v>231</v>
      </c>
      <c r="N265" s="237"/>
      <c r="O265" s="237"/>
      <c r="P265" s="237"/>
      <c r="Q265" s="245">
        <v>44984</v>
      </c>
      <c r="R265" s="237" t="s">
        <v>309</v>
      </c>
      <c r="S265" s="331" t="s">
        <v>233</v>
      </c>
      <c r="T265" s="237" t="s">
        <v>228</v>
      </c>
      <c r="U265" s="237" t="s">
        <v>234</v>
      </c>
      <c r="V265" s="237" t="s">
        <v>652</v>
      </c>
      <c r="W265" s="245">
        <v>45947</v>
      </c>
      <c r="X265" s="237" t="s">
        <v>1824</v>
      </c>
      <c r="Y265" s="237" t="s">
        <v>237</v>
      </c>
      <c r="Z265" s="237" t="s">
        <v>228</v>
      </c>
      <c r="AA265" s="237" t="s">
        <v>1825</v>
      </c>
      <c r="AB265" s="237" t="s">
        <v>228</v>
      </c>
      <c r="AC265" s="237" t="s">
        <v>228</v>
      </c>
    </row>
    <row r="266" spans="1:39" ht="13.5" customHeight="1">
      <c r="A266" s="235">
        <v>264</v>
      </c>
      <c r="B266" s="237"/>
      <c r="C266" s="243" t="s">
        <v>1826</v>
      </c>
      <c r="D266" s="237" t="s">
        <v>1827</v>
      </c>
      <c r="E266" s="237">
        <v>65</v>
      </c>
      <c r="F266" s="237" t="s">
        <v>75</v>
      </c>
      <c r="G266" s="237" t="s">
        <v>1828</v>
      </c>
      <c r="H266" s="243" t="s">
        <v>5</v>
      </c>
      <c r="I266" s="243"/>
      <c r="K266" s="240" t="s">
        <v>87</v>
      </c>
      <c r="L266" s="72" t="s">
        <v>16</v>
      </c>
      <c r="M266" s="243" t="s">
        <v>231</v>
      </c>
      <c r="N266" s="237"/>
      <c r="O266" s="237"/>
      <c r="P266" s="237"/>
      <c r="Q266" s="245">
        <v>45478</v>
      </c>
      <c r="R266" s="237" t="s">
        <v>309</v>
      </c>
      <c r="S266" s="331" t="s">
        <v>233</v>
      </c>
      <c r="T266" s="237" t="s">
        <v>228</v>
      </c>
      <c r="U266" s="237" t="s">
        <v>234</v>
      </c>
      <c r="V266" s="237" t="s">
        <v>652</v>
      </c>
      <c r="W266" s="245">
        <v>45947</v>
      </c>
      <c r="X266" s="237" t="s">
        <v>1829</v>
      </c>
      <c r="Y266" s="237" t="s">
        <v>237</v>
      </c>
      <c r="Z266" s="237" t="s">
        <v>228</v>
      </c>
      <c r="AA266" s="237" t="s">
        <v>1830</v>
      </c>
      <c r="AB266" s="237" t="s">
        <v>228</v>
      </c>
      <c r="AC266" s="237" t="s">
        <v>228</v>
      </c>
    </row>
    <row r="267" spans="1:39" ht="13.5" customHeight="1">
      <c r="A267" s="235">
        <v>265</v>
      </c>
      <c r="B267" s="237"/>
      <c r="C267" s="256" t="s">
        <v>1831</v>
      </c>
      <c r="D267" s="237" t="s">
        <v>1832</v>
      </c>
      <c r="E267" s="237">
        <v>72</v>
      </c>
      <c r="F267" s="237" t="s">
        <v>75</v>
      </c>
      <c r="G267" s="237" t="s">
        <v>1833</v>
      </c>
      <c r="H267" s="243" t="s">
        <v>5</v>
      </c>
      <c r="I267" s="243"/>
      <c r="K267" s="240" t="s">
        <v>1834</v>
      </c>
      <c r="L267" s="72" t="s">
        <v>19</v>
      </c>
      <c r="M267" s="243" t="s">
        <v>1835</v>
      </c>
      <c r="N267" s="237"/>
      <c r="O267" s="237"/>
      <c r="P267" s="237"/>
      <c r="Q267" s="245">
        <v>45739</v>
      </c>
      <c r="R267" s="237" t="s">
        <v>309</v>
      </c>
      <c r="S267" s="331" t="s">
        <v>233</v>
      </c>
      <c r="T267" s="237" t="s">
        <v>228</v>
      </c>
      <c r="U267" s="237" t="s">
        <v>234</v>
      </c>
      <c r="V267" s="237" t="s">
        <v>652</v>
      </c>
      <c r="W267" s="245">
        <v>45947</v>
      </c>
      <c r="X267" s="237" t="s">
        <v>1836</v>
      </c>
      <c r="Y267" s="237" t="s">
        <v>237</v>
      </c>
      <c r="Z267" s="237" t="s">
        <v>228</v>
      </c>
      <c r="AA267" s="237" t="s">
        <v>1837</v>
      </c>
      <c r="AB267" s="237" t="s">
        <v>228</v>
      </c>
      <c r="AC267" s="237" t="s">
        <v>228</v>
      </c>
    </row>
    <row r="268" spans="1:39" ht="13.5" customHeight="1">
      <c r="A268" s="235">
        <v>266</v>
      </c>
      <c r="B268" s="237"/>
      <c r="C268" s="256" t="s">
        <v>1838</v>
      </c>
      <c r="D268" s="237" t="s">
        <v>1839</v>
      </c>
      <c r="E268" s="237">
        <v>60</v>
      </c>
      <c r="F268" s="237" t="s">
        <v>75</v>
      </c>
      <c r="G268" s="237" t="s">
        <v>1840</v>
      </c>
      <c r="H268" s="243" t="s">
        <v>5</v>
      </c>
      <c r="I268" s="243"/>
      <c r="K268" s="240"/>
      <c r="L268" s="243" t="s">
        <v>70</v>
      </c>
      <c r="M268" s="246" t="s">
        <v>228</v>
      </c>
      <c r="N268" s="237"/>
      <c r="O268" s="237"/>
      <c r="P268" s="237"/>
      <c r="Q268" s="245">
        <v>45888</v>
      </c>
      <c r="R268" s="237" t="s">
        <v>309</v>
      </c>
      <c r="S268" s="331" t="s">
        <v>233</v>
      </c>
      <c r="T268" s="237" t="s">
        <v>228</v>
      </c>
      <c r="U268" s="237" t="s">
        <v>298</v>
      </c>
      <c r="V268" s="237" t="s">
        <v>652</v>
      </c>
      <c r="W268" s="245">
        <v>45947</v>
      </c>
      <c r="X268" s="237" t="s">
        <v>1841</v>
      </c>
      <c r="Y268" s="237" t="s">
        <v>588</v>
      </c>
      <c r="Z268" s="237" t="s">
        <v>228</v>
      </c>
      <c r="AA268" s="237" t="s">
        <v>1842</v>
      </c>
      <c r="AB268" s="237" t="s">
        <v>228</v>
      </c>
      <c r="AC268" s="237" t="s">
        <v>228</v>
      </c>
    </row>
    <row r="269" spans="1:39" ht="13.5" customHeight="1">
      <c r="A269" s="235">
        <v>267</v>
      </c>
      <c r="B269" s="237">
        <v>17</v>
      </c>
      <c r="C269" s="255" t="s">
        <v>1843</v>
      </c>
      <c r="D269" s="237" t="s">
        <v>1844</v>
      </c>
      <c r="E269" s="237">
        <v>26</v>
      </c>
      <c r="F269" s="237" t="s">
        <v>75</v>
      </c>
      <c r="G269" s="237" t="s">
        <v>1845</v>
      </c>
      <c r="H269" s="243" t="s">
        <v>5</v>
      </c>
      <c r="I269" s="243"/>
      <c r="K269" s="243" t="s">
        <v>99</v>
      </c>
      <c r="L269" s="72" t="s">
        <v>77</v>
      </c>
      <c r="M269" s="246" t="s">
        <v>228</v>
      </c>
      <c r="N269" s="237" t="s">
        <v>228</v>
      </c>
      <c r="O269" s="237" t="s">
        <v>228</v>
      </c>
      <c r="P269" s="237" t="s">
        <v>231</v>
      </c>
      <c r="Q269" s="245">
        <v>44726</v>
      </c>
      <c r="R269" s="237" t="s">
        <v>232</v>
      </c>
      <c r="S269" s="331" t="s">
        <v>233</v>
      </c>
      <c r="T269" s="237">
        <v>8.9</v>
      </c>
      <c r="U269" s="237" t="s">
        <v>234</v>
      </c>
      <c r="V269" s="237" t="s">
        <v>235</v>
      </c>
      <c r="W269" s="245" t="s">
        <v>228</v>
      </c>
      <c r="X269" s="237" t="s">
        <v>1846</v>
      </c>
      <c r="Y269" s="237" t="s">
        <v>237</v>
      </c>
      <c r="Z269" s="237" t="s">
        <v>237</v>
      </c>
      <c r="AA269" s="237" t="s">
        <v>1847</v>
      </c>
      <c r="AB269" s="237" t="s">
        <v>228</v>
      </c>
      <c r="AC269" s="237" t="s">
        <v>228</v>
      </c>
    </row>
    <row r="270" spans="1:39" ht="13.5" customHeight="1">
      <c r="A270" s="235">
        <v>268</v>
      </c>
      <c r="B270" s="237">
        <v>185</v>
      </c>
      <c r="C270" s="255" t="s">
        <v>1848</v>
      </c>
      <c r="D270" s="237" t="s">
        <v>1849</v>
      </c>
      <c r="E270" s="237">
        <v>32</v>
      </c>
      <c r="F270" s="237" t="s">
        <v>75</v>
      </c>
      <c r="G270" s="237" t="s">
        <v>1850</v>
      </c>
      <c r="H270" s="243" t="s">
        <v>5</v>
      </c>
      <c r="I270" s="243"/>
      <c r="K270" s="240"/>
      <c r="L270" s="72" t="s">
        <v>16</v>
      </c>
      <c r="M270" s="246" t="s">
        <v>228</v>
      </c>
      <c r="N270" s="237" t="s">
        <v>228</v>
      </c>
      <c r="O270" s="237" t="s">
        <v>228</v>
      </c>
      <c r="P270" s="237"/>
      <c r="Q270" s="245">
        <v>45306</v>
      </c>
      <c r="R270" s="237" t="s">
        <v>309</v>
      </c>
      <c r="S270" s="331" t="s">
        <v>233</v>
      </c>
      <c r="T270" s="237">
        <v>8.9</v>
      </c>
      <c r="U270" s="237" t="s">
        <v>298</v>
      </c>
      <c r="V270" s="237" t="s">
        <v>235</v>
      </c>
      <c r="W270" s="245">
        <v>45341</v>
      </c>
      <c r="X270" s="237" t="s">
        <v>1851</v>
      </c>
      <c r="Y270" s="237" t="s">
        <v>237</v>
      </c>
      <c r="Z270" s="237" t="s">
        <v>237</v>
      </c>
      <c r="AA270" s="237" t="s">
        <v>1852</v>
      </c>
      <c r="AB270" s="237" t="s">
        <v>228</v>
      </c>
      <c r="AC270" s="237" t="s">
        <v>228</v>
      </c>
    </row>
    <row r="271" spans="1:39" ht="13.5" customHeight="1">
      <c r="A271" s="235">
        <v>269</v>
      </c>
      <c r="B271" s="237"/>
      <c r="C271" s="243" t="s">
        <v>1853</v>
      </c>
      <c r="D271" s="237" t="s">
        <v>1854</v>
      </c>
      <c r="E271" s="237">
        <v>35</v>
      </c>
      <c r="F271" s="237" t="s">
        <v>75</v>
      </c>
      <c r="G271" s="237" t="s">
        <v>1855</v>
      </c>
      <c r="H271" s="243" t="s">
        <v>5</v>
      </c>
      <c r="I271" s="243"/>
      <c r="K271" s="240"/>
      <c r="L271" s="72" t="s">
        <v>69</v>
      </c>
      <c r="M271" s="246" t="s">
        <v>228</v>
      </c>
      <c r="N271" s="237"/>
      <c r="O271" s="237"/>
      <c r="P271" s="237"/>
      <c r="Q271" s="245">
        <v>45671</v>
      </c>
      <c r="R271" s="237" t="s">
        <v>309</v>
      </c>
      <c r="S271" s="331" t="s">
        <v>233</v>
      </c>
      <c r="T271" s="237" t="s">
        <v>228</v>
      </c>
      <c r="U271" s="237" t="s">
        <v>234</v>
      </c>
      <c r="V271" s="237" t="s">
        <v>473</v>
      </c>
      <c r="W271" s="245">
        <v>45747</v>
      </c>
      <c r="X271" s="237" t="s">
        <v>1856</v>
      </c>
      <c r="Y271" s="237" t="s">
        <v>237</v>
      </c>
      <c r="Z271" s="237" t="s">
        <v>228</v>
      </c>
      <c r="AA271" s="237" t="s">
        <v>1857</v>
      </c>
      <c r="AB271" s="237" t="s">
        <v>228</v>
      </c>
      <c r="AC271" s="237" t="s">
        <v>228</v>
      </c>
    </row>
    <row r="272" spans="1:39" ht="13.5" customHeight="1">
      <c r="A272" s="235">
        <v>270</v>
      </c>
      <c r="B272" s="8">
        <v>157</v>
      </c>
      <c r="C272" s="216" t="s">
        <v>1858</v>
      </c>
      <c r="D272" s="110" t="s">
        <v>1854</v>
      </c>
      <c r="E272" s="110">
        <v>37</v>
      </c>
      <c r="F272" s="110" t="s">
        <v>75</v>
      </c>
      <c r="G272" s="110" t="s">
        <v>1855</v>
      </c>
      <c r="H272" s="109" t="s">
        <v>4</v>
      </c>
      <c r="I272" s="109"/>
      <c r="J272" s="72"/>
      <c r="K272" s="109" t="s">
        <v>126</v>
      </c>
      <c r="L272" s="72" t="s">
        <v>76</v>
      </c>
      <c r="M272" s="110" t="s">
        <v>32</v>
      </c>
      <c r="N272" s="110"/>
      <c r="O272" s="110"/>
      <c r="P272" s="112">
        <v>45748</v>
      </c>
      <c r="Q272" s="113">
        <v>45748</v>
      </c>
      <c r="R272" s="110" t="s">
        <v>233</v>
      </c>
      <c r="S272" s="110" t="s">
        <v>228</v>
      </c>
      <c r="T272" s="110" t="s">
        <v>234</v>
      </c>
      <c r="U272" s="110" t="s">
        <v>652</v>
      </c>
      <c r="V272" s="113">
        <v>45947</v>
      </c>
      <c r="W272" s="110" t="s">
        <v>1859</v>
      </c>
      <c r="X272" s="110" t="s">
        <v>237</v>
      </c>
      <c r="Y272" s="110" t="s">
        <v>1860</v>
      </c>
      <c r="Z272" s="237" t="s">
        <v>228</v>
      </c>
      <c r="AA272" s="72"/>
      <c r="AB272" s="72" t="s">
        <v>228</v>
      </c>
      <c r="AC272" s="72" t="s">
        <v>228</v>
      </c>
      <c r="AD272" s="72"/>
      <c r="AE272" s="72"/>
      <c r="AF272" s="72"/>
      <c r="AG272" s="72"/>
      <c r="AH272" s="72"/>
      <c r="AI272" s="72"/>
      <c r="AJ272" s="72"/>
      <c r="AK272" s="72"/>
      <c r="AL272" s="72"/>
      <c r="AM272" s="72"/>
    </row>
    <row r="273" spans="1:39" ht="13.5" customHeight="1">
      <c r="A273" s="235">
        <v>271</v>
      </c>
      <c r="B273" s="237">
        <v>25</v>
      </c>
      <c r="C273" s="243" t="s">
        <v>1861</v>
      </c>
      <c r="D273" s="237" t="s">
        <v>1862</v>
      </c>
      <c r="E273" s="237">
        <v>34</v>
      </c>
      <c r="F273" s="237" t="s">
        <v>60</v>
      </c>
      <c r="G273" s="237" t="s">
        <v>1863</v>
      </c>
      <c r="H273" s="243" t="s">
        <v>15</v>
      </c>
      <c r="I273" s="243"/>
      <c r="K273" s="240"/>
      <c r="L273" s="246" t="s">
        <v>228</v>
      </c>
      <c r="M273" s="246" t="s">
        <v>1864</v>
      </c>
      <c r="N273" s="237" t="s">
        <v>228</v>
      </c>
      <c r="O273" s="237" t="s">
        <v>228</v>
      </c>
      <c r="P273" s="237" t="s">
        <v>231</v>
      </c>
      <c r="Q273" s="245">
        <v>44733</v>
      </c>
      <c r="R273" s="237" t="s">
        <v>232</v>
      </c>
      <c r="S273" s="331" t="s">
        <v>233</v>
      </c>
      <c r="T273" s="237">
        <v>8.6999999999999993</v>
      </c>
      <c r="U273" s="237" t="s">
        <v>234</v>
      </c>
      <c r="V273" s="237" t="s">
        <v>235</v>
      </c>
      <c r="W273" s="245" t="s">
        <v>228</v>
      </c>
      <c r="X273" s="237" t="s">
        <v>1865</v>
      </c>
      <c r="Y273" s="237" t="s">
        <v>237</v>
      </c>
      <c r="Z273" s="237" t="s">
        <v>237</v>
      </c>
      <c r="AA273" s="237" t="s">
        <v>1866</v>
      </c>
      <c r="AB273" s="237" t="s">
        <v>228</v>
      </c>
      <c r="AC273" s="237" t="s">
        <v>228</v>
      </c>
    </row>
    <row r="274" spans="1:39" ht="13.5" customHeight="1">
      <c r="A274" s="235">
        <v>272</v>
      </c>
      <c r="B274" s="237"/>
      <c r="C274" s="243" t="s">
        <v>1867</v>
      </c>
      <c r="D274" s="237" t="s">
        <v>1868</v>
      </c>
      <c r="E274" s="237">
        <v>45</v>
      </c>
      <c r="F274" s="237" t="s">
        <v>75</v>
      </c>
      <c r="G274" s="237" t="s">
        <v>1869</v>
      </c>
      <c r="H274" s="243" t="s">
        <v>15</v>
      </c>
      <c r="I274" s="243"/>
      <c r="K274" s="243" t="s">
        <v>158</v>
      </c>
      <c r="L274" s="243" t="s">
        <v>1870</v>
      </c>
      <c r="M274" s="246" t="s">
        <v>228</v>
      </c>
      <c r="N274" s="237"/>
      <c r="O274" s="237"/>
      <c r="P274" s="237"/>
      <c r="Q274" s="245">
        <v>45728</v>
      </c>
      <c r="R274" s="237" t="s">
        <v>309</v>
      </c>
      <c r="S274" s="331" t="s">
        <v>233</v>
      </c>
      <c r="T274" s="237" t="s">
        <v>228</v>
      </c>
      <c r="U274" s="237" t="s">
        <v>234</v>
      </c>
      <c r="V274" s="237" t="s">
        <v>473</v>
      </c>
      <c r="W274" s="245">
        <v>45832</v>
      </c>
      <c r="X274" s="237" t="s">
        <v>1871</v>
      </c>
      <c r="Y274" s="237" t="s">
        <v>237</v>
      </c>
      <c r="Z274" s="237" t="s">
        <v>228</v>
      </c>
      <c r="AA274" s="237" t="s">
        <v>1872</v>
      </c>
      <c r="AB274" s="237" t="s">
        <v>237</v>
      </c>
      <c r="AC274" s="237" t="s">
        <v>353</v>
      </c>
    </row>
    <row r="275" spans="1:39" ht="13.5" customHeight="1">
      <c r="A275" s="235">
        <v>273</v>
      </c>
      <c r="B275" s="237">
        <v>193</v>
      </c>
      <c r="C275" s="243" t="s">
        <v>1873</v>
      </c>
      <c r="D275" s="237" t="s">
        <v>1874</v>
      </c>
      <c r="E275" s="237">
        <v>41</v>
      </c>
      <c r="F275" s="237" t="s">
        <v>60</v>
      </c>
      <c r="G275" s="237" t="s">
        <v>1875</v>
      </c>
      <c r="H275" s="243" t="s">
        <v>15</v>
      </c>
      <c r="I275" s="243"/>
      <c r="K275" s="240" t="s">
        <v>4389</v>
      </c>
      <c r="L275" s="243" t="s">
        <v>4390</v>
      </c>
      <c r="M275" s="243"/>
      <c r="N275" s="237" t="s">
        <v>1878</v>
      </c>
      <c r="O275" s="237" t="s">
        <v>228</v>
      </c>
      <c r="P275" s="237"/>
      <c r="Q275" s="245">
        <v>45393</v>
      </c>
      <c r="R275" s="237" t="s">
        <v>309</v>
      </c>
      <c r="S275" s="331" t="s">
        <v>233</v>
      </c>
      <c r="T275" s="237" t="s">
        <v>1879</v>
      </c>
      <c r="U275" s="237" t="s">
        <v>298</v>
      </c>
      <c r="V275" s="237" t="s">
        <v>235</v>
      </c>
      <c r="W275" s="245">
        <v>45427</v>
      </c>
      <c r="X275" s="237" t="s">
        <v>1880</v>
      </c>
      <c r="Y275" s="237" t="s">
        <v>237</v>
      </c>
      <c r="Z275" s="237" t="s">
        <v>237</v>
      </c>
      <c r="AA275" s="237" t="s">
        <v>1881</v>
      </c>
      <c r="AB275" s="237" t="s">
        <v>228</v>
      </c>
      <c r="AC275" s="237" t="s">
        <v>228</v>
      </c>
    </row>
    <row r="276" spans="1:39" ht="13.5" customHeight="1">
      <c r="A276" s="235">
        <v>274</v>
      </c>
      <c r="B276" s="237"/>
      <c r="C276" s="255" t="s">
        <v>1882</v>
      </c>
      <c r="D276" s="237" t="s">
        <v>1883</v>
      </c>
      <c r="E276" s="237">
        <v>70</v>
      </c>
      <c r="F276" s="237" t="s">
        <v>60</v>
      </c>
      <c r="G276" s="237" t="s">
        <v>1884</v>
      </c>
      <c r="H276" s="243" t="s">
        <v>15</v>
      </c>
      <c r="I276" s="243"/>
      <c r="K276" s="243" t="s">
        <v>164</v>
      </c>
      <c r="L276" s="243" t="s">
        <v>1885</v>
      </c>
      <c r="M276" s="243" t="s">
        <v>1886</v>
      </c>
      <c r="N276" s="237"/>
      <c r="O276" s="237"/>
      <c r="P276" s="237"/>
      <c r="Q276" s="245">
        <v>45822</v>
      </c>
      <c r="R276" s="237" t="s">
        <v>309</v>
      </c>
      <c r="S276" s="331" t="s">
        <v>233</v>
      </c>
      <c r="T276" s="237" t="s">
        <v>228</v>
      </c>
      <c r="U276" s="237" t="s">
        <v>1887</v>
      </c>
      <c r="V276" s="237" t="s">
        <v>652</v>
      </c>
      <c r="W276" s="245">
        <v>45933</v>
      </c>
      <c r="X276" s="237" t="s">
        <v>1888</v>
      </c>
      <c r="Y276" s="237" t="s">
        <v>237</v>
      </c>
      <c r="Z276" s="237" t="s">
        <v>237</v>
      </c>
      <c r="AA276" s="237" t="s">
        <v>1889</v>
      </c>
      <c r="AB276" s="237" t="s">
        <v>228</v>
      </c>
      <c r="AC276" s="237" t="s">
        <v>228</v>
      </c>
    </row>
    <row r="277" spans="1:39" ht="13.5" customHeight="1">
      <c r="A277" s="235">
        <v>275</v>
      </c>
      <c r="B277" s="237">
        <v>45</v>
      </c>
      <c r="C277" s="255" t="s">
        <v>1890</v>
      </c>
      <c r="D277" s="237" t="s">
        <v>1891</v>
      </c>
      <c r="E277" s="237">
        <v>57</v>
      </c>
      <c r="F277" s="237" t="s">
        <v>75</v>
      </c>
      <c r="G277" s="237" t="s">
        <v>1892</v>
      </c>
      <c r="H277" s="243" t="s">
        <v>15</v>
      </c>
      <c r="I277" s="243"/>
      <c r="J277" s="235" t="s">
        <v>620</v>
      </c>
      <c r="K277" s="240" t="s">
        <v>162</v>
      </c>
      <c r="L277" s="243" t="s">
        <v>162</v>
      </c>
      <c r="M277" s="243" t="s">
        <v>231</v>
      </c>
      <c r="N277" s="237"/>
      <c r="O277" s="237"/>
      <c r="P277" s="237"/>
      <c r="Q277" s="245">
        <v>45631</v>
      </c>
      <c r="R277" s="237" t="s">
        <v>309</v>
      </c>
      <c r="S277" s="331" t="s">
        <v>233</v>
      </c>
      <c r="T277" s="237" t="s">
        <v>228</v>
      </c>
      <c r="U277" s="237" t="s">
        <v>234</v>
      </c>
      <c r="V277" s="237" t="s">
        <v>473</v>
      </c>
      <c r="W277" s="245">
        <v>45933</v>
      </c>
      <c r="X277" s="237" t="s">
        <v>1893</v>
      </c>
      <c r="Y277" s="237" t="s">
        <v>237</v>
      </c>
      <c r="Z277" s="237" t="s">
        <v>237</v>
      </c>
      <c r="AA277" s="237" t="s">
        <v>1894</v>
      </c>
      <c r="AB277" s="237" t="s">
        <v>228</v>
      </c>
      <c r="AC277" s="237" t="s">
        <v>228</v>
      </c>
    </row>
    <row r="278" spans="1:39" ht="13.5" customHeight="1">
      <c r="A278" s="235">
        <v>276</v>
      </c>
      <c r="B278" s="237"/>
      <c r="C278" s="243" t="s">
        <v>1895</v>
      </c>
      <c r="D278" s="237" t="s">
        <v>1896</v>
      </c>
      <c r="E278" s="237">
        <v>46</v>
      </c>
      <c r="F278" s="237" t="s">
        <v>75</v>
      </c>
      <c r="G278" s="237" t="s">
        <v>1897</v>
      </c>
      <c r="H278" s="243" t="s">
        <v>15</v>
      </c>
      <c r="I278" s="243"/>
      <c r="K278" s="240" t="s">
        <v>156</v>
      </c>
      <c r="L278" s="243" t="s">
        <v>4391</v>
      </c>
      <c r="M278" s="243" t="s">
        <v>231</v>
      </c>
      <c r="N278" s="237"/>
      <c r="O278" s="237"/>
      <c r="P278" s="237"/>
      <c r="Q278" s="245">
        <v>45666</v>
      </c>
      <c r="R278" s="237" t="s">
        <v>309</v>
      </c>
      <c r="S278" s="331" t="s">
        <v>233</v>
      </c>
      <c r="T278" s="237" t="s">
        <v>228</v>
      </c>
      <c r="U278" s="237" t="s">
        <v>234</v>
      </c>
      <c r="V278" s="237" t="s">
        <v>652</v>
      </c>
      <c r="W278" s="245">
        <v>45947</v>
      </c>
      <c r="X278" s="237" t="s">
        <v>1899</v>
      </c>
      <c r="Y278" s="237" t="s">
        <v>237</v>
      </c>
      <c r="Z278" s="237" t="s">
        <v>228</v>
      </c>
      <c r="AA278" s="237" t="s">
        <v>1900</v>
      </c>
      <c r="AB278" s="237" t="s">
        <v>228</v>
      </c>
      <c r="AC278" s="237" t="s">
        <v>228</v>
      </c>
    </row>
    <row r="279" spans="1:39" ht="13.5" customHeight="1">
      <c r="A279" s="235">
        <v>277</v>
      </c>
      <c r="B279" s="237"/>
      <c r="C279" s="243" t="s">
        <v>1901</v>
      </c>
      <c r="D279" s="237" t="s">
        <v>1902</v>
      </c>
      <c r="E279" s="237">
        <v>33</v>
      </c>
      <c r="F279" s="237" t="s">
        <v>75</v>
      </c>
      <c r="G279" s="237" t="s">
        <v>1903</v>
      </c>
      <c r="H279" s="243" t="s">
        <v>15</v>
      </c>
      <c r="I279" s="243"/>
      <c r="K279" s="240" t="s">
        <v>157</v>
      </c>
      <c r="L279" s="243" t="s">
        <v>157</v>
      </c>
      <c r="M279" s="243" t="s">
        <v>231</v>
      </c>
      <c r="N279" s="237"/>
      <c r="O279" s="237"/>
      <c r="P279" s="237"/>
      <c r="Q279" s="245">
        <v>45666</v>
      </c>
      <c r="R279" s="237" t="s">
        <v>309</v>
      </c>
      <c r="S279" s="331" t="s">
        <v>233</v>
      </c>
      <c r="T279" s="237" t="s">
        <v>228</v>
      </c>
      <c r="U279" s="237" t="s">
        <v>234</v>
      </c>
      <c r="V279" s="237" t="s">
        <v>652</v>
      </c>
      <c r="W279" s="245">
        <v>45947</v>
      </c>
      <c r="X279" s="237" t="s">
        <v>1904</v>
      </c>
      <c r="Y279" s="237" t="s">
        <v>237</v>
      </c>
      <c r="Z279" s="237" t="s">
        <v>228</v>
      </c>
      <c r="AA279" s="237" t="s">
        <v>1905</v>
      </c>
      <c r="AB279" s="237" t="s">
        <v>228</v>
      </c>
      <c r="AC279" s="237" t="s">
        <v>228</v>
      </c>
    </row>
    <row r="280" spans="1:39" ht="13.5" customHeight="1">
      <c r="A280" s="235">
        <v>278</v>
      </c>
      <c r="B280" s="237"/>
      <c r="C280" s="243" t="s">
        <v>1906</v>
      </c>
      <c r="D280" s="237" t="s">
        <v>1907</v>
      </c>
      <c r="E280" s="237">
        <v>47</v>
      </c>
      <c r="F280" s="237" t="s">
        <v>60</v>
      </c>
      <c r="G280" s="237" t="s">
        <v>1908</v>
      </c>
      <c r="H280" s="243" t="s">
        <v>15</v>
      </c>
      <c r="I280" s="243" t="s">
        <v>646</v>
      </c>
      <c r="K280" s="240" t="s">
        <v>146</v>
      </c>
      <c r="L280" s="243" t="s">
        <v>146</v>
      </c>
      <c r="M280" s="243" t="s">
        <v>231</v>
      </c>
      <c r="N280" s="237"/>
      <c r="O280" s="237"/>
      <c r="P280" s="237"/>
      <c r="Q280" s="245">
        <v>45673</v>
      </c>
      <c r="R280" s="237" t="s">
        <v>309</v>
      </c>
      <c r="S280" s="331" t="s">
        <v>233</v>
      </c>
      <c r="T280" s="237" t="s">
        <v>228</v>
      </c>
      <c r="U280" s="237" t="s">
        <v>234</v>
      </c>
      <c r="V280" s="237" t="s">
        <v>652</v>
      </c>
      <c r="W280" s="245">
        <v>45947</v>
      </c>
      <c r="X280" s="237" t="s">
        <v>1910</v>
      </c>
      <c r="Y280" s="237" t="s">
        <v>237</v>
      </c>
      <c r="Z280" s="237" t="s">
        <v>228</v>
      </c>
      <c r="AA280" s="237" t="s">
        <v>1911</v>
      </c>
      <c r="AB280" s="237" t="s">
        <v>228</v>
      </c>
      <c r="AC280" s="237" t="s">
        <v>228</v>
      </c>
    </row>
    <row r="281" spans="1:39" ht="13.5" customHeight="1">
      <c r="A281" s="235">
        <v>279</v>
      </c>
      <c r="B281" s="237">
        <v>144</v>
      </c>
      <c r="C281" s="243" t="s">
        <v>1912</v>
      </c>
      <c r="D281" s="237" t="s">
        <v>294</v>
      </c>
      <c r="E281" s="237">
        <v>50</v>
      </c>
      <c r="F281" s="237" t="s">
        <v>60</v>
      </c>
      <c r="G281" s="237" t="s">
        <v>295</v>
      </c>
      <c r="H281" s="243" t="s">
        <v>18</v>
      </c>
      <c r="I281" s="235" t="s">
        <v>296</v>
      </c>
      <c r="K281" s="240"/>
      <c r="L281" s="237"/>
      <c r="M281" s="243" t="s">
        <v>296</v>
      </c>
      <c r="N281" s="237"/>
      <c r="O281" s="237"/>
      <c r="P281" s="237"/>
      <c r="Q281" s="245">
        <v>45057</v>
      </c>
      <c r="R281" s="237" t="s">
        <v>309</v>
      </c>
      <c r="S281" s="331" t="s">
        <v>233</v>
      </c>
      <c r="T281" s="237" t="s">
        <v>228</v>
      </c>
      <c r="U281" s="237" t="s">
        <v>234</v>
      </c>
      <c r="V281" s="237" t="s">
        <v>652</v>
      </c>
      <c r="W281" s="245">
        <v>45947</v>
      </c>
      <c r="X281" s="237" t="s">
        <v>1913</v>
      </c>
      <c r="Y281" s="237" t="s">
        <v>237</v>
      </c>
      <c r="Z281" s="237" t="s">
        <v>228</v>
      </c>
      <c r="AA281" s="237" t="s">
        <v>1914</v>
      </c>
      <c r="AB281" s="237" t="s">
        <v>228</v>
      </c>
      <c r="AC281" s="237" t="s">
        <v>228</v>
      </c>
    </row>
    <row r="282" spans="1:39" s="306" customFormat="1" ht="13.5" customHeight="1">
      <c r="A282" s="235">
        <v>280</v>
      </c>
      <c r="B282" s="264"/>
      <c r="C282" s="315" t="s">
        <v>1915</v>
      </c>
      <c r="D282" s="264" t="s">
        <v>1916</v>
      </c>
      <c r="E282" s="264">
        <v>40</v>
      </c>
      <c r="F282" s="264" t="s">
        <v>75</v>
      </c>
      <c r="G282" s="264" t="s">
        <v>1917</v>
      </c>
      <c r="H282" s="289" t="s">
        <v>15</v>
      </c>
      <c r="I282" s="289"/>
      <c r="K282" s="290" t="s">
        <v>159</v>
      </c>
      <c r="L282" s="289" t="s">
        <v>3744</v>
      </c>
      <c r="M282" s="289" t="s">
        <v>231</v>
      </c>
      <c r="N282" s="264"/>
      <c r="O282" s="264"/>
      <c r="P282" s="264"/>
      <c r="Q282" s="314">
        <v>45757</v>
      </c>
      <c r="R282" s="264" t="s">
        <v>309</v>
      </c>
      <c r="S282" s="366" t="s">
        <v>233</v>
      </c>
      <c r="T282" s="264" t="s">
        <v>228</v>
      </c>
      <c r="U282" s="264" t="s">
        <v>234</v>
      </c>
      <c r="V282" s="264" t="s">
        <v>652</v>
      </c>
      <c r="W282" s="314">
        <v>45947</v>
      </c>
      <c r="X282" s="264" t="s">
        <v>1918</v>
      </c>
      <c r="Y282" s="264" t="s">
        <v>237</v>
      </c>
      <c r="Z282" s="237" t="s">
        <v>228</v>
      </c>
      <c r="AA282" s="264" t="s">
        <v>1919</v>
      </c>
      <c r="AB282" s="264" t="s">
        <v>228</v>
      </c>
      <c r="AC282" s="264" t="s">
        <v>228</v>
      </c>
      <c r="AD282" s="309"/>
      <c r="AE282" s="309"/>
      <c r="AF282" s="309"/>
      <c r="AG282" s="309"/>
      <c r="AH282" s="309"/>
      <c r="AI282" s="309"/>
      <c r="AJ282" s="309"/>
      <c r="AK282" s="309"/>
      <c r="AL282" s="309"/>
      <c r="AM282" s="310"/>
    </row>
    <row r="283" spans="1:39" ht="13.5" customHeight="1">
      <c r="A283" s="235">
        <v>281</v>
      </c>
      <c r="B283" s="237">
        <v>155</v>
      </c>
      <c r="C283" s="256" t="s">
        <v>1920</v>
      </c>
      <c r="D283" s="237" t="s">
        <v>1921</v>
      </c>
      <c r="E283" s="237">
        <v>38</v>
      </c>
      <c r="F283" s="237" t="s">
        <v>75</v>
      </c>
      <c r="G283" s="237" t="s">
        <v>274</v>
      </c>
      <c r="H283" s="243" t="s">
        <v>15</v>
      </c>
      <c r="I283" s="243"/>
      <c r="K283" s="240" t="s">
        <v>97</v>
      </c>
      <c r="L283" s="243" t="s">
        <v>155</v>
      </c>
      <c r="M283" s="246" t="s">
        <v>228</v>
      </c>
      <c r="N283" s="237"/>
      <c r="O283" s="237"/>
      <c r="P283" s="237"/>
      <c r="Q283" s="245">
        <v>45759</v>
      </c>
      <c r="R283" s="237" t="s">
        <v>309</v>
      </c>
      <c r="S283" s="331" t="s">
        <v>233</v>
      </c>
      <c r="T283" s="237" t="s">
        <v>228</v>
      </c>
      <c r="U283" s="237" t="s">
        <v>234</v>
      </c>
      <c r="V283" s="237" t="s">
        <v>652</v>
      </c>
      <c r="W283" s="245">
        <v>45947</v>
      </c>
      <c r="X283" s="237" t="s">
        <v>1652</v>
      </c>
      <c r="Y283" s="237" t="s">
        <v>588</v>
      </c>
      <c r="Z283" s="237" t="s">
        <v>228</v>
      </c>
      <c r="AA283" s="237" t="s">
        <v>1923</v>
      </c>
      <c r="AB283" s="237" t="s">
        <v>228</v>
      </c>
      <c r="AC283" s="237" t="s">
        <v>228</v>
      </c>
    </row>
    <row r="284" spans="1:39" s="253" customFormat="1" ht="13.5" customHeight="1">
      <c r="A284" s="235">
        <v>282</v>
      </c>
      <c r="B284" s="251"/>
      <c r="C284" s="256" t="s">
        <v>1924</v>
      </c>
      <c r="D284" s="237" t="s">
        <v>1925</v>
      </c>
      <c r="E284" s="251">
        <v>41</v>
      </c>
      <c r="F284" s="251" t="s">
        <v>60</v>
      </c>
      <c r="G284" s="251" t="s">
        <v>1926</v>
      </c>
      <c r="H284" s="252" t="s">
        <v>15</v>
      </c>
      <c r="I284" s="252"/>
      <c r="K284" s="240" t="s">
        <v>163</v>
      </c>
      <c r="L284" s="252" t="s">
        <v>163</v>
      </c>
      <c r="M284" s="252" t="s">
        <v>231</v>
      </c>
      <c r="N284" s="251"/>
      <c r="O284" s="251"/>
      <c r="P284" s="251"/>
      <c r="Q284" s="254">
        <v>45742</v>
      </c>
      <c r="R284" s="251" t="s">
        <v>309</v>
      </c>
      <c r="S284" s="334" t="s">
        <v>233</v>
      </c>
      <c r="T284" s="251" t="s">
        <v>228</v>
      </c>
      <c r="U284" s="251" t="s">
        <v>234</v>
      </c>
      <c r="V284" s="251" t="s">
        <v>652</v>
      </c>
      <c r="W284" s="254">
        <v>45947</v>
      </c>
      <c r="X284" s="251" t="s">
        <v>1927</v>
      </c>
      <c r="Y284" s="251" t="s">
        <v>237</v>
      </c>
      <c r="Z284" s="237" t="s">
        <v>228</v>
      </c>
      <c r="AA284" s="251" t="s">
        <v>1928</v>
      </c>
      <c r="AB284" s="251" t="s">
        <v>228</v>
      </c>
      <c r="AC284" s="251" t="s">
        <v>228</v>
      </c>
      <c r="AD284" s="298"/>
      <c r="AE284" s="298"/>
      <c r="AF284" s="298"/>
      <c r="AG284" s="298"/>
      <c r="AH284" s="298"/>
      <c r="AI284" s="298"/>
      <c r="AJ284" s="298"/>
      <c r="AK284" s="298"/>
      <c r="AL284" s="298"/>
      <c r="AM284" s="303"/>
    </row>
    <row r="285" spans="1:39" s="306" customFormat="1" ht="13.5" customHeight="1">
      <c r="A285" s="235">
        <v>283</v>
      </c>
      <c r="B285" s="264"/>
      <c r="C285" s="315" t="s">
        <v>1929</v>
      </c>
      <c r="D285" s="264" t="s">
        <v>1930</v>
      </c>
      <c r="E285" s="264">
        <v>29</v>
      </c>
      <c r="F285" s="264" t="s">
        <v>75</v>
      </c>
      <c r="G285" s="264" t="s">
        <v>1931</v>
      </c>
      <c r="H285" s="289" t="s">
        <v>15</v>
      </c>
      <c r="I285" s="289"/>
      <c r="K285" s="290" t="s">
        <v>157</v>
      </c>
      <c r="L285" s="289" t="s">
        <v>157</v>
      </c>
      <c r="M285" s="289" t="s">
        <v>231</v>
      </c>
      <c r="N285" s="264"/>
      <c r="O285" s="264"/>
      <c r="P285" s="264"/>
      <c r="Q285" s="314">
        <v>45468</v>
      </c>
      <c r="R285" s="264" t="s">
        <v>309</v>
      </c>
      <c r="S285" s="366" t="s">
        <v>233</v>
      </c>
      <c r="T285" s="264" t="s">
        <v>228</v>
      </c>
      <c r="U285" s="264" t="s">
        <v>234</v>
      </c>
      <c r="V285" s="264" t="s">
        <v>652</v>
      </c>
      <c r="W285" s="314">
        <v>45947</v>
      </c>
      <c r="X285" s="264" t="s">
        <v>1932</v>
      </c>
      <c r="Y285" s="264" t="s">
        <v>237</v>
      </c>
      <c r="Z285" s="237" t="s">
        <v>228</v>
      </c>
      <c r="AA285" s="264" t="s">
        <v>1933</v>
      </c>
      <c r="AB285" s="264" t="s">
        <v>237</v>
      </c>
      <c r="AC285" s="264" t="s">
        <v>353</v>
      </c>
      <c r="AD285" s="309"/>
      <c r="AE285" s="309"/>
      <c r="AF285" s="309"/>
      <c r="AG285" s="309"/>
      <c r="AH285" s="309"/>
      <c r="AI285" s="309"/>
      <c r="AJ285" s="309"/>
      <c r="AK285" s="309"/>
      <c r="AL285" s="309"/>
      <c r="AM285" s="310"/>
    </row>
    <row r="286" spans="1:39" ht="13.5" customHeight="1">
      <c r="A286" s="235">
        <v>284</v>
      </c>
      <c r="B286" s="237">
        <v>397</v>
      </c>
      <c r="C286" s="256" t="s">
        <v>1934</v>
      </c>
      <c r="D286" s="237" t="s">
        <v>1935</v>
      </c>
      <c r="E286" s="237">
        <v>22</v>
      </c>
      <c r="F286" s="237" t="s">
        <v>424</v>
      </c>
      <c r="G286" s="237" t="s">
        <v>1936</v>
      </c>
      <c r="H286" s="243" t="s">
        <v>18</v>
      </c>
      <c r="I286" s="262" t="s">
        <v>1937</v>
      </c>
      <c r="K286" s="240"/>
      <c r="L286" s="243"/>
      <c r="M286" s="243" t="s">
        <v>31</v>
      </c>
      <c r="N286" s="237"/>
      <c r="O286" s="237"/>
      <c r="P286" s="237"/>
      <c r="Q286" s="245">
        <v>45643</v>
      </c>
      <c r="R286" s="237" t="s">
        <v>309</v>
      </c>
      <c r="S286" s="331" t="s">
        <v>233</v>
      </c>
      <c r="T286" s="237">
        <v>8.1999999999999993</v>
      </c>
      <c r="U286" s="237" t="s">
        <v>298</v>
      </c>
      <c r="V286" s="237" t="s">
        <v>797</v>
      </c>
      <c r="W286" s="245">
        <v>45685</v>
      </c>
      <c r="X286" s="237" t="s">
        <v>1938</v>
      </c>
      <c r="Y286" s="237" t="s">
        <v>237</v>
      </c>
      <c r="Z286" s="237" t="s">
        <v>237</v>
      </c>
      <c r="AA286" s="237" t="s">
        <v>1939</v>
      </c>
      <c r="AB286" s="237" t="s">
        <v>237</v>
      </c>
      <c r="AC286" s="237" t="s">
        <v>228</v>
      </c>
    </row>
    <row r="287" spans="1:39" ht="13.5" customHeight="1">
      <c r="A287" s="235">
        <v>285</v>
      </c>
      <c r="B287" s="237">
        <v>238</v>
      </c>
      <c r="C287" s="243" t="s">
        <v>1940</v>
      </c>
      <c r="D287" s="237" t="s">
        <v>1941</v>
      </c>
      <c r="E287" s="237">
        <v>40</v>
      </c>
      <c r="F287" s="237" t="s">
        <v>75</v>
      </c>
      <c r="G287" s="237" t="s">
        <v>1942</v>
      </c>
      <c r="H287" s="243" t="s">
        <v>27</v>
      </c>
      <c r="I287" s="243"/>
      <c r="J287" s="235" t="s">
        <v>433</v>
      </c>
      <c r="K287" s="243" t="s">
        <v>1943</v>
      </c>
      <c r="L287" s="237"/>
      <c r="M287" s="243" t="s">
        <v>32</v>
      </c>
      <c r="N287" s="237"/>
      <c r="O287" s="237"/>
      <c r="P287" s="237"/>
      <c r="Q287" s="245">
        <v>45582</v>
      </c>
      <c r="R287" s="237" t="s">
        <v>309</v>
      </c>
      <c r="S287" s="331" t="s">
        <v>233</v>
      </c>
      <c r="T287" s="237">
        <v>9.8000000000000007</v>
      </c>
      <c r="U287" s="237" t="s">
        <v>298</v>
      </c>
      <c r="V287" s="237" t="s">
        <v>235</v>
      </c>
      <c r="W287" s="245">
        <v>45624</v>
      </c>
      <c r="X287" s="237" t="s">
        <v>1944</v>
      </c>
      <c r="Y287" s="237" t="s">
        <v>237</v>
      </c>
      <c r="Z287" s="237" t="s">
        <v>237</v>
      </c>
      <c r="AA287" s="237" t="s">
        <v>1945</v>
      </c>
      <c r="AB287" s="237" t="s">
        <v>237</v>
      </c>
      <c r="AC287" s="237" t="s">
        <v>874</v>
      </c>
    </row>
    <row r="288" spans="1:39" ht="13.5" customHeight="1">
      <c r="A288" s="235">
        <v>286</v>
      </c>
      <c r="B288" s="237">
        <v>239</v>
      </c>
      <c r="C288" s="243" t="s">
        <v>1946</v>
      </c>
      <c r="D288" s="237" t="s">
        <v>1947</v>
      </c>
      <c r="E288" s="237">
        <v>32</v>
      </c>
      <c r="F288" s="237" t="s">
        <v>75</v>
      </c>
      <c r="G288" s="237" t="s">
        <v>1948</v>
      </c>
      <c r="H288" s="243" t="s">
        <v>27</v>
      </c>
      <c r="I288" s="243"/>
      <c r="J288" s="235" t="s">
        <v>433</v>
      </c>
      <c r="K288" s="240"/>
      <c r="L288" s="243" t="s">
        <v>231</v>
      </c>
      <c r="M288" s="243" t="s">
        <v>32</v>
      </c>
      <c r="N288" s="237"/>
      <c r="O288" s="237"/>
      <c r="P288" s="237"/>
      <c r="Q288" s="245">
        <v>45582</v>
      </c>
      <c r="R288" s="237" t="s">
        <v>309</v>
      </c>
      <c r="S288" s="331" t="s">
        <v>233</v>
      </c>
      <c r="T288" s="237">
        <v>9.1</v>
      </c>
      <c r="U288" s="237" t="s">
        <v>298</v>
      </c>
      <c r="V288" s="237" t="s">
        <v>235</v>
      </c>
      <c r="W288" s="245">
        <v>45624</v>
      </c>
      <c r="X288" s="237" t="s">
        <v>1949</v>
      </c>
      <c r="Y288" s="237" t="s">
        <v>237</v>
      </c>
      <c r="Z288" s="237" t="s">
        <v>237</v>
      </c>
      <c r="AA288" s="237" t="s">
        <v>1950</v>
      </c>
      <c r="AB288" s="237" t="s">
        <v>228</v>
      </c>
      <c r="AC288" s="237" t="s">
        <v>874</v>
      </c>
    </row>
    <row r="289" spans="1:29" ht="13.5" customHeight="1">
      <c r="A289" s="235">
        <v>287</v>
      </c>
      <c r="B289" s="237">
        <v>24</v>
      </c>
      <c r="C289" s="243" t="s">
        <v>1951</v>
      </c>
      <c r="D289" s="237" t="s">
        <v>1952</v>
      </c>
      <c r="E289" s="237">
        <v>39</v>
      </c>
      <c r="F289" s="237" t="s">
        <v>60</v>
      </c>
      <c r="G289" s="237" t="s">
        <v>1953</v>
      </c>
      <c r="H289" s="243" t="s">
        <v>27</v>
      </c>
      <c r="I289" s="243"/>
      <c r="J289" s="235" t="s">
        <v>433</v>
      </c>
      <c r="K289" s="240"/>
      <c r="L289" s="243" t="s">
        <v>231</v>
      </c>
      <c r="M289" s="243" t="s">
        <v>32</v>
      </c>
      <c r="N289" s="237"/>
      <c r="O289" s="237"/>
      <c r="P289" s="237"/>
      <c r="Q289" s="245">
        <v>45583</v>
      </c>
      <c r="R289" s="237" t="s">
        <v>309</v>
      </c>
      <c r="S289" s="331" t="s">
        <v>233</v>
      </c>
      <c r="T289" s="237">
        <v>8.5</v>
      </c>
      <c r="U289" s="237" t="s">
        <v>298</v>
      </c>
      <c r="V289" s="237" t="s">
        <v>235</v>
      </c>
      <c r="W289" s="245">
        <v>45624</v>
      </c>
      <c r="X289" s="237" t="s">
        <v>1954</v>
      </c>
      <c r="Y289" s="237" t="s">
        <v>237</v>
      </c>
      <c r="Z289" s="237" t="s">
        <v>237</v>
      </c>
      <c r="AA289" s="237" t="s">
        <v>1955</v>
      </c>
      <c r="AB289" s="237" t="s">
        <v>237</v>
      </c>
      <c r="AC289" s="237" t="s">
        <v>228</v>
      </c>
    </row>
    <row r="290" spans="1:29" ht="13.5" customHeight="1">
      <c r="A290" s="235">
        <v>288</v>
      </c>
      <c r="B290" s="237">
        <v>25</v>
      </c>
      <c r="C290" s="243" t="s">
        <v>1956</v>
      </c>
      <c r="D290" s="237" t="s">
        <v>1957</v>
      </c>
      <c r="E290" s="237">
        <v>60</v>
      </c>
      <c r="F290" s="237" t="s">
        <v>424</v>
      </c>
      <c r="G290" s="237" t="s">
        <v>1958</v>
      </c>
      <c r="H290" s="243" t="s">
        <v>27</v>
      </c>
      <c r="I290" s="243"/>
      <c r="J290" s="235" t="s">
        <v>433</v>
      </c>
      <c r="K290" s="240"/>
      <c r="L290" s="243" t="s">
        <v>231</v>
      </c>
      <c r="M290" s="243" t="s">
        <v>32</v>
      </c>
      <c r="N290" s="237"/>
      <c r="O290" s="237"/>
      <c r="P290" s="237"/>
      <c r="Q290" s="245">
        <v>45586</v>
      </c>
      <c r="R290" s="237" t="s">
        <v>309</v>
      </c>
      <c r="S290" s="331" t="s">
        <v>233</v>
      </c>
      <c r="T290" s="237">
        <v>7.9</v>
      </c>
      <c r="U290" s="237" t="s">
        <v>298</v>
      </c>
      <c r="V290" s="237" t="s">
        <v>235</v>
      </c>
      <c r="W290" s="245">
        <v>45624</v>
      </c>
      <c r="X290" s="237" t="s">
        <v>1959</v>
      </c>
      <c r="Y290" s="237" t="s">
        <v>237</v>
      </c>
      <c r="Z290" s="237" t="s">
        <v>237</v>
      </c>
      <c r="AA290" s="237" t="s">
        <v>1960</v>
      </c>
      <c r="AB290" s="237" t="s">
        <v>228</v>
      </c>
      <c r="AC290" s="237" t="s">
        <v>874</v>
      </c>
    </row>
    <row r="291" spans="1:29" ht="13.5" customHeight="1">
      <c r="A291" s="235">
        <v>289</v>
      </c>
      <c r="B291" s="237">
        <v>252</v>
      </c>
      <c r="C291" s="243" t="s">
        <v>1961</v>
      </c>
      <c r="D291" s="237" t="s">
        <v>1962</v>
      </c>
      <c r="E291" s="237">
        <v>60</v>
      </c>
      <c r="F291" s="237" t="s">
        <v>424</v>
      </c>
      <c r="G291" s="237" t="s">
        <v>1963</v>
      </c>
      <c r="H291" s="243" t="s">
        <v>27</v>
      </c>
      <c r="I291" s="243"/>
      <c r="J291" s="235" t="s">
        <v>433</v>
      </c>
      <c r="K291" s="240"/>
      <c r="L291" s="243" t="s">
        <v>231</v>
      </c>
      <c r="M291" s="243" t="s">
        <v>32</v>
      </c>
      <c r="N291" s="237"/>
      <c r="O291" s="237"/>
      <c r="P291" s="237"/>
      <c r="Q291" s="245">
        <v>45595</v>
      </c>
      <c r="R291" s="237" t="s">
        <v>309</v>
      </c>
      <c r="S291" s="331" t="s">
        <v>233</v>
      </c>
      <c r="T291" s="237">
        <v>7.9</v>
      </c>
      <c r="U291" s="237" t="s">
        <v>298</v>
      </c>
      <c r="V291" s="237" t="s">
        <v>235</v>
      </c>
      <c r="W291" s="245">
        <v>45637</v>
      </c>
      <c r="X291" s="237" t="s">
        <v>1964</v>
      </c>
      <c r="Y291" s="237" t="s">
        <v>237</v>
      </c>
      <c r="Z291" s="237" t="s">
        <v>237</v>
      </c>
      <c r="AA291" s="237" t="s">
        <v>1965</v>
      </c>
      <c r="AB291" s="237" t="s">
        <v>228</v>
      </c>
      <c r="AC291" s="237" t="s">
        <v>228</v>
      </c>
    </row>
    <row r="292" spans="1:29" ht="13.5" customHeight="1">
      <c r="A292" s="235">
        <v>290</v>
      </c>
      <c r="B292" s="237">
        <v>28</v>
      </c>
      <c r="C292" s="243" t="s">
        <v>1966</v>
      </c>
      <c r="D292" s="237" t="s">
        <v>1967</v>
      </c>
      <c r="E292" s="237">
        <v>35</v>
      </c>
      <c r="F292" s="237" t="s">
        <v>424</v>
      </c>
      <c r="G292" s="237" t="s">
        <v>1968</v>
      </c>
      <c r="H292" s="243" t="s">
        <v>27</v>
      </c>
      <c r="I292" s="243"/>
      <c r="J292" s="235" t="s">
        <v>433</v>
      </c>
      <c r="K292" s="240"/>
      <c r="L292" s="243" t="s">
        <v>231</v>
      </c>
      <c r="M292" s="243" t="s">
        <v>32</v>
      </c>
      <c r="N292" s="237"/>
      <c r="O292" s="237"/>
      <c r="P292" s="237"/>
      <c r="Q292" s="245">
        <v>45607</v>
      </c>
      <c r="R292" s="237" t="s">
        <v>309</v>
      </c>
      <c r="S292" s="331" t="s">
        <v>233</v>
      </c>
      <c r="T292" s="237">
        <v>8.3000000000000007</v>
      </c>
      <c r="U292" s="237" t="s">
        <v>234</v>
      </c>
      <c r="V292" s="237" t="s">
        <v>235</v>
      </c>
      <c r="W292" s="245">
        <v>45666</v>
      </c>
      <c r="X292" s="237" t="s">
        <v>1969</v>
      </c>
      <c r="Y292" s="237" t="s">
        <v>237</v>
      </c>
      <c r="Z292" s="237" t="s">
        <v>237</v>
      </c>
      <c r="AA292" s="237" t="s">
        <v>1970</v>
      </c>
      <c r="AB292" s="237" t="s">
        <v>228</v>
      </c>
      <c r="AC292" s="237" t="s">
        <v>228</v>
      </c>
    </row>
    <row r="293" spans="1:29" ht="13.5" customHeight="1">
      <c r="A293" s="235">
        <v>291</v>
      </c>
      <c r="B293" s="237">
        <v>281</v>
      </c>
      <c r="C293" s="243" t="s">
        <v>1971</v>
      </c>
      <c r="D293" s="237" t="s">
        <v>1972</v>
      </c>
      <c r="E293" s="237">
        <v>33</v>
      </c>
      <c r="F293" s="237" t="s">
        <v>424</v>
      </c>
      <c r="G293" s="237" t="s">
        <v>1973</v>
      </c>
      <c r="H293" s="243" t="s">
        <v>27</v>
      </c>
      <c r="I293" s="243"/>
      <c r="J293" s="235" t="s">
        <v>433</v>
      </c>
      <c r="K293" s="240"/>
      <c r="L293" s="243" t="s">
        <v>231</v>
      </c>
      <c r="M293" s="243" t="s">
        <v>32</v>
      </c>
      <c r="N293" s="237"/>
      <c r="O293" s="237"/>
      <c r="P293" s="237"/>
      <c r="Q293" s="245">
        <v>45607</v>
      </c>
      <c r="R293" s="237" t="s">
        <v>309</v>
      </c>
      <c r="S293" s="331" t="s">
        <v>233</v>
      </c>
      <c r="T293" s="237">
        <v>8.4</v>
      </c>
      <c r="U293" s="237" t="s">
        <v>234</v>
      </c>
      <c r="V293" s="237" t="s">
        <v>235</v>
      </c>
      <c r="W293" s="245">
        <v>45666</v>
      </c>
      <c r="X293" s="237" t="s">
        <v>1974</v>
      </c>
      <c r="Y293" s="237" t="s">
        <v>237</v>
      </c>
      <c r="Z293" s="237" t="s">
        <v>237</v>
      </c>
      <c r="AA293" s="237" t="s">
        <v>1975</v>
      </c>
      <c r="AB293" s="237" t="s">
        <v>228</v>
      </c>
      <c r="AC293" s="237" t="s">
        <v>228</v>
      </c>
    </row>
    <row r="294" spans="1:29" ht="13.5" customHeight="1">
      <c r="A294" s="235">
        <v>292</v>
      </c>
      <c r="B294" s="237">
        <v>282</v>
      </c>
      <c r="C294" s="243" t="s">
        <v>1976</v>
      </c>
      <c r="D294" s="237" t="s">
        <v>1977</v>
      </c>
      <c r="E294" s="237">
        <v>38</v>
      </c>
      <c r="F294" s="237" t="s">
        <v>1099</v>
      </c>
      <c r="G294" s="237" t="s">
        <v>1978</v>
      </c>
      <c r="H294" s="243" t="s">
        <v>27</v>
      </c>
      <c r="I294" s="243"/>
      <c r="J294" s="235" t="s">
        <v>433</v>
      </c>
      <c r="K294" s="240"/>
      <c r="L294" s="243" t="s">
        <v>231</v>
      </c>
      <c r="M294" s="243" t="s">
        <v>32</v>
      </c>
      <c r="N294" s="237"/>
      <c r="O294" s="237"/>
      <c r="P294" s="237"/>
      <c r="Q294" s="245">
        <v>45607</v>
      </c>
      <c r="R294" s="237" t="s">
        <v>309</v>
      </c>
      <c r="S294" s="331" t="s">
        <v>233</v>
      </c>
      <c r="T294" s="237">
        <v>7.9</v>
      </c>
      <c r="U294" s="237" t="s">
        <v>234</v>
      </c>
      <c r="V294" s="237" t="s">
        <v>235</v>
      </c>
      <c r="W294" s="245">
        <v>45666</v>
      </c>
      <c r="X294" s="237" t="s">
        <v>1979</v>
      </c>
      <c r="Y294" s="237" t="s">
        <v>237</v>
      </c>
      <c r="Z294" s="237" t="s">
        <v>237</v>
      </c>
      <c r="AA294" s="237" t="s">
        <v>1980</v>
      </c>
      <c r="AB294" s="237" t="s">
        <v>237</v>
      </c>
      <c r="AC294" s="237" t="s">
        <v>228</v>
      </c>
    </row>
    <row r="295" spans="1:29" ht="13.5" customHeight="1">
      <c r="A295" s="235">
        <v>293</v>
      </c>
      <c r="B295" s="237">
        <v>283</v>
      </c>
      <c r="C295" s="243" t="s">
        <v>1981</v>
      </c>
      <c r="D295" s="237" t="s">
        <v>1982</v>
      </c>
      <c r="E295" s="237">
        <v>41</v>
      </c>
      <c r="F295" s="237" t="s">
        <v>1099</v>
      </c>
      <c r="G295" s="237" t="s">
        <v>1983</v>
      </c>
      <c r="H295" s="243" t="s">
        <v>27</v>
      </c>
      <c r="I295" s="243"/>
      <c r="J295" s="235" t="s">
        <v>433</v>
      </c>
      <c r="K295" s="240"/>
      <c r="L295" s="243" t="s">
        <v>231</v>
      </c>
      <c r="M295" s="243" t="s">
        <v>32</v>
      </c>
      <c r="N295" s="237"/>
      <c r="O295" s="237"/>
      <c r="P295" s="237"/>
      <c r="Q295" s="245">
        <v>45614</v>
      </c>
      <c r="R295" s="237" t="s">
        <v>309</v>
      </c>
      <c r="S295" s="331" t="s">
        <v>233</v>
      </c>
      <c r="T295" s="237">
        <v>8.1999999999999993</v>
      </c>
      <c r="U295" s="237" t="s">
        <v>234</v>
      </c>
      <c r="V295" s="237" t="s">
        <v>235</v>
      </c>
      <c r="W295" s="245">
        <v>45666</v>
      </c>
      <c r="X295" s="237" t="s">
        <v>1984</v>
      </c>
      <c r="Y295" s="237" t="s">
        <v>237</v>
      </c>
      <c r="Z295" s="237" t="s">
        <v>237</v>
      </c>
      <c r="AA295" s="237" t="s">
        <v>1985</v>
      </c>
      <c r="AB295" s="237" t="s">
        <v>228</v>
      </c>
      <c r="AC295" s="237" t="s">
        <v>874</v>
      </c>
    </row>
    <row r="296" spans="1:29" ht="13.5" customHeight="1">
      <c r="A296" s="235">
        <v>294</v>
      </c>
      <c r="B296" s="237">
        <v>284</v>
      </c>
      <c r="C296" s="243" t="s">
        <v>1986</v>
      </c>
      <c r="D296" s="237" t="s">
        <v>1987</v>
      </c>
      <c r="E296" s="237">
        <v>35</v>
      </c>
      <c r="F296" s="237" t="s">
        <v>424</v>
      </c>
      <c r="G296" s="237" t="s">
        <v>1988</v>
      </c>
      <c r="H296" s="243" t="s">
        <v>27</v>
      </c>
      <c r="I296" s="243"/>
      <c r="J296" s="235" t="s">
        <v>433</v>
      </c>
      <c r="K296" s="240"/>
      <c r="L296" s="243" t="s">
        <v>231</v>
      </c>
      <c r="M296" s="243" t="s">
        <v>32</v>
      </c>
      <c r="N296" s="237"/>
      <c r="O296" s="237"/>
      <c r="P296" s="237"/>
      <c r="Q296" s="245">
        <v>45614</v>
      </c>
      <c r="R296" s="237" t="s">
        <v>309</v>
      </c>
      <c r="S296" s="331" t="s">
        <v>233</v>
      </c>
      <c r="T296" s="237">
        <v>8.4</v>
      </c>
      <c r="U296" s="237" t="s">
        <v>234</v>
      </c>
      <c r="V296" s="237" t="s">
        <v>235</v>
      </c>
      <c r="W296" s="245">
        <v>45666</v>
      </c>
      <c r="X296" s="237" t="s">
        <v>1989</v>
      </c>
      <c r="Y296" s="237" t="s">
        <v>237</v>
      </c>
      <c r="Z296" s="237" t="s">
        <v>237</v>
      </c>
      <c r="AA296" s="237" t="s">
        <v>1990</v>
      </c>
      <c r="AB296" s="237" t="s">
        <v>228</v>
      </c>
      <c r="AC296" s="237" t="s">
        <v>228</v>
      </c>
    </row>
    <row r="297" spans="1:29" ht="13.5" customHeight="1">
      <c r="A297" s="235">
        <v>295</v>
      </c>
      <c r="B297" s="237">
        <v>285</v>
      </c>
      <c r="C297" s="243" t="s">
        <v>1991</v>
      </c>
      <c r="D297" s="237" t="s">
        <v>1992</v>
      </c>
      <c r="E297" s="237">
        <v>32</v>
      </c>
      <c r="F297" s="237" t="s">
        <v>1099</v>
      </c>
      <c r="G297" s="237" t="s">
        <v>1993</v>
      </c>
      <c r="H297" s="243" t="s">
        <v>27</v>
      </c>
      <c r="I297" s="243"/>
      <c r="J297" s="235" t="s">
        <v>433</v>
      </c>
      <c r="K297" s="240"/>
      <c r="L297" s="243" t="s">
        <v>231</v>
      </c>
      <c r="M297" s="243" t="s">
        <v>32</v>
      </c>
      <c r="N297" s="237"/>
      <c r="O297" s="237"/>
      <c r="P297" s="237"/>
      <c r="Q297" s="245">
        <v>45617</v>
      </c>
      <c r="R297" s="237" t="s">
        <v>309</v>
      </c>
      <c r="S297" s="331" t="s">
        <v>233</v>
      </c>
      <c r="T297" s="237">
        <v>8.1999999999999993</v>
      </c>
      <c r="U297" s="237" t="s">
        <v>234</v>
      </c>
      <c r="V297" s="237" t="s">
        <v>235</v>
      </c>
      <c r="W297" s="245">
        <v>45666</v>
      </c>
      <c r="X297" s="237" t="s">
        <v>1994</v>
      </c>
      <c r="Y297" s="237" t="s">
        <v>237</v>
      </c>
      <c r="Z297" s="237" t="s">
        <v>237</v>
      </c>
      <c r="AA297" s="237" t="s">
        <v>1995</v>
      </c>
      <c r="AB297" s="237" t="s">
        <v>228</v>
      </c>
      <c r="AC297" s="237" t="s">
        <v>228</v>
      </c>
    </row>
    <row r="298" spans="1:29" ht="13.5" customHeight="1">
      <c r="A298" s="235">
        <v>296</v>
      </c>
      <c r="B298" s="237">
        <v>286</v>
      </c>
      <c r="C298" s="243" t="s">
        <v>1996</v>
      </c>
      <c r="D298" s="237" t="s">
        <v>1997</v>
      </c>
      <c r="E298" s="237">
        <v>70</v>
      </c>
      <c r="F298" s="237" t="s">
        <v>424</v>
      </c>
      <c r="G298" s="237" t="s">
        <v>1998</v>
      </c>
      <c r="H298" s="243" t="s">
        <v>27</v>
      </c>
      <c r="I298" s="243"/>
      <c r="J298" s="235" t="s">
        <v>433</v>
      </c>
      <c r="K298" s="240"/>
      <c r="L298" s="243" t="s">
        <v>231</v>
      </c>
      <c r="M298" s="243" t="s">
        <v>32</v>
      </c>
      <c r="N298" s="237"/>
      <c r="O298" s="237"/>
      <c r="P298" s="237"/>
      <c r="Q298" s="245">
        <v>45617</v>
      </c>
      <c r="R298" s="237" t="s">
        <v>309</v>
      </c>
      <c r="S298" s="331" t="s">
        <v>233</v>
      </c>
      <c r="T298" s="237">
        <v>7.4</v>
      </c>
      <c r="U298" s="237" t="s">
        <v>234</v>
      </c>
      <c r="V298" s="237" t="s">
        <v>235</v>
      </c>
      <c r="W298" s="245">
        <v>45666</v>
      </c>
      <c r="X298" s="237" t="s">
        <v>1999</v>
      </c>
      <c r="Y298" s="237" t="s">
        <v>237</v>
      </c>
      <c r="Z298" s="237" t="s">
        <v>228</v>
      </c>
      <c r="AA298" s="237" t="s">
        <v>2000</v>
      </c>
      <c r="AB298" s="237" t="s">
        <v>228</v>
      </c>
      <c r="AC298" s="237" t="s">
        <v>228</v>
      </c>
    </row>
    <row r="299" spans="1:29" ht="13.5" customHeight="1">
      <c r="A299" s="235">
        <v>297</v>
      </c>
      <c r="B299" s="237">
        <v>293</v>
      </c>
      <c r="C299" s="243" t="s">
        <v>2001</v>
      </c>
      <c r="D299" s="237" t="s">
        <v>2002</v>
      </c>
      <c r="E299" s="237">
        <v>28</v>
      </c>
      <c r="F299" s="237" t="s">
        <v>424</v>
      </c>
      <c r="G299" s="237" t="s">
        <v>2003</v>
      </c>
      <c r="H299" s="243" t="s">
        <v>27</v>
      </c>
      <c r="I299" s="243"/>
      <c r="J299" s="235" t="s">
        <v>433</v>
      </c>
      <c r="K299" s="240"/>
      <c r="L299" s="243" t="s">
        <v>231</v>
      </c>
      <c r="M299" s="243" t="s">
        <v>32</v>
      </c>
      <c r="N299" s="237"/>
      <c r="O299" s="237"/>
      <c r="P299" s="237"/>
      <c r="Q299" s="245">
        <v>45621</v>
      </c>
      <c r="R299" s="237" t="s">
        <v>309</v>
      </c>
      <c r="S299" s="331" t="s">
        <v>233</v>
      </c>
      <c r="T299" s="237">
        <v>8.4</v>
      </c>
      <c r="U299" s="237" t="s">
        <v>234</v>
      </c>
      <c r="V299" s="237" t="s">
        <v>235</v>
      </c>
      <c r="W299" s="245">
        <v>45666</v>
      </c>
      <c r="X299" s="237" t="s">
        <v>2004</v>
      </c>
      <c r="Y299" s="237" t="s">
        <v>237</v>
      </c>
      <c r="Z299" s="237" t="s">
        <v>237</v>
      </c>
      <c r="AA299" s="237" t="s">
        <v>2005</v>
      </c>
      <c r="AB299" s="237" t="s">
        <v>228</v>
      </c>
      <c r="AC299" s="237" t="s">
        <v>228</v>
      </c>
    </row>
    <row r="300" spans="1:29" ht="13.5" customHeight="1">
      <c r="A300" s="235">
        <v>298</v>
      </c>
      <c r="B300" s="237">
        <v>297</v>
      </c>
      <c r="C300" s="243" t="s">
        <v>2006</v>
      </c>
      <c r="D300" s="237" t="s">
        <v>2007</v>
      </c>
      <c r="E300" s="237">
        <v>57</v>
      </c>
      <c r="F300" s="237" t="s">
        <v>60</v>
      </c>
      <c r="G300" s="237" t="s">
        <v>2008</v>
      </c>
      <c r="H300" s="243" t="s">
        <v>27</v>
      </c>
      <c r="I300" s="243"/>
      <c r="J300" s="235" t="s">
        <v>433</v>
      </c>
      <c r="K300" s="240"/>
      <c r="L300" s="243" t="s">
        <v>231</v>
      </c>
      <c r="M300" s="243" t="s">
        <v>2009</v>
      </c>
      <c r="N300" s="237"/>
      <c r="O300" s="237"/>
      <c r="P300" s="237"/>
      <c r="Q300" s="245">
        <v>45623</v>
      </c>
      <c r="R300" s="237" t="s">
        <v>309</v>
      </c>
      <c r="S300" s="331" t="s">
        <v>233</v>
      </c>
      <c r="T300" s="237">
        <v>8.5</v>
      </c>
      <c r="U300" s="237" t="s">
        <v>234</v>
      </c>
      <c r="V300" s="237" t="s">
        <v>235</v>
      </c>
      <c r="W300" s="245">
        <v>45677</v>
      </c>
      <c r="X300" s="237" t="s">
        <v>2010</v>
      </c>
      <c r="Y300" s="237" t="s">
        <v>237</v>
      </c>
      <c r="Z300" s="237" t="s">
        <v>237</v>
      </c>
      <c r="AA300" s="237" t="s">
        <v>2011</v>
      </c>
      <c r="AB300" s="237" t="s">
        <v>228</v>
      </c>
      <c r="AC300" s="237" t="s">
        <v>228</v>
      </c>
    </row>
    <row r="301" spans="1:29" ht="13.5" customHeight="1">
      <c r="A301" s="235">
        <v>299</v>
      </c>
      <c r="B301" s="237">
        <v>33</v>
      </c>
      <c r="C301" s="243" t="s">
        <v>2012</v>
      </c>
      <c r="D301" s="237" t="s">
        <v>2013</v>
      </c>
      <c r="E301" s="237">
        <v>51</v>
      </c>
      <c r="F301" s="237" t="s">
        <v>75</v>
      </c>
      <c r="G301" s="237" t="s">
        <v>2014</v>
      </c>
      <c r="H301" s="243" t="s">
        <v>27</v>
      </c>
      <c r="I301" s="243"/>
      <c r="J301" s="235" t="s">
        <v>433</v>
      </c>
      <c r="K301" s="240"/>
      <c r="L301" s="243" t="s">
        <v>231</v>
      </c>
      <c r="M301" s="243" t="s">
        <v>32</v>
      </c>
      <c r="N301" s="237"/>
      <c r="O301" s="237"/>
      <c r="P301" s="237"/>
      <c r="Q301" s="245">
        <v>45637</v>
      </c>
      <c r="R301" s="237" t="s">
        <v>309</v>
      </c>
      <c r="S301" s="331" t="s">
        <v>233</v>
      </c>
      <c r="T301" s="237">
        <v>8.5</v>
      </c>
      <c r="U301" s="237" t="s">
        <v>234</v>
      </c>
      <c r="V301" s="237" t="s">
        <v>235</v>
      </c>
      <c r="W301" s="245">
        <v>45687</v>
      </c>
      <c r="X301" s="237">
        <v>0</v>
      </c>
      <c r="Y301" s="237" t="s">
        <v>237</v>
      </c>
      <c r="Z301" s="237" t="s">
        <v>237</v>
      </c>
      <c r="AA301" s="237" t="s">
        <v>2015</v>
      </c>
      <c r="AB301" s="237" t="s">
        <v>228</v>
      </c>
      <c r="AC301" s="237" t="s">
        <v>228</v>
      </c>
    </row>
    <row r="302" spans="1:29" ht="13.5" customHeight="1">
      <c r="A302" s="235">
        <v>300</v>
      </c>
      <c r="B302" s="237">
        <v>342</v>
      </c>
      <c r="C302" s="243" t="s">
        <v>2016</v>
      </c>
      <c r="D302" s="237" t="s">
        <v>2017</v>
      </c>
      <c r="E302" s="237">
        <v>24</v>
      </c>
      <c r="F302" s="237" t="s">
        <v>75</v>
      </c>
      <c r="G302" s="237" t="s">
        <v>2018</v>
      </c>
      <c r="H302" s="243" t="s">
        <v>27</v>
      </c>
      <c r="I302" s="243"/>
      <c r="J302" s="235" t="s">
        <v>433</v>
      </c>
      <c r="K302" s="240"/>
      <c r="L302" s="243" t="s">
        <v>231</v>
      </c>
      <c r="M302" s="243" t="s">
        <v>32</v>
      </c>
      <c r="N302" s="237"/>
      <c r="O302" s="237"/>
      <c r="P302" s="237"/>
      <c r="Q302" s="245">
        <v>45638</v>
      </c>
      <c r="R302" s="237" t="s">
        <v>309</v>
      </c>
      <c r="S302" s="331" t="s">
        <v>233</v>
      </c>
      <c r="T302" s="237">
        <v>8.4</v>
      </c>
      <c r="U302" s="237" t="s">
        <v>234</v>
      </c>
      <c r="V302" s="237" t="s">
        <v>235</v>
      </c>
      <c r="W302" s="245">
        <v>45687</v>
      </c>
      <c r="X302" s="237" t="s">
        <v>2019</v>
      </c>
      <c r="Y302" s="237" t="s">
        <v>237</v>
      </c>
      <c r="Z302" s="237" t="s">
        <v>237</v>
      </c>
      <c r="AA302" s="237" t="s">
        <v>2020</v>
      </c>
      <c r="AB302" s="237" t="s">
        <v>228</v>
      </c>
      <c r="AC302" s="237" t="s">
        <v>228</v>
      </c>
    </row>
    <row r="303" spans="1:29" ht="13.5" customHeight="1">
      <c r="A303" s="235">
        <v>301</v>
      </c>
      <c r="B303" s="237">
        <v>355</v>
      </c>
      <c r="C303" s="243" t="s">
        <v>2021</v>
      </c>
      <c r="D303" s="237" t="s">
        <v>2022</v>
      </c>
      <c r="E303" s="237">
        <v>47</v>
      </c>
      <c r="F303" s="237" t="s">
        <v>75</v>
      </c>
      <c r="G303" s="237" t="s">
        <v>2023</v>
      </c>
      <c r="H303" s="243" t="s">
        <v>27</v>
      </c>
      <c r="I303" s="243"/>
      <c r="J303" s="235" t="s">
        <v>433</v>
      </c>
      <c r="K303" s="240"/>
      <c r="L303" s="243" t="s">
        <v>231</v>
      </c>
      <c r="M303" s="243" t="s">
        <v>32</v>
      </c>
      <c r="N303" s="237"/>
      <c r="O303" s="237"/>
      <c r="P303" s="237"/>
      <c r="Q303" s="245">
        <v>45642</v>
      </c>
      <c r="R303" s="237" t="s">
        <v>309</v>
      </c>
      <c r="S303" s="331" t="s">
        <v>233</v>
      </c>
      <c r="T303" s="237">
        <v>8.6999999999999993</v>
      </c>
      <c r="U303" s="237" t="s">
        <v>234</v>
      </c>
      <c r="V303" s="237" t="s">
        <v>235</v>
      </c>
      <c r="W303" s="245">
        <v>45687</v>
      </c>
      <c r="X303" s="237" t="s">
        <v>2024</v>
      </c>
      <c r="Y303" s="237" t="s">
        <v>237</v>
      </c>
      <c r="Z303" s="237" t="s">
        <v>237</v>
      </c>
      <c r="AA303" s="237" t="s">
        <v>2025</v>
      </c>
      <c r="AB303" s="237" t="s">
        <v>228</v>
      </c>
      <c r="AC303" s="237" t="s">
        <v>228</v>
      </c>
    </row>
    <row r="304" spans="1:29" ht="13.5" customHeight="1">
      <c r="A304" s="235">
        <v>302</v>
      </c>
      <c r="B304" s="237">
        <v>357</v>
      </c>
      <c r="C304" s="243" t="s">
        <v>2026</v>
      </c>
      <c r="D304" s="237" t="s">
        <v>2027</v>
      </c>
      <c r="E304" s="237">
        <v>58</v>
      </c>
      <c r="F304" s="237" t="s">
        <v>60</v>
      </c>
      <c r="G304" s="237" t="s">
        <v>2028</v>
      </c>
      <c r="H304" s="243" t="s">
        <v>27</v>
      </c>
      <c r="I304" s="243"/>
      <c r="J304" s="235" t="s">
        <v>433</v>
      </c>
      <c r="K304" s="240"/>
      <c r="L304" s="243" t="s">
        <v>231</v>
      </c>
      <c r="M304" s="243" t="s">
        <v>32</v>
      </c>
      <c r="N304" s="237"/>
      <c r="O304" s="237"/>
      <c r="P304" s="237"/>
      <c r="Q304" s="245">
        <v>45644</v>
      </c>
      <c r="R304" s="237" t="s">
        <v>309</v>
      </c>
      <c r="S304" s="331" t="s">
        <v>233</v>
      </c>
      <c r="T304" s="237">
        <v>8.4</v>
      </c>
      <c r="U304" s="237" t="s">
        <v>234</v>
      </c>
      <c r="V304" s="237" t="s">
        <v>235</v>
      </c>
      <c r="W304" s="245">
        <v>45687</v>
      </c>
      <c r="X304" s="237" t="s">
        <v>2029</v>
      </c>
      <c r="Y304" s="237" t="s">
        <v>237</v>
      </c>
      <c r="Z304" s="237" t="s">
        <v>237</v>
      </c>
      <c r="AA304" s="237" t="s">
        <v>2030</v>
      </c>
      <c r="AB304" s="237" t="s">
        <v>228</v>
      </c>
      <c r="AC304" s="237" t="s">
        <v>228</v>
      </c>
    </row>
    <row r="305" spans="1:29" ht="13.5" customHeight="1">
      <c r="A305" s="235">
        <v>303</v>
      </c>
      <c r="B305" s="237"/>
      <c r="C305" s="243" t="s">
        <v>2031</v>
      </c>
      <c r="D305" s="237" t="s">
        <v>2032</v>
      </c>
      <c r="E305" s="237">
        <v>57</v>
      </c>
      <c r="F305" s="237" t="s">
        <v>60</v>
      </c>
      <c r="G305" s="237" t="s">
        <v>2033</v>
      </c>
      <c r="H305" s="243" t="s">
        <v>27</v>
      </c>
      <c r="I305" s="243"/>
      <c r="J305" s="235" t="s">
        <v>433</v>
      </c>
      <c r="K305" s="240"/>
      <c r="L305" s="243" t="s">
        <v>231</v>
      </c>
      <c r="M305" s="243" t="s">
        <v>32</v>
      </c>
      <c r="N305" s="237"/>
      <c r="O305" s="237"/>
      <c r="P305" s="237"/>
      <c r="Q305" s="245">
        <v>45660</v>
      </c>
      <c r="R305" s="237" t="s">
        <v>309</v>
      </c>
      <c r="S305" s="331" t="s">
        <v>233</v>
      </c>
      <c r="T305" s="237">
        <v>9.1</v>
      </c>
      <c r="U305" s="237" t="s">
        <v>234</v>
      </c>
      <c r="V305" s="237" t="s">
        <v>797</v>
      </c>
      <c r="W305" s="245">
        <v>45685</v>
      </c>
      <c r="X305" s="237" t="s">
        <v>2034</v>
      </c>
      <c r="Y305" s="237" t="s">
        <v>588</v>
      </c>
      <c r="Z305" s="237" t="s">
        <v>228</v>
      </c>
      <c r="AA305" s="237" t="s">
        <v>2035</v>
      </c>
      <c r="AB305" s="237" t="s">
        <v>228</v>
      </c>
      <c r="AC305" s="237" t="s">
        <v>228</v>
      </c>
    </row>
    <row r="306" spans="1:29" ht="13.5" customHeight="1">
      <c r="A306" s="235">
        <v>304</v>
      </c>
      <c r="B306" s="237"/>
      <c r="C306" s="243" t="s">
        <v>2036</v>
      </c>
      <c r="D306" s="237" t="s">
        <v>2037</v>
      </c>
      <c r="E306" s="237">
        <v>33</v>
      </c>
      <c r="F306" s="237" t="s">
        <v>424</v>
      </c>
      <c r="G306" s="237" t="s">
        <v>2038</v>
      </c>
      <c r="H306" s="243" t="s">
        <v>27</v>
      </c>
      <c r="I306" s="243"/>
      <c r="J306" s="235" t="s">
        <v>433</v>
      </c>
      <c r="K306" s="240"/>
      <c r="L306" s="243" t="s">
        <v>231</v>
      </c>
      <c r="M306" s="246" t="s">
        <v>228</v>
      </c>
      <c r="N306" s="237"/>
      <c r="O306" s="237"/>
      <c r="P306" s="237"/>
      <c r="Q306" s="245">
        <v>45663</v>
      </c>
      <c r="R306" s="237" t="s">
        <v>309</v>
      </c>
      <c r="S306" s="331" t="s">
        <v>233</v>
      </c>
      <c r="T306" s="237">
        <v>9.1999999999999993</v>
      </c>
      <c r="U306" s="237" t="s">
        <v>234</v>
      </c>
      <c r="V306" s="237" t="s">
        <v>797</v>
      </c>
      <c r="W306" s="245">
        <v>45685</v>
      </c>
      <c r="X306" s="237" t="s">
        <v>2039</v>
      </c>
      <c r="Y306" s="237" t="s">
        <v>588</v>
      </c>
      <c r="Z306" s="237" t="s">
        <v>228</v>
      </c>
      <c r="AA306" s="237" t="s">
        <v>2040</v>
      </c>
      <c r="AB306" s="237" t="s">
        <v>228</v>
      </c>
      <c r="AC306" s="237" t="s">
        <v>228</v>
      </c>
    </row>
    <row r="307" spans="1:29" ht="13.5" customHeight="1">
      <c r="A307" s="235">
        <v>305</v>
      </c>
      <c r="B307" s="237"/>
      <c r="C307" s="255" t="s">
        <v>2041</v>
      </c>
      <c r="D307" s="237" t="s">
        <v>2042</v>
      </c>
      <c r="E307" s="237">
        <v>35</v>
      </c>
      <c r="F307" s="237" t="s">
        <v>75</v>
      </c>
      <c r="G307" s="237" t="s">
        <v>2043</v>
      </c>
      <c r="H307" s="243" t="s">
        <v>27</v>
      </c>
      <c r="I307" s="243"/>
      <c r="J307" s="235" t="s">
        <v>433</v>
      </c>
      <c r="K307" s="240"/>
      <c r="L307" s="243" t="s">
        <v>231</v>
      </c>
      <c r="M307" s="243" t="s">
        <v>1066</v>
      </c>
      <c r="N307" s="237"/>
      <c r="O307" s="237"/>
      <c r="P307" s="237"/>
      <c r="Q307" s="245">
        <v>45707</v>
      </c>
      <c r="R307" s="237" t="s">
        <v>309</v>
      </c>
      <c r="S307" s="331" t="s">
        <v>233</v>
      </c>
      <c r="T307" s="237" t="s">
        <v>228</v>
      </c>
      <c r="U307" s="237" t="s">
        <v>234</v>
      </c>
      <c r="V307" s="237" t="s">
        <v>652</v>
      </c>
      <c r="W307" s="245">
        <v>45889</v>
      </c>
      <c r="X307" s="237" t="s">
        <v>2044</v>
      </c>
      <c r="Y307" s="237" t="s">
        <v>237</v>
      </c>
      <c r="Z307" s="237" t="s">
        <v>237</v>
      </c>
      <c r="AA307" s="237" t="s">
        <v>2045</v>
      </c>
      <c r="AB307" s="237" t="s">
        <v>228</v>
      </c>
      <c r="AC307" s="237" t="s">
        <v>228</v>
      </c>
    </row>
    <row r="308" spans="1:29" ht="13.5" customHeight="1">
      <c r="A308" s="235">
        <v>306</v>
      </c>
      <c r="B308" s="237"/>
      <c r="C308" s="243" t="s">
        <v>2046</v>
      </c>
      <c r="D308" s="237" t="s">
        <v>2047</v>
      </c>
      <c r="E308" s="237">
        <v>33</v>
      </c>
      <c r="F308" s="237" t="s">
        <v>75</v>
      </c>
      <c r="G308" s="237" t="s">
        <v>2048</v>
      </c>
      <c r="H308" s="243" t="s">
        <v>188</v>
      </c>
      <c r="I308" s="243"/>
      <c r="K308" s="240"/>
      <c r="L308" s="243" t="s">
        <v>231</v>
      </c>
      <c r="M308" s="243" t="s">
        <v>32</v>
      </c>
      <c r="N308" s="237"/>
      <c r="O308" s="237"/>
      <c r="P308" s="237"/>
      <c r="Q308" s="245">
        <v>45672</v>
      </c>
      <c r="R308" s="237" t="s">
        <v>309</v>
      </c>
      <c r="S308" s="331" t="s">
        <v>233</v>
      </c>
      <c r="T308" s="237" t="s">
        <v>228</v>
      </c>
      <c r="U308" s="237" t="s">
        <v>234</v>
      </c>
      <c r="V308" s="237" t="s">
        <v>473</v>
      </c>
      <c r="W308" s="245">
        <v>45889</v>
      </c>
      <c r="X308" s="237" t="s">
        <v>2049</v>
      </c>
      <c r="Y308" s="237" t="s">
        <v>237</v>
      </c>
      <c r="Z308" s="237" t="s">
        <v>237</v>
      </c>
      <c r="AA308" s="237" t="s">
        <v>2050</v>
      </c>
      <c r="AB308" s="237" t="s">
        <v>228</v>
      </c>
      <c r="AC308" s="237" t="s">
        <v>228</v>
      </c>
    </row>
    <row r="309" spans="1:29" ht="13.5" customHeight="1">
      <c r="A309" s="235">
        <v>307</v>
      </c>
      <c r="B309" s="237"/>
      <c r="C309" s="243" t="s">
        <v>2051</v>
      </c>
      <c r="D309" s="237" t="s">
        <v>2052</v>
      </c>
      <c r="E309" s="237">
        <v>53</v>
      </c>
      <c r="F309" s="237" t="s">
        <v>60</v>
      </c>
      <c r="G309" s="237" t="s">
        <v>2053</v>
      </c>
      <c r="H309" s="243" t="s">
        <v>188</v>
      </c>
      <c r="I309" s="243"/>
      <c r="K309" s="240"/>
      <c r="L309" s="243" t="s">
        <v>231</v>
      </c>
      <c r="M309" s="243" t="s">
        <v>32</v>
      </c>
      <c r="N309" s="237"/>
      <c r="O309" s="237"/>
      <c r="P309" s="237"/>
      <c r="Q309" s="245">
        <v>45869</v>
      </c>
      <c r="R309" s="237" t="s">
        <v>309</v>
      </c>
      <c r="S309" s="331" t="s">
        <v>233</v>
      </c>
      <c r="T309" s="237" t="s">
        <v>228</v>
      </c>
      <c r="U309" s="237" t="s">
        <v>515</v>
      </c>
      <c r="V309" s="237" t="s">
        <v>473</v>
      </c>
      <c r="W309" s="245">
        <v>45889</v>
      </c>
      <c r="X309" s="237" t="s">
        <v>2054</v>
      </c>
      <c r="Y309" s="237" t="s">
        <v>237</v>
      </c>
      <c r="Z309" s="237" t="s">
        <v>237</v>
      </c>
      <c r="AA309" s="237" t="s">
        <v>2055</v>
      </c>
      <c r="AB309" s="237" t="s">
        <v>228</v>
      </c>
      <c r="AC309" s="237" t="s">
        <v>228</v>
      </c>
    </row>
    <row r="310" spans="1:29" ht="13.5" customHeight="1">
      <c r="A310" s="235">
        <v>308</v>
      </c>
      <c r="B310" s="237"/>
      <c r="C310" s="255" t="s">
        <v>2056</v>
      </c>
      <c r="D310" s="237" t="s">
        <v>2057</v>
      </c>
      <c r="E310" s="237">
        <v>29</v>
      </c>
      <c r="F310" s="237" t="s">
        <v>60</v>
      </c>
      <c r="G310" s="237" t="s">
        <v>2058</v>
      </c>
      <c r="H310" s="243" t="s">
        <v>27</v>
      </c>
      <c r="I310" s="243"/>
      <c r="J310" s="235" t="s">
        <v>433</v>
      </c>
      <c r="K310" s="243" t="s">
        <v>2059</v>
      </c>
      <c r="L310" s="243"/>
      <c r="M310" s="243" t="s">
        <v>32</v>
      </c>
      <c r="N310" s="237"/>
      <c r="O310" s="237"/>
      <c r="P310" s="237"/>
      <c r="Q310" s="245">
        <v>45692</v>
      </c>
      <c r="R310" s="237" t="s">
        <v>309</v>
      </c>
      <c r="S310" s="331" t="s">
        <v>233</v>
      </c>
      <c r="T310" s="237" t="s">
        <v>228</v>
      </c>
      <c r="U310" s="237" t="s">
        <v>234</v>
      </c>
      <c r="V310" s="237" t="s">
        <v>652</v>
      </c>
      <c r="W310" s="245">
        <v>45933</v>
      </c>
      <c r="X310" s="237" t="s">
        <v>2060</v>
      </c>
      <c r="Y310" s="237" t="s">
        <v>237</v>
      </c>
      <c r="Z310" s="237" t="s">
        <v>237</v>
      </c>
      <c r="AA310" s="237" t="s">
        <v>2061</v>
      </c>
      <c r="AB310" s="237" t="s">
        <v>228</v>
      </c>
      <c r="AC310" s="237" t="s">
        <v>228</v>
      </c>
    </row>
    <row r="311" spans="1:29" ht="13.5" customHeight="1">
      <c r="A311" s="235">
        <v>309</v>
      </c>
      <c r="B311" s="237"/>
      <c r="C311" s="255" t="s">
        <v>2062</v>
      </c>
      <c r="D311" s="237" t="s">
        <v>2063</v>
      </c>
      <c r="E311" s="237">
        <v>43</v>
      </c>
      <c r="F311" s="237" t="s">
        <v>75</v>
      </c>
      <c r="G311" s="237" t="s">
        <v>2064</v>
      </c>
      <c r="H311" s="243" t="s">
        <v>27</v>
      </c>
      <c r="I311" s="243"/>
      <c r="J311" s="235" t="s">
        <v>433</v>
      </c>
      <c r="K311" s="243" t="s">
        <v>32</v>
      </c>
      <c r="L311" s="243"/>
      <c r="M311" s="243" t="s">
        <v>528</v>
      </c>
      <c r="N311" s="237"/>
      <c r="O311" s="237"/>
      <c r="P311" s="237"/>
      <c r="Q311" s="245">
        <v>45693</v>
      </c>
      <c r="R311" s="237" t="s">
        <v>309</v>
      </c>
      <c r="S311" s="331" t="s">
        <v>233</v>
      </c>
      <c r="T311" s="237" t="s">
        <v>228</v>
      </c>
      <c r="U311" s="237" t="s">
        <v>234</v>
      </c>
      <c r="V311" s="237" t="s">
        <v>652</v>
      </c>
      <c r="W311" s="245">
        <v>45933</v>
      </c>
      <c r="X311" s="237" t="s">
        <v>2065</v>
      </c>
      <c r="Y311" s="237" t="s">
        <v>237</v>
      </c>
      <c r="Z311" s="237" t="s">
        <v>237</v>
      </c>
      <c r="AA311" s="237" t="s">
        <v>2066</v>
      </c>
      <c r="AB311" s="237" t="s">
        <v>228</v>
      </c>
      <c r="AC311" s="237" t="s">
        <v>228</v>
      </c>
    </row>
    <row r="312" spans="1:29" ht="13.5" customHeight="1">
      <c r="A312" s="235">
        <v>310</v>
      </c>
      <c r="B312" s="237"/>
      <c r="C312" s="255" t="s">
        <v>2067</v>
      </c>
      <c r="D312" s="237" t="s">
        <v>2068</v>
      </c>
      <c r="E312" s="237">
        <v>72</v>
      </c>
      <c r="F312" s="237" t="s">
        <v>60</v>
      </c>
      <c r="G312" s="237" t="s">
        <v>2069</v>
      </c>
      <c r="H312" s="243" t="s">
        <v>27</v>
      </c>
      <c r="I312" s="243"/>
      <c r="J312" s="235" t="s">
        <v>433</v>
      </c>
      <c r="K312" s="243" t="s">
        <v>170</v>
      </c>
      <c r="L312" s="243"/>
      <c r="M312" s="243" t="s">
        <v>2070</v>
      </c>
      <c r="N312" s="237"/>
      <c r="O312" s="237"/>
      <c r="P312" s="237"/>
      <c r="Q312" s="245">
        <v>45694</v>
      </c>
      <c r="R312" s="237" t="s">
        <v>309</v>
      </c>
      <c r="S312" s="331" t="s">
        <v>233</v>
      </c>
      <c r="T312" s="237" t="s">
        <v>228</v>
      </c>
      <c r="U312" s="237" t="s">
        <v>234</v>
      </c>
      <c r="V312" s="237" t="s">
        <v>652</v>
      </c>
      <c r="W312" s="245">
        <v>45933</v>
      </c>
      <c r="X312" s="237" t="s">
        <v>2071</v>
      </c>
      <c r="Y312" s="237" t="s">
        <v>237</v>
      </c>
      <c r="Z312" s="237" t="s">
        <v>237</v>
      </c>
      <c r="AA312" s="237" t="s">
        <v>2072</v>
      </c>
      <c r="AB312" s="237" t="s">
        <v>228</v>
      </c>
      <c r="AC312" s="237" t="s">
        <v>228</v>
      </c>
    </row>
    <row r="313" spans="1:29" ht="13.5" customHeight="1">
      <c r="A313" s="235">
        <v>311</v>
      </c>
      <c r="B313" s="237"/>
      <c r="C313" s="255" t="s">
        <v>2073</v>
      </c>
      <c r="D313" s="237" t="s">
        <v>2074</v>
      </c>
      <c r="E313" s="237">
        <v>33</v>
      </c>
      <c r="F313" s="237" t="s">
        <v>75</v>
      </c>
      <c r="G313" s="237" t="s">
        <v>2075</v>
      </c>
      <c r="H313" s="243" t="s">
        <v>27</v>
      </c>
      <c r="I313" s="243"/>
      <c r="J313" s="235" t="s">
        <v>433</v>
      </c>
      <c r="K313" s="243" t="s">
        <v>2076</v>
      </c>
      <c r="L313" s="243"/>
      <c r="M313" s="243" t="s">
        <v>32</v>
      </c>
      <c r="N313" s="237"/>
      <c r="O313" s="237"/>
      <c r="P313" s="237"/>
      <c r="Q313" s="245">
        <v>45699</v>
      </c>
      <c r="R313" s="237" t="s">
        <v>309</v>
      </c>
      <c r="S313" s="331" t="s">
        <v>233</v>
      </c>
      <c r="T313" s="237" t="s">
        <v>228</v>
      </c>
      <c r="U313" s="237" t="s">
        <v>234</v>
      </c>
      <c r="V313" s="237" t="s">
        <v>652</v>
      </c>
      <c r="W313" s="245">
        <v>45933</v>
      </c>
      <c r="X313" s="237" t="s">
        <v>2077</v>
      </c>
      <c r="Y313" s="237" t="s">
        <v>237</v>
      </c>
      <c r="Z313" s="237" t="s">
        <v>237</v>
      </c>
      <c r="AA313" s="237" t="s">
        <v>2078</v>
      </c>
      <c r="AB313" s="237" t="s">
        <v>228</v>
      </c>
      <c r="AC313" s="237" t="s">
        <v>228</v>
      </c>
    </row>
    <row r="314" spans="1:29" ht="13.5" customHeight="1">
      <c r="A314" s="235">
        <v>312</v>
      </c>
      <c r="B314" s="237"/>
      <c r="C314" s="255" t="s">
        <v>2079</v>
      </c>
      <c r="D314" s="237" t="s">
        <v>2080</v>
      </c>
      <c r="E314" s="237">
        <v>41</v>
      </c>
      <c r="F314" s="237" t="s">
        <v>75</v>
      </c>
      <c r="G314" s="237" t="s">
        <v>2081</v>
      </c>
      <c r="H314" s="243" t="s">
        <v>27</v>
      </c>
      <c r="I314" s="243"/>
      <c r="J314" s="235" t="s">
        <v>433</v>
      </c>
      <c r="K314" s="243" t="s">
        <v>183</v>
      </c>
      <c r="L314" s="243"/>
      <c r="M314" s="243" t="s">
        <v>32</v>
      </c>
      <c r="N314" s="237"/>
      <c r="O314" s="237"/>
      <c r="P314" s="237"/>
      <c r="Q314" s="245">
        <v>45700</v>
      </c>
      <c r="R314" s="237" t="s">
        <v>309</v>
      </c>
      <c r="S314" s="331" t="s">
        <v>233</v>
      </c>
      <c r="T314" s="237" t="s">
        <v>228</v>
      </c>
      <c r="U314" s="237" t="s">
        <v>234</v>
      </c>
      <c r="V314" s="237" t="s">
        <v>652</v>
      </c>
      <c r="W314" s="245">
        <v>45933</v>
      </c>
      <c r="X314" s="237" t="s">
        <v>2082</v>
      </c>
      <c r="Y314" s="237" t="s">
        <v>237</v>
      </c>
      <c r="Z314" s="237" t="s">
        <v>237</v>
      </c>
      <c r="AA314" s="237" t="s">
        <v>2083</v>
      </c>
      <c r="AB314" s="237" t="s">
        <v>228</v>
      </c>
      <c r="AC314" s="237" t="s">
        <v>228</v>
      </c>
    </row>
    <row r="315" spans="1:29" ht="13.5" customHeight="1">
      <c r="A315" s="235">
        <v>313</v>
      </c>
      <c r="B315" s="237"/>
      <c r="C315" s="255" t="s">
        <v>2084</v>
      </c>
      <c r="D315" s="237" t="s">
        <v>2085</v>
      </c>
      <c r="E315" s="237">
        <v>50</v>
      </c>
      <c r="F315" s="237" t="s">
        <v>60</v>
      </c>
      <c r="G315" s="237" t="s">
        <v>2086</v>
      </c>
      <c r="H315" s="243" t="s">
        <v>27</v>
      </c>
      <c r="I315" s="243"/>
      <c r="J315" s="235" t="s">
        <v>433</v>
      </c>
      <c r="K315" s="243" t="s">
        <v>170</v>
      </c>
      <c r="L315" s="243"/>
      <c r="M315" s="243" t="s">
        <v>2087</v>
      </c>
      <c r="N315" s="237"/>
      <c r="O315" s="237"/>
      <c r="P315" s="237"/>
      <c r="Q315" s="245">
        <v>45705</v>
      </c>
      <c r="R315" s="237" t="s">
        <v>309</v>
      </c>
      <c r="S315" s="331" t="s">
        <v>233</v>
      </c>
      <c r="T315" s="237" t="s">
        <v>228</v>
      </c>
      <c r="U315" s="237" t="s">
        <v>234</v>
      </c>
      <c r="V315" s="237" t="s">
        <v>652</v>
      </c>
      <c r="W315" s="245">
        <v>45933</v>
      </c>
      <c r="X315" s="237" t="s">
        <v>2088</v>
      </c>
      <c r="Y315" s="237" t="s">
        <v>237</v>
      </c>
      <c r="Z315" s="237" t="s">
        <v>237</v>
      </c>
      <c r="AA315" s="237" t="s">
        <v>2089</v>
      </c>
      <c r="AB315" s="237" t="s">
        <v>228</v>
      </c>
      <c r="AC315" s="237" t="s">
        <v>228</v>
      </c>
    </row>
    <row r="316" spans="1:29" ht="13.5" customHeight="1">
      <c r="A316" s="235">
        <v>314</v>
      </c>
      <c r="B316" s="237"/>
      <c r="C316" s="255" t="s">
        <v>2090</v>
      </c>
      <c r="D316" s="237" t="s">
        <v>2091</v>
      </c>
      <c r="E316" s="237">
        <v>29</v>
      </c>
      <c r="F316" s="237" t="s">
        <v>60</v>
      </c>
      <c r="G316" s="237" t="s">
        <v>2092</v>
      </c>
      <c r="H316" s="243" t="s">
        <v>27</v>
      </c>
      <c r="I316" s="243"/>
      <c r="J316" s="235" t="s">
        <v>433</v>
      </c>
      <c r="K316" s="243" t="s">
        <v>172</v>
      </c>
      <c r="L316" s="243"/>
      <c r="M316" s="243" t="s">
        <v>32</v>
      </c>
      <c r="N316" s="237"/>
      <c r="O316" s="237"/>
      <c r="P316" s="237"/>
      <c r="Q316" s="245">
        <v>45708</v>
      </c>
      <c r="R316" s="237" t="s">
        <v>309</v>
      </c>
      <c r="S316" s="331" t="s">
        <v>233</v>
      </c>
      <c r="T316" s="237" t="s">
        <v>228</v>
      </c>
      <c r="U316" s="237" t="s">
        <v>234</v>
      </c>
      <c r="V316" s="237" t="s">
        <v>473</v>
      </c>
      <c r="W316" s="245">
        <v>45933</v>
      </c>
      <c r="X316" s="237" t="s">
        <v>2093</v>
      </c>
      <c r="Y316" s="237" t="s">
        <v>237</v>
      </c>
      <c r="Z316" s="237" t="s">
        <v>237</v>
      </c>
      <c r="AA316" s="237" t="s">
        <v>2094</v>
      </c>
      <c r="AB316" s="237" t="s">
        <v>228</v>
      </c>
      <c r="AC316" s="237" t="s">
        <v>228</v>
      </c>
    </row>
    <row r="317" spans="1:29" ht="13.5" customHeight="1">
      <c r="A317" s="235">
        <v>315</v>
      </c>
      <c r="B317" s="237"/>
      <c r="C317" s="255" t="s">
        <v>2095</v>
      </c>
      <c r="D317" s="237" t="s">
        <v>2096</v>
      </c>
      <c r="E317" s="237">
        <v>82</v>
      </c>
      <c r="F317" s="237" t="s">
        <v>424</v>
      </c>
      <c r="G317" s="237" t="s">
        <v>2097</v>
      </c>
      <c r="H317" s="243" t="s">
        <v>27</v>
      </c>
      <c r="I317" s="243"/>
      <c r="J317" s="235" t="s">
        <v>433</v>
      </c>
      <c r="K317" s="243" t="s">
        <v>170</v>
      </c>
      <c r="L317" s="243"/>
      <c r="M317" s="243" t="s">
        <v>32</v>
      </c>
      <c r="N317" s="237"/>
      <c r="O317" s="237"/>
      <c r="P317" s="237"/>
      <c r="Q317" s="245">
        <v>45721</v>
      </c>
      <c r="R317" s="237" t="s">
        <v>309</v>
      </c>
      <c r="S317" s="331" t="s">
        <v>233</v>
      </c>
      <c r="T317" s="237" t="s">
        <v>228</v>
      </c>
      <c r="U317" s="237" t="s">
        <v>234</v>
      </c>
      <c r="V317" s="237" t="s">
        <v>473</v>
      </c>
      <c r="W317" s="245">
        <v>45933</v>
      </c>
      <c r="X317" s="237" t="s">
        <v>2098</v>
      </c>
      <c r="Y317" s="237" t="s">
        <v>237</v>
      </c>
      <c r="Z317" s="237" t="s">
        <v>237</v>
      </c>
      <c r="AA317" s="237" t="s">
        <v>2099</v>
      </c>
      <c r="AB317" s="237" t="s">
        <v>228</v>
      </c>
      <c r="AC317" s="237" t="s">
        <v>228</v>
      </c>
    </row>
    <row r="318" spans="1:29" ht="13.5" customHeight="1">
      <c r="A318" s="235">
        <v>316</v>
      </c>
      <c r="B318" s="237"/>
      <c r="C318" s="255" t="s">
        <v>2100</v>
      </c>
      <c r="D318" s="237" t="s">
        <v>2101</v>
      </c>
      <c r="E318" s="237">
        <v>28</v>
      </c>
      <c r="F318" s="237" t="s">
        <v>424</v>
      </c>
      <c r="G318" s="237" t="s">
        <v>2102</v>
      </c>
      <c r="H318" s="243" t="s">
        <v>27</v>
      </c>
      <c r="I318" s="243"/>
      <c r="J318" s="235" t="s">
        <v>433</v>
      </c>
      <c r="K318" s="243" t="s">
        <v>658</v>
      </c>
      <c r="L318" s="243"/>
      <c r="M318" s="246" t="s">
        <v>228</v>
      </c>
      <c r="N318" s="237"/>
      <c r="O318" s="237"/>
      <c r="P318" s="237"/>
      <c r="Q318" s="245">
        <v>45723</v>
      </c>
      <c r="R318" s="237" t="s">
        <v>309</v>
      </c>
      <c r="S318" s="331" t="s">
        <v>233</v>
      </c>
      <c r="T318" s="237" t="s">
        <v>228</v>
      </c>
      <c r="U318" s="237" t="s">
        <v>234</v>
      </c>
      <c r="V318" s="237" t="s">
        <v>473</v>
      </c>
      <c r="W318" s="245">
        <v>45933</v>
      </c>
      <c r="X318" s="237" t="s">
        <v>2103</v>
      </c>
      <c r="Y318" s="237" t="s">
        <v>237</v>
      </c>
      <c r="Z318" s="237" t="s">
        <v>237</v>
      </c>
      <c r="AA318" s="237" t="s">
        <v>2104</v>
      </c>
      <c r="AB318" s="237" t="s">
        <v>228</v>
      </c>
      <c r="AC318" s="237" t="s">
        <v>228</v>
      </c>
    </row>
    <row r="319" spans="1:29" ht="13.5" customHeight="1">
      <c r="A319" s="235">
        <v>317</v>
      </c>
      <c r="B319" s="237"/>
      <c r="C319" s="255" t="s">
        <v>2105</v>
      </c>
      <c r="D319" s="237" t="s">
        <v>2106</v>
      </c>
      <c r="E319" s="237">
        <v>52</v>
      </c>
      <c r="F319" s="237" t="s">
        <v>75</v>
      </c>
      <c r="G319" s="237" t="s">
        <v>2107</v>
      </c>
      <c r="H319" s="243" t="s">
        <v>27</v>
      </c>
      <c r="I319" s="243"/>
      <c r="J319" s="235" t="s">
        <v>433</v>
      </c>
      <c r="K319" s="243" t="s">
        <v>184</v>
      </c>
      <c r="L319" s="243"/>
      <c r="M319" s="246" t="s">
        <v>228</v>
      </c>
      <c r="N319" s="237"/>
      <c r="O319" s="237"/>
      <c r="P319" s="237"/>
      <c r="Q319" s="245">
        <v>45727</v>
      </c>
      <c r="R319" s="237" t="s">
        <v>309</v>
      </c>
      <c r="S319" s="331" t="s">
        <v>233</v>
      </c>
      <c r="T319" s="237" t="s">
        <v>228</v>
      </c>
      <c r="U319" s="237" t="s">
        <v>234</v>
      </c>
      <c r="V319" s="237" t="s">
        <v>473</v>
      </c>
      <c r="W319" s="245">
        <v>45933</v>
      </c>
      <c r="X319" s="237" t="s">
        <v>2108</v>
      </c>
      <c r="Y319" s="237" t="s">
        <v>237</v>
      </c>
      <c r="Z319" s="237" t="s">
        <v>237</v>
      </c>
      <c r="AA319" s="237" t="s">
        <v>2109</v>
      </c>
      <c r="AB319" s="237" t="s">
        <v>228</v>
      </c>
      <c r="AC319" s="237" t="s">
        <v>228</v>
      </c>
    </row>
    <row r="320" spans="1:29" ht="13.5" customHeight="1">
      <c r="A320" s="235">
        <v>318</v>
      </c>
      <c r="B320" s="237"/>
      <c r="C320" s="255" t="s">
        <v>2110</v>
      </c>
      <c r="D320" s="237" t="s">
        <v>2111</v>
      </c>
      <c r="E320" s="237">
        <v>32</v>
      </c>
      <c r="F320" s="237" t="s">
        <v>75</v>
      </c>
      <c r="G320" s="237" t="s">
        <v>2112</v>
      </c>
      <c r="H320" s="243" t="s">
        <v>27</v>
      </c>
      <c r="I320" s="243"/>
      <c r="J320" s="235" t="s">
        <v>433</v>
      </c>
      <c r="K320" s="243" t="s">
        <v>2113</v>
      </c>
      <c r="L320" s="243"/>
      <c r="M320" s="246" t="s">
        <v>228</v>
      </c>
      <c r="N320" s="237"/>
      <c r="O320" s="237"/>
      <c r="P320" s="237"/>
      <c r="Q320" s="245">
        <v>45729</v>
      </c>
      <c r="R320" s="237" t="s">
        <v>309</v>
      </c>
      <c r="S320" s="331" t="s">
        <v>233</v>
      </c>
      <c r="T320" s="237" t="s">
        <v>228</v>
      </c>
      <c r="U320" s="237" t="s">
        <v>234</v>
      </c>
      <c r="V320" s="237" t="s">
        <v>473</v>
      </c>
      <c r="W320" s="245">
        <v>45933</v>
      </c>
      <c r="X320" s="237" t="s">
        <v>2114</v>
      </c>
      <c r="Y320" s="237" t="s">
        <v>237</v>
      </c>
      <c r="Z320" s="237" t="s">
        <v>237</v>
      </c>
      <c r="AA320" s="237" t="s">
        <v>2115</v>
      </c>
      <c r="AB320" s="237" t="s">
        <v>228</v>
      </c>
      <c r="AC320" s="237" t="s">
        <v>228</v>
      </c>
    </row>
    <row r="321" spans="1:29" ht="13.5" customHeight="1">
      <c r="A321" s="235">
        <v>319</v>
      </c>
      <c r="B321" s="237"/>
      <c r="C321" s="255" t="s">
        <v>2116</v>
      </c>
      <c r="D321" s="237" t="s">
        <v>2117</v>
      </c>
      <c r="E321" s="237">
        <v>55</v>
      </c>
      <c r="F321" s="237" t="s">
        <v>75</v>
      </c>
      <c r="G321" s="237" t="s">
        <v>2118</v>
      </c>
      <c r="H321" s="243" t="s">
        <v>27</v>
      </c>
      <c r="I321" s="243"/>
      <c r="J321" s="235" t="s">
        <v>433</v>
      </c>
      <c r="K321" s="243" t="s">
        <v>2059</v>
      </c>
      <c r="L321" s="243"/>
      <c r="M321" s="246" t="s">
        <v>228</v>
      </c>
      <c r="N321" s="237"/>
      <c r="O321" s="237"/>
      <c r="P321" s="237"/>
      <c r="Q321" s="245">
        <v>45734</v>
      </c>
      <c r="R321" s="237" t="s">
        <v>309</v>
      </c>
      <c r="S321" s="331" t="s">
        <v>233</v>
      </c>
      <c r="T321" s="237" t="s">
        <v>228</v>
      </c>
      <c r="U321" s="237" t="s">
        <v>234</v>
      </c>
      <c r="V321" s="237" t="s">
        <v>473</v>
      </c>
      <c r="W321" s="245">
        <v>45933</v>
      </c>
      <c r="X321" s="237" t="s">
        <v>2119</v>
      </c>
      <c r="Y321" s="237" t="s">
        <v>237</v>
      </c>
      <c r="Z321" s="237" t="s">
        <v>237</v>
      </c>
      <c r="AA321" s="237" t="s">
        <v>2120</v>
      </c>
      <c r="AB321" s="237" t="s">
        <v>228</v>
      </c>
      <c r="AC321" s="237" t="s">
        <v>228</v>
      </c>
    </row>
    <row r="322" spans="1:29" ht="13.5" customHeight="1">
      <c r="A322" s="235">
        <v>320</v>
      </c>
      <c r="B322" s="237"/>
      <c r="C322" s="255" t="s">
        <v>2121</v>
      </c>
      <c r="D322" s="237" t="s">
        <v>2122</v>
      </c>
      <c r="E322" s="237">
        <v>66</v>
      </c>
      <c r="F322" s="237" t="s">
        <v>60</v>
      </c>
      <c r="G322" s="237" t="s">
        <v>2123</v>
      </c>
      <c r="H322" s="243" t="s">
        <v>27</v>
      </c>
      <c r="I322" s="243"/>
      <c r="J322" s="235" t="s">
        <v>433</v>
      </c>
      <c r="K322" s="243" t="s">
        <v>2059</v>
      </c>
      <c r="L322" s="243"/>
      <c r="M322" s="243" t="s">
        <v>528</v>
      </c>
      <c r="N322" s="237"/>
      <c r="O322" s="237"/>
      <c r="P322" s="237"/>
      <c r="Q322" s="245">
        <v>45742</v>
      </c>
      <c r="R322" s="237" t="s">
        <v>309</v>
      </c>
      <c r="S322" s="331" t="s">
        <v>233</v>
      </c>
      <c r="T322" s="237" t="s">
        <v>228</v>
      </c>
      <c r="U322" s="237" t="s">
        <v>234</v>
      </c>
      <c r="V322" s="237" t="s">
        <v>473</v>
      </c>
      <c r="W322" s="245">
        <v>45933</v>
      </c>
      <c r="X322" s="237" t="s">
        <v>2124</v>
      </c>
      <c r="Y322" s="237" t="s">
        <v>237</v>
      </c>
      <c r="Z322" s="237" t="s">
        <v>237</v>
      </c>
      <c r="AA322" s="237" t="s">
        <v>2125</v>
      </c>
      <c r="AB322" s="237" t="s">
        <v>228</v>
      </c>
      <c r="AC322" s="237" t="s">
        <v>228</v>
      </c>
    </row>
    <row r="323" spans="1:29" ht="13.5" customHeight="1">
      <c r="A323" s="235">
        <v>321</v>
      </c>
      <c r="B323" s="237"/>
      <c r="C323" s="255" t="s">
        <v>2126</v>
      </c>
      <c r="D323" s="237" t="s">
        <v>2127</v>
      </c>
      <c r="E323" s="237">
        <v>45</v>
      </c>
      <c r="F323" s="237" t="s">
        <v>75</v>
      </c>
      <c r="G323" s="237" t="s">
        <v>2128</v>
      </c>
      <c r="H323" s="243" t="s">
        <v>27</v>
      </c>
      <c r="I323" s="243"/>
      <c r="J323" s="235" t="s">
        <v>433</v>
      </c>
      <c r="K323" s="243" t="s">
        <v>2129</v>
      </c>
      <c r="L323" s="243"/>
      <c r="M323" s="246" t="s">
        <v>228</v>
      </c>
      <c r="N323" s="237"/>
      <c r="O323" s="237"/>
      <c r="P323" s="237"/>
      <c r="Q323" s="245">
        <v>45743</v>
      </c>
      <c r="R323" s="237" t="s">
        <v>309</v>
      </c>
      <c r="S323" s="331" t="s">
        <v>233</v>
      </c>
      <c r="T323" s="237" t="s">
        <v>228</v>
      </c>
      <c r="U323" s="237" t="s">
        <v>234</v>
      </c>
      <c r="V323" s="237" t="s">
        <v>473</v>
      </c>
      <c r="W323" s="245">
        <v>45933</v>
      </c>
      <c r="X323" s="237" t="s">
        <v>2130</v>
      </c>
      <c r="Y323" s="237" t="s">
        <v>237</v>
      </c>
      <c r="Z323" s="237" t="s">
        <v>237</v>
      </c>
      <c r="AA323" s="237" t="s">
        <v>2131</v>
      </c>
      <c r="AB323" s="237" t="s">
        <v>228</v>
      </c>
      <c r="AC323" s="237" t="s">
        <v>228</v>
      </c>
    </row>
    <row r="324" spans="1:29" ht="13.5" customHeight="1">
      <c r="A324" s="235">
        <v>322</v>
      </c>
      <c r="B324" s="237"/>
      <c r="C324" s="255" t="s">
        <v>2132</v>
      </c>
      <c r="D324" s="237" t="s">
        <v>2133</v>
      </c>
      <c r="E324" s="237">
        <v>49</v>
      </c>
      <c r="F324" s="237" t="s">
        <v>60</v>
      </c>
      <c r="G324" s="237" t="s">
        <v>2134</v>
      </c>
      <c r="H324" s="243" t="s">
        <v>27</v>
      </c>
      <c r="I324" s="243"/>
      <c r="J324" s="235" t="s">
        <v>433</v>
      </c>
      <c r="K324" s="243" t="s">
        <v>658</v>
      </c>
      <c r="L324" s="243"/>
      <c r="M324" s="246" t="s">
        <v>228</v>
      </c>
      <c r="N324" s="237"/>
      <c r="O324" s="237"/>
      <c r="P324" s="237"/>
      <c r="Q324" s="245">
        <v>45744</v>
      </c>
      <c r="R324" s="237" t="s">
        <v>309</v>
      </c>
      <c r="S324" s="331" t="s">
        <v>233</v>
      </c>
      <c r="T324" s="237" t="s">
        <v>228</v>
      </c>
      <c r="U324" s="237" t="s">
        <v>234</v>
      </c>
      <c r="V324" s="237" t="s">
        <v>473</v>
      </c>
      <c r="W324" s="245">
        <v>45933</v>
      </c>
      <c r="X324" s="237" t="s">
        <v>2135</v>
      </c>
      <c r="Y324" s="237" t="s">
        <v>237</v>
      </c>
      <c r="Z324" s="237" t="s">
        <v>237</v>
      </c>
      <c r="AA324" s="237" t="s">
        <v>2136</v>
      </c>
      <c r="AB324" s="237" t="s">
        <v>228</v>
      </c>
      <c r="AC324" s="237" t="s">
        <v>228</v>
      </c>
    </row>
    <row r="325" spans="1:29" ht="13.5" customHeight="1">
      <c r="A325" s="235">
        <v>323</v>
      </c>
      <c r="B325" s="237"/>
      <c r="C325" s="255" t="s">
        <v>2137</v>
      </c>
      <c r="D325" s="237" t="s">
        <v>2138</v>
      </c>
      <c r="E325" s="237">
        <v>49</v>
      </c>
      <c r="F325" s="237" t="s">
        <v>60</v>
      </c>
      <c r="G325" s="237" t="s">
        <v>2139</v>
      </c>
      <c r="H325" s="243" t="s">
        <v>27</v>
      </c>
      <c r="I325" s="243"/>
      <c r="J325" s="235" t="s">
        <v>433</v>
      </c>
      <c r="K325" s="243" t="s">
        <v>2059</v>
      </c>
      <c r="L325" s="243"/>
      <c r="M325" s="246" t="s">
        <v>228</v>
      </c>
      <c r="N325" s="237"/>
      <c r="O325" s="237"/>
      <c r="P325" s="237"/>
      <c r="Q325" s="245">
        <v>45744</v>
      </c>
      <c r="R325" s="237" t="s">
        <v>309</v>
      </c>
      <c r="S325" s="331" t="s">
        <v>233</v>
      </c>
      <c r="T325" s="237" t="s">
        <v>228</v>
      </c>
      <c r="U325" s="237" t="s">
        <v>234</v>
      </c>
      <c r="V325" s="237" t="s">
        <v>473</v>
      </c>
      <c r="W325" s="245">
        <v>45933</v>
      </c>
      <c r="X325" s="237" t="s">
        <v>2140</v>
      </c>
      <c r="Y325" s="237" t="s">
        <v>237</v>
      </c>
      <c r="Z325" s="237" t="s">
        <v>237</v>
      </c>
      <c r="AA325" s="237" t="s">
        <v>2141</v>
      </c>
      <c r="AB325" s="237" t="s">
        <v>228</v>
      </c>
      <c r="AC325" s="237" t="s">
        <v>228</v>
      </c>
    </row>
    <row r="326" spans="1:29" ht="13.5" customHeight="1">
      <c r="A326" s="235">
        <v>324</v>
      </c>
      <c r="B326" s="237">
        <v>159</v>
      </c>
      <c r="C326" s="255" t="s">
        <v>2142</v>
      </c>
      <c r="D326" s="237" t="s">
        <v>2143</v>
      </c>
      <c r="E326" s="237">
        <v>66</v>
      </c>
      <c r="F326" s="237" t="s">
        <v>60</v>
      </c>
      <c r="G326" s="237" t="s">
        <v>2144</v>
      </c>
      <c r="H326" s="243" t="s">
        <v>27</v>
      </c>
      <c r="I326" s="243"/>
      <c r="J326" s="235" t="s">
        <v>433</v>
      </c>
      <c r="K326" s="243" t="s">
        <v>141</v>
      </c>
      <c r="L326" s="243"/>
      <c r="M326" s="243" t="s">
        <v>2145</v>
      </c>
      <c r="N326" s="237"/>
      <c r="O326" s="237"/>
      <c r="P326" s="237"/>
      <c r="Q326" s="245">
        <v>45755</v>
      </c>
      <c r="R326" s="237" t="s">
        <v>309</v>
      </c>
      <c r="S326" s="331" t="s">
        <v>233</v>
      </c>
      <c r="T326" s="237" t="s">
        <v>228</v>
      </c>
      <c r="U326" s="237" t="s">
        <v>234</v>
      </c>
      <c r="V326" s="237" t="s">
        <v>652</v>
      </c>
      <c r="W326" s="245">
        <v>45933</v>
      </c>
      <c r="X326" s="237" t="s">
        <v>2146</v>
      </c>
      <c r="Y326" s="237" t="s">
        <v>237</v>
      </c>
      <c r="Z326" s="237" t="s">
        <v>237</v>
      </c>
      <c r="AA326" s="237" t="s">
        <v>2147</v>
      </c>
      <c r="AB326" s="237" t="s">
        <v>228</v>
      </c>
      <c r="AC326" s="237" t="s">
        <v>228</v>
      </c>
    </row>
    <row r="327" spans="1:29" ht="13.5" customHeight="1">
      <c r="A327" s="235">
        <v>325</v>
      </c>
      <c r="B327" s="237">
        <v>16</v>
      </c>
      <c r="C327" s="255" t="s">
        <v>2148</v>
      </c>
      <c r="D327" s="237" t="s">
        <v>2149</v>
      </c>
      <c r="E327" s="237">
        <v>43</v>
      </c>
      <c r="F327" s="237" t="s">
        <v>75</v>
      </c>
      <c r="G327" s="237" t="s">
        <v>2150</v>
      </c>
      <c r="H327" s="243" t="s">
        <v>27</v>
      </c>
      <c r="I327" s="243"/>
      <c r="J327" s="235" t="s">
        <v>433</v>
      </c>
      <c r="K327" s="243" t="s">
        <v>2151</v>
      </c>
      <c r="L327" s="243"/>
      <c r="M327" s="246" t="s">
        <v>228</v>
      </c>
      <c r="N327" s="237"/>
      <c r="O327" s="237"/>
      <c r="P327" s="237"/>
      <c r="Q327" s="245">
        <v>45755</v>
      </c>
      <c r="R327" s="237" t="s">
        <v>309</v>
      </c>
      <c r="S327" s="331" t="s">
        <v>233</v>
      </c>
      <c r="T327" s="237" t="s">
        <v>228</v>
      </c>
      <c r="U327" s="237" t="s">
        <v>234</v>
      </c>
      <c r="V327" s="237" t="s">
        <v>473</v>
      </c>
      <c r="W327" s="245">
        <v>45933</v>
      </c>
      <c r="X327" s="237" t="s">
        <v>2152</v>
      </c>
      <c r="Y327" s="237" t="s">
        <v>237</v>
      </c>
      <c r="Z327" s="237" t="s">
        <v>237</v>
      </c>
      <c r="AA327" s="237" t="s">
        <v>2153</v>
      </c>
      <c r="AB327" s="237" t="s">
        <v>228</v>
      </c>
      <c r="AC327" s="237" t="s">
        <v>228</v>
      </c>
    </row>
    <row r="328" spans="1:29" ht="13.5" customHeight="1">
      <c r="A328" s="235">
        <v>326</v>
      </c>
      <c r="B328" s="237">
        <v>161</v>
      </c>
      <c r="C328" s="255" t="s">
        <v>2154</v>
      </c>
      <c r="D328" s="237" t="s">
        <v>2155</v>
      </c>
      <c r="E328" s="237">
        <v>64</v>
      </c>
      <c r="F328" s="237" t="s">
        <v>60</v>
      </c>
      <c r="G328" s="237" t="s">
        <v>2156</v>
      </c>
      <c r="H328" s="243" t="s">
        <v>27</v>
      </c>
      <c r="I328" s="243"/>
      <c r="J328" s="235" t="s">
        <v>433</v>
      </c>
      <c r="K328" s="243" t="s">
        <v>2157</v>
      </c>
      <c r="L328" s="243"/>
      <c r="M328" s="246" t="s">
        <v>228</v>
      </c>
      <c r="N328" s="237"/>
      <c r="O328" s="237"/>
      <c r="P328" s="237"/>
      <c r="Q328" s="245">
        <v>45755</v>
      </c>
      <c r="R328" s="237" t="s">
        <v>309</v>
      </c>
      <c r="S328" s="331" t="s">
        <v>233</v>
      </c>
      <c r="T328" s="237" t="s">
        <v>228</v>
      </c>
      <c r="U328" s="237" t="s">
        <v>234</v>
      </c>
      <c r="V328" s="237" t="s">
        <v>473</v>
      </c>
      <c r="W328" s="245">
        <v>45933</v>
      </c>
      <c r="X328" s="237" t="s">
        <v>2158</v>
      </c>
      <c r="Y328" s="237" t="s">
        <v>237</v>
      </c>
      <c r="Z328" s="237" t="s">
        <v>237</v>
      </c>
      <c r="AA328" s="237" t="s">
        <v>2159</v>
      </c>
      <c r="AB328" s="237" t="s">
        <v>228</v>
      </c>
      <c r="AC328" s="237" t="s">
        <v>228</v>
      </c>
    </row>
    <row r="329" spans="1:29" ht="13.5" customHeight="1">
      <c r="A329" s="235">
        <v>327</v>
      </c>
      <c r="B329" s="237">
        <v>153</v>
      </c>
      <c r="C329" s="255" t="s">
        <v>2160</v>
      </c>
      <c r="D329" s="237" t="s">
        <v>2161</v>
      </c>
      <c r="E329" s="237">
        <v>45</v>
      </c>
      <c r="F329" s="237" t="s">
        <v>75</v>
      </c>
      <c r="G329" s="237" t="s">
        <v>2162</v>
      </c>
      <c r="H329" s="243" t="s">
        <v>27</v>
      </c>
      <c r="I329" s="243"/>
      <c r="J329" s="235" t="s">
        <v>433</v>
      </c>
      <c r="K329" s="243" t="s">
        <v>2059</v>
      </c>
      <c r="L329" s="243"/>
      <c r="M329" s="246" t="s">
        <v>228</v>
      </c>
      <c r="N329" s="237"/>
      <c r="O329" s="237"/>
      <c r="P329" s="237"/>
      <c r="Q329" s="245">
        <v>45756</v>
      </c>
      <c r="R329" s="237" t="s">
        <v>309</v>
      </c>
      <c r="S329" s="331" t="s">
        <v>233</v>
      </c>
      <c r="T329" s="237" t="s">
        <v>228</v>
      </c>
      <c r="U329" s="237" t="s">
        <v>234</v>
      </c>
      <c r="V329" s="237" t="s">
        <v>473</v>
      </c>
      <c r="W329" s="245">
        <v>45933</v>
      </c>
      <c r="X329" s="237" t="s">
        <v>2163</v>
      </c>
      <c r="Y329" s="237" t="s">
        <v>237</v>
      </c>
      <c r="Z329" s="237" t="s">
        <v>237</v>
      </c>
      <c r="AA329" s="237" t="s">
        <v>2164</v>
      </c>
      <c r="AB329" s="237" t="s">
        <v>228</v>
      </c>
      <c r="AC329" s="237" t="s">
        <v>228</v>
      </c>
    </row>
    <row r="330" spans="1:29" ht="13.5" customHeight="1">
      <c r="A330" s="235">
        <v>328</v>
      </c>
      <c r="B330" s="237" t="s">
        <v>2165</v>
      </c>
      <c r="C330" s="255" t="s">
        <v>2166</v>
      </c>
      <c r="D330" s="237" t="s">
        <v>2167</v>
      </c>
      <c r="E330" s="237">
        <v>54</v>
      </c>
      <c r="F330" s="237" t="s">
        <v>60</v>
      </c>
      <c r="G330" s="237" t="s">
        <v>2168</v>
      </c>
      <c r="H330" s="243" t="s">
        <v>27</v>
      </c>
      <c r="I330" s="243"/>
      <c r="J330" s="235" t="s">
        <v>433</v>
      </c>
      <c r="K330" s="243" t="s">
        <v>2169</v>
      </c>
      <c r="L330" s="243"/>
      <c r="M330" s="246" t="s">
        <v>228</v>
      </c>
      <c r="N330" s="237"/>
      <c r="O330" s="237"/>
      <c r="P330" s="237"/>
      <c r="Q330" s="245">
        <v>45764</v>
      </c>
      <c r="R330" s="237" t="s">
        <v>309</v>
      </c>
      <c r="S330" s="331" t="s">
        <v>233</v>
      </c>
      <c r="T330" s="237" t="s">
        <v>228</v>
      </c>
      <c r="U330" s="237" t="s">
        <v>234</v>
      </c>
      <c r="V330" s="237" t="s">
        <v>652</v>
      </c>
      <c r="W330" s="245">
        <v>45933</v>
      </c>
      <c r="X330" s="237" t="s">
        <v>2170</v>
      </c>
      <c r="Y330" s="237" t="s">
        <v>237</v>
      </c>
      <c r="Z330" s="237" t="s">
        <v>237</v>
      </c>
      <c r="AA330" s="237" t="s">
        <v>2171</v>
      </c>
      <c r="AB330" s="237" t="s">
        <v>228</v>
      </c>
      <c r="AC330" s="237" t="s">
        <v>228</v>
      </c>
    </row>
    <row r="331" spans="1:29" ht="13.5" customHeight="1">
      <c r="A331" s="235">
        <v>329</v>
      </c>
      <c r="B331" s="237" t="s">
        <v>2172</v>
      </c>
      <c r="C331" s="255" t="s">
        <v>2173</v>
      </c>
      <c r="D331" s="237" t="s">
        <v>2174</v>
      </c>
      <c r="E331" s="237">
        <v>40</v>
      </c>
      <c r="F331" s="237" t="s">
        <v>75</v>
      </c>
      <c r="G331" s="237" t="s">
        <v>2175</v>
      </c>
      <c r="H331" s="243" t="s">
        <v>27</v>
      </c>
      <c r="I331" s="243"/>
      <c r="J331" s="235" t="s">
        <v>433</v>
      </c>
      <c r="K331" s="243" t="s">
        <v>2176</v>
      </c>
      <c r="L331" s="243"/>
      <c r="M331" s="246" t="s">
        <v>228</v>
      </c>
      <c r="N331" s="237"/>
      <c r="O331" s="237"/>
      <c r="P331" s="237"/>
      <c r="Q331" s="245">
        <v>45765</v>
      </c>
      <c r="R331" s="237" t="s">
        <v>309</v>
      </c>
      <c r="S331" s="331" t="s">
        <v>233</v>
      </c>
      <c r="T331" s="237" t="s">
        <v>228</v>
      </c>
      <c r="U331" s="237" t="s">
        <v>234</v>
      </c>
      <c r="V331" s="237" t="s">
        <v>652</v>
      </c>
      <c r="W331" s="245">
        <v>45933</v>
      </c>
      <c r="X331" s="237" t="s">
        <v>2177</v>
      </c>
      <c r="Y331" s="237" t="s">
        <v>237</v>
      </c>
      <c r="Z331" s="237" t="s">
        <v>237</v>
      </c>
      <c r="AA331" s="237" t="s">
        <v>2178</v>
      </c>
      <c r="AB331" s="237" t="s">
        <v>228</v>
      </c>
      <c r="AC331" s="237" t="s">
        <v>228</v>
      </c>
    </row>
    <row r="332" spans="1:29" ht="13.5" customHeight="1">
      <c r="A332" s="235">
        <v>330</v>
      </c>
      <c r="B332" s="237" t="s">
        <v>2179</v>
      </c>
      <c r="C332" s="255" t="s">
        <v>2180</v>
      </c>
      <c r="D332" s="237" t="s">
        <v>2181</v>
      </c>
      <c r="E332" s="237">
        <v>54</v>
      </c>
      <c r="F332" s="237" t="s">
        <v>60</v>
      </c>
      <c r="G332" s="237" t="s">
        <v>2182</v>
      </c>
      <c r="H332" s="243" t="s">
        <v>27</v>
      </c>
      <c r="I332" s="243"/>
      <c r="J332" s="235" t="s">
        <v>433</v>
      </c>
      <c r="K332" s="243" t="s">
        <v>2183</v>
      </c>
      <c r="L332" s="243"/>
      <c r="M332" s="246" t="s">
        <v>228</v>
      </c>
      <c r="N332" s="237"/>
      <c r="O332" s="237"/>
      <c r="P332" s="237"/>
      <c r="Q332" s="245">
        <v>45768</v>
      </c>
      <c r="R332" s="237" t="s">
        <v>309</v>
      </c>
      <c r="S332" s="331" t="s">
        <v>233</v>
      </c>
      <c r="T332" s="237" t="s">
        <v>228</v>
      </c>
      <c r="U332" s="237" t="s">
        <v>234</v>
      </c>
      <c r="V332" s="237" t="s">
        <v>473</v>
      </c>
      <c r="W332" s="245">
        <v>45933</v>
      </c>
      <c r="X332" s="237" t="s">
        <v>2184</v>
      </c>
      <c r="Y332" s="237" t="s">
        <v>237</v>
      </c>
      <c r="Z332" s="237" t="s">
        <v>237</v>
      </c>
      <c r="AA332" s="237" t="s">
        <v>2185</v>
      </c>
      <c r="AB332" s="237" t="s">
        <v>228</v>
      </c>
      <c r="AC332" s="237" t="s">
        <v>228</v>
      </c>
    </row>
    <row r="333" spans="1:29" ht="13.5" customHeight="1">
      <c r="A333" s="235">
        <v>331</v>
      </c>
      <c r="B333" s="237"/>
      <c r="C333" s="255" t="s">
        <v>2186</v>
      </c>
      <c r="D333" s="237" t="s">
        <v>2187</v>
      </c>
      <c r="E333" s="237">
        <v>52</v>
      </c>
      <c r="F333" s="237" t="s">
        <v>60</v>
      </c>
      <c r="G333" s="237" t="s">
        <v>2188</v>
      </c>
      <c r="H333" s="243" t="s">
        <v>27</v>
      </c>
      <c r="I333" s="243"/>
      <c r="J333" s="235" t="s">
        <v>433</v>
      </c>
      <c r="K333" s="243" t="s">
        <v>2189</v>
      </c>
      <c r="L333" s="243"/>
      <c r="M333" s="246" t="s">
        <v>228</v>
      </c>
      <c r="N333" s="237"/>
      <c r="O333" s="237"/>
      <c r="P333" s="237"/>
      <c r="Q333" s="245">
        <v>45769</v>
      </c>
      <c r="R333" s="237" t="s">
        <v>309</v>
      </c>
      <c r="S333" s="331" t="s">
        <v>233</v>
      </c>
      <c r="T333" s="237" t="s">
        <v>228</v>
      </c>
      <c r="U333" s="237" t="s">
        <v>234</v>
      </c>
      <c r="V333" s="237" t="s">
        <v>473</v>
      </c>
      <c r="W333" s="245">
        <v>45933</v>
      </c>
      <c r="X333" s="237" t="s">
        <v>2190</v>
      </c>
      <c r="Y333" s="237" t="s">
        <v>237</v>
      </c>
      <c r="Z333" s="237" t="s">
        <v>237</v>
      </c>
      <c r="AA333" s="237" t="s">
        <v>2191</v>
      </c>
      <c r="AB333" s="237" t="s">
        <v>228</v>
      </c>
      <c r="AC333" s="237" t="s">
        <v>228</v>
      </c>
    </row>
    <row r="334" spans="1:29" ht="13.5" customHeight="1">
      <c r="A334" s="235">
        <v>332</v>
      </c>
      <c r="B334" s="237"/>
      <c r="C334" s="255" t="s">
        <v>2192</v>
      </c>
      <c r="D334" s="237" t="s">
        <v>2193</v>
      </c>
      <c r="E334" s="237">
        <v>48</v>
      </c>
      <c r="F334" s="237" t="s">
        <v>75</v>
      </c>
      <c r="G334" s="237" t="s">
        <v>2194</v>
      </c>
      <c r="H334" s="243" t="s">
        <v>27</v>
      </c>
      <c r="I334" s="243"/>
      <c r="J334" s="235" t="s">
        <v>433</v>
      </c>
      <c r="K334" s="243" t="s">
        <v>2195</v>
      </c>
      <c r="L334" s="243"/>
      <c r="M334" s="246" t="s">
        <v>228</v>
      </c>
      <c r="N334" s="237"/>
      <c r="O334" s="237"/>
      <c r="P334" s="237"/>
      <c r="Q334" s="245">
        <v>45792</v>
      </c>
      <c r="R334" s="237" t="s">
        <v>309</v>
      </c>
      <c r="S334" s="331" t="s">
        <v>233</v>
      </c>
      <c r="T334" s="237" t="s">
        <v>228</v>
      </c>
      <c r="U334" s="237" t="s">
        <v>234</v>
      </c>
      <c r="V334" s="237" t="s">
        <v>652</v>
      </c>
      <c r="W334" s="245">
        <v>45933</v>
      </c>
      <c r="X334" s="237" t="s">
        <v>2196</v>
      </c>
      <c r="Y334" s="237" t="s">
        <v>237</v>
      </c>
      <c r="Z334" s="237" t="s">
        <v>237</v>
      </c>
      <c r="AA334" s="237" t="s">
        <v>2197</v>
      </c>
      <c r="AB334" s="237" t="s">
        <v>228</v>
      </c>
      <c r="AC334" s="237" t="s">
        <v>228</v>
      </c>
    </row>
    <row r="335" spans="1:29" ht="13.5" customHeight="1">
      <c r="A335" s="235">
        <v>333</v>
      </c>
      <c r="B335" s="237"/>
      <c r="C335" s="255" t="s">
        <v>2198</v>
      </c>
      <c r="D335" s="237" t="s">
        <v>2199</v>
      </c>
      <c r="E335" s="237">
        <v>48</v>
      </c>
      <c r="F335" s="237" t="s">
        <v>60</v>
      </c>
      <c r="G335" s="237" t="s">
        <v>2200</v>
      </c>
      <c r="H335" s="243" t="s">
        <v>27</v>
      </c>
      <c r="I335" s="243"/>
      <c r="J335" s="235" t="s">
        <v>433</v>
      </c>
      <c r="K335" s="243" t="s">
        <v>2189</v>
      </c>
      <c r="L335" s="243"/>
      <c r="M335" s="246" t="s">
        <v>228</v>
      </c>
      <c r="N335" s="237"/>
      <c r="O335" s="237"/>
      <c r="P335" s="237"/>
      <c r="Q335" s="245">
        <v>45792</v>
      </c>
      <c r="R335" s="237" t="s">
        <v>309</v>
      </c>
      <c r="S335" s="331" t="s">
        <v>233</v>
      </c>
      <c r="T335" s="237" t="s">
        <v>228</v>
      </c>
      <c r="U335" s="237" t="s">
        <v>234</v>
      </c>
      <c r="V335" s="237" t="s">
        <v>473</v>
      </c>
      <c r="W335" s="245">
        <v>45933</v>
      </c>
      <c r="X335" s="237" t="s">
        <v>2201</v>
      </c>
      <c r="Y335" s="237" t="s">
        <v>237</v>
      </c>
      <c r="Z335" s="237" t="s">
        <v>237</v>
      </c>
      <c r="AA335" s="237" t="s">
        <v>2202</v>
      </c>
      <c r="AB335" s="237" t="s">
        <v>228</v>
      </c>
      <c r="AC335" s="237" t="s">
        <v>228</v>
      </c>
    </row>
    <row r="336" spans="1:29" ht="13.5" customHeight="1">
      <c r="A336" s="235">
        <v>334</v>
      </c>
      <c r="B336" s="237"/>
      <c r="C336" s="255" t="s">
        <v>2203</v>
      </c>
      <c r="D336" s="237" t="s">
        <v>2204</v>
      </c>
      <c r="E336" s="237">
        <v>59</v>
      </c>
      <c r="F336" s="237" t="s">
        <v>75</v>
      </c>
      <c r="G336" s="237" t="s">
        <v>2205</v>
      </c>
      <c r="H336" s="243" t="s">
        <v>27</v>
      </c>
      <c r="I336" s="240" t="s">
        <v>39</v>
      </c>
      <c r="J336" s="235" t="s">
        <v>433</v>
      </c>
      <c r="K336" s="289" t="s">
        <v>2206</v>
      </c>
      <c r="L336" s="289" t="s">
        <v>2206</v>
      </c>
      <c r="M336" s="243" t="s">
        <v>231</v>
      </c>
      <c r="N336" s="237"/>
      <c r="O336" s="237"/>
      <c r="P336" s="237"/>
      <c r="Q336" s="245">
        <v>45798</v>
      </c>
      <c r="R336" s="237" t="s">
        <v>309</v>
      </c>
      <c r="S336" s="331" t="s">
        <v>233</v>
      </c>
      <c r="T336" s="237" t="s">
        <v>228</v>
      </c>
      <c r="U336" s="237" t="s">
        <v>234</v>
      </c>
      <c r="V336" s="237" t="s">
        <v>652</v>
      </c>
      <c r="W336" s="245">
        <v>45933</v>
      </c>
      <c r="X336" s="237" t="s">
        <v>2207</v>
      </c>
      <c r="Y336" s="237" t="s">
        <v>237</v>
      </c>
      <c r="Z336" s="237" t="s">
        <v>237</v>
      </c>
      <c r="AA336" s="237" t="s">
        <v>2208</v>
      </c>
      <c r="AB336" s="237" t="s">
        <v>228</v>
      </c>
      <c r="AC336" s="237" t="s">
        <v>228</v>
      </c>
    </row>
    <row r="337" spans="1:29" ht="13.5" customHeight="1">
      <c r="A337" s="235">
        <v>335</v>
      </c>
      <c r="B337" s="237"/>
      <c r="C337" s="255" t="s">
        <v>2209</v>
      </c>
      <c r="D337" s="237" t="s">
        <v>2210</v>
      </c>
      <c r="E337" s="237">
        <v>59</v>
      </c>
      <c r="F337" s="237" t="s">
        <v>75</v>
      </c>
      <c r="G337" s="237" t="s">
        <v>2211</v>
      </c>
      <c r="H337" s="243" t="s">
        <v>27</v>
      </c>
      <c r="I337" s="243"/>
      <c r="J337" s="235" t="s">
        <v>433</v>
      </c>
      <c r="K337" s="243" t="s">
        <v>175</v>
      </c>
      <c r="L337" s="243"/>
      <c r="M337" s="243" t="s">
        <v>231</v>
      </c>
      <c r="N337" s="237"/>
      <c r="O337" s="237"/>
      <c r="P337" s="237"/>
      <c r="Q337" s="245">
        <v>45728</v>
      </c>
      <c r="R337" s="237" t="s">
        <v>309</v>
      </c>
      <c r="S337" s="331" t="s">
        <v>233</v>
      </c>
      <c r="T337" s="237" t="s">
        <v>228</v>
      </c>
      <c r="U337" s="237" t="s">
        <v>234</v>
      </c>
      <c r="V337" s="237" t="s">
        <v>473</v>
      </c>
      <c r="W337" s="245">
        <v>45933</v>
      </c>
      <c r="X337" s="237" t="s">
        <v>2212</v>
      </c>
      <c r="Y337" s="237" t="s">
        <v>237</v>
      </c>
      <c r="Z337" s="237" t="s">
        <v>237</v>
      </c>
      <c r="AA337" s="237" t="s">
        <v>2213</v>
      </c>
      <c r="AB337" s="237" t="s">
        <v>228</v>
      </c>
      <c r="AC337" s="237" t="s">
        <v>228</v>
      </c>
    </row>
    <row r="338" spans="1:29" ht="13.5" customHeight="1">
      <c r="A338" s="235">
        <v>336</v>
      </c>
      <c r="B338" s="237"/>
      <c r="C338" s="255" t="s">
        <v>2214</v>
      </c>
      <c r="D338" s="237" t="s">
        <v>2215</v>
      </c>
      <c r="E338" s="237">
        <v>45</v>
      </c>
      <c r="F338" s="237" t="s">
        <v>75</v>
      </c>
      <c r="G338" s="237" t="s">
        <v>2216</v>
      </c>
      <c r="H338" s="243" t="s">
        <v>27</v>
      </c>
      <c r="I338" s="243"/>
      <c r="J338" s="235" t="s">
        <v>433</v>
      </c>
      <c r="K338" s="243" t="s">
        <v>2217</v>
      </c>
      <c r="L338" s="243"/>
      <c r="M338" s="246" t="s">
        <v>228</v>
      </c>
      <c r="N338" s="237"/>
      <c r="O338" s="237"/>
      <c r="P338" s="237"/>
      <c r="Q338" s="245">
        <v>45799</v>
      </c>
      <c r="R338" s="237" t="s">
        <v>309</v>
      </c>
      <c r="S338" s="331" t="s">
        <v>233</v>
      </c>
      <c r="T338" s="237" t="s">
        <v>228</v>
      </c>
      <c r="U338" s="237" t="s">
        <v>234</v>
      </c>
      <c r="V338" s="237" t="s">
        <v>652</v>
      </c>
      <c r="W338" s="245">
        <v>45933</v>
      </c>
      <c r="X338" s="237" t="s">
        <v>2218</v>
      </c>
      <c r="Y338" s="237" t="s">
        <v>237</v>
      </c>
      <c r="Z338" s="237" t="s">
        <v>237</v>
      </c>
      <c r="AA338" s="237" t="s">
        <v>2219</v>
      </c>
      <c r="AB338" s="237" t="s">
        <v>228</v>
      </c>
      <c r="AC338" s="237" t="s">
        <v>228</v>
      </c>
    </row>
    <row r="339" spans="1:29" ht="13.5" customHeight="1">
      <c r="A339" s="235">
        <v>337</v>
      </c>
      <c r="B339" s="237"/>
      <c r="C339" s="255" t="s">
        <v>2220</v>
      </c>
      <c r="D339" s="237" t="s">
        <v>2221</v>
      </c>
      <c r="E339" s="237">
        <v>56</v>
      </c>
      <c r="F339" s="237" t="s">
        <v>60</v>
      </c>
      <c r="G339" s="237" t="s">
        <v>2222</v>
      </c>
      <c r="H339" s="243" t="s">
        <v>27</v>
      </c>
      <c r="I339" s="243"/>
      <c r="K339" s="240"/>
      <c r="L339" s="243" t="s">
        <v>231</v>
      </c>
      <c r="M339" s="243" t="s">
        <v>2223</v>
      </c>
      <c r="N339" s="237"/>
      <c r="O339" s="237"/>
      <c r="P339" s="237"/>
      <c r="Q339" s="245">
        <v>45818</v>
      </c>
      <c r="R339" s="237" t="s">
        <v>309</v>
      </c>
      <c r="S339" s="331" t="s">
        <v>233</v>
      </c>
      <c r="T339" s="237" t="s">
        <v>228</v>
      </c>
      <c r="U339" s="237" t="s">
        <v>515</v>
      </c>
      <c r="V339" s="237" t="s">
        <v>473</v>
      </c>
      <c r="W339" s="245">
        <v>45889</v>
      </c>
      <c r="X339" s="237" t="s">
        <v>2224</v>
      </c>
      <c r="Y339" s="237" t="s">
        <v>2225</v>
      </c>
      <c r="Z339" s="237" t="s">
        <v>237</v>
      </c>
      <c r="AA339" s="237" t="s">
        <v>2226</v>
      </c>
      <c r="AB339" s="237" t="s">
        <v>228</v>
      </c>
      <c r="AC339" s="237" t="s">
        <v>228</v>
      </c>
    </row>
    <row r="340" spans="1:29" ht="13.5" customHeight="1">
      <c r="A340" s="235">
        <v>338</v>
      </c>
      <c r="B340" s="237"/>
      <c r="C340" s="255" t="s">
        <v>2227</v>
      </c>
      <c r="D340" s="237" t="s">
        <v>2228</v>
      </c>
      <c r="E340" s="237">
        <v>62</v>
      </c>
      <c r="F340" s="237" t="s">
        <v>75</v>
      </c>
      <c r="G340" s="237" t="s">
        <v>2229</v>
      </c>
      <c r="H340" s="243" t="s">
        <v>27</v>
      </c>
      <c r="I340" s="243"/>
      <c r="J340" s="235" t="s">
        <v>433</v>
      </c>
      <c r="K340" s="240"/>
      <c r="L340" s="243" t="s">
        <v>231</v>
      </c>
      <c r="M340" s="243" t="s">
        <v>32</v>
      </c>
      <c r="N340" s="237"/>
      <c r="O340" s="237"/>
      <c r="P340" s="237"/>
      <c r="Q340" s="245">
        <v>45693</v>
      </c>
      <c r="R340" s="237" t="s">
        <v>309</v>
      </c>
      <c r="S340" s="331" t="s">
        <v>233</v>
      </c>
      <c r="T340" s="237" t="s">
        <v>228</v>
      </c>
      <c r="U340" s="237" t="s">
        <v>234</v>
      </c>
      <c r="V340" s="237" t="s">
        <v>652</v>
      </c>
      <c r="W340" s="245">
        <v>45933</v>
      </c>
      <c r="X340" s="237" t="s">
        <v>2230</v>
      </c>
      <c r="Y340" s="237" t="s">
        <v>237</v>
      </c>
      <c r="Z340" s="237" t="s">
        <v>237</v>
      </c>
      <c r="AA340" s="237" t="s">
        <v>2231</v>
      </c>
      <c r="AB340" s="237" t="s">
        <v>228</v>
      </c>
      <c r="AC340" s="237" t="s">
        <v>228</v>
      </c>
    </row>
    <row r="341" spans="1:29" ht="13.5" customHeight="1">
      <c r="A341" s="235">
        <v>339</v>
      </c>
      <c r="B341" s="237"/>
      <c r="C341" s="255" t="s">
        <v>2232</v>
      </c>
      <c r="D341" s="237" t="s">
        <v>2233</v>
      </c>
      <c r="E341" s="237">
        <v>58</v>
      </c>
      <c r="F341" s="237" t="s">
        <v>60</v>
      </c>
      <c r="G341" s="237" t="s">
        <v>2234</v>
      </c>
      <c r="H341" s="243" t="s">
        <v>27</v>
      </c>
      <c r="I341" s="243"/>
      <c r="J341" s="235" t="s">
        <v>433</v>
      </c>
      <c r="K341" s="240"/>
      <c r="L341" s="243" t="s">
        <v>231</v>
      </c>
      <c r="M341" s="243" t="s">
        <v>32</v>
      </c>
      <c r="N341" s="237"/>
      <c r="O341" s="237"/>
      <c r="P341" s="237"/>
      <c r="Q341" s="245">
        <v>45710</v>
      </c>
      <c r="R341" s="237" t="s">
        <v>309</v>
      </c>
      <c r="S341" s="331" t="s">
        <v>233</v>
      </c>
      <c r="T341" s="237" t="s">
        <v>228</v>
      </c>
      <c r="U341" s="237" t="s">
        <v>234</v>
      </c>
      <c r="V341" s="237" t="s">
        <v>652</v>
      </c>
      <c r="W341" s="245">
        <v>45933</v>
      </c>
      <c r="X341" s="237" t="s">
        <v>2235</v>
      </c>
      <c r="Y341" s="237" t="s">
        <v>237</v>
      </c>
      <c r="Z341" s="237" t="s">
        <v>237</v>
      </c>
      <c r="AA341" s="237" t="s">
        <v>2236</v>
      </c>
      <c r="AB341" s="237" t="s">
        <v>228</v>
      </c>
      <c r="AC341" s="237" t="s">
        <v>228</v>
      </c>
    </row>
    <row r="342" spans="1:29" ht="13.5" customHeight="1">
      <c r="A342" s="235">
        <v>340</v>
      </c>
      <c r="B342" s="237"/>
      <c r="C342" s="255" t="s">
        <v>2237</v>
      </c>
      <c r="D342" s="237" t="s">
        <v>2238</v>
      </c>
      <c r="E342" s="237">
        <v>79</v>
      </c>
      <c r="F342" s="237" t="s">
        <v>75</v>
      </c>
      <c r="G342" s="237" t="s">
        <v>2239</v>
      </c>
      <c r="H342" s="243" t="s">
        <v>27</v>
      </c>
      <c r="I342" s="243"/>
      <c r="K342" s="240"/>
      <c r="L342" s="243" t="s">
        <v>231</v>
      </c>
      <c r="M342" s="243" t="s">
        <v>32</v>
      </c>
      <c r="N342" s="237"/>
      <c r="O342" s="237"/>
      <c r="P342" s="237"/>
      <c r="Q342" s="245">
        <v>45818</v>
      </c>
      <c r="R342" s="237" t="s">
        <v>309</v>
      </c>
      <c r="S342" s="331" t="s">
        <v>233</v>
      </c>
      <c r="T342" s="237" t="s">
        <v>228</v>
      </c>
      <c r="U342" s="237" t="s">
        <v>515</v>
      </c>
      <c r="V342" s="237" t="s">
        <v>473</v>
      </c>
      <c r="W342" s="245">
        <v>45918</v>
      </c>
      <c r="X342" s="237" t="s">
        <v>2240</v>
      </c>
      <c r="Y342" s="237" t="s">
        <v>588</v>
      </c>
      <c r="Z342" s="237" t="s">
        <v>228</v>
      </c>
      <c r="AA342" s="237" t="s">
        <v>2241</v>
      </c>
      <c r="AB342" s="237" t="s">
        <v>228</v>
      </c>
      <c r="AC342" s="237" t="s">
        <v>228</v>
      </c>
    </row>
    <row r="343" spans="1:29" ht="13.5" customHeight="1">
      <c r="A343" s="235">
        <v>341</v>
      </c>
      <c r="B343" s="237"/>
      <c r="C343" s="255" t="s">
        <v>2242</v>
      </c>
      <c r="D343" s="237" t="s">
        <v>2243</v>
      </c>
      <c r="E343" s="237">
        <v>40</v>
      </c>
      <c r="F343" s="237" t="s">
        <v>75</v>
      </c>
      <c r="G343" s="237" t="s">
        <v>2244</v>
      </c>
      <c r="H343" s="243" t="s">
        <v>27</v>
      </c>
      <c r="I343" s="243"/>
      <c r="J343" s="235" t="s">
        <v>433</v>
      </c>
      <c r="K343" s="243" t="s">
        <v>183</v>
      </c>
      <c r="L343" s="243"/>
      <c r="M343" s="243" t="s">
        <v>32</v>
      </c>
      <c r="N343" s="237"/>
      <c r="O343" s="237"/>
      <c r="P343" s="237"/>
      <c r="Q343" s="245">
        <v>45687</v>
      </c>
      <c r="R343" s="237" t="s">
        <v>309</v>
      </c>
      <c r="S343" s="331" t="s">
        <v>233</v>
      </c>
      <c r="T343" s="237" t="s">
        <v>228</v>
      </c>
      <c r="U343" s="237" t="s">
        <v>234</v>
      </c>
      <c r="V343" s="237" t="s">
        <v>652</v>
      </c>
      <c r="W343" s="245">
        <v>45947</v>
      </c>
      <c r="X343" s="237" t="s">
        <v>2245</v>
      </c>
      <c r="Y343" s="237" t="s">
        <v>237</v>
      </c>
      <c r="Z343" s="237" t="s">
        <v>228</v>
      </c>
      <c r="AA343" s="237" t="s">
        <v>2246</v>
      </c>
      <c r="AB343" s="237" t="s">
        <v>228</v>
      </c>
      <c r="AC343" s="237" t="s">
        <v>228</v>
      </c>
    </row>
    <row r="344" spans="1:29" ht="13.5" customHeight="1">
      <c r="A344" s="235">
        <v>342</v>
      </c>
      <c r="B344" s="237"/>
      <c r="C344" s="255" t="s">
        <v>2247</v>
      </c>
      <c r="D344" s="237" t="s">
        <v>2248</v>
      </c>
      <c r="E344" s="237">
        <v>38</v>
      </c>
      <c r="F344" s="237" t="s">
        <v>60</v>
      </c>
      <c r="G344" s="237" t="s">
        <v>2249</v>
      </c>
      <c r="H344" s="243" t="s">
        <v>27</v>
      </c>
      <c r="I344" s="243"/>
      <c r="J344" s="235" t="s">
        <v>2250</v>
      </c>
      <c r="K344" s="243" t="s">
        <v>2059</v>
      </c>
      <c r="L344" s="243"/>
      <c r="M344" s="243" t="s">
        <v>32</v>
      </c>
      <c r="N344" s="237"/>
      <c r="O344" s="237"/>
      <c r="P344" s="237"/>
      <c r="Q344" s="245">
        <v>45686</v>
      </c>
      <c r="R344" s="237" t="s">
        <v>309</v>
      </c>
      <c r="S344" s="331" t="s">
        <v>233</v>
      </c>
      <c r="T344" s="237" t="s">
        <v>228</v>
      </c>
      <c r="U344" s="237" t="s">
        <v>234</v>
      </c>
      <c r="V344" s="237" t="s">
        <v>652</v>
      </c>
      <c r="W344" s="245">
        <v>45947</v>
      </c>
      <c r="X344" s="237" t="s">
        <v>2251</v>
      </c>
      <c r="Y344" s="237" t="s">
        <v>237</v>
      </c>
      <c r="Z344" s="237" t="s">
        <v>228</v>
      </c>
      <c r="AA344" s="237" t="s">
        <v>2252</v>
      </c>
      <c r="AB344" s="237" t="s">
        <v>228</v>
      </c>
      <c r="AC344" s="237" t="s">
        <v>228</v>
      </c>
    </row>
    <row r="345" spans="1:29" ht="13.5" customHeight="1">
      <c r="A345" s="235">
        <v>343</v>
      </c>
      <c r="B345" s="237"/>
      <c r="C345" s="255" t="s">
        <v>2253</v>
      </c>
      <c r="D345" s="237" t="s">
        <v>2254</v>
      </c>
      <c r="E345" s="237">
        <v>42</v>
      </c>
      <c r="F345" s="237" t="s">
        <v>75</v>
      </c>
      <c r="G345" s="237" t="s">
        <v>2255</v>
      </c>
      <c r="H345" s="243" t="s">
        <v>27</v>
      </c>
      <c r="I345" s="243"/>
      <c r="J345" s="235" t="s">
        <v>433</v>
      </c>
      <c r="K345" s="243" t="s">
        <v>183</v>
      </c>
      <c r="L345" s="243"/>
      <c r="M345" s="243" t="s">
        <v>32</v>
      </c>
      <c r="N345" s="237"/>
      <c r="O345" s="237"/>
      <c r="P345" s="237"/>
      <c r="Q345" s="245">
        <v>45677</v>
      </c>
      <c r="R345" s="237" t="s">
        <v>309</v>
      </c>
      <c r="S345" s="331" t="s">
        <v>233</v>
      </c>
      <c r="T345" s="237" t="s">
        <v>228</v>
      </c>
      <c r="U345" s="237" t="s">
        <v>234</v>
      </c>
      <c r="V345" s="237" t="s">
        <v>652</v>
      </c>
      <c r="W345" s="245">
        <v>45947</v>
      </c>
      <c r="X345" s="237" t="s">
        <v>2256</v>
      </c>
      <c r="Y345" s="237" t="s">
        <v>237</v>
      </c>
      <c r="Z345" s="237" t="s">
        <v>228</v>
      </c>
      <c r="AA345" s="237" t="s">
        <v>2257</v>
      </c>
      <c r="AB345" s="237" t="s">
        <v>228</v>
      </c>
      <c r="AC345" s="237" t="s">
        <v>228</v>
      </c>
    </row>
    <row r="346" spans="1:29" ht="13.5" customHeight="1">
      <c r="A346" s="235">
        <v>344</v>
      </c>
      <c r="B346" s="237"/>
      <c r="C346" s="255" t="s">
        <v>2258</v>
      </c>
      <c r="D346" s="237" t="s">
        <v>2259</v>
      </c>
      <c r="E346" s="237">
        <v>72</v>
      </c>
      <c r="F346" s="237" t="s">
        <v>60</v>
      </c>
      <c r="G346" s="237" t="s">
        <v>2260</v>
      </c>
      <c r="H346" s="243" t="s">
        <v>27</v>
      </c>
      <c r="I346" s="243"/>
      <c r="J346" s="235" t="s">
        <v>433</v>
      </c>
      <c r="K346" s="243" t="s">
        <v>2059</v>
      </c>
      <c r="L346" s="243"/>
      <c r="M346" s="243" t="s">
        <v>32</v>
      </c>
      <c r="N346" s="237"/>
      <c r="O346" s="237"/>
      <c r="P346" s="237"/>
      <c r="Q346" s="245">
        <v>45684</v>
      </c>
      <c r="R346" s="237" t="s">
        <v>309</v>
      </c>
      <c r="S346" s="331" t="s">
        <v>233</v>
      </c>
      <c r="T346" s="237" t="s">
        <v>228</v>
      </c>
      <c r="U346" s="237" t="s">
        <v>234</v>
      </c>
      <c r="V346" s="237" t="s">
        <v>652</v>
      </c>
      <c r="W346" s="245">
        <v>45947</v>
      </c>
      <c r="X346" s="237" t="s">
        <v>2261</v>
      </c>
      <c r="Y346" s="237" t="s">
        <v>237</v>
      </c>
      <c r="Z346" s="237" t="s">
        <v>228</v>
      </c>
      <c r="AA346" s="237" t="s">
        <v>2262</v>
      </c>
      <c r="AB346" s="237" t="s">
        <v>228</v>
      </c>
      <c r="AC346" s="237" t="s">
        <v>228</v>
      </c>
    </row>
    <row r="347" spans="1:29" ht="13.5" customHeight="1">
      <c r="A347" s="235">
        <v>345</v>
      </c>
      <c r="B347" s="237"/>
      <c r="C347" s="255" t="s">
        <v>2263</v>
      </c>
      <c r="D347" s="237" t="s">
        <v>2264</v>
      </c>
      <c r="E347" s="237">
        <v>42</v>
      </c>
      <c r="F347" s="237" t="s">
        <v>75</v>
      </c>
      <c r="G347" s="237" t="s">
        <v>2265</v>
      </c>
      <c r="H347" s="243" t="s">
        <v>27</v>
      </c>
      <c r="I347" s="243"/>
      <c r="J347" s="235" t="s">
        <v>433</v>
      </c>
      <c r="K347" s="243" t="s">
        <v>183</v>
      </c>
      <c r="L347" s="243"/>
      <c r="M347" s="243" t="s">
        <v>2266</v>
      </c>
      <c r="N347" s="237"/>
      <c r="O347" s="237"/>
      <c r="P347" s="237"/>
      <c r="Q347" s="245">
        <v>45687</v>
      </c>
      <c r="R347" s="237" t="s">
        <v>309</v>
      </c>
      <c r="S347" s="331" t="s">
        <v>233</v>
      </c>
      <c r="T347" s="237" t="s">
        <v>228</v>
      </c>
      <c r="U347" s="237" t="s">
        <v>234</v>
      </c>
      <c r="V347" s="237" t="s">
        <v>652</v>
      </c>
      <c r="W347" s="245">
        <v>45947</v>
      </c>
      <c r="X347" s="237" t="s">
        <v>2267</v>
      </c>
      <c r="Y347" s="237" t="s">
        <v>237</v>
      </c>
      <c r="Z347" s="237" t="s">
        <v>228</v>
      </c>
      <c r="AA347" s="237" t="s">
        <v>2268</v>
      </c>
      <c r="AB347" s="237" t="s">
        <v>228</v>
      </c>
      <c r="AC347" s="237" t="s">
        <v>228</v>
      </c>
    </row>
    <row r="348" spans="1:29" ht="13.5" customHeight="1">
      <c r="A348" s="235">
        <v>346</v>
      </c>
      <c r="B348" s="237"/>
      <c r="C348" s="255" t="s">
        <v>2269</v>
      </c>
      <c r="D348" s="237" t="s">
        <v>2270</v>
      </c>
      <c r="E348" s="237">
        <v>45</v>
      </c>
      <c r="F348" s="237" t="s">
        <v>60</v>
      </c>
      <c r="G348" s="237" t="s">
        <v>2271</v>
      </c>
      <c r="H348" s="243" t="s">
        <v>27</v>
      </c>
      <c r="I348" s="243"/>
      <c r="J348" s="235" t="s">
        <v>433</v>
      </c>
      <c r="K348" s="243" t="s">
        <v>183</v>
      </c>
      <c r="L348" s="243"/>
      <c r="M348" s="243" t="s">
        <v>32</v>
      </c>
      <c r="N348" s="237"/>
      <c r="O348" s="237"/>
      <c r="P348" s="237"/>
      <c r="Q348" s="245">
        <v>45678</v>
      </c>
      <c r="R348" s="237" t="s">
        <v>309</v>
      </c>
      <c r="S348" s="331" t="s">
        <v>233</v>
      </c>
      <c r="T348" s="237" t="s">
        <v>228</v>
      </c>
      <c r="U348" s="237" t="s">
        <v>234</v>
      </c>
      <c r="V348" s="237" t="s">
        <v>652</v>
      </c>
      <c r="W348" s="245">
        <v>45947</v>
      </c>
      <c r="X348" s="237" t="s">
        <v>2272</v>
      </c>
      <c r="Y348" s="237" t="s">
        <v>237</v>
      </c>
      <c r="Z348" s="237" t="s">
        <v>228</v>
      </c>
      <c r="AA348" s="237" t="s">
        <v>2273</v>
      </c>
      <c r="AB348" s="237" t="s">
        <v>228</v>
      </c>
      <c r="AC348" s="237" t="s">
        <v>228</v>
      </c>
    </row>
    <row r="349" spans="1:29" ht="13.5" customHeight="1">
      <c r="A349" s="235">
        <v>347</v>
      </c>
      <c r="B349" s="237"/>
      <c r="C349" s="255" t="s">
        <v>2274</v>
      </c>
      <c r="D349" s="237" t="s">
        <v>2275</v>
      </c>
      <c r="E349" s="237">
        <v>33</v>
      </c>
      <c r="F349" s="237" t="s">
        <v>75</v>
      </c>
      <c r="G349" s="237" t="s">
        <v>2276</v>
      </c>
      <c r="H349" s="243" t="s">
        <v>27</v>
      </c>
      <c r="I349" s="243"/>
      <c r="J349" s="235" t="s">
        <v>433</v>
      </c>
      <c r="K349" s="243" t="s">
        <v>2059</v>
      </c>
      <c r="L349" s="243"/>
      <c r="M349" s="243" t="s">
        <v>32</v>
      </c>
      <c r="N349" s="237"/>
      <c r="O349" s="237"/>
      <c r="P349" s="237"/>
      <c r="Q349" s="245">
        <v>45691</v>
      </c>
      <c r="R349" s="237" t="s">
        <v>309</v>
      </c>
      <c r="S349" s="331" t="s">
        <v>233</v>
      </c>
      <c r="T349" s="237" t="s">
        <v>228</v>
      </c>
      <c r="U349" s="237" t="s">
        <v>234</v>
      </c>
      <c r="V349" s="237" t="s">
        <v>652</v>
      </c>
      <c r="W349" s="245">
        <v>45947</v>
      </c>
      <c r="X349" s="237" t="s">
        <v>2277</v>
      </c>
      <c r="Y349" s="237" t="s">
        <v>237</v>
      </c>
      <c r="Z349" s="237" t="s">
        <v>228</v>
      </c>
      <c r="AA349" s="237" t="s">
        <v>2278</v>
      </c>
      <c r="AB349" s="237" t="s">
        <v>228</v>
      </c>
      <c r="AC349" s="237" t="s">
        <v>228</v>
      </c>
    </row>
    <row r="350" spans="1:29" ht="13.5" customHeight="1">
      <c r="A350" s="235">
        <v>348</v>
      </c>
      <c r="B350" s="237"/>
      <c r="C350" s="255" t="s">
        <v>2279</v>
      </c>
      <c r="D350" s="237" t="s">
        <v>2280</v>
      </c>
      <c r="E350" s="237">
        <v>62</v>
      </c>
      <c r="F350" s="237" t="s">
        <v>75</v>
      </c>
      <c r="G350" s="237" t="s">
        <v>2281</v>
      </c>
      <c r="H350" s="243" t="s">
        <v>27</v>
      </c>
      <c r="I350" s="243"/>
      <c r="J350" s="235" t="s">
        <v>433</v>
      </c>
      <c r="K350" s="243" t="s">
        <v>2059</v>
      </c>
      <c r="L350" s="243"/>
      <c r="M350" s="243" t="s">
        <v>32</v>
      </c>
      <c r="N350" s="237"/>
      <c r="O350" s="237"/>
      <c r="P350" s="237"/>
      <c r="Q350" s="245">
        <v>45681</v>
      </c>
      <c r="R350" s="237" t="s">
        <v>309</v>
      </c>
      <c r="S350" s="331" t="s">
        <v>233</v>
      </c>
      <c r="T350" s="237" t="s">
        <v>228</v>
      </c>
      <c r="U350" s="237" t="s">
        <v>234</v>
      </c>
      <c r="V350" s="237" t="s">
        <v>652</v>
      </c>
      <c r="W350" s="245">
        <v>45947</v>
      </c>
      <c r="X350" s="237" t="s">
        <v>2282</v>
      </c>
      <c r="Y350" s="237" t="s">
        <v>237</v>
      </c>
      <c r="Z350" s="237" t="s">
        <v>228</v>
      </c>
      <c r="AA350" s="237" t="s">
        <v>2283</v>
      </c>
      <c r="AB350" s="237" t="s">
        <v>228</v>
      </c>
      <c r="AC350" s="237" t="s">
        <v>228</v>
      </c>
    </row>
    <row r="351" spans="1:29" ht="13.5" customHeight="1">
      <c r="A351" s="235">
        <v>349</v>
      </c>
      <c r="B351" s="237">
        <v>315</v>
      </c>
      <c r="C351" s="255" t="s">
        <v>2284</v>
      </c>
      <c r="D351" s="237" t="s">
        <v>2285</v>
      </c>
      <c r="E351" s="237">
        <v>32</v>
      </c>
      <c r="F351" s="237" t="s">
        <v>75</v>
      </c>
      <c r="G351" s="237" t="s">
        <v>2286</v>
      </c>
      <c r="H351" s="243" t="s">
        <v>27</v>
      </c>
      <c r="I351" s="243"/>
      <c r="K351" s="240"/>
      <c r="L351" s="243" t="s">
        <v>231</v>
      </c>
      <c r="M351" s="243" t="s">
        <v>2287</v>
      </c>
      <c r="N351" s="237"/>
      <c r="O351" s="237"/>
      <c r="P351" s="237"/>
      <c r="Q351" s="245">
        <v>45632</v>
      </c>
      <c r="R351" s="237" t="s">
        <v>309</v>
      </c>
      <c r="S351" s="331" t="s">
        <v>233</v>
      </c>
      <c r="T351" s="237">
        <v>8.5</v>
      </c>
      <c r="U351" s="237" t="s">
        <v>234</v>
      </c>
      <c r="V351" s="237" t="s">
        <v>235</v>
      </c>
      <c r="W351" s="245">
        <v>45677</v>
      </c>
      <c r="X351" s="237" t="s">
        <v>2288</v>
      </c>
      <c r="Y351" s="237" t="s">
        <v>237</v>
      </c>
      <c r="Z351" s="237" t="s">
        <v>237</v>
      </c>
      <c r="AA351" s="237" t="s">
        <v>2289</v>
      </c>
      <c r="AB351" s="237" t="s">
        <v>228</v>
      </c>
      <c r="AC351" s="237" t="s">
        <v>228</v>
      </c>
    </row>
    <row r="352" spans="1:29" ht="13.5" customHeight="1">
      <c r="A352" s="235">
        <v>350</v>
      </c>
      <c r="B352" s="237"/>
      <c r="C352" s="255" t="s">
        <v>2290</v>
      </c>
      <c r="D352" s="237" t="s">
        <v>2291</v>
      </c>
      <c r="E352" s="237">
        <v>36</v>
      </c>
      <c r="F352" s="237" t="s">
        <v>60</v>
      </c>
      <c r="G352" s="237" t="s">
        <v>2292</v>
      </c>
      <c r="H352" s="243" t="s">
        <v>27</v>
      </c>
      <c r="I352" s="243"/>
      <c r="J352" s="235" t="s">
        <v>433</v>
      </c>
      <c r="K352" s="240"/>
      <c r="L352" s="243" t="s">
        <v>231</v>
      </c>
      <c r="M352" s="243" t="s">
        <v>32</v>
      </c>
      <c r="N352" s="237"/>
      <c r="O352" s="237"/>
      <c r="P352" s="237"/>
      <c r="Q352" s="245">
        <v>45828</v>
      </c>
      <c r="R352" s="237" t="s">
        <v>309</v>
      </c>
      <c r="S352" s="331" t="s">
        <v>233</v>
      </c>
      <c r="T352" s="237" t="s">
        <v>228</v>
      </c>
      <c r="U352" s="237" t="s">
        <v>234</v>
      </c>
      <c r="V352" s="237" t="s">
        <v>473</v>
      </c>
      <c r="W352" s="245">
        <v>45918</v>
      </c>
      <c r="X352" s="237" t="s">
        <v>2293</v>
      </c>
      <c r="Y352" s="237" t="s">
        <v>588</v>
      </c>
      <c r="Z352" s="237" t="s">
        <v>228</v>
      </c>
      <c r="AA352" s="237" t="s">
        <v>2294</v>
      </c>
      <c r="AB352" s="237" t="s">
        <v>228</v>
      </c>
      <c r="AC352" s="237" t="s">
        <v>228</v>
      </c>
    </row>
    <row r="353" spans="1:29" ht="13.5" customHeight="1">
      <c r="A353" s="235">
        <v>351</v>
      </c>
      <c r="B353" s="237"/>
      <c r="C353" s="255" t="s">
        <v>2295</v>
      </c>
      <c r="D353" s="237" t="s">
        <v>2296</v>
      </c>
      <c r="E353" s="237">
        <v>48</v>
      </c>
      <c r="F353" s="237" t="s">
        <v>75</v>
      </c>
      <c r="G353" s="237" t="s">
        <v>2297</v>
      </c>
      <c r="H353" s="243" t="s">
        <v>15</v>
      </c>
      <c r="I353" s="243" t="s">
        <v>2298</v>
      </c>
      <c r="K353" s="240" t="s">
        <v>145</v>
      </c>
      <c r="L353" s="243" t="s">
        <v>4392</v>
      </c>
      <c r="M353" s="243" t="s">
        <v>231</v>
      </c>
      <c r="N353" s="237"/>
      <c r="O353" s="237"/>
      <c r="P353" s="237"/>
      <c r="Q353" s="245">
        <v>45673</v>
      </c>
      <c r="R353" s="237" t="s">
        <v>309</v>
      </c>
      <c r="S353" s="331" t="s">
        <v>233</v>
      </c>
      <c r="T353" s="237" t="s">
        <v>228</v>
      </c>
      <c r="U353" s="237" t="s">
        <v>234</v>
      </c>
      <c r="V353" s="237" t="s">
        <v>652</v>
      </c>
      <c r="W353" s="245">
        <v>45971</v>
      </c>
      <c r="X353" s="237" t="s">
        <v>2300</v>
      </c>
      <c r="Y353" s="237" t="s">
        <v>588</v>
      </c>
      <c r="Z353" s="237" t="s">
        <v>228</v>
      </c>
      <c r="AA353" s="237" t="s">
        <v>2301</v>
      </c>
      <c r="AB353" s="237" t="s">
        <v>228</v>
      </c>
      <c r="AC353" s="237" t="s">
        <v>228</v>
      </c>
    </row>
    <row r="354" spans="1:29" ht="13.5" customHeight="1">
      <c r="A354" s="235">
        <v>352</v>
      </c>
      <c r="B354" s="237"/>
      <c r="C354" s="255" t="s">
        <v>2302</v>
      </c>
      <c r="D354" s="237" t="s">
        <v>2303</v>
      </c>
      <c r="E354" s="237">
        <v>61</v>
      </c>
      <c r="F354" s="237" t="s">
        <v>60</v>
      </c>
      <c r="G354" s="237" t="s">
        <v>2304</v>
      </c>
      <c r="H354" s="243" t="s">
        <v>15</v>
      </c>
      <c r="I354" s="243" t="s">
        <v>2298</v>
      </c>
      <c r="K354" s="240" t="s">
        <v>146</v>
      </c>
      <c r="L354" s="243" t="s">
        <v>162</v>
      </c>
      <c r="M354" s="243" t="s">
        <v>231</v>
      </c>
      <c r="N354" s="237"/>
      <c r="O354" s="237"/>
      <c r="P354" s="237"/>
      <c r="Q354" s="245">
        <v>45673</v>
      </c>
      <c r="R354" s="237" t="s">
        <v>309</v>
      </c>
      <c r="S354" s="331" t="s">
        <v>233</v>
      </c>
      <c r="T354" s="237" t="s">
        <v>228</v>
      </c>
      <c r="U354" s="237" t="s">
        <v>234</v>
      </c>
      <c r="V354" s="237" t="s">
        <v>652</v>
      </c>
      <c r="W354" s="245">
        <v>45971</v>
      </c>
      <c r="X354" s="237" t="s">
        <v>2305</v>
      </c>
      <c r="Y354" s="237" t="s">
        <v>588</v>
      </c>
      <c r="Z354" s="237" t="s">
        <v>228</v>
      </c>
      <c r="AA354" s="237" t="s">
        <v>2306</v>
      </c>
      <c r="AB354" s="237" t="s">
        <v>228</v>
      </c>
      <c r="AC354" s="237" t="s">
        <v>228</v>
      </c>
    </row>
    <row r="355" spans="1:29" ht="13.5" customHeight="1">
      <c r="A355" s="235">
        <v>353</v>
      </c>
      <c r="B355" s="237"/>
      <c r="C355" s="255" t="s">
        <v>2307</v>
      </c>
      <c r="D355" s="237" t="s">
        <v>2308</v>
      </c>
      <c r="E355" s="237">
        <v>39</v>
      </c>
      <c r="F355" s="237" t="s">
        <v>60</v>
      </c>
      <c r="G355" s="237" t="s">
        <v>2309</v>
      </c>
      <c r="H355" s="243" t="s">
        <v>188</v>
      </c>
      <c r="I355" s="243"/>
      <c r="K355" s="240"/>
      <c r="L355" s="243" t="s">
        <v>231</v>
      </c>
      <c r="M355" s="243" t="s">
        <v>231</v>
      </c>
      <c r="N355" s="237"/>
      <c r="O355" s="237"/>
      <c r="P355" s="237"/>
      <c r="Q355" s="245">
        <v>45673</v>
      </c>
      <c r="R355" s="237" t="s">
        <v>309</v>
      </c>
      <c r="S355" s="331" t="s">
        <v>233</v>
      </c>
      <c r="T355" s="237" t="s">
        <v>228</v>
      </c>
      <c r="U355" s="237" t="s">
        <v>234</v>
      </c>
      <c r="V355" s="237" t="s">
        <v>652</v>
      </c>
      <c r="W355" s="245">
        <v>45986</v>
      </c>
      <c r="X355" s="237">
        <v>0</v>
      </c>
      <c r="Y355" s="237">
        <v>0</v>
      </c>
      <c r="Z355" s="237" t="s">
        <v>237</v>
      </c>
      <c r="AA355" s="237" t="s">
        <v>2310</v>
      </c>
      <c r="AB355" s="237" t="s">
        <v>228</v>
      </c>
      <c r="AC355" s="237" t="s">
        <v>228</v>
      </c>
    </row>
    <row r="356" spans="1:29" ht="13.5" customHeight="1">
      <c r="A356" s="235">
        <v>354</v>
      </c>
      <c r="B356" s="237"/>
      <c r="C356" s="255" t="s">
        <v>2311</v>
      </c>
      <c r="D356" s="237" t="s">
        <v>2312</v>
      </c>
      <c r="E356" s="237">
        <v>76</v>
      </c>
      <c r="F356" s="237" t="s">
        <v>75</v>
      </c>
      <c r="G356" s="237" t="s">
        <v>2313</v>
      </c>
      <c r="H356" s="243" t="s">
        <v>188</v>
      </c>
      <c r="I356" s="243"/>
      <c r="K356" s="240"/>
      <c r="L356" s="243" t="s">
        <v>231</v>
      </c>
      <c r="M356" s="243" t="s">
        <v>231</v>
      </c>
      <c r="N356" s="237"/>
      <c r="O356" s="237"/>
      <c r="P356" s="237"/>
      <c r="Q356" s="245">
        <v>45673</v>
      </c>
      <c r="R356" s="237" t="s">
        <v>309</v>
      </c>
      <c r="S356" s="331" t="s">
        <v>233</v>
      </c>
      <c r="T356" s="237" t="s">
        <v>228</v>
      </c>
      <c r="U356" s="237" t="s">
        <v>234</v>
      </c>
      <c r="V356" s="237" t="s">
        <v>652</v>
      </c>
      <c r="W356" s="245">
        <v>45986</v>
      </c>
      <c r="X356" s="237">
        <v>0</v>
      </c>
      <c r="Y356" s="237">
        <v>0</v>
      </c>
      <c r="Z356" s="237" t="s">
        <v>237</v>
      </c>
      <c r="AA356" s="237" t="s">
        <v>2314</v>
      </c>
      <c r="AB356" s="237" t="s">
        <v>228</v>
      </c>
      <c r="AC356" s="237" t="s">
        <v>228</v>
      </c>
    </row>
    <row r="357" spans="1:29" ht="13.5" customHeight="1">
      <c r="A357" s="235">
        <v>355</v>
      </c>
      <c r="B357" s="237"/>
      <c r="C357" s="255" t="s">
        <v>2315</v>
      </c>
      <c r="D357" s="237" t="s">
        <v>2316</v>
      </c>
      <c r="E357" s="237">
        <v>40</v>
      </c>
      <c r="F357" s="237" t="s">
        <v>75</v>
      </c>
      <c r="G357" s="237" t="s">
        <v>2317</v>
      </c>
      <c r="H357" s="243" t="s">
        <v>188</v>
      </c>
      <c r="I357" s="243"/>
      <c r="K357" s="240"/>
      <c r="L357" s="243" t="s">
        <v>231</v>
      </c>
      <c r="M357" s="243" t="s">
        <v>231</v>
      </c>
      <c r="N357" s="237"/>
      <c r="O357" s="237"/>
      <c r="P357" s="237"/>
      <c r="Q357" s="245">
        <v>45673</v>
      </c>
      <c r="R357" s="237" t="s">
        <v>309</v>
      </c>
      <c r="S357" s="331" t="s">
        <v>233</v>
      </c>
      <c r="T357" s="237" t="s">
        <v>228</v>
      </c>
      <c r="U357" s="237" t="s">
        <v>234</v>
      </c>
      <c r="V357" s="237" t="s">
        <v>652</v>
      </c>
      <c r="W357" s="245">
        <v>45986</v>
      </c>
      <c r="X357" s="237">
        <v>0</v>
      </c>
      <c r="Y357" s="237">
        <v>0</v>
      </c>
      <c r="Z357" s="237" t="s">
        <v>237</v>
      </c>
      <c r="AA357" s="237" t="s">
        <v>2318</v>
      </c>
      <c r="AB357" s="237" t="s">
        <v>228</v>
      </c>
      <c r="AC357" s="237" t="s">
        <v>228</v>
      </c>
    </row>
    <row r="358" spans="1:29" ht="13.5" customHeight="1">
      <c r="A358" s="235">
        <v>356</v>
      </c>
      <c r="B358" s="237"/>
      <c r="C358" s="255" t="s">
        <v>2319</v>
      </c>
      <c r="D358" s="237" t="s">
        <v>2320</v>
      </c>
      <c r="E358" s="237">
        <v>64</v>
      </c>
      <c r="F358" s="237" t="s">
        <v>60</v>
      </c>
      <c r="G358" s="237" t="s">
        <v>2321</v>
      </c>
      <c r="H358" s="243" t="s">
        <v>188</v>
      </c>
      <c r="I358" s="243"/>
      <c r="K358" s="240"/>
      <c r="L358" s="243" t="s">
        <v>231</v>
      </c>
      <c r="M358" s="243" t="s">
        <v>231</v>
      </c>
      <c r="N358" s="237"/>
      <c r="O358" s="237"/>
      <c r="P358" s="237"/>
      <c r="Q358" s="245">
        <v>45673</v>
      </c>
      <c r="R358" s="237" t="s">
        <v>309</v>
      </c>
      <c r="S358" s="331" t="s">
        <v>233</v>
      </c>
      <c r="T358" s="237" t="s">
        <v>228</v>
      </c>
      <c r="U358" s="237" t="s">
        <v>234</v>
      </c>
      <c r="V358" s="237" t="s">
        <v>652</v>
      </c>
      <c r="W358" s="245">
        <v>45986</v>
      </c>
      <c r="X358" s="237">
        <v>0</v>
      </c>
      <c r="Y358" s="237">
        <v>0</v>
      </c>
      <c r="Z358" s="237" t="s">
        <v>228</v>
      </c>
      <c r="AA358" s="237" t="s">
        <v>2322</v>
      </c>
      <c r="AB358" s="237" t="s">
        <v>228</v>
      </c>
      <c r="AC358" s="237" t="s">
        <v>228</v>
      </c>
    </row>
    <row r="359" spans="1:29" ht="13.5" customHeight="1">
      <c r="A359" s="235">
        <v>357</v>
      </c>
      <c r="B359" s="237"/>
      <c r="C359" s="255" t="s">
        <v>2323</v>
      </c>
      <c r="D359" s="237" t="s">
        <v>2324</v>
      </c>
      <c r="E359" s="237">
        <v>47</v>
      </c>
      <c r="F359" s="237" t="s">
        <v>60</v>
      </c>
      <c r="G359" s="237" t="s">
        <v>2325</v>
      </c>
      <c r="H359" s="243" t="s">
        <v>188</v>
      </c>
      <c r="I359" s="243"/>
      <c r="K359" s="240"/>
      <c r="L359" s="243" t="s">
        <v>231</v>
      </c>
      <c r="M359" s="243" t="s">
        <v>231</v>
      </c>
      <c r="N359" s="237"/>
      <c r="O359" s="237"/>
      <c r="P359" s="237"/>
      <c r="Q359" s="245">
        <v>45673</v>
      </c>
      <c r="R359" s="237" t="s">
        <v>309</v>
      </c>
      <c r="S359" s="331" t="s">
        <v>233</v>
      </c>
      <c r="T359" s="237" t="s">
        <v>228</v>
      </c>
      <c r="U359" s="237" t="s">
        <v>234</v>
      </c>
      <c r="V359" s="237" t="s">
        <v>652</v>
      </c>
      <c r="W359" s="245">
        <v>45986</v>
      </c>
      <c r="X359" s="237">
        <v>0</v>
      </c>
      <c r="Y359" s="237">
        <v>0</v>
      </c>
      <c r="Z359" s="237" t="s">
        <v>228</v>
      </c>
      <c r="AA359" s="237" t="s">
        <v>2326</v>
      </c>
      <c r="AB359" s="237" t="s">
        <v>228</v>
      </c>
      <c r="AC359" s="237" t="s">
        <v>228</v>
      </c>
    </row>
    <row r="360" spans="1:29" ht="13.5" customHeight="1">
      <c r="A360" s="235">
        <v>358</v>
      </c>
      <c r="B360" s="237"/>
      <c r="C360" s="255" t="s">
        <v>2327</v>
      </c>
      <c r="D360" s="237" t="s">
        <v>2328</v>
      </c>
      <c r="E360" s="237">
        <v>46</v>
      </c>
      <c r="F360" s="237" t="s">
        <v>75</v>
      </c>
      <c r="G360" s="237" t="s">
        <v>2329</v>
      </c>
      <c r="H360" s="243" t="s">
        <v>188</v>
      </c>
      <c r="I360" s="243"/>
      <c r="K360" s="240"/>
      <c r="L360" s="243" t="s">
        <v>231</v>
      </c>
      <c r="M360" s="243" t="s">
        <v>231</v>
      </c>
      <c r="N360" s="237"/>
      <c r="O360" s="237"/>
      <c r="P360" s="237"/>
      <c r="Q360" s="245">
        <v>45678</v>
      </c>
      <c r="R360" s="237" t="s">
        <v>309</v>
      </c>
      <c r="S360" s="331" t="s">
        <v>233</v>
      </c>
      <c r="T360" s="237" t="s">
        <v>228</v>
      </c>
      <c r="U360" s="237" t="s">
        <v>234</v>
      </c>
      <c r="V360" s="237" t="s">
        <v>652</v>
      </c>
      <c r="W360" s="245">
        <v>45986</v>
      </c>
      <c r="X360" s="237">
        <v>0</v>
      </c>
      <c r="Y360" s="237">
        <v>0</v>
      </c>
      <c r="Z360" s="237" t="s">
        <v>228</v>
      </c>
      <c r="AA360" s="237" t="s">
        <v>2330</v>
      </c>
      <c r="AB360" s="237" t="s">
        <v>228</v>
      </c>
      <c r="AC360" s="237" t="s">
        <v>228</v>
      </c>
    </row>
    <row r="361" spans="1:29" ht="13.5" customHeight="1">
      <c r="A361" s="235">
        <v>359</v>
      </c>
      <c r="B361" s="237"/>
      <c r="C361" s="255" t="s">
        <v>2331</v>
      </c>
      <c r="D361" s="237" t="s">
        <v>2332</v>
      </c>
      <c r="E361" s="237">
        <v>40</v>
      </c>
      <c r="F361" s="237" t="s">
        <v>75</v>
      </c>
      <c r="G361" s="237" t="s">
        <v>2333</v>
      </c>
      <c r="H361" s="243" t="s">
        <v>188</v>
      </c>
      <c r="I361" s="243"/>
      <c r="K361" s="240"/>
      <c r="L361" s="243" t="s">
        <v>231</v>
      </c>
      <c r="M361" s="243" t="s">
        <v>231</v>
      </c>
      <c r="N361" s="237"/>
      <c r="O361" s="237"/>
      <c r="P361" s="237"/>
      <c r="Q361" s="245">
        <v>45678</v>
      </c>
      <c r="R361" s="237" t="s">
        <v>309</v>
      </c>
      <c r="S361" s="331" t="s">
        <v>233</v>
      </c>
      <c r="T361" s="237" t="s">
        <v>228</v>
      </c>
      <c r="U361" s="237" t="s">
        <v>234</v>
      </c>
      <c r="V361" s="237" t="s">
        <v>652</v>
      </c>
      <c r="W361" s="245">
        <v>45986</v>
      </c>
      <c r="X361" s="237">
        <v>0</v>
      </c>
      <c r="Y361" s="237">
        <v>0</v>
      </c>
      <c r="Z361" s="237" t="s">
        <v>228</v>
      </c>
      <c r="AA361" s="237" t="s">
        <v>2334</v>
      </c>
      <c r="AB361" s="237" t="s">
        <v>228</v>
      </c>
      <c r="AC361" s="237" t="s">
        <v>228</v>
      </c>
    </row>
    <row r="362" spans="1:29" ht="13.5" customHeight="1">
      <c r="A362" s="235">
        <v>360</v>
      </c>
      <c r="B362" s="237"/>
      <c r="C362" s="255" t="s">
        <v>2335</v>
      </c>
      <c r="D362" s="237" t="s">
        <v>2336</v>
      </c>
      <c r="E362" s="237">
        <v>72</v>
      </c>
      <c r="F362" s="237" t="s">
        <v>75</v>
      </c>
      <c r="G362" s="237" t="s">
        <v>2337</v>
      </c>
      <c r="H362" s="243" t="s">
        <v>188</v>
      </c>
      <c r="I362" s="243"/>
      <c r="K362" s="240"/>
      <c r="L362" s="243" t="s">
        <v>231</v>
      </c>
      <c r="M362" s="243" t="s">
        <v>231</v>
      </c>
      <c r="N362" s="237"/>
      <c r="O362" s="237"/>
      <c r="P362" s="237"/>
      <c r="Q362" s="245">
        <v>45678</v>
      </c>
      <c r="R362" s="237" t="s">
        <v>309</v>
      </c>
      <c r="S362" s="331" t="s">
        <v>233</v>
      </c>
      <c r="T362" s="237" t="s">
        <v>228</v>
      </c>
      <c r="U362" s="237" t="s">
        <v>234</v>
      </c>
      <c r="V362" s="237" t="s">
        <v>652</v>
      </c>
      <c r="W362" s="245">
        <v>45986</v>
      </c>
      <c r="X362" s="237">
        <v>0</v>
      </c>
      <c r="Y362" s="237">
        <v>0</v>
      </c>
      <c r="Z362" s="237" t="s">
        <v>228</v>
      </c>
      <c r="AA362" s="237" t="s">
        <v>2338</v>
      </c>
      <c r="AB362" s="237" t="s">
        <v>228</v>
      </c>
      <c r="AC362" s="237" t="s">
        <v>228</v>
      </c>
    </row>
    <row r="363" spans="1:29" ht="13.5" customHeight="1">
      <c r="A363" s="235">
        <v>361</v>
      </c>
      <c r="B363" s="237" t="s">
        <v>2339</v>
      </c>
      <c r="C363" s="255" t="s">
        <v>2340</v>
      </c>
      <c r="D363" s="237" t="s">
        <v>2341</v>
      </c>
      <c r="E363" s="237">
        <v>28</v>
      </c>
      <c r="F363" s="237" t="s">
        <v>75</v>
      </c>
      <c r="G363" s="237" t="s">
        <v>2342</v>
      </c>
      <c r="H363" s="243" t="s">
        <v>188</v>
      </c>
      <c r="I363" s="243"/>
      <c r="K363" s="240"/>
      <c r="L363" s="243" t="s">
        <v>231</v>
      </c>
      <c r="M363" s="246" t="s">
        <v>228</v>
      </c>
      <c r="N363" s="237"/>
      <c r="O363" s="237"/>
      <c r="P363" s="237"/>
      <c r="Q363" s="245">
        <v>45678</v>
      </c>
      <c r="R363" s="237" t="s">
        <v>309</v>
      </c>
      <c r="S363" s="331" t="s">
        <v>233</v>
      </c>
      <c r="T363" s="237" t="s">
        <v>228</v>
      </c>
      <c r="U363" s="237" t="s">
        <v>234</v>
      </c>
      <c r="V363" s="237" t="s">
        <v>652</v>
      </c>
      <c r="W363" s="245">
        <v>45986</v>
      </c>
      <c r="X363" s="237">
        <v>0</v>
      </c>
      <c r="Y363" s="237">
        <v>0</v>
      </c>
      <c r="Z363" s="237" t="s">
        <v>228</v>
      </c>
      <c r="AA363" s="237" t="s">
        <v>2343</v>
      </c>
      <c r="AB363" s="237" t="s">
        <v>228</v>
      </c>
      <c r="AC363" s="237" t="s">
        <v>228</v>
      </c>
    </row>
    <row r="364" spans="1:29" ht="13.5" customHeight="1">
      <c r="A364" s="235">
        <v>362</v>
      </c>
      <c r="B364" s="237"/>
      <c r="C364" s="255" t="s">
        <v>2344</v>
      </c>
      <c r="D364" s="237" t="s">
        <v>2345</v>
      </c>
      <c r="E364" s="237">
        <v>69</v>
      </c>
      <c r="F364" s="237" t="s">
        <v>60</v>
      </c>
      <c r="G364" s="237" t="s">
        <v>2346</v>
      </c>
      <c r="H364" s="243" t="s">
        <v>188</v>
      </c>
      <c r="I364" s="243"/>
      <c r="K364" s="240"/>
      <c r="L364" s="243" t="s">
        <v>231</v>
      </c>
      <c r="M364" s="243" t="s">
        <v>231</v>
      </c>
      <c r="N364" s="237"/>
      <c r="O364" s="237"/>
      <c r="P364" s="237"/>
      <c r="Q364" s="245">
        <v>45680</v>
      </c>
      <c r="R364" s="237" t="s">
        <v>309</v>
      </c>
      <c r="S364" s="331" t="s">
        <v>233</v>
      </c>
      <c r="T364" s="237" t="s">
        <v>228</v>
      </c>
      <c r="U364" s="237" t="s">
        <v>234</v>
      </c>
      <c r="V364" s="237" t="s">
        <v>652</v>
      </c>
      <c r="W364" s="245">
        <v>45986</v>
      </c>
      <c r="X364" s="237">
        <v>0</v>
      </c>
      <c r="Y364" s="237">
        <v>0</v>
      </c>
      <c r="Z364" s="237" t="s">
        <v>228</v>
      </c>
      <c r="AA364" s="237" t="s">
        <v>2347</v>
      </c>
      <c r="AB364" s="237" t="s">
        <v>228</v>
      </c>
      <c r="AC364" s="237" t="s">
        <v>228</v>
      </c>
    </row>
    <row r="365" spans="1:29" ht="13.5" customHeight="1">
      <c r="A365" s="235">
        <v>363</v>
      </c>
      <c r="B365" s="237"/>
      <c r="C365" s="255" t="s">
        <v>2348</v>
      </c>
      <c r="D365" s="237" t="s">
        <v>2349</v>
      </c>
      <c r="E365" s="237">
        <v>64</v>
      </c>
      <c r="F365" s="237" t="s">
        <v>75</v>
      </c>
      <c r="G365" s="237" t="s">
        <v>2350</v>
      </c>
      <c r="H365" s="243" t="s">
        <v>188</v>
      </c>
      <c r="I365" s="243"/>
      <c r="K365" s="240"/>
      <c r="L365" s="243" t="s">
        <v>231</v>
      </c>
      <c r="M365" s="243" t="s">
        <v>231</v>
      </c>
      <c r="N365" s="237"/>
      <c r="O365" s="237"/>
      <c r="P365" s="237"/>
      <c r="Q365" s="245">
        <v>45680</v>
      </c>
      <c r="R365" s="237" t="s">
        <v>309</v>
      </c>
      <c r="S365" s="331" t="s">
        <v>233</v>
      </c>
      <c r="T365" s="237" t="s">
        <v>228</v>
      </c>
      <c r="U365" s="237" t="s">
        <v>234</v>
      </c>
      <c r="V365" s="237" t="s">
        <v>652</v>
      </c>
      <c r="W365" s="245">
        <v>45986</v>
      </c>
      <c r="X365" s="237">
        <v>0</v>
      </c>
      <c r="Y365" s="237">
        <v>0</v>
      </c>
      <c r="Z365" s="237" t="s">
        <v>228</v>
      </c>
      <c r="AA365" s="237" t="s">
        <v>2351</v>
      </c>
      <c r="AB365" s="237" t="s">
        <v>228</v>
      </c>
      <c r="AC365" s="237" t="s">
        <v>228</v>
      </c>
    </row>
    <row r="366" spans="1:29" ht="13.5" customHeight="1">
      <c r="A366" s="235">
        <v>364</v>
      </c>
      <c r="B366" s="237"/>
      <c r="C366" s="255" t="s">
        <v>2352</v>
      </c>
      <c r="D366" s="237" t="s">
        <v>2353</v>
      </c>
      <c r="E366" s="237">
        <v>40</v>
      </c>
      <c r="F366" s="237" t="s">
        <v>60</v>
      </c>
      <c r="G366" s="237" t="s">
        <v>2354</v>
      </c>
      <c r="H366" s="243" t="s">
        <v>188</v>
      </c>
      <c r="I366" s="243"/>
      <c r="K366" s="240"/>
      <c r="L366" s="243" t="s">
        <v>231</v>
      </c>
      <c r="M366" s="243" t="s">
        <v>231</v>
      </c>
      <c r="N366" s="237"/>
      <c r="O366" s="237"/>
      <c r="P366" s="237"/>
      <c r="Q366" s="245">
        <v>45680</v>
      </c>
      <c r="R366" s="237" t="s">
        <v>309</v>
      </c>
      <c r="S366" s="331" t="s">
        <v>233</v>
      </c>
      <c r="T366" s="237" t="s">
        <v>228</v>
      </c>
      <c r="U366" s="237" t="s">
        <v>234</v>
      </c>
      <c r="V366" s="237" t="s">
        <v>652</v>
      </c>
      <c r="W366" s="245">
        <v>45986</v>
      </c>
      <c r="X366" s="237">
        <v>0</v>
      </c>
      <c r="Y366" s="237">
        <v>0</v>
      </c>
      <c r="Z366" s="237" t="s">
        <v>228</v>
      </c>
      <c r="AA366" s="237" t="s">
        <v>2355</v>
      </c>
      <c r="AB366" s="237" t="s">
        <v>228</v>
      </c>
      <c r="AC366" s="237" t="s">
        <v>228</v>
      </c>
    </row>
    <row r="367" spans="1:29" ht="13.5" customHeight="1">
      <c r="A367" s="235">
        <v>365</v>
      </c>
      <c r="B367" s="237"/>
      <c r="C367" s="255" t="s">
        <v>2356</v>
      </c>
      <c r="D367" s="237" t="s">
        <v>2357</v>
      </c>
      <c r="E367" s="237">
        <v>38</v>
      </c>
      <c r="F367" s="237" t="s">
        <v>75</v>
      </c>
      <c r="G367" s="237" t="s">
        <v>2358</v>
      </c>
      <c r="H367" s="243" t="s">
        <v>188</v>
      </c>
      <c r="I367" s="243"/>
      <c r="K367" s="240"/>
      <c r="L367" s="243" t="s">
        <v>231</v>
      </c>
      <c r="M367" s="243" t="s">
        <v>231</v>
      </c>
      <c r="N367" s="237"/>
      <c r="O367" s="237"/>
      <c r="P367" s="237"/>
      <c r="Q367" s="245">
        <v>45680</v>
      </c>
      <c r="R367" s="237" t="s">
        <v>309</v>
      </c>
      <c r="S367" s="331" t="s">
        <v>233</v>
      </c>
      <c r="T367" s="237" t="s">
        <v>228</v>
      </c>
      <c r="U367" s="237" t="s">
        <v>234</v>
      </c>
      <c r="V367" s="237" t="s">
        <v>652</v>
      </c>
      <c r="W367" s="245">
        <v>45986</v>
      </c>
      <c r="X367" s="237">
        <v>0</v>
      </c>
      <c r="Y367" s="237">
        <v>0</v>
      </c>
      <c r="Z367" s="237" t="s">
        <v>228</v>
      </c>
      <c r="AA367" s="237" t="s">
        <v>2359</v>
      </c>
      <c r="AB367" s="237" t="s">
        <v>228</v>
      </c>
      <c r="AC367" s="237" t="s">
        <v>228</v>
      </c>
    </row>
    <row r="368" spans="1:29" ht="13.5" customHeight="1">
      <c r="A368" s="235">
        <v>366</v>
      </c>
      <c r="B368" s="237"/>
      <c r="C368" s="255" t="s">
        <v>2360</v>
      </c>
      <c r="D368" s="237" t="s">
        <v>2361</v>
      </c>
      <c r="E368" s="237">
        <v>41</v>
      </c>
      <c r="F368" s="237" t="s">
        <v>60</v>
      </c>
      <c r="G368" s="237" t="s">
        <v>2362</v>
      </c>
      <c r="H368" s="243" t="s">
        <v>188</v>
      </c>
      <c r="I368" s="243"/>
      <c r="K368" s="240"/>
      <c r="L368" s="243" t="s">
        <v>231</v>
      </c>
      <c r="M368" s="243" t="s">
        <v>231</v>
      </c>
      <c r="N368" s="237"/>
      <c r="O368" s="237"/>
      <c r="P368" s="237"/>
      <c r="Q368" s="245">
        <v>45680</v>
      </c>
      <c r="R368" s="237" t="s">
        <v>309</v>
      </c>
      <c r="S368" s="331" t="s">
        <v>233</v>
      </c>
      <c r="T368" s="237" t="s">
        <v>228</v>
      </c>
      <c r="U368" s="237" t="s">
        <v>234</v>
      </c>
      <c r="V368" s="237" t="s">
        <v>652</v>
      </c>
      <c r="W368" s="245">
        <v>45986</v>
      </c>
      <c r="X368" s="237">
        <v>0</v>
      </c>
      <c r="Y368" s="237">
        <v>0</v>
      </c>
      <c r="Z368" s="237" t="s">
        <v>228</v>
      </c>
      <c r="AA368" s="237" t="s">
        <v>2363</v>
      </c>
      <c r="AB368" s="237" t="s">
        <v>228</v>
      </c>
      <c r="AC368" s="237" t="s">
        <v>228</v>
      </c>
    </row>
    <row r="369" spans="1:29" ht="13.5" customHeight="1">
      <c r="A369" s="235">
        <v>367</v>
      </c>
      <c r="B369" s="237"/>
      <c r="C369" s="255" t="s">
        <v>2364</v>
      </c>
      <c r="D369" s="237" t="s">
        <v>2365</v>
      </c>
      <c r="E369" s="237">
        <v>42</v>
      </c>
      <c r="F369" s="237" t="s">
        <v>2366</v>
      </c>
      <c r="G369" s="237" t="s">
        <v>2367</v>
      </c>
      <c r="H369" s="243" t="s">
        <v>188</v>
      </c>
      <c r="I369" s="243"/>
      <c r="K369" s="240"/>
      <c r="L369" s="243" t="s">
        <v>231</v>
      </c>
      <c r="M369" s="243" t="s">
        <v>231</v>
      </c>
      <c r="N369" s="237"/>
      <c r="O369" s="237"/>
      <c r="P369" s="237"/>
      <c r="Q369" s="245">
        <v>45680</v>
      </c>
      <c r="R369" s="237" t="s">
        <v>309</v>
      </c>
      <c r="S369" s="331" t="s">
        <v>233</v>
      </c>
      <c r="T369" s="237" t="s">
        <v>228</v>
      </c>
      <c r="U369" s="237" t="s">
        <v>234</v>
      </c>
      <c r="V369" s="237" t="s">
        <v>652</v>
      </c>
      <c r="W369" s="245">
        <v>45986</v>
      </c>
      <c r="X369" s="237">
        <v>0</v>
      </c>
      <c r="Y369" s="237">
        <v>0</v>
      </c>
      <c r="Z369" s="237" t="s">
        <v>228</v>
      </c>
      <c r="AA369" s="237" t="s">
        <v>2368</v>
      </c>
      <c r="AB369" s="237" t="s">
        <v>228</v>
      </c>
      <c r="AC369" s="237" t="s">
        <v>228</v>
      </c>
    </row>
    <row r="370" spans="1:29" ht="13.5" customHeight="1">
      <c r="A370" s="235">
        <v>368</v>
      </c>
      <c r="B370" s="237"/>
      <c r="C370" s="255" t="s">
        <v>2369</v>
      </c>
      <c r="D370" s="237" t="s">
        <v>2370</v>
      </c>
      <c r="E370" s="237">
        <v>44</v>
      </c>
      <c r="F370" s="237" t="s">
        <v>60</v>
      </c>
      <c r="G370" s="237" t="s">
        <v>2371</v>
      </c>
      <c r="H370" s="243" t="s">
        <v>188</v>
      </c>
      <c r="I370" s="243"/>
      <c r="K370" s="240"/>
      <c r="L370" s="243" t="s">
        <v>231</v>
      </c>
      <c r="M370" s="243" t="s">
        <v>231</v>
      </c>
      <c r="N370" s="237"/>
      <c r="O370" s="237"/>
      <c r="P370" s="237"/>
      <c r="Q370" s="245">
        <v>45680</v>
      </c>
      <c r="R370" s="237" t="s">
        <v>309</v>
      </c>
      <c r="S370" s="331" t="s">
        <v>233</v>
      </c>
      <c r="T370" s="237" t="s">
        <v>228</v>
      </c>
      <c r="U370" s="237" t="s">
        <v>234</v>
      </c>
      <c r="V370" s="237" t="s">
        <v>652</v>
      </c>
      <c r="W370" s="245">
        <v>45986</v>
      </c>
      <c r="X370" s="237">
        <v>0</v>
      </c>
      <c r="Y370" s="237">
        <v>0</v>
      </c>
      <c r="Z370" s="237" t="s">
        <v>237</v>
      </c>
      <c r="AA370" s="237" t="s">
        <v>2372</v>
      </c>
      <c r="AB370" s="237" t="s">
        <v>228</v>
      </c>
      <c r="AC370" s="237" t="s">
        <v>228</v>
      </c>
    </row>
    <row r="371" spans="1:29" ht="13.5" customHeight="1">
      <c r="A371" s="235">
        <v>369</v>
      </c>
      <c r="B371" s="237"/>
      <c r="C371" s="255" t="s">
        <v>2373</v>
      </c>
      <c r="D371" s="237" t="s">
        <v>2374</v>
      </c>
      <c r="E371" s="237">
        <v>40</v>
      </c>
      <c r="F371" s="237" t="s">
        <v>60</v>
      </c>
      <c r="G371" s="237" t="s">
        <v>2375</v>
      </c>
      <c r="H371" s="243" t="s">
        <v>188</v>
      </c>
      <c r="I371" s="243"/>
      <c r="K371" s="240"/>
      <c r="L371" s="243" t="s">
        <v>231</v>
      </c>
      <c r="M371" s="243" t="s">
        <v>231</v>
      </c>
      <c r="N371" s="237"/>
      <c r="O371" s="237"/>
      <c r="P371" s="237"/>
      <c r="Q371" s="245">
        <v>45680</v>
      </c>
      <c r="R371" s="237" t="s">
        <v>309</v>
      </c>
      <c r="S371" s="331" t="s">
        <v>233</v>
      </c>
      <c r="T371" s="237" t="s">
        <v>228</v>
      </c>
      <c r="U371" s="237" t="s">
        <v>234</v>
      </c>
      <c r="V371" s="237" t="s">
        <v>652</v>
      </c>
      <c r="W371" s="245">
        <v>45986</v>
      </c>
      <c r="X371" s="237">
        <v>0</v>
      </c>
      <c r="Y371" s="237">
        <v>0</v>
      </c>
      <c r="Z371" s="237" t="s">
        <v>237</v>
      </c>
      <c r="AA371" s="237" t="s">
        <v>2376</v>
      </c>
      <c r="AB371" s="237" t="s">
        <v>228</v>
      </c>
      <c r="AC371" s="237" t="s">
        <v>228</v>
      </c>
    </row>
    <row r="372" spans="1:29" ht="13.5" customHeight="1">
      <c r="A372" s="235">
        <v>370</v>
      </c>
      <c r="B372" s="237"/>
      <c r="C372" s="255" t="s">
        <v>2377</v>
      </c>
      <c r="D372" s="237" t="s">
        <v>2378</v>
      </c>
      <c r="E372" s="237">
        <v>33</v>
      </c>
      <c r="F372" s="237" t="s">
        <v>75</v>
      </c>
      <c r="G372" s="237" t="s">
        <v>2379</v>
      </c>
      <c r="H372" s="243" t="s">
        <v>188</v>
      </c>
      <c r="I372" s="243"/>
      <c r="K372" s="240"/>
      <c r="L372" s="243" t="s">
        <v>231</v>
      </c>
      <c r="M372" s="243" t="s">
        <v>231</v>
      </c>
      <c r="N372" s="237"/>
      <c r="O372" s="237"/>
      <c r="P372" s="237"/>
      <c r="Q372" s="245">
        <v>45680</v>
      </c>
      <c r="R372" s="237" t="s">
        <v>309</v>
      </c>
      <c r="S372" s="331" t="s">
        <v>233</v>
      </c>
      <c r="T372" s="237" t="s">
        <v>228</v>
      </c>
      <c r="U372" s="237" t="s">
        <v>234</v>
      </c>
      <c r="V372" s="237" t="s">
        <v>652</v>
      </c>
      <c r="W372" s="245">
        <v>45986</v>
      </c>
      <c r="X372" s="237">
        <v>0</v>
      </c>
      <c r="Y372" s="237">
        <v>0</v>
      </c>
      <c r="Z372" s="237" t="s">
        <v>228</v>
      </c>
      <c r="AA372" s="237" t="s">
        <v>2380</v>
      </c>
      <c r="AB372" s="237" t="s">
        <v>228</v>
      </c>
      <c r="AC372" s="237" t="s">
        <v>228</v>
      </c>
    </row>
    <row r="373" spans="1:29" ht="13.5" customHeight="1">
      <c r="A373" s="235">
        <v>371</v>
      </c>
      <c r="B373" s="237"/>
      <c r="C373" s="255" t="s">
        <v>2381</v>
      </c>
      <c r="D373" s="237" t="s">
        <v>2382</v>
      </c>
      <c r="E373" s="237">
        <v>48</v>
      </c>
      <c r="F373" s="237" t="s">
        <v>75</v>
      </c>
      <c r="G373" s="237" t="s">
        <v>2383</v>
      </c>
      <c r="H373" s="243" t="s">
        <v>188</v>
      </c>
      <c r="I373" s="243"/>
      <c r="K373" s="240"/>
      <c r="L373" s="243" t="s">
        <v>231</v>
      </c>
      <c r="M373" s="243" t="s">
        <v>231</v>
      </c>
      <c r="N373" s="237"/>
      <c r="O373" s="237"/>
      <c r="P373" s="237"/>
      <c r="Q373" s="245">
        <v>45680</v>
      </c>
      <c r="R373" s="237" t="s">
        <v>309</v>
      </c>
      <c r="S373" s="331" t="s">
        <v>233</v>
      </c>
      <c r="T373" s="237" t="s">
        <v>228</v>
      </c>
      <c r="U373" s="237" t="s">
        <v>234</v>
      </c>
      <c r="V373" s="237" t="s">
        <v>652</v>
      </c>
      <c r="W373" s="245">
        <v>45986</v>
      </c>
      <c r="X373" s="237">
        <v>0</v>
      </c>
      <c r="Y373" s="237">
        <v>0</v>
      </c>
      <c r="Z373" s="237" t="s">
        <v>228</v>
      </c>
      <c r="AA373" s="237" t="s">
        <v>2384</v>
      </c>
      <c r="AB373" s="237" t="s">
        <v>228</v>
      </c>
      <c r="AC373" s="237" t="s">
        <v>228</v>
      </c>
    </row>
    <row r="374" spans="1:29" ht="13.5" customHeight="1">
      <c r="A374" s="235">
        <v>372</v>
      </c>
      <c r="B374" s="237"/>
      <c r="C374" s="255" t="s">
        <v>2385</v>
      </c>
      <c r="D374" s="237" t="s">
        <v>2386</v>
      </c>
      <c r="E374" s="237">
        <v>55</v>
      </c>
      <c r="F374" s="237" t="s">
        <v>75</v>
      </c>
      <c r="G374" s="237" t="s">
        <v>2387</v>
      </c>
      <c r="H374" s="243" t="s">
        <v>188</v>
      </c>
      <c r="I374" s="243"/>
      <c r="K374" s="240"/>
      <c r="L374" s="243" t="s">
        <v>231</v>
      </c>
      <c r="M374" s="243" t="s">
        <v>231</v>
      </c>
      <c r="N374" s="237"/>
      <c r="O374" s="237"/>
      <c r="P374" s="237"/>
      <c r="Q374" s="245">
        <v>45680</v>
      </c>
      <c r="R374" s="237" t="s">
        <v>309</v>
      </c>
      <c r="S374" s="331" t="s">
        <v>233</v>
      </c>
      <c r="T374" s="237" t="s">
        <v>228</v>
      </c>
      <c r="U374" s="237" t="s">
        <v>234</v>
      </c>
      <c r="V374" s="237" t="s">
        <v>652</v>
      </c>
      <c r="W374" s="245">
        <v>45986</v>
      </c>
      <c r="X374" s="237">
        <v>0</v>
      </c>
      <c r="Y374" s="237">
        <v>0</v>
      </c>
      <c r="Z374" s="237" t="s">
        <v>237</v>
      </c>
      <c r="AA374" s="237" t="s">
        <v>2388</v>
      </c>
      <c r="AB374" s="237" t="s">
        <v>228</v>
      </c>
      <c r="AC374" s="237" t="s">
        <v>228</v>
      </c>
    </row>
    <row r="375" spans="1:29" ht="13.5" customHeight="1">
      <c r="A375" s="235">
        <v>373</v>
      </c>
      <c r="B375" s="237"/>
      <c r="C375" s="255" t="s">
        <v>2389</v>
      </c>
      <c r="D375" s="237" t="s">
        <v>2390</v>
      </c>
      <c r="E375" s="237">
        <v>45</v>
      </c>
      <c r="F375" s="237" t="s">
        <v>75</v>
      </c>
      <c r="G375" s="237" t="s">
        <v>2391</v>
      </c>
      <c r="H375" s="243" t="s">
        <v>188</v>
      </c>
      <c r="I375" s="243"/>
      <c r="K375" s="240"/>
      <c r="L375" s="243" t="s">
        <v>231</v>
      </c>
      <c r="M375" s="243" t="s">
        <v>231</v>
      </c>
      <c r="N375" s="237"/>
      <c r="O375" s="237"/>
      <c r="P375" s="237"/>
      <c r="Q375" s="245">
        <v>45680</v>
      </c>
      <c r="R375" s="237" t="s">
        <v>309</v>
      </c>
      <c r="S375" s="331" t="s">
        <v>233</v>
      </c>
      <c r="T375" s="237" t="s">
        <v>228</v>
      </c>
      <c r="U375" s="237" t="s">
        <v>234</v>
      </c>
      <c r="V375" s="237" t="s">
        <v>652</v>
      </c>
      <c r="W375" s="245">
        <v>45986</v>
      </c>
      <c r="X375" s="237">
        <v>0</v>
      </c>
      <c r="Y375" s="237">
        <v>0</v>
      </c>
      <c r="Z375" s="237" t="s">
        <v>237</v>
      </c>
      <c r="AA375" s="237" t="s">
        <v>2392</v>
      </c>
      <c r="AB375" s="237" t="s">
        <v>228</v>
      </c>
      <c r="AC375" s="237" t="s">
        <v>228</v>
      </c>
    </row>
    <row r="376" spans="1:29" ht="13.5" customHeight="1">
      <c r="A376" s="235">
        <v>374</v>
      </c>
      <c r="B376" s="237"/>
      <c r="C376" s="255" t="s">
        <v>2393</v>
      </c>
      <c r="D376" s="237" t="s">
        <v>2394</v>
      </c>
      <c r="E376" s="237">
        <v>44</v>
      </c>
      <c r="F376" s="237" t="s">
        <v>60</v>
      </c>
      <c r="G376" s="237" t="s">
        <v>2395</v>
      </c>
      <c r="H376" s="243" t="s">
        <v>188</v>
      </c>
      <c r="I376" s="243"/>
      <c r="K376" s="240"/>
      <c r="L376" s="243" t="s">
        <v>231</v>
      </c>
      <c r="M376" s="243" t="s">
        <v>231</v>
      </c>
      <c r="N376" s="237"/>
      <c r="O376" s="237"/>
      <c r="P376" s="237"/>
      <c r="Q376" s="245">
        <v>45680</v>
      </c>
      <c r="R376" s="237" t="s">
        <v>309</v>
      </c>
      <c r="S376" s="331" t="s">
        <v>233</v>
      </c>
      <c r="T376" s="237" t="s">
        <v>228</v>
      </c>
      <c r="U376" s="237" t="s">
        <v>234</v>
      </c>
      <c r="V376" s="237" t="s">
        <v>652</v>
      </c>
      <c r="W376" s="245">
        <v>45986</v>
      </c>
      <c r="X376" s="237">
        <v>0</v>
      </c>
      <c r="Y376" s="237">
        <v>0</v>
      </c>
      <c r="Z376" s="237" t="s">
        <v>228</v>
      </c>
      <c r="AA376" s="237" t="s">
        <v>2396</v>
      </c>
      <c r="AB376" s="237" t="s">
        <v>228</v>
      </c>
      <c r="AC376" s="237" t="s">
        <v>228</v>
      </c>
    </row>
    <row r="377" spans="1:29" ht="13.5" customHeight="1">
      <c r="A377" s="235">
        <v>375</v>
      </c>
      <c r="B377" s="237"/>
      <c r="C377" s="255" t="s">
        <v>2397</v>
      </c>
      <c r="D377" s="237" t="s">
        <v>2398</v>
      </c>
      <c r="E377" s="237">
        <v>51</v>
      </c>
      <c r="F377" s="237" t="s">
        <v>75</v>
      </c>
      <c r="G377" s="237" t="s">
        <v>2399</v>
      </c>
      <c r="H377" s="243" t="s">
        <v>188</v>
      </c>
      <c r="I377" s="243"/>
      <c r="K377" s="240"/>
      <c r="L377" s="243" t="s">
        <v>231</v>
      </c>
      <c r="M377" s="243" t="s">
        <v>231</v>
      </c>
      <c r="N377" s="237"/>
      <c r="O377" s="237"/>
      <c r="P377" s="237"/>
      <c r="Q377" s="245">
        <v>45680</v>
      </c>
      <c r="R377" s="237" t="s">
        <v>309</v>
      </c>
      <c r="S377" s="331" t="s">
        <v>233</v>
      </c>
      <c r="T377" s="237" t="s">
        <v>228</v>
      </c>
      <c r="U377" s="237" t="s">
        <v>234</v>
      </c>
      <c r="V377" s="237" t="s">
        <v>652</v>
      </c>
      <c r="W377" s="245">
        <v>45986</v>
      </c>
      <c r="X377" s="237">
        <v>0</v>
      </c>
      <c r="Y377" s="237">
        <v>0</v>
      </c>
      <c r="Z377" s="237" t="s">
        <v>228</v>
      </c>
      <c r="AA377" s="237" t="s">
        <v>2400</v>
      </c>
      <c r="AB377" s="237" t="s">
        <v>228</v>
      </c>
      <c r="AC377" s="237" t="s">
        <v>228</v>
      </c>
    </row>
    <row r="378" spans="1:29" ht="13.5" customHeight="1">
      <c r="A378" s="235">
        <v>376</v>
      </c>
      <c r="B378" s="237" t="s">
        <v>2401</v>
      </c>
      <c r="C378" s="255" t="s">
        <v>2402</v>
      </c>
      <c r="D378" s="237" t="s">
        <v>2403</v>
      </c>
      <c r="E378" s="237">
        <v>21</v>
      </c>
      <c r="F378" s="237" t="s">
        <v>60</v>
      </c>
      <c r="G378" s="237" t="s">
        <v>2404</v>
      </c>
      <c r="H378" s="243" t="s">
        <v>188</v>
      </c>
      <c r="I378" s="243"/>
      <c r="K378" s="240"/>
      <c r="L378" s="243" t="s">
        <v>231</v>
      </c>
      <c r="M378" s="246" t="s">
        <v>228</v>
      </c>
      <c r="N378" s="237"/>
      <c r="O378" s="237"/>
      <c r="P378" s="237"/>
      <c r="Q378" s="245">
        <v>45685</v>
      </c>
      <c r="R378" s="237" t="s">
        <v>309</v>
      </c>
      <c r="S378" s="331" t="s">
        <v>233</v>
      </c>
      <c r="T378" s="237" t="s">
        <v>228</v>
      </c>
      <c r="U378" s="237" t="s">
        <v>234</v>
      </c>
      <c r="V378" s="237" t="s">
        <v>652</v>
      </c>
      <c r="W378" s="245">
        <v>45986</v>
      </c>
      <c r="X378" s="237">
        <v>0</v>
      </c>
      <c r="Y378" s="237">
        <v>0</v>
      </c>
      <c r="Z378" s="237" t="s">
        <v>228</v>
      </c>
      <c r="AA378" s="237" t="s">
        <v>2405</v>
      </c>
      <c r="AB378" s="237" t="s">
        <v>228</v>
      </c>
      <c r="AC378" s="237" t="s">
        <v>228</v>
      </c>
    </row>
    <row r="379" spans="1:29" ht="13.5" customHeight="1">
      <c r="A379" s="235">
        <v>377</v>
      </c>
      <c r="B379" s="237"/>
      <c r="C379" s="255" t="s">
        <v>2406</v>
      </c>
      <c r="D379" s="237" t="s">
        <v>2407</v>
      </c>
      <c r="E379" s="237">
        <v>41</v>
      </c>
      <c r="F379" s="237" t="s">
        <v>75</v>
      </c>
      <c r="G379" s="237" t="s">
        <v>2408</v>
      </c>
      <c r="H379" s="243" t="s">
        <v>188</v>
      </c>
      <c r="I379" s="243"/>
      <c r="K379" s="240"/>
      <c r="L379" s="243" t="s">
        <v>231</v>
      </c>
      <c r="M379" s="243" t="s">
        <v>231</v>
      </c>
      <c r="N379" s="237"/>
      <c r="O379" s="237"/>
      <c r="P379" s="237"/>
      <c r="Q379" s="245">
        <v>45685</v>
      </c>
      <c r="R379" s="237" t="s">
        <v>309</v>
      </c>
      <c r="S379" s="331" t="s">
        <v>233</v>
      </c>
      <c r="T379" s="237" t="s">
        <v>228</v>
      </c>
      <c r="U379" s="237" t="s">
        <v>234</v>
      </c>
      <c r="V379" s="237" t="s">
        <v>652</v>
      </c>
      <c r="W379" s="245">
        <v>45986</v>
      </c>
      <c r="X379" s="237">
        <v>0</v>
      </c>
      <c r="Y379" s="237">
        <v>0</v>
      </c>
      <c r="Z379" s="237" t="s">
        <v>228</v>
      </c>
      <c r="AA379" s="237" t="s">
        <v>2409</v>
      </c>
      <c r="AB379" s="237" t="s">
        <v>228</v>
      </c>
      <c r="AC379" s="237" t="s">
        <v>228</v>
      </c>
    </row>
    <row r="380" spans="1:29" ht="13.5" customHeight="1">
      <c r="A380" s="235">
        <v>378</v>
      </c>
      <c r="B380" s="237" t="s">
        <v>2410</v>
      </c>
      <c r="C380" s="255" t="s">
        <v>2411</v>
      </c>
      <c r="D380" s="237" t="s">
        <v>2412</v>
      </c>
      <c r="E380" s="237">
        <v>22</v>
      </c>
      <c r="F380" s="237" t="s">
        <v>60</v>
      </c>
      <c r="G380" s="237" t="s">
        <v>2413</v>
      </c>
      <c r="H380" s="243" t="s">
        <v>188</v>
      </c>
      <c r="I380" s="243"/>
      <c r="K380" s="240"/>
      <c r="L380" s="243" t="s">
        <v>231</v>
      </c>
      <c r="M380" s="246" t="s">
        <v>228</v>
      </c>
      <c r="N380" s="237"/>
      <c r="O380" s="237"/>
      <c r="P380" s="237"/>
      <c r="Q380" s="245">
        <v>45685</v>
      </c>
      <c r="R380" s="237" t="s">
        <v>309</v>
      </c>
      <c r="S380" s="331" t="s">
        <v>233</v>
      </c>
      <c r="T380" s="237" t="s">
        <v>228</v>
      </c>
      <c r="U380" s="237" t="s">
        <v>234</v>
      </c>
      <c r="V380" s="237" t="s">
        <v>652</v>
      </c>
      <c r="W380" s="245">
        <v>45986</v>
      </c>
      <c r="X380" s="237">
        <v>0</v>
      </c>
      <c r="Y380" s="237">
        <v>0</v>
      </c>
      <c r="Z380" s="237" t="s">
        <v>228</v>
      </c>
      <c r="AA380" s="237" t="s">
        <v>2414</v>
      </c>
      <c r="AB380" s="237" t="s">
        <v>228</v>
      </c>
      <c r="AC380" s="237" t="s">
        <v>228</v>
      </c>
    </row>
    <row r="381" spans="1:29" ht="13.5" customHeight="1">
      <c r="A381" s="235">
        <v>379</v>
      </c>
      <c r="B381" s="237" t="s">
        <v>2415</v>
      </c>
      <c r="C381" s="255" t="s">
        <v>2416</v>
      </c>
      <c r="D381" s="237" t="s">
        <v>2417</v>
      </c>
      <c r="E381" s="237">
        <v>19</v>
      </c>
      <c r="F381" s="237" t="s">
        <v>60</v>
      </c>
      <c r="G381" s="237" t="s">
        <v>2418</v>
      </c>
      <c r="H381" s="243" t="s">
        <v>188</v>
      </c>
      <c r="I381" s="243"/>
      <c r="K381" s="240"/>
      <c r="L381" s="243" t="s">
        <v>231</v>
      </c>
      <c r="M381" s="246" t="s">
        <v>228</v>
      </c>
      <c r="N381" s="237"/>
      <c r="O381" s="237"/>
      <c r="P381" s="237"/>
      <c r="Q381" s="245">
        <v>45685</v>
      </c>
      <c r="R381" s="237" t="s">
        <v>309</v>
      </c>
      <c r="S381" s="331" t="s">
        <v>233</v>
      </c>
      <c r="T381" s="237" t="s">
        <v>228</v>
      </c>
      <c r="U381" s="237" t="s">
        <v>234</v>
      </c>
      <c r="V381" s="237" t="s">
        <v>652</v>
      </c>
      <c r="W381" s="245">
        <v>45986</v>
      </c>
      <c r="X381" s="237">
        <v>0</v>
      </c>
      <c r="Y381" s="237">
        <v>0</v>
      </c>
      <c r="Z381" s="237" t="s">
        <v>228</v>
      </c>
      <c r="AA381" s="237" t="s">
        <v>2419</v>
      </c>
      <c r="AB381" s="237" t="s">
        <v>228</v>
      </c>
      <c r="AC381" s="237" t="s">
        <v>228</v>
      </c>
    </row>
    <row r="382" spans="1:29" ht="13.5" customHeight="1">
      <c r="A382" s="235">
        <v>380</v>
      </c>
      <c r="B382" s="237"/>
      <c r="C382" s="255" t="s">
        <v>2420</v>
      </c>
      <c r="D382" s="237" t="s">
        <v>2421</v>
      </c>
      <c r="E382" s="237">
        <v>52</v>
      </c>
      <c r="F382" s="237" t="s">
        <v>75</v>
      </c>
      <c r="G382" s="237" t="s">
        <v>2422</v>
      </c>
      <c r="H382" s="243" t="s">
        <v>188</v>
      </c>
      <c r="I382" s="243"/>
      <c r="K382" s="240"/>
      <c r="L382" s="243" t="s">
        <v>231</v>
      </c>
      <c r="M382" s="243" t="s">
        <v>231</v>
      </c>
      <c r="N382" s="237"/>
      <c r="O382" s="237"/>
      <c r="P382" s="237"/>
      <c r="Q382" s="245">
        <v>45685</v>
      </c>
      <c r="R382" s="237" t="s">
        <v>309</v>
      </c>
      <c r="S382" s="331" t="s">
        <v>233</v>
      </c>
      <c r="T382" s="237" t="s">
        <v>228</v>
      </c>
      <c r="U382" s="237" t="s">
        <v>234</v>
      </c>
      <c r="V382" s="237" t="s">
        <v>652</v>
      </c>
      <c r="W382" s="245">
        <v>45986</v>
      </c>
      <c r="X382" s="237">
        <v>0</v>
      </c>
      <c r="Y382" s="237">
        <v>0</v>
      </c>
      <c r="Z382" s="237" t="s">
        <v>228</v>
      </c>
      <c r="AA382" s="237" t="s">
        <v>2423</v>
      </c>
      <c r="AB382" s="237" t="s">
        <v>228</v>
      </c>
      <c r="AC382" s="237" t="s">
        <v>228</v>
      </c>
    </row>
    <row r="383" spans="1:29" ht="13.5" customHeight="1">
      <c r="A383" s="235">
        <v>381</v>
      </c>
      <c r="B383" s="237"/>
      <c r="C383" s="255" t="s">
        <v>2424</v>
      </c>
      <c r="D383" s="237" t="s">
        <v>2425</v>
      </c>
      <c r="E383" s="237">
        <v>61</v>
      </c>
      <c r="F383" s="237" t="s">
        <v>75</v>
      </c>
      <c r="G383" s="237" t="s">
        <v>2426</v>
      </c>
      <c r="H383" s="243" t="s">
        <v>188</v>
      </c>
      <c r="I383" s="243"/>
      <c r="K383" s="240"/>
      <c r="L383" s="243" t="s">
        <v>231</v>
      </c>
      <c r="M383" s="243" t="s">
        <v>231</v>
      </c>
      <c r="N383" s="237"/>
      <c r="O383" s="237"/>
      <c r="P383" s="237"/>
      <c r="Q383" s="245">
        <v>45685</v>
      </c>
      <c r="R383" s="237" t="s">
        <v>309</v>
      </c>
      <c r="S383" s="331" t="s">
        <v>233</v>
      </c>
      <c r="T383" s="237" t="s">
        <v>228</v>
      </c>
      <c r="U383" s="237" t="s">
        <v>234</v>
      </c>
      <c r="V383" s="237" t="s">
        <v>652</v>
      </c>
      <c r="W383" s="245">
        <v>45986</v>
      </c>
      <c r="X383" s="237">
        <v>0</v>
      </c>
      <c r="Y383" s="237">
        <v>0</v>
      </c>
      <c r="Z383" s="237" t="s">
        <v>228</v>
      </c>
      <c r="AA383" s="237" t="s">
        <v>2427</v>
      </c>
      <c r="AB383" s="237" t="s">
        <v>228</v>
      </c>
      <c r="AC383" s="237" t="s">
        <v>228</v>
      </c>
    </row>
    <row r="384" spans="1:29" ht="13.5" customHeight="1">
      <c r="A384" s="235">
        <v>382</v>
      </c>
      <c r="B384" s="237"/>
      <c r="C384" s="255" t="s">
        <v>2428</v>
      </c>
      <c r="D384" s="237" t="s">
        <v>2429</v>
      </c>
      <c r="E384" s="237">
        <v>38</v>
      </c>
      <c r="F384" s="237" t="s">
        <v>60</v>
      </c>
      <c r="G384" s="237" t="s">
        <v>2430</v>
      </c>
      <c r="H384" s="243" t="s">
        <v>188</v>
      </c>
      <c r="I384" s="243"/>
      <c r="K384" s="240"/>
      <c r="L384" s="243" t="s">
        <v>231</v>
      </c>
      <c r="M384" s="243" t="s">
        <v>231</v>
      </c>
      <c r="N384" s="237"/>
      <c r="O384" s="237"/>
      <c r="P384" s="237"/>
      <c r="Q384" s="245">
        <v>45685</v>
      </c>
      <c r="R384" s="237" t="s">
        <v>309</v>
      </c>
      <c r="S384" s="331" t="s">
        <v>233</v>
      </c>
      <c r="T384" s="237" t="s">
        <v>228</v>
      </c>
      <c r="U384" s="237" t="s">
        <v>234</v>
      </c>
      <c r="V384" s="237" t="s">
        <v>652</v>
      </c>
      <c r="W384" s="245">
        <v>45986</v>
      </c>
      <c r="X384" s="237">
        <v>0</v>
      </c>
      <c r="Y384" s="237">
        <v>0</v>
      </c>
      <c r="Z384" s="237" t="s">
        <v>228</v>
      </c>
      <c r="AA384" s="237" t="s">
        <v>2431</v>
      </c>
      <c r="AB384" s="237" t="s">
        <v>228</v>
      </c>
      <c r="AC384" s="237" t="s">
        <v>228</v>
      </c>
    </row>
    <row r="385" spans="1:29" ht="13.5" customHeight="1">
      <c r="A385" s="235">
        <v>383</v>
      </c>
      <c r="B385" s="237"/>
      <c r="C385" s="255" t="s">
        <v>2432</v>
      </c>
      <c r="D385" s="237" t="s">
        <v>2433</v>
      </c>
      <c r="E385" s="237">
        <v>32</v>
      </c>
      <c r="F385" s="237" t="s">
        <v>60</v>
      </c>
      <c r="G385" s="237" t="s">
        <v>2434</v>
      </c>
      <c r="H385" s="243" t="s">
        <v>188</v>
      </c>
      <c r="I385" s="243"/>
      <c r="K385" s="240"/>
      <c r="L385" s="243" t="s">
        <v>231</v>
      </c>
      <c r="M385" s="243" t="s">
        <v>231</v>
      </c>
      <c r="N385" s="237"/>
      <c r="O385" s="237"/>
      <c r="P385" s="237"/>
      <c r="Q385" s="245">
        <v>45694</v>
      </c>
      <c r="R385" s="237" t="s">
        <v>309</v>
      </c>
      <c r="S385" s="331" t="s">
        <v>233</v>
      </c>
      <c r="T385" s="237" t="s">
        <v>228</v>
      </c>
      <c r="U385" s="237" t="s">
        <v>234</v>
      </c>
      <c r="V385" s="237" t="s">
        <v>652</v>
      </c>
      <c r="W385" s="245">
        <v>45971</v>
      </c>
      <c r="X385" s="237" t="s">
        <v>2435</v>
      </c>
      <c r="Y385" s="237" t="s">
        <v>588</v>
      </c>
      <c r="Z385" s="237" t="s">
        <v>228</v>
      </c>
      <c r="AA385" s="237" t="s">
        <v>2436</v>
      </c>
      <c r="AB385" s="237" t="s">
        <v>228</v>
      </c>
      <c r="AC385" s="237" t="s">
        <v>228</v>
      </c>
    </row>
    <row r="386" spans="1:29" ht="13.5" customHeight="1">
      <c r="A386" s="235">
        <v>384</v>
      </c>
      <c r="B386" s="237"/>
      <c r="C386" s="255" t="s">
        <v>2437</v>
      </c>
      <c r="D386" s="237" t="s">
        <v>2438</v>
      </c>
      <c r="E386" s="237">
        <v>32</v>
      </c>
      <c r="F386" s="237" t="s">
        <v>75</v>
      </c>
      <c r="G386" s="237" t="s">
        <v>2439</v>
      </c>
      <c r="H386" s="243" t="s">
        <v>188</v>
      </c>
      <c r="I386" s="243"/>
      <c r="K386" s="240"/>
      <c r="L386" s="243" t="s">
        <v>231</v>
      </c>
      <c r="M386" s="243" t="s">
        <v>231</v>
      </c>
      <c r="N386" s="237"/>
      <c r="O386" s="237"/>
      <c r="P386" s="237"/>
      <c r="Q386" s="245">
        <v>45694</v>
      </c>
      <c r="R386" s="237" t="s">
        <v>309</v>
      </c>
      <c r="S386" s="331" t="s">
        <v>233</v>
      </c>
      <c r="T386" s="237" t="s">
        <v>228</v>
      </c>
      <c r="U386" s="237" t="s">
        <v>234</v>
      </c>
      <c r="V386" s="237" t="s">
        <v>652</v>
      </c>
      <c r="W386" s="245">
        <v>45971</v>
      </c>
      <c r="X386" s="237" t="s">
        <v>2440</v>
      </c>
      <c r="Y386" s="237" t="s">
        <v>588</v>
      </c>
      <c r="Z386" s="237" t="s">
        <v>237</v>
      </c>
      <c r="AA386" s="237" t="s">
        <v>2441</v>
      </c>
      <c r="AB386" s="237" t="s">
        <v>228</v>
      </c>
      <c r="AC386" s="237" t="s">
        <v>228</v>
      </c>
    </row>
    <row r="387" spans="1:29" ht="13.5" customHeight="1">
      <c r="A387" s="235">
        <v>385</v>
      </c>
      <c r="B387" s="237"/>
      <c r="C387" s="255" t="s">
        <v>2442</v>
      </c>
      <c r="D387" s="237" t="s">
        <v>2443</v>
      </c>
      <c r="E387" s="237">
        <v>67</v>
      </c>
      <c r="F387" s="237" t="s">
        <v>75</v>
      </c>
      <c r="G387" s="237" t="s">
        <v>2444</v>
      </c>
      <c r="H387" s="243" t="s">
        <v>188</v>
      </c>
      <c r="I387" s="243"/>
      <c r="K387" s="240"/>
      <c r="L387" s="243" t="s">
        <v>231</v>
      </c>
      <c r="M387" s="243" t="s">
        <v>231</v>
      </c>
      <c r="N387" s="237"/>
      <c r="O387" s="237"/>
      <c r="P387" s="237"/>
      <c r="Q387" s="245">
        <v>45694</v>
      </c>
      <c r="R387" s="237" t="s">
        <v>309</v>
      </c>
      <c r="S387" s="331" t="s">
        <v>233</v>
      </c>
      <c r="T387" s="237" t="s">
        <v>228</v>
      </c>
      <c r="U387" s="237" t="s">
        <v>234</v>
      </c>
      <c r="V387" s="237" t="s">
        <v>652</v>
      </c>
      <c r="W387" s="245">
        <v>45971</v>
      </c>
      <c r="X387" s="237" t="s">
        <v>2445</v>
      </c>
      <c r="Y387" s="237" t="s">
        <v>588</v>
      </c>
      <c r="Z387" s="237" t="s">
        <v>237</v>
      </c>
      <c r="AA387" s="237" t="s">
        <v>2446</v>
      </c>
      <c r="AB387" s="237" t="s">
        <v>228</v>
      </c>
      <c r="AC387" s="237" t="s">
        <v>228</v>
      </c>
    </row>
    <row r="388" spans="1:29" ht="13.5" customHeight="1">
      <c r="A388" s="235">
        <v>386</v>
      </c>
      <c r="B388" s="237"/>
      <c r="C388" s="255" t="s">
        <v>2447</v>
      </c>
      <c r="D388" s="237" t="s">
        <v>2448</v>
      </c>
      <c r="E388" s="237">
        <v>69</v>
      </c>
      <c r="F388" s="237" t="s">
        <v>60</v>
      </c>
      <c r="G388" s="237" t="s">
        <v>2449</v>
      </c>
      <c r="H388" s="243" t="s">
        <v>188</v>
      </c>
      <c r="I388" s="243"/>
      <c r="K388" s="240"/>
      <c r="L388" s="243" t="s">
        <v>231</v>
      </c>
      <c r="M388" s="243" t="s">
        <v>231</v>
      </c>
      <c r="N388" s="237"/>
      <c r="O388" s="237"/>
      <c r="P388" s="237"/>
      <c r="Q388" s="245">
        <v>45694</v>
      </c>
      <c r="R388" s="237" t="s">
        <v>309</v>
      </c>
      <c r="S388" s="331" t="s">
        <v>233</v>
      </c>
      <c r="T388" s="237" t="s">
        <v>228</v>
      </c>
      <c r="U388" s="237" t="s">
        <v>234</v>
      </c>
      <c r="V388" s="237" t="s">
        <v>652</v>
      </c>
      <c r="W388" s="245">
        <v>45971</v>
      </c>
      <c r="X388" s="237" t="s">
        <v>2450</v>
      </c>
      <c r="Y388" s="237" t="s">
        <v>588</v>
      </c>
      <c r="Z388" s="237" t="s">
        <v>237</v>
      </c>
      <c r="AA388" s="237" t="s">
        <v>2451</v>
      </c>
      <c r="AB388" s="237" t="s">
        <v>228</v>
      </c>
      <c r="AC388" s="237" t="s">
        <v>228</v>
      </c>
    </row>
    <row r="389" spans="1:29" ht="13.5" customHeight="1">
      <c r="A389" s="235">
        <v>387</v>
      </c>
      <c r="B389" s="237" t="s">
        <v>2452</v>
      </c>
      <c r="C389" s="255" t="s">
        <v>2453</v>
      </c>
      <c r="D389" s="237" t="s">
        <v>2454</v>
      </c>
      <c r="E389" s="237">
        <v>24</v>
      </c>
      <c r="F389" s="237" t="s">
        <v>75</v>
      </c>
      <c r="G389" s="237" t="s">
        <v>2455</v>
      </c>
      <c r="H389" s="243" t="s">
        <v>188</v>
      </c>
      <c r="I389" s="243"/>
      <c r="K389" s="240"/>
      <c r="L389" s="243" t="s">
        <v>231</v>
      </c>
      <c r="M389" s="246" t="s">
        <v>228</v>
      </c>
      <c r="N389" s="237"/>
      <c r="O389" s="237"/>
      <c r="P389" s="237"/>
      <c r="Q389" s="245">
        <v>45695</v>
      </c>
      <c r="R389" s="237" t="s">
        <v>309</v>
      </c>
      <c r="S389" s="331" t="s">
        <v>233</v>
      </c>
      <c r="T389" s="237" t="s">
        <v>228</v>
      </c>
      <c r="U389" s="237" t="s">
        <v>234</v>
      </c>
      <c r="V389" s="237" t="s">
        <v>652</v>
      </c>
      <c r="W389" s="245">
        <v>45971</v>
      </c>
      <c r="X389" s="237" t="s">
        <v>2456</v>
      </c>
      <c r="Y389" s="237" t="s">
        <v>588</v>
      </c>
      <c r="Z389" s="237" t="s">
        <v>237</v>
      </c>
      <c r="AA389" s="237" t="s">
        <v>2457</v>
      </c>
      <c r="AB389" s="237" t="s">
        <v>228</v>
      </c>
      <c r="AC389" s="237" t="s">
        <v>228</v>
      </c>
    </row>
    <row r="390" spans="1:29" ht="13.5" customHeight="1">
      <c r="A390" s="235">
        <v>388</v>
      </c>
      <c r="B390" s="237"/>
      <c r="C390" s="255" t="s">
        <v>2458</v>
      </c>
      <c r="D390" s="237" t="s">
        <v>2459</v>
      </c>
      <c r="E390" s="237">
        <v>23</v>
      </c>
      <c r="F390" s="237" t="s">
        <v>75</v>
      </c>
      <c r="G390" s="237" t="s">
        <v>2460</v>
      </c>
      <c r="H390" s="243" t="s">
        <v>188</v>
      </c>
      <c r="I390" s="243"/>
      <c r="K390" s="240"/>
      <c r="L390" s="243" t="s">
        <v>231</v>
      </c>
      <c r="M390" s="243" t="s">
        <v>231</v>
      </c>
      <c r="N390" s="237"/>
      <c r="O390" s="237"/>
      <c r="P390" s="237"/>
      <c r="Q390" s="245">
        <v>45695</v>
      </c>
      <c r="R390" s="237" t="s">
        <v>309</v>
      </c>
      <c r="S390" s="331" t="s">
        <v>233</v>
      </c>
      <c r="T390" s="237" t="s">
        <v>228</v>
      </c>
      <c r="U390" s="237" t="s">
        <v>234</v>
      </c>
      <c r="V390" s="237" t="s">
        <v>652</v>
      </c>
      <c r="W390" s="245">
        <v>45971</v>
      </c>
      <c r="X390" s="237" t="s">
        <v>2461</v>
      </c>
      <c r="Y390" s="237" t="s">
        <v>588</v>
      </c>
      <c r="Z390" s="237" t="s">
        <v>237</v>
      </c>
      <c r="AA390" s="237" t="s">
        <v>2462</v>
      </c>
      <c r="AB390" s="237" t="s">
        <v>228</v>
      </c>
      <c r="AC390" s="237" t="s">
        <v>228</v>
      </c>
    </row>
    <row r="391" spans="1:29" ht="13.5" customHeight="1">
      <c r="A391" s="235">
        <v>389</v>
      </c>
      <c r="B391" s="237"/>
      <c r="C391" s="255" t="s">
        <v>2463</v>
      </c>
      <c r="D391" s="237" t="s">
        <v>2464</v>
      </c>
      <c r="E391" s="237">
        <v>23</v>
      </c>
      <c r="F391" s="237" t="s">
        <v>75</v>
      </c>
      <c r="G391" s="237" t="s">
        <v>2465</v>
      </c>
      <c r="H391" s="243" t="s">
        <v>188</v>
      </c>
      <c r="I391" s="243"/>
      <c r="K391" s="240"/>
      <c r="L391" s="243" t="s">
        <v>231</v>
      </c>
      <c r="M391" s="243" t="s">
        <v>231</v>
      </c>
      <c r="N391" s="237"/>
      <c r="O391" s="237"/>
      <c r="P391" s="237"/>
      <c r="Q391" s="245">
        <v>45695</v>
      </c>
      <c r="R391" s="237" t="s">
        <v>309</v>
      </c>
      <c r="S391" s="331" t="s">
        <v>233</v>
      </c>
      <c r="T391" s="237" t="s">
        <v>228</v>
      </c>
      <c r="U391" s="237" t="s">
        <v>234</v>
      </c>
      <c r="V391" s="237" t="s">
        <v>652</v>
      </c>
      <c r="W391" s="245">
        <v>45971</v>
      </c>
      <c r="X391" s="237" t="s">
        <v>2466</v>
      </c>
      <c r="Y391" s="237" t="s">
        <v>588</v>
      </c>
      <c r="Z391" s="237" t="s">
        <v>237</v>
      </c>
      <c r="AA391" s="237" t="s">
        <v>2467</v>
      </c>
      <c r="AB391" s="237" t="s">
        <v>228</v>
      </c>
      <c r="AC391" s="237" t="s">
        <v>228</v>
      </c>
    </row>
    <row r="392" spans="1:29" ht="13.5" customHeight="1">
      <c r="A392" s="235">
        <v>390</v>
      </c>
      <c r="B392" s="237"/>
      <c r="C392" s="255" t="s">
        <v>2468</v>
      </c>
      <c r="D392" s="237" t="s">
        <v>2469</v>
      </c>
      <c r="E392" s="237">
        <v>24</v>
      </c>
      <c r="F392" s="237" t="s">
        <v>60</v>
      </c>
      <c r="G392" s="237" t="s">
        <v>2470</v>
      </c>
      <c r="H392" s="243" t="s">
        <v>188</v>
      </c>
      <c r="I392" s="243"/>
      <c r="K392" s="240"/>
      <c r="L392" s="243" t="s">
        <v>231</v>
      </c>
      <c r="M392" s="243" t="s">
        <v>231</v>
      </c>
      <c r="N392" s="237"/>
      <c r="O392" s="237"/>
      <c r="P392" s="237"/>
      <c r="Q392" s="245">
        <v>45695</v>
      </c>
      <c r="R392" s="237" t="s">
        <v>309</v>
      </c>
      <c r="S392" s="331" t="s">
        <v>233</v>
      </c>
      <c r="T392" s="237" t="s">
        <v>228</v>
      </c>
      <c r="U392" s="237" t="s">
        <v>234</v>
      </c>
      <c r="V392" s="237" t="s">
        <v>652</v>
      </c>
      <c r="W392" s="245">
        <v>45971</v>
      </c>
      <c r="X392" s="237" t="s">
        <v>2471</v>
      </c>
      <c r="Y392" s="237" t="s">
        <v>588</v>
      </c>
      <c r="Z392" s="237" t="s">
        <v>237</v>
      </c>
      <c r="AA392" s="237" t="s">
        <v>2472</v>
      </c>
      <c r="AB392" s="237" t="s">
        <v>228</v>
      </c>
      <c r="AC392" s="237" t="s">
        <v>228</v>
      </c>
    </row>
    <row r="393" spans="1:29" ht="13.5" customHeight="1">
      <c r="A393" s="235">
        <v>391</v>
      </c>
      <c r="B393" s="237"/>
      <c r="C393" s="255" t="s">
        <v>2473</v>
      </c>
      <c r="D393" s="237" t="s">
        <v>2474</v>
      </c>
      <c r="E393" s="237">
        <v>23</v>
      </c>
      <c r="F393" s="237" t="s">
        <v>75</v>
      </c>
      <c r="G393" s="237" t="s">
        <v>2475</v>
      </c>
      <c r="H393" s="243" t="s">
        <v>188</v>
      </c>
      <c r="I393" s="243"/>
      <c r="K393" s="240"/>
      <c r="L393" s="243" t="s">
        <v>231</v>
      </c>
      <c r="M393" s="243" t="s">
        <v>231</v>
      </c>
      <c r="N393" s="237"/>
      <c r="O393" s="237"/>
      <c r="P393" s="237"/>
      <c r="Q393" s="245">
        <v>45695</v>
      </c>
      <c r="R393" s="237" t="s">
        <v>309</v>
      </c>
      <c r="S393" s="331" t="s">
        <v>233</v>
      </c>
      <c r="T393" s="237" t="s">
        <v>228</v>
      </c>
      <c r="U393" s="237" t="s">
        <v>234</v>
      </c>
      <c r="V393" s="237" t="s">
        <v>652</v>
      </c>
      <c r="W393" s="245">
        <v>45986</v>
      </c>
      <c r="X393" s="237">
        <v>0</v>
      </c>
      <c r="Y393" s="237">
        <v>0</v>
      </c>
      <c r="Z393" s="237" t="s">
        <v>228</v>
      </c>
      <c r="AA393" s="237" t="s">
        <v>2476</v>
      </c>
      <c r="AB393" s="237" t="s">
        <v>228</v>
      </c>
      <c r="AC393" s="237" t="s">
        <v>228</v>
      </c>
    </row>
    <row r="394" spans="1:29" ht="13.5" customHeight="1">
      <c r="A394" s="235">
        <v>392</v>
      </c>
      <c r="B394" s="237"/>
      <c r="C394" s="255" t="s">
        <v>2477</v>
      </c>
      <c r="D394" s="237" t="s">
        <v>2478</v>
      </c>
      <c r="E394" s="237">
        <v>40</v>
      </c>
      <c r="F394" s="237" t="s">
        <v>75</v>
      </c>
      <c r="G394" s="237" t="s">
        <v>2479</v>
      </c>
      <c r="H394" s="243" t="s">
        <v>188</v>
      </c>
      <c r="I394" s="243"/>
      <c r="K394" s="240"/>
      <c r="L394" s="243" t="s">
        <v>231</v>
      </c>
      <c r="M394" s="243" t="s">
        <v>231</v>
      </c>
      <c r="N394" s="237"/>
      <c r="O394" s="237"/>
      <c r="P394" s="237"/>
      <c r="Q394" s="245">
        <v>45696</v>
      </c>
      <c r="R394" s="237" t="s">
        <v>309</v>
      </c>
      <c r="S394" s="331" t="s">
        <v>233</v>
      </c>
      <c r="T394" s="237" t="s">
        <v>228</v>
      </c>
      <c r="U394" s="237" t="s">
        <v>234</v>
      </c>
      <c r="V394" s="237" t="s">
        <v>652</v>
      </c>
      <c r="W394" s="245">
        <v>45986</v>
      </c>
      <c r="X394" s="237">
        <v>0</v>
      </c>
      <c r="Y394" s="237">
        <v>0</v>
      </c>
      <c r="Z394" s="237" t="s">
        <v>228</v>
      </c>
      <c r="AA394" s="237" t="s">
        <v>2480</v>
      </c>
      <c r="AB394" s="237" t="s">
        <v>228</v>
      </c>
      <c r="AC394" s="237" t="s">
        <v>228</v>
      </c>
    </row>
    <row r="395" spans="1:29" ht="13.5" customHeight="1">
      <c r="A395" s="235">
        <v>393</v>
      </c>
      <c r="B395" s="237"/>
      <c r="C395" s="255" t="s">
        <v>2481</v>
      </c>
      <c r="D395" s="237" t="s">
        <v>2482</v>
      </c>
      <c r="E395" s="237">
        <v>45</v>
      </c>
      <c r="F395" s="237" t="s">
        <v>60</v>
      </c>
      <c r="G395" s="237" t="s">
        <v>2483</v>
      </c>
      <c r="H395" s="243" t="s">
        <v>188</v>
      </c>
      <c r="I395" s="243"/>
      <c r="K395" s="240"/>
      <c r="L395" s="243" t="s">
        <v>231</v>
      </c>
      <c r="M395" s="243" t="s">
        <v>231</v>
      </c>
      <c r="N395" s="237"/>
      <c r="O395" s="237"/>
      <c r="P395" s="237"/>
      <c r="Q395" s="245">
        <v>45696</v>
      </c>
      <c r="R395" s="237" t="s">
        <v>309</v>
      </c>
      <c r="S395" s="331" t="s">
        <v>233</v>
      </c>
      <c r="T395" s="237" t="s">
        <v>228</v>
      </c>
      <c r="U395" s="237" t="s">
        <v>234</v>
      </c>
      <c r="V395" s="237" t="s">
        <v>652</v>
      </c>
      <c r="W395" s="245">
        <v>45986</v>
      </c>
      <c r="X395" s="237">
        <v>0</v>
      </c>
      <c r="Y395" s="237">
        <v>0</v>
      </c>
      <c r="Z395" s="237" t="s">
        <v>228</v>
      </c>
      <c r="AA395" s="237" t="s">
        <v>2484</v>
      </c>
      <c r="AB395" s="237" t="s">
        <v>228</v>
      </c>
      <c r="AC395" s="237" t="s">
        <v>228</v>
      </c>
    </row>
    <row r="396" spans="1:29" ht="13.5" customHeight="1">
      <c r="A396" s="235">
        <v>394</v>
      </c>
      <c r="B396" s="237"/>
      <c r="C396" s="255" t="s">
        <v>2485</v>
      </c>
      <c r="D396" s="237" t="s">
        <v>2486</v>
      </c>
      <c r="E396" s="237">
        <v>41</v>
      </c>
      <c r="F396" s="237" t="s">
        <v>75</v>
      </c>
      <c r="G396" s="237" t="s">
        <v>2487</v>
      </c>
      <c r="H396" s="243" t="s">
        <v>188</v>
      </c>
      <c r="I396" s="243"/>
      <c r="K396" s="240"/>
      <c r="L396" s="243" t="s">
        <v>231</v>
      </c>
      <c r="M396" s="243" t="s">
        <v>231</v>
      </c>
      <c r="N396" s="237"/>
      <c r="O396" s="237"/>
      <c r="P396" s="237"/>
      <c r="Q396" s="245">
        <v>45696</v>
      </c>
      <c r="R396" s="237" t="s">
        <v>309</v>
      </c>
      <c r="S396" s="331" t="s">
        <v>233</v>
      </c>
      <c r="T396" s="237" t="s">
        <v>228</v>
      </c>
      <c r="U396" s="237" t="s">
        <v>234</v>
      </c>
      <c r="V396" s="237" t="s">
        <v>652</v>
      </c>
      <c r="W396" s="245">
        <v>45986</v>
      </c>
      <c r="X396" s="237">
        <v>0</v>
      </c>
      <c r="Y396" s="237">
        <v>0</v>
      </c>
      <c r="Z396" s="237" t="s">
        <v>228</v>
      </c>
      <c r="AA396" s="237" t="s">
        <v>2488</v>
      </c>
      <c r="AB396" s="237" t="s">
        <v>228</v>
      </c>
      <c r="AC396" s="237" t="s">
        <v>228</v>
      </c>
    </row>
    <row r="397" spans="1:29" ht="13.5" customHeight="1">
      <c r="A397" s="235">
        <v>395</v>
      </c>
      <c r="B397" s="237"/>
      <c r="C397" s="255" t="s">
        <v>2489</v>
      </c>
      <c r="D397" s="237" t="s">
        <v>2490</v>
      </c>
      <c r="E397" s="237">
        <v>62</v>
      </c>
      <c r="F397" s="237" t="s">
        <v>75</v>
      </c>
      <c r="G397" s="237" t="s">
        <v>2491</v>
      </c>
      <c r="H397" s="243" t="s">
        <v>188</v>
      </c>
      <c r="I397" s="243"/>
      <c r="K397" s="240"/>
      <c r="L397" s="243" t="s">
        <v>231</v>
      </c>
      <c r="M397" s="243" t="s">
        <v>231</v>
      </c>
      <c r="N397" s="237"/>
      <c r="O397" s="237"/>
      <c r="P397" s="237"/>
      <c r="Q397" s="245">
        <v>45696</v>
      </c>
      <c r="R397" s="237" t="s">
        <v>309</v>
      </c>
      <c r="S397" s="331" t="s">
        <v>233</v>
      </c>
      <c r="T397" s="237" t="s">
        <v>228</v>
      </c>
      <c r="U397" s="237" t="s">
        <v>234</v>
      </c>
      <c r="V397" s="237" t="s">
        <v>652</v>
      </c>
      <c r="W397" s="245">
        <v>45986</v>
      </c>
      <c r="X397" s="237">
        <v>0</v>
      </c>
      <c r="Y397" s="237">
        <v>0</v>
      </c>
      <c r="Z397" s="237" t="s">
        <v>228</v>
      </c>
      <c r="AA397" s="237" t="s">
        <v>2492</v>
      </c>
      <c r="AB397" s="237" t="s">
        <v>228</v>
      </c>
      <c r="AC397" s="237" t="s">
        <v>228</v>
      </c>
    </row>
    <row r="398" spans="1:29" ht="13.5" customHeight="1">
      <c r="A398" s="235">
        <v>396</v>
      </c>
      <c r="B398" s="237"/>
      <c r="C398" s="255" t="s">
        <v>2493</v>
      </c>
      <c r="D398" s="237" t="s">
        <v>2494</v>
      </c>
      <c r="E398" s="237">
        <v>45</v>
      </c>
      <c r="F398" s="237" t="s">
        <v>60</v>
      </c>
      <c r="G398" s="237" t="s">
        <v>2495</v>
      </c>
      <c r="H398" s="243" t="s">
        <v>188</v>
      </c>
      <c r="I398" s="243"/>
      <c r="K398" s="240"/>
      <c r="L398" s="243" t="s">
        <v>231</v>
      </c>
      <c r="M398" s="243" t="s">
        <v>231</v>
      </c>
      <c r="N398" s="237"/>
      <c r="O398" s="237"/>
      <c r="P398" s="237"/>
      <c r="Q398" s="245">
        <v>45696</v>
      </c>
      <c r="R398" s="237" t="s">
        <v>309</v>
      </c>
      <c r="S398" s="331" t="s">
        <v>233</v>
      </c>
      <c r="T398" s="237" t="s">
        <v>228</v>
      </c>
      <c r="U398" s="237" t="s">
        <v>234</v>
      </c>
      <c r="V398" s="237" t="s">
        <v>652</v>
      </c>
      <c r="W398" s="245">
        <v>45986</v>
      </c>
      <c r="X398" s="237">
        <v>0</v>
      </c>
      <c r="Y398" s="237">
        <v>0</v>
      </c>
      <c r="Z398" s="237" t="s">
        <v>228</v>
      </c>
      <c r="AA398" s="237" t="s">
        <v>2496</v>
      </c>
      <c r="AB398" s="237" t="s">
        <v>228</v>
      </c>
      <c r="AC398" s="237" t="s">
        <v>228</v>
      </c>
    </row>
    <row r="399" spans="1:29" ht="13.5" customHeight="1">
      <c r="A399" s="235">
        <v>397</v>
      </c>
      <c r="B399" s="237"/>
      <c r="C399" s="255" t="s">
        <v>2497</v>
      </c>
      <c r="D399" s="237" t="s">
        <v>2498</v>
      </c>
      <c r="E399" s="237">
        <v>43</v>
      </c>
      <c r="F399" s="237" t="s">
        <v>60</v>
      </c>
      <c r="G399" s="237" t="s">
        <v>2499</v>
      </c>
      <c r="H399" s="243" t="s">
        <v>188</v>
      </c>
      <c r="I399" s="243"/>
      <c r="K399" s="240"/>
      <c r="L399" s="243" t="s">
        <v>231</v>
      </c>
      <c r="M399" s="243" t="s">
        <v>231</v>
      </c>
      <c r="N399" s="237"/>
      <c r="O399" s="237"/>
      <c r="P399" s="237"/>
      <c r="Q399" s="245">
        <v>45696</v>
      </c>
      <c r="R399" s="237" t="s">
        <v>309</v>
      </c>
      <c r="S399" s="331" t="s">
        <v>233</v>
      </c>
      <c r="T399" s="237" t="s">
        <v>228</v>
      </c>
      <c r="U399" s="237" t="s">
        <v>234</v>
      </c>
      <c r="V399" s="237" t="s">
        <v>652</v>
      </c>
      <c r="W399" s="245">
        <v>45986</v>
      </c>
      <c r="X399" s="237">
        <v>0</v>
      </c>
      <c r="Y399" s="237">
        <v>0</v>
      </c>
      <c r="Z399" s="237" t="s">
        <v>228</v>
      </c>
      <c r="AA399" s="237" t="s">
        <v>2500</v>
      </c>
      <c r="AB399" s="237" t="s">
        <v>228</v>
      </c>
      <c r="AC399" s="237" t="s">
        <v>228</v>
      </c>
    </row>
    <row r="400" spans="1:29" ht="13.5" customHeight="1">
      <c r="A400" s="235">
        <v>398</v>
      </c>
      <c r="B400" s="237"/>
      <c r="C400" s="255" t="s">
        <v>2501</v>
      </c>
      <c r="D400" s="237" t="s">
        <v>2502</v>
      </c>
      <c r="E400" s="237">
        <v>42</v>
      </c>
      <c r="F400" s="237" t="s">
        <v>60</v>
      </c>
      <c r="G400" s="237" t="s">
        <v>2503</v>
      </c>
      <c r="H400" s="243" t="s">
        <v>188</v>
      </c>
      <c r="I400" s="243"/>
      <c r="K400" s="240"/>
      <c r="L400" s="243" t="s">
        <v>231</v>
      </c>
      <c r="M400" s="243" t="s">
        <v>231</v>
      </c>
      <c r="N400" s="237"/>
      <c r="O400" s="237"/>
      <c r="P400" s="237"/>
      <c r="Q400" s="245">
        <v>45696</v>
      </c>
      <c r="R400" s="237" t="s">
        <v>309</v>
      </c>
      <c r="S400" s="331" t="s">
        <v>233</v>
      </c>
      <c r="T400" s="237" t="s">
        <v>228</v>
      </c>
      <c r="U400" s="237" t="s">
        <v>234</v>
      </c>
      <c r="V400" s="237" t="s">
        <v>652</v>
      </c>
      <c r="W400" s="245">
        <v>45986</v>
      </c>
      <c r="X400" s="237">
        <v>0</v>
      </c>
      <c r="Y400" s="237">
        <v>0</v>
      </c>
      <c r="Z400" s="237" t="s">
        <v>228</v>
      </c>
      <c r="AA400" s="237" t="s">
        <v>2504</v>
      </c>
      <c r="AB400" s="237" t="s">
        <v>228</v>
      </c>
      <c r="AC400" s="237" t="s">
        <v>228</v>
      </c>
    </row>
    <row r="401" spans="1:29" ht="13.5" customHeight="1">
      <c r="A401" s="235">
        <v>399</v>
      </c>
      <c r="B401" s="237"/>
      <c r="C401" s="255" t="s">
        <v>2505</v>
      </c>
      <c r="D401" s="237" t="s">
        <v>2506</v>
      </c>
      <c r="E401" s="237">
        <v>34</v>
      </c>
      <c r="F401" s="237" t="s">
        <v>75</v>
      </c>
      <c r="G401" s="237" t="s">
        <v>2507</v>
      </c>
      <c r="H401" s="243" t="s">
        <v>188</v>
      </c>
      <c r="I401" s="243"/>
      <c r="K401" s="240"/>
      <c r="L401" s="243" t="s">
        <v>231</v>
      </c>
      <c r="M401" s="243" t="s">
        <v>231</v>
      </c>
      <c r="N401" s="237"/>
      <c r="O401" s="237"/>
      <c r="P401" s="237"/>
      <c r="Q401" s="245">
        <v>45696</v>
      </c>
      <c r="R401" s="237" t="s">
        <v>309</v>
      </c>
      <c r="S401" s="331" t="s">
        <v>233</v>
      </c>
      <c r="T401" s="237" t="s">
        <v>228</v>
      </c>
      <c r="U401" s="237" t="s">
        <v>234</v>
      </c>
      <c r="V401" s="237" t="s">
        <v>652</v>
      </c>
      <c r="W401" s="245">
        <v>45986</v>
      </c>
      <c r="X401" s="237">
        <v>0</v>
      </c>
      <c r="Y401" s="237">
        <v>0</v>
      </c>
      <c r="Z401" s="237" t="s">
        <v>228</v>
      </c>
      <c r="AA401" s="237" t="s">
        <v>2508</v>
      </c>
      <c r="AB401" s="237" t="s">
        <v>228</v>
      </c>
      <c r="AC401" s="237" t="s">
        <v>228</v>
      </c>
    </row>
    <row r="402" spans="1:29" ht="13.5" customHeight="1">
      <c r="A402" s="235">
        <v>400</v>
      </c>
      <c r="B402" s="237"/>
      <c r="C402" s="255" t="s">
        <v>2509</v>
      </c>
      <c r="D402" s="237" t="s">
        <v>2510</v>
      </c>
      <c r="E402" s="237">
        <v>21</v>
      </c>
      <c r="F402" s="237" t="s">
        <v>60</v>
      </c>
      <c r="G402" s="237" t="s">
        <v>2511</v>
      </c>
      <c r="H402" s="243" t="s">
        <v>188</v>
      </c>
      <c r="I402" s="243"/>
      <c r="K402" s="240"/>
      <c r="L402" s="243" t="s">
        <v>231</v>
      </c>
      <c r="M402" s="243" t="s">
        <v>231</v>
      </c>
      <c r="N402" s="237"/>
      <c r="O402" s="237"/>
      <c r="P402" s="237"/>
      <c r="Q402" s="245">
        <v>45697</v>
      </c>
      <c r="R402" s="237" t="s">
        <v>309</v>
      </c>
      <c r="S402" s="331" t="s">
        <v>233</v>
      </c>
      <c r="T402" s="237" t="s">
        <v>228</v>
      </c>
      <c r="U402" s="237" t="s">
        <v>234</v>
      </c>
      <c r="V402" s="237" t="s">
        <v>652</v>
      </c>
      <c r="W402" s="245">
        <v>45986</v>
      </c>
      <c r="X402" s="237">
        <v>0</v>
      </c>
      <c r="Y402" s="237">
        <v>0</v>
      </c>
      <c r="Z402" s="237" t="s">
        <v>228</v>
      </c>
      <c r="AA402" s="237" t="s">
        <v>2512</v>
      </c>
      <c r="AB402" s="237" t="s">
        <v>228</v>
      </c>
      <c r="AC402" s="237" t="s">
        <v>228</v>
      </c>
    </row>
    <row r="403" spans="1:29" ht="13.5" customHeight="1">
      <c r="A403" s="235">
        <v>401</v>
      </c>
      <c r="B403" s="237"/>
      <c r="C403" s="255" t="s">
        <v>2513</v>
      </c>
      <c r="D403" s="237" t="s">
        <v>2514</v>
      </c>
      <c r="E403" s="237">
        <v>53</v>
      </c>
      <c r="F403" s="237" t="s">
        <v>75</v>
      </c>
      <c r="G403" s="237" t="s">
        <v>2515</v>
      </c>
      <c r="H403" s="243" t="s">
        <v>188</v>
      </c>
      <c r="I403" s="243"/>
      <c r="K403" s="240"/>
      <c r="L403" s="243" t="s">
        <v>231</v>
      </c>
      <c r="M403" s="243" t="s">
        <v>231</v>
      </c>
      <c r="N403" s="237"/>
      <c r="O403" s="237"/>
      <c r="P403" s="237"/>
      <c r="Q403" s="245">
        <v>45697</v>
      </c>
      <c r="R403" s="237" t="s">
        <v>309</v>
      </c>
      <c r="S403" s="331" t="s">
        <v>233</v>
      </c>
      <c r="T403" s="237" t="s">
        <v>228</v>
      </c>
      <c r="U403" s="237" t="s">
        <v>234</v>
      </c>
      <c r="V403" s="237" t="s">
        <v>652</v>
      </c>
      <c r="W403" s="245">
        <v>45986</v>
      </c>
      <c r="X403" s="237">
        <v>0</v>
      </c>
      <c r="Y403" s="237">
        <v>0</v>
      </c>
      <c r="Z403" s="237" t="s">
        <v>228</v>
      </c>
      <c r="AA403" s="237" t="s">
        <v>2516</v>
      </c>
      <c r="AB403" s="237" t="s">
        <v>228</v>
      </c>
      <c r="AC403" s="237" t="s">
        <v>228</v>
      </c>
    </row>
    <row r="404" spans="1:29" ht="13.5" customHeight="1">
      <c r="A404" s="235">
        <v>402</v>
      </c>
      <c r="B404" s="237"/>
      <c r="C404" s="255" t="s">
        <v>2517</v>
      </c>
      <c r="D404" s="237" t="s">
        <v>2518</v>
      </c>
      <c r="E404" s="237">
        <v>47</v>
      </c>
      <c r="F404" s="237" t="s">
        <v>75</v>
      </c>
      <c r="G404" s="237" t="s">
        <v>2519</v>
      </c>
      <c r="H404" s="243" t="s">
        <v>188</v>
      </c>
      <c r="I404" s="243"/>
      <c r="K404" s="240"/>
      <c r="L404" s="243" t="s">
        <v>231</v>
      </c>
      <c r="M404" s="243" t="s">
        <v>231</v>
      </c>
      <c r="N404" s="237"/>
      <c r="O404" s="237"/>
      <c r="P404" s="237"/>
      <c r="Q404" s="245">
        <v>45697</v>
      </c>
      <c r="R404" s="237" t="s">
        <v>309</v>
      </c>
      <c r="S404" s="331" t="s">
        <v>233</v>
      </c>
      <c r="T404" s="237" t="s">
        <v>228</v>
      </c>
      <c r="U404" s="237" t="s">
        <v>234</v>
      </c>
      <c r="V404" s="237" t="s">
        <v>652</v>
      </c>
      <c r="W404" s="245">
        <v>45986</v>
      </c>
      <c r="X404" s="237">
        <v>0</v>
      </c>
      <c r="Y404" s="237">
        <v>0</v>
      </c>
      <c r="Z404" s="237" t="s">
        <v>228</v>
      </c>
      <c r="AA404" s="237" t="s">
        <v>2520</v>
      </c>
      <c r="AB404" s="237" t="s">
        <v>228</v>
      </c>
      <c r="AC404" s="237" t="s">
        <v>228</v>
      </c>
    </row>
    <row r="405" spans="1:29" ht="13.5" customHeight="1">
      <c r="A405" s="235">
        <v>403</v>
      </c>
      <c r="B405" s="237"/>
      <c r="C405" s="255" t="s">
        <v>2521</v>
      </c>
      <c r="D405" s="237" t="s">
        <v>2522</v>
      </c>
      <c r="E405" s="237">
        <v>33</v>
      </c>
      <c r="F405" s="237" t="s">
        <v>75</v>
      </c>
      <c r="G405" s="237" t="s">
        <v>2523</v>
      </c>
      <c r="H405" s="243" t="s">
        <v>188</v>
      </c>
      <c r="I405" s="243"/>
      <c r="K405" s="240"/>
      <c r="L405" s="243" t="s">
        <v>231</v>
      </c>
      <c r="M405" s="243" t="s">
        <v>231</v>
      </c>
      <c r="N405" s="237"/>
      <c r="O405" s="237"/>
      <c r="P405" s="237"/>
      <c r="Q405" s="245">
        <v>45700</v>
      </c>
      <c r="R405" s="237" t="s">
        <v>309</v>
      </c>
      <c r="S405" s="331" t="s">
        <v>233</v>
      </c>
      <c r="T405" s="237" t="s">
        <v>228</v>
      </c>
      <c r="U405" s="237" t="s">
        <v>234</v>
      </c>
      <c r="V405" s="237" t="s">
        <v>652</v>
      </c>
      <c r="W405" s="245">
        <v>45986</v>
      </c>
      <c r="X405" s="237">
        <v>0</v>
      </c>
      <c r="Y405" s="237">
        <v>0</v>
      </c>
      <c r="Z405" s="237" t="s">
        <v>228</v>
      </c>
      <c r="AA405" s="237" t="s">
        <v>2524</v>
      </c>
      <c r="AB405" s="237" t="s">
        <v>228</v>
      </c>
      <c r="AC405" s="237" t="s">
        <v>228</v>
      </c>
    </row>
    <row r="406" spans="1:29" ht="13.5" customHeight="1">
      <c r="A406" s="235">
        <v>404</v>
      </c>
      <c r="B406" s="237"/>
      <c r="C406" s="255" t="s">
        <v>2525</v>
      </c>
      <c r="D406" s="237" t="s">
        <v>2526</v>
      </c>
      <c r="E406" s="237">
        <v>63</v>
      </c>
      <c r="F406" s="237" t="s">
        <v>60</v>
      </c>
      <c r="G406" s="237" t="s">
        <v>2527</v>
      </c>
      <c r="H406" s="243" t="s">
        <v>188</v>
      </c>
      <c r="I406" s="243"/>
      <c r="K406" s="240"/>
      <c r="L406" s="243" t="s">
        <v>231</v>
      </c>
      <c r="M406" s="243" t="s">
        <v>231</v>
      </c>
      <c r="N406" s="237"/>
      <c r="O406" s="237"/>
      <c r="P406" s="237"/>
      <c r="Q406" s="245">
        <v>45700</v>
      </c>
      <c r="R406" s="237" t="s">
        <v>309</v>
      </c>
      <c r="S406" s="331" t="s">
        <v>233</v>
      </c>
      <c r="T406" s="237" t="s">
        <v>228</v>
      </c>
      <c r="U406" s="237" t="s">
        <v>234</v>
      </c>
      <c r="V406" s="237" t="s">
        <v>652</v>
      </c>
      <c r="W406" s="245">
        <v>45986</v>
      </c>
      <c r="X406" s="237">
        <v>0</v>
      </c>
      <c r="Y406" s="237">
        <v>0</v>
      </c>
      <c r="Z406" s="237" t="s">
        <v>228</v>
      </c>
      <c r="AA406" s="237" t="s">
        <v>2528</v>
      </c>
      <c r="AB406" s="237" t="s">
        <v>228</v>
      </c>
      <c r="AC406" s="237" t="s">
        <v>228</v>
      </c>
    </row>
    <row r="407" spans="1:29" ht="13.5" customHeight="1">
      <c r="A407" s="235">
        <v>405</v>
      </c>
      <c r="B407" s="237"/>
      <c r="C407" s="255" t="s">
        <v>2529</v>
      </c>
      <c r="D407" s="237" t="s">
        <v>2530</v>
      </c>
      <c r="E407" s="237">
        <v>53</v>
      </c>
      <c r="F407" s="237" t="s">
        <v>60</v>
      </c>
      <c r="G407" s="237" t="s">
        <v>2531</v>
      </c>
      <c r="H407" s="243" t="s">
        <v>188</v>
      </c>
      <c r="I407" s="243"/>
      <c r="K407" s="240"/>
      <c r="L407" s="243" t="s">
        <v>231</v>
      </c>
      <c r="M407" s="243" t="s">
        <v>231</v>
      </c>
      <c r="N407" s="237"/>
      <c r="O407" s="237"/>
      <c r="P407" s="237"/>
      <c r="Q407" s="245">
        <v>45700</v>
      </c>
      <c r="R407" s="237" t="s">
        <v>309</v>
      </c>
      <c r="S407" s="331" t="s">
        <v>233</v>
      </c>
      <c r="T407" s="237" t="s">
        <v>228</v>
      </c>
      <c r="U407" s="237" t="s">
        <v>234</v>
      </c>
      <c r="V407" s="237" t="s">
        <v>652</v>
      </c>
      <c r="W407" s="245">
        <v>45986</v>
      </c>
      <c r="X407" s="237">
        <v>0</v>
      </c>
      <c r="Y407" s="237">
        <v>0</v>
      </c>
      <c r="Z407" s="237" t="s">
        <v>228</v>
      </c>
      <c r="AA407" s="237" t="s">
        <v>2532</v>
      </c>
      <c r="AB407" s="237" t="s">
        <v>228</v>
      </c>
      <c r="AC407" s="237" t="s">
        <v>228</v>
      </c>
    </row>
    <row r="408" spans="1:29" ht="13.5" customHeight="1">
      <c r="A408" s="235">
        <v>406</v>
      </c>
      <c r="B408" s="237"/>
      <c r="C408" s="255" t="s">
        <v>2533</v>
      </c>
      <c r="D408" s="237" t="s">
        <v>2534</v>
      </c>
      <c r="E408" s="237">
        <v>29</v>
      </c>
      <c r="F408" s="237" t="s">
        <v>75</v>
      </c>
      <c r="G408" s="237" t="s">
        <v>2535</v>
      </c>
      <c r="H408" s="243" t="s">
        <v>188</v>
      </c>
      <c r="I408" s="243"/>
      <c r="K408" s="240"/>
      <c r="L408" s="243" t="s">
        <v>231</v>
      </c>
      <c r="M408" s="243" t="s">
        <v>231</v>
      </c>
      <c r="N408" s="237"/>
      <c r="O408" s="237"/>
      <c r="P408" s="237"/>
      <c r="Q408" s="245">
        <v>45701</v>
      </c>
      <c r="R408" s="237" t="s">
        <v>309</v>
      </c>
      <c r="S408" s="331" t="s">
        <v>233</v>
      </c>
      <c r="T408" s="237" t="s">
        <v>228</v>
      </c>
      <c r="U408" s="237" t="s">
        <v>234</v>
      </c>
      <c r="V408" s="237" t="s">
        <v>652</v>
      </c>
      <c r="W408" s="245">
        <v>45986</v>
      </c>
      <c r="X408" s="237">
        <v>0</v>
      </c>
      <c r="Y408" s="237">
        <v>0</v>
      </c>
      <c r="Z408" s="237" t="s">
        <v>228</v>
      </c>
      <c r="AA408" s="237" t="s">
        <v>2536</v>
      </c>
      <c r="AB408" s="237" t="s">
        <v>228</v>
      </c>
      <c r="AC408" s="237" t="s">
        <v>228</v>
      </c>
    </row>
    <row r="409" spans="1:29" ht="13.5" customHeight="1">
      <c r="A409" s="235">
        <v>407</v>
      </c>
      <c r="B409" s="237"/>
      <c r="C409" s="255" t="s">
        <v>2537</v>
      </c>
      <c r="D409" s="237" t="s">
        <v>2538</v>
      </c>
      <c r="E409" s="237">
        <v>41</v>
      </c>
      <c r="F409" s="237" t="s">
        <v>75</v>
      </c>
      <c r="G409" s="237" t="s">
        <v>2539</v>
      </c>
      <c r="H409" s="243" t="s">
        <v>188</v>
      </c>
      <c r="I409" s="243"/>
      <c r="K409" s="240"/>
      <c r="L409" s="243" t="s">
        <v>231</v>
      </c>
      <c r="M409" s="243" t="s">
        <v>231</v>
      </c>
      <c r="N409" s="237"/>
      <c r="O409" s="237"/>
      <c r="P409" s="237"/>
      <c r="Q409" s="245">
        <v>45702</v>
      </c>
      <c r="R409" s="237" t="s">
        <v>309</v>
      </c>
      <c r="S409" s="331" t="s">
        <v>233</v>
      </c>
      <c r="T409" s="237" t="s">
        <v>228</v>
      </c>
      <c r="U409" s="237" t="s">
        <v>234</v>
      </c>
      <c r="V409" s="237" t="s">
        <v>652</v>
      </c>
      <c r="W409" s="245">
        <v>45986</v>
      </c>
      <c r="X409" s="237">
        <v>0</v>
      </c>
      <c r="Y409" s="237">
        <v>0</v>
      </c>
      <c r="Z409" s="237" t="s">
        <v>228</v>
      </c>
      <c r="AA409" s="237" t="s">
        <v>2540</v>
      </c>
      <c r="AB409" s="237" t="s">
        <v>228</v>
      </c>
      <c r="AC409" s="237" t="s">
        <v>228</v>
      </c>
    </row>
    <row r="410" spans="1:29" ht="13.5" customHeight="1">
      <c r="A410" s="235">
        <v>408</v>
      </c>
      <c r="B410" s="237"/>
      <c r="C410" s="255" t="s">
        <v>2541</v>
      </c>
      <c r="D410" s="237" t="s">
        <v>2542</v>
      </c>
      <c r="E410" s="237">
        <v>54</v>
      </c>
      <c r="F410" s="237" t="s">
        <v>75</v>
      </c>
      <c r="G410" s="237" t="s">
        <v>2543</v>
      </c>
      <c r="H410" s="243" t="s">
        <v>188</v>
      </c>
      <c r="I410" s="243"/>
      <c r="K410" s="240"/>
      <c r="L410" s="243" t="s">
        <v>231</v>
      </c>
      <c r="M410" s="243" t="s">
        <v>231</v>
      </c>
      <c r="N410" s="237"/>
      <c r="O410" s="237"/>
      <c r="P410" s="237"/>
      <c r="Q410" s="245">
        <v>45702</v>
      </c>
      <c r="R410" s="237" t="s">
        <v>309</v>
      </c>
      <c r="S410" s="331" t="s">
        <v>233</v>
      </c>
      <c r="T410" s="237" t="s">
        <v>228</v>
      </c>
      <c r="U410" s="237" t="s">
        <v>234</v>
      </c>
      <c r="V410" s="237" t="s">
        <v>652</v>
      </c>
      <c r="W410" s="245">
        <v>45986</v>
      </c>
      <c r="X410" s="237">
        <v>0</v>
      </c>
      <c r="Y410" s="237">
        <v>0</v>
      </c>
      <c r="Z410" s="237" t="s">
        <v>228</v>
      </c>
      <c r="AA410" s="237" t="s">
        <v>2544</v>
      </c>
      <c r="AB410" s="237" t="s">
        <v>228</v>
      </c>
      <c r="AC410" s="237" t="s">
        <v>228</v>
      </c>
    </row>
    <row r="411" spans="1:29" ht="13.5" customHeight="1">
      <c r="A411" s="235">
        <v>409</v>
      </c>
      <c r="B411" s="237"/>
      <c r="C411" s="255" t="s">
        <v>2545</v>
      </c>
      <c r="D411" s="237" t="s">
        <v>2546</v>
      </c>
      <c r="E411" s="237">
        <v>34</v>
      </c>
      <c r="F411" s="237" t="s">
        <v>75</v>
      </c>
      <c r="G411" s="237" t="s">
        <v>2547</v>
      </c>
      <c r="H411" s="243" t="s">
        <v>188</v>
      </c>
      <c r="I411" s="243"/>
      <c r="K411" s="240"/>
      <c r="L411" s="243" t="s">
        <v>231</v>
      </c>
      <c r="M411" s="243" t="s">
        <v>231</v>
      </c>
      <c r="N411" s="237"/>
      <c r="O411" s="237"/>
      <c r="P411" s="237"/>
      <c r="Q411" s="245">
        <v>45702</v>
      </c>
      <c r="R411" s="237" t="s">
        <v>309</v>
      </c>
      <c r="S411" s="331" t="s">
        <v>233</v>
      </c>
      <c r="T411" s="237" t="s">
        <v>228</v>
      </c>
      <c r="U411" s="237" t="s">
        <v>234</v>
      </c>
      <c r="V411" s="237" t="s">
        <v>652</v>
      </c>
      <c r="W411" s="245">
        <v>45986</v>
      </c>
      <c r="X411" s="237">
        <v>0</v>
      </c>
      <c r="Y411" s="237">
        <v>0</v>
      </c>
      <c r="Z411" s="237" t="s">
        <v>228</v>
      </c>
      <c r="AA411" s="237" t="s">
        <v>2548</v>
      </c>
      <c r="AB411" s="237" t="s">
        <v>228</v>
      </c>
      <c r="AC411" s="237" t="s">
        <v>228</v>
      </c>
    </row>
    <row r="412" spans="1:29" ht="13.5" customHeight="1">
      <c r="A412" s="235">
        <v>410</v>
      </c>
      <c r="B412" s="237"/>
      <c r="C412" s="255" t="s">
        <v>2549</v>
      </c>
      <c r="D412" s="237" t="s">
        <v>2550</v>
      </c>
      <c r="E412" s="237">
        <v>38</v>
      </c>
      <c r="F412" s="237" t="s">
        <v>75</v>
      </c>
      <c r="G412" s="237" t="s">
        <v>2551</v>
      </c>
      <c r="H412" s="243" t="s">
        <v>188</v>
      </c>
      <c r="I412" s="243"/>
      <c r="K412" s="240"/>
      <c r="L412" s="243" t="s">
        <v>231</v>
      </c>
      <c r="M412" s="243" t="s">
        <v>231</v>
      </c>
      <c r="N412" s="237"/>
      <c r="O412" s="237"/>
      <c r="P412" s="237"/>
      <c r="Q412" s="245">
        <v>45702</v>
      </c>
      <c r="R412" s="237" t="s">
        <v>309</v>
      </c>
      <c r="S412" s="331" t="s">
        <v>233</v>
      </c>
      <c r="T412" s="237" t="s">
        <v>228</v>
      </c>
      <c r="U412" s="237" t="s">
        <v>234</v>
      </c>
      <c r="V412" s="237" t="s">
        <v>652</v>
      </c>
      <c r="W412" s="245">
        <v>45986</v>
      </c>
      <c r="X412" s="237">
        <v>0</v>
      </c>
      <c r="Y412" s="237">
        <v>0</v>
      </c>
      <c r="Z412" s="237" t="s">
        <v>228</v>
      </c>
      <c r="AA412" s="237" t="s">
        <v>2552</v>
      </c>
      <c r="AB412" s="237" t="s">
        <v>228</v>
      </c>
      <c r="AC412" s="237" t="s">
        <v>228</v>
      </c>
    </row>
    <row r="413" spans="1:29" ht="13.5" customHeight="1">
      <c r="A413" s="235">
        <v>411</v>
      </c>
      <c r="B413" s="237"/>
      <c r="C413" s="255" t="s">
        <v>2553</v>
      </c>
      <c r="D413" s="237" t="s">
        <v>2554</v>
      </c>
      <c r="E413" s="237">
        <v>35</v>
      </c>
      <c r="F413" s="237" t="s">
        <v>75</v>
      </c>
      <c r="G413" s="237" t="s">
        <v>2555</v>
      </c>
      <c r="H413" s="243" t="s">
        <v>188</v>
      </c>
      <c r="I413" s="243"/>
      <c r="K413" s="240"/>
      <c r="L413" s="243" t="s">
        <v>231</v>
      </c>
      <c r="M413" s="243" t="s">
        <v>231</v>
      </c>
      <c r="N413" s="237"/>
      <c r="O413" s="237"/>
      <c r="P413" s="237"/>
      <c r="Q413" s="245">
        <v>45702</v>
      </c>
      <c r="R413" s="237" t="s">
        <v>309</v>
      </c>
      <c r="S413" s="331" t="s">
        <v>233</v>
      </c>
      <c r="T413" s="237" t="s">
        <v>228</v>
      </c>
      <c r="U413" s="237" t="s">
        <v>234</v>
      </c>
      <c r="V413" s="237" t="s">
        <v>652</v>
      </c>
      <c r="W413" s="245">
        <v>45986</v>
      </c>
      <c r="X413" s="237">
        <v>0</v>
      </c>
      <c r="Y413" s="237">
        <v>0</v>
      </c>
      <c r="Z413" s="237" t="s">
        <v>228</v>
      </c>
      <c r="AA413" s="237" t="s">
        <v>2556</v>
      </c>
      <c r="AB413" s="237" t="s">
        <v>228</v>
      </c>
      <c r="AC413" s="237" t="s">
        <v>228</v>
      </c>
    </row>
    <row r="414" spans="1:29" ht="13.5" customHeight="1">
      <c r="A414" s="235">
        <v>412</v>
      </c>
      <c r="B414" s="237"/>
      <c r="C414" s="255" t="s">
        <v>2557</v>
      </c>
      <c r="D414" s="237" t="s">
        <v>2558</v>
      </c>
      <c r="E414" s="237">
        <v>53</v>
      </c>
      <c r="F414" s="237" t="s">
        <v>75</v>
      </c>
      <c r="G414" s="237" t="s">
        <v>2559</v>
      </c>
      <c r="H414" s="243" t="s">
        <v>188</v>
      </c>
      <c r="I414" s="243"/>
      <c r="K414" s="240"/>
      <c r="L414" s="243" t="s">
        <v>231</v>
      </c>
      <c r="M414" s="243" t="s">
        <v>231</v>
      </c>
      <c r="N414" s="237"/>
      <c r="O414" s="237"/>
      <c r="P414" s="237"/>
      <c r="Q414" s="245">
        <v>45708</v>
      </c>
      <c r="R414" s="237" t="s">
        <v>309</v>
      </c>
      <c r="S414" s="331" t="s">
        <v>233</v>
      </c>
      <c r="T414" s="237" t="s">
        <v>228</v>
      </c>
      <c r="U414" s="237" t="s">
        <v>234</v>
      </c>
      <c r="V414" s="237" t="s">
        <v>652</v>
      </c>
      <c r="W414" s="245">
        <v>45986</v>
      </c>
      <c r="X414" s="237">
        <v>0</v>
      </c>
      <c r="Y414" s="237">
        <v>0</v>
      </c>
      <c r="Z414" s="237" t="s">
        <v>228</v>
      </c>
      <c r="AA414" s="237" t="s">
        <v>2560</v>
      </c>
      <c r="AB414" s="237" t="s">
        <v>228</v>
      </c>
      <c r="AC414" s="237" t="s">
        <v>228</v>
      </c>
    </row>
    <row r="415" spans="1:29" ht="13.5" customHeight="1">
      <c r="A415" s="235">
        <v>413</v>
      </c>
      <c r="B415" s="237"/>
      <c r="C415" s="255" t="s">
        <v>2561</v>
      </c>
      <c r="D415" s="237" t="s">
        <v>2562</v>
      </c>
      <c r="E415" s="237">
        <v>45</v>
      </c>
      <c r="F415" s="237" t="s">
        <v>75</v>
      </c>
      <c r="G415" s="237" t="s">
        <v>2563</v>
      </c>
      <c r="H415" s="243" t="s">
        <v>15</v>
      </c>
      <c r="I415" s="243" t="s">
        <v>2298</v>
      </c>
      <c r="K415" s="240" t="s">
        <v>98</v>
      </c>
      <c r="L415" s="243" t="s">
        <v>4393</v>
      </c>
      <c r="M415" s="243" t="s">
        <v>231</v>
      </c>
      <c r="N415" s="237"/>
      <c r="O415" s="237"/>
      <c r="P415" s="237"/>
      <c r="Q415" s="245">
        <v>45708</v>
      </c>
      <c r="R415" s="237" t="s">
        <v>309</v>
      </c>
      <c r="S415" s="331" t="s">
        <v>233</v>
      </c>
      <c r="T415" s="237" t="s">
        <v>228</v>
      </c>
      <c r="U415" s="237" t="s">
        <v>234</v>
      </c>
      <c r="V415" s="237" t="s">
        <v>652</v>
      </c>
      <c r="W415" s="245">
        <v>45971</v>
      </c>
      <c r="X415" s="237" t="s">
        <v>2564</v>
      </c>
      <c r="Y415" s="237" t="s">
        <v>588</v>
      </c>
      <c r="Z415" s="237" t="s">
        <v>237</v>
      </c>
      <c r="AA415" s="237" t="s">
        <v>2565</v>
      </c>
      <c r="AB415" s="237" t="s">
        <v>228</v>
      </c>
      <c r="AC415" s="237" t="s">
        <v>228</v>
      </c>
    </row>
    <row r="416" spans="1:29" ht="13.5" customHeight="1">
      <c r="A416" s="235">
        <v>414</v>
      </c>
      <c r="B416" s="237"/>
      <c r="C416" s="255" t="s">
        <v>2566</v>
      </c>
      <c r="D416" s="237" t="s">
        <v>2567</v>
      </c>
      <c r="E416" s="237">
        <v>36</v>
      </c>
      <c r="F416" s="237" t="s">
        <v>75</v>
      </c>
      <c r="G416" s="237" t="s">
        <v>2568</v>
      </c>
      <c r="H416" s="243" t="s">
        <v>188</v>
      </c>
      <c r="I416" s="243"/>
      <c r="K416" s="240"/>
      <c r="L416" s="243" t="s">
        <v>231</v>
      </c>
      <c r="M416" s="243" t="s">
        <v>231</v>
      </c>
      <c r="N416" s="237"/>
      <c r="O416" s="237"/>
      <c r="P416" s="237"/>
      <c r="Q416" s="245">
        <v>45708</v>
      </c>
      <c r="R416" s="237" t="s">
        <v>309</v>
      </c>
      <c r="S416" s="331" t="s">
        <v>233</v>
      </c>
      <c r="T416" s="237" t="s">
        <v>228</v>
      </c>
      <c r="U416" s="237" t="s">
        <v>234</v>
      </c>
      <c r="V416" s="237" t="s">
        <v>652</v>
      </c>
      <c r="W416" s="245">
        <v>45986</v>
      </c>
      <c r="X416" s="237">
        <v>0</v>
      </c>
      <c r="Y416" s="237">
        <v>0</v>
      </c>
      <c r="Z416" s="237" t="s">
        <v>228</v>
      </c>
      <c r="AA416" s="237" t="s">
        <v>2569</v>
      </c>
      <c r="AB416" s="237" t="s">
        <v>228</v>
      </c>
      <c r="AC416" s="237" t="s">
        <v>228</v>
      </c>
    </row>
    <row r="417" spans="1:29" ht="13.5" customHeight="1">
      <c r="A417" s="235">
        <v>415</v>
      </c>
      <c r="B417" s="237"/>
      <c r="C417" s="255" t="s">
        <v>2570</v>
      </c>
      <c r="D417" s="237" t="s">
        <v>2571</v>
      </c>
      <c r="E417" s="237">
        <v>45</v>
      </c>
      <c r="F417" s="237" t="s">
        <v>75</v>
      </c>
      <c r="G417" s="237" t="s">
        <v>2572</v>
      </c>
      <c r="H417" s="243" t="s">
        <v>188</v>
      </c>
      <c r="I417" s="243"/>
      <c r="K417" s="240"/>
      <c r="L417" s="243" t="s">
        <v>231</v>
      </c>
      <c r="M417" s="243" t="s">
        <v>231</v>
      </c>
      <c r="N417" s="237"/>
      <c r="O417" s="237"/>
      <c r="P417" s="237"/>
      <c r="Q417" s="245">
        <v>45708</v>
      </c>
      <c r="R417" s="237" t="s">
        <v>309</v>
      </c>
      <c r="S417" s="331" t="s">
        <v>233</v>
      </c>
      <c r="T417" s="237" t="s">
        <v>228</v>
      </c>
      <c r="U417" s="237" t="s">
        <v>234</v>
      </c>
      <c r="V417" s="237" t="s">
        <v>652</v>
      </c>
      <c r="W417" s="245">
        <v>45986</v>
      </c>
      <c r="X417" s="237">
        <v>0</v>
      </c>
      <c r="Y417" s="237">
        <v>0</v>
      </c>
      <c r="Z417" s="237" t="s">
        <v>228</v>
      </c>
      <c r="AA417" s="237" t="s">
        <v>2573</v>
      </c>
      <c r="AB417" s="237" t="s">
        <v>228</v>
      </c>
      <c r="AC417" s="237" t="s">
        <v>228</v>
      </c>
    </row>
    <row r="418" spans="1:29" ht="13.5" customHeight="1">
      <c r="A418" s="235">
        <v>416</v>
      </c>
      <c r="B418" s="237"/>
      <c r="C418" s="255" t="s">
        <v>2574</v>
      </c>
      <c r="D418" s="237" t="s">
        <v>2575</v>
      </c>
      <c r="E418" s="237">
        <v>72</v>
      </c>
      <c r="F418" s="237" t="s">
        <v>60</v>
      </c>
      <c r="G418" s="237" t="s">
        <v>2576</v>
      </c>
      <c r="H418" s="243" t="s">
        <v>188</v>
      </c>
      <c r="I418" s="243"/>
      <c r="K418" s="240"/>
      <c r="L418" s="243" t="s">
        <v>231</v>
      </c>
      <c r="M418" s="243" t="s">
        <v>231</v>
      </c>
      <c r="N418" s="237"/>
      <c r="O418" s="237"/>
      <c r="P418" s="237"/>
      <c r="Q418" s="245">
        <v>45708</v>
      </c>
      <c r="R418" s="237" t="s">
        <v>309</v>
      </c>
      <c r="S418" s="331" t="s">
        <v>233</v>
      </c>
      <c r="T418" s="237" t="s">
        <v>228</v>
      </c>
      <c r="U418" s="237" t="s">
        <v>234</v>
      </c>
      <c r="V418" s="237" t="s">
        <v>652</v>
      </c>
      <c r="W418" s="245">
        <v>45986</v>
      </c>
      <c r="X418" s="237">
        <v>0</v>
      </c>
      <c r="Y418" s="237">
        <v>0</v>
      </c>
      <c r="Z418" s="237" t="s">
        <v>228</v>
      </c>
      <c r="AA418" s="237" t="s">
        <v>2577</v>
      </c>
      <c r="AB418" s="237" t="s">
        <v>228</v>
      </c>
      <c r="AC418" s="237" t="s">
        <v>228</v>
      </c>
    </row>
    <row r="419" spans="1:29" ht="13.5" customHeight="1">
      <c r="A419" s="235">
        <v>417</v>
      </c>
      <c r="B419" s="237"/>
      <c r="C419" s="255" t="s">
        <v>2578</v>
      </c>
      <c r="D419" s="237" t="s">
        <v>2579</v>
      </c>
      <c r="E419" s="237">
        <v>57</v>
      </c>
      <c r="F419" s="237" t="s">
        <v>75</v>
      </c>
      <c r="G419" s="237" t="s">
        <v>2580</v>
      </c>
      <c r="H419" s="243" t="s">
        <v>188</v>
      </c>
      <c r="I419" s="243"/>
      <c r="K419" s="240"/>
      <c r="L419" s="243" t="s">
        <v>231</v>
      </c>
      <c r="M419" s="243" t="s">
        <v>231</v>
      </c>
      <c r="N419" s="237"/>
      <c r="O419" s="237"/>
      <c r="P419" s="237"/>
      <c r="Q419" s="245">
        <v>45712</v>
      </c>
      <c r="R419" s="237" t="s">
        <v>309</v>
      </c>
      <c r="S419" s="331" t="s">
        <v>233</v>
      </c>
      <c r="T419" s="237" t="s">
        <v>228</v>
      </c>
      <c r="U419" s="237" t="s">
        <v>234</v>
      </c>
      <c r="V419" s="237" t="s">
        <v>652</v>
      </c>
      <c r="W419" s="245">
        <v>45986</v>
      </c>
      <c r="X419" s="237">
        <v>0</v>
      </c>
      <c r="Y419" s="237">
        <v>0</v>
      </c>
      <c r="Z419" s="237" t="s">
        <v>228</v>
      </c>
      <c r="AA419" s="237" t="s">
        <v>2581</v>
      </c>
      <c r="AB419" s="237" t="s">
        <v>228</v>
      </c>
      <c r="AC419" s="237" t="s">
        <v>228</v>
      </c>
    </row>
    <row r="420" spans="1:29" ht="13.5" customHeight="1">
      <c r="A420" s="235">
        <v>418</v>
      </c>
      <c r="B420" s="237"/>
      <c r="C420" s="255" t="s">
        <v>2582</v>
      </c>
      <c r="D420" s="237" t="s">
        <v>2583</v>
      </c>
      <c r="E420" s="237">
        <v>50</v>
      </c>
      <c r="F420" s="237" t="s">
        <v>60</v>
      </c>
      <c r="G420" s="237" t="s">
        <v>2584</v>
      </c>
      <c r="H420" s="243" t="s">
        <v>188</v>
      </c>
      <c r="I420" s="243"/>
      <c r="K420" s="240"/>
      <c r="L420" s="243" t="s">
        <v>231</v>
      </c>
      <c r="M420" s="243" t="s">
        <v>231</v>
      </c>
      <c r="N420" s="237"/>
      <c r="O420" s="237"/>
      <c r="P420" s="237"/>
      <c r="Q420" s="245">
        <v>45713</v>
      </c>
      <c r="R420" s="237" t="s">
        <v>309</v>
      </c>
      <c r="S420" s="331" t="s">
        <v>233</v>
      </c>
      <c r="T420" s="237" t="s">
        <v>228</v>
      </c>
      <c r="U420" s="237" t="s">
        <v>234</v>
      </c>
      <c r="V420" s="237" t="s">
        <v>652</v>
      </c>
      <c r="W420" s="245">
        <v>45986</v>
      </c>
      <c r="X420" s="237">
        <v>0</v>
      </c>
      <c r="Y420" s="237">
        <v>0</v>
      </c>
      <c r="Z420" s="237" t="s">
        <v>228</v>
      </c>
      <c r="AA420" s="237" t="s">
        <v>2585</v>
      </c>
      <c r="AB420" s="237" t="s">
        <v>228</v>
      </c>
      <c r="AC420" s="237" t="s">
        <v>228</v>
      </c>
    </row>
    <row r="421" spans="1:29" ht="13.5" customHeight="1">
      <c r="A421" s="235">
        <v>419</v>
      </c>
      <c r="B421" s="237"/>
      <c r="C421" s="255" t="s">
        <v>2586</v>
      </c>
      <c r="D421" s="237" t="s">
        <v>2587</v>
      </c>
      <c r="E421" s="237">
        <v>61</v>
      </c>
      <c r="F421" s="237" t="s">
        <v>75</v>
      </c>
      <c r="G421" s="237" t="s">
        <v>2588</v>
      </c>
      <c r="H421" s="243" t="s">
        <v>188</v>
      </c>
      <c r="I421" s="243"/>
      <c r="K421" s="240"/>
      <c r="L421" s="243" t="s">
        <v>231</v>
      </c>
      <c r="M421" s="243" t="s">
        <v>231</v>
      </c>
      <c r="N421" s="237"/>
      <c r="O421" s="237"/>
      <c r="P421" s="237"/>
      <c r="Q421" s="245">
        <v>45713</v>
      </c>
      <c r="R421" s="237" t="s">
        <v>309</v>
      </c>
      <c r="S421" s="331" t="s">
        <v>233</v>
      </c>
      <c r="T421" s="237" t="s">
        <v>228</v>
      </c>
      <c r="U421" s="237" t="s">
        <v>234</v>
      </c>
      <c r="V421" s="237" t="s">
        <v>652</v>
      </c>
      <c r="W421" s="245">
        <v>45986</v>
      </c>
      <c r="X421" s="237">
        <v>0</v>
      </c>
      <c r="Y421" s="237">
        <v>0</v>
      </c>
      <c r="Z421" s="237" t="s">
        <v>228</v>
      </c>
      <c r="AA421" s="237" t="s">
        <v>2589</v>
      </c>
      <c r="AB421" s="237" t="s">
        <v>228</v>
      </c>
      <c r="AC421" s="237" t="s">
        <v>228</v>
      </c>
    </row>
    <row r="422" spans="1:29" ht="13.5" customHeight="1">
      <c r="A422" s="235">
        <v>420</v>
      </c>
      <c r="B422" s="237"/>
      <c r="C422" s="255" t="s">
        <v>2590</v>
      </c>
      <c r="D422" s="237" t="s">
        <v>2591</v>
      </c>
      <c r="E422" s="237">
        <v>68</v>
      </c>
      <c r="F422" s="237" t="s">
        <v>60</v>
      </c>
      <c r="G422" s="237" t="s">
        <v>2592</v>
      </c>
      <c r="H422" s="243" t="s">
        <v>188</v>
      </c>
      <c r="I422" s="243"/>
      <c r="K422" s="240"/>
      <c r="L422" s="243" t="s">
        <v>231</v>
      </c>
      <c r="M422" s="243" t="s">
        <v>231</v>
      </c>
      <c r="N422" s="237"/>
      <c r="O422" s="237"/>
      <c r="P422" s="237"/>
      <c r="Q422" s="245">
        <v>45713</v>
      </c>
      <c r="R422" s="237" t="s">
        <v>309</v>
      </c>
      <c r="S422" s="331" t="s">
        <v>233</v>
      </c>
      <c r="T422" s="237" t="s">
        <v>228</v>
      </c>
      <c r="U422" s="237" t="s">
        <v>234</v>
      </c>
      <c r="V422" s="237" t="s">
        <v>652</v>
      </c>
      <c r="W422" s="245">
        <v>45986</v>
      </c>
      <c r="X422" s="237">
        <v>0</v>
      </c>
      <c r="Y422" s="237">
        <v>0</v>
      </c>
      <c r="Z422" s="237" t="s">
        <v>228</v>
      </c>
      <c r="AA422" s="237" t="s">
        <v>2593</v>
      </c>
      <c r="AB422" s="237" t="s">
        <v>228</v>
      </c>
      <c r="AC422" s="237" t="s">
        <v>228</v>
      </c>
    </row>
    <row r="423" spans="1:29" ht="13.5" customHeight="1">
      <c r="A423" s="235">
        <v>421</v>
      </c>
      <c r="B423" s="237"/>
      <c r="C423" s="255" t="s">
        <v>2594</v>
      </c>
      <c r="D423" s="237" t="s">
        <v>2595</v>
      </c>
      <c r="E423" s="237">
        <v>24</v>
      </c>
      <c r="F423" s="237" t="s">
        <v>75</v>
      </c>
      <c r="G423" s="237" t="s">
        <v>2596</v>
      </c>
      <c r="H423" s="243" t="s">
        <v>188</v>
      </c>
      <c r="I423" s="243"/>
      <c r="K423" s="240"/>
      <c r="L423" s="243" t="s">
        <v>231</v>
      </c>
      <c r="M423" s="243" t="s">
        <v>231</v>
      </c>
      <c r="N423" s="237"/>
      <c r="O423" s="237"/>
      <c r="P423" s="237"/>
      <c r="Q423" s="245">
        <v>45715</v>
      </c>
      <c r="R423" s="237" t="s">
        <v>309</v>
      </c>
      <c r="S423" s="331" t="s">
        <v>233</v>
      </c>
      <c r="T423" s="237" t="s">
        <v>228</v>
      </c>
      <c r="U423" s="237" t="s">
        <v>234</v>
      </c>
      <c r="V423" s="237" t="s">
        <v>652</v>
      </c>
      <c r="W423" s="245">
        <v>45986</v>
      </c>
      <c r="X423" s="237">
        <v>0</v>
      </c>
      <c r="Y423" s="237">
        <v>0</v>
      </c>
      <c r="Z423" s="237" t="s">
        <v>228</v>
      </c>
      <c r="AA423" s="237" t="s">
        <v>2597</v>
      </c>
      <c r="AB423" s="237" t="s">
        <v>228</v>
      </c>
      <c r="AC423" s="237" t="s">
        <v>228</v>
      </c>
    </row>
    <row r="424" spans="1:29" ht="13.5" customHeight="1">
      <c r="A424" s="235">
        <v>422</v>
      </c>
      <c r="B424" s="237" t="s">
        <v>2598</v>
      </c>
      <c r="C424" s="255" t="s">
        <v>2599</v>
      </c>
      <c r="D424" s="237" t="s">
        <v>2600</v>
      </c>
      <c r="E424" s="237">
        <v>23</v>
      </c>
      <c r="F424" s="237" t="s">
        <v>60</v>
      </c>
      <c r="G424" s="237" t="s">
        <v>2601</v>
      </c>
      <c r="H424" s="243" t="s">
        <v>188</v>
      </c>
      <c r="I424" s="243"/>
      <c r="K424" s="240"/>
      <c r="L424" s="243" t="s">
        <v>231</v>
      </c>
      <c r="M424" s="246" t="s">
        <v>228</v>
      </c>
      <c r="N424" s="237"/>
      <c r="O424" s="237"/>
      <c r="P424" s="237"/>
      <c r="Q424" s="245">
        <v>45715</v>
      </c>
      <c r="R424" s="237" t="s">
        <v>309</v>
      </c>
      <c r="S424" s="331" t="s">
        <v>233</v>
      </c>
      <c r="T424" s="237" t="s">
        <v>228</v>
      </c>
      <c r="U424" s="237" t="s">
        <v>234</v>
      </c>
      <c r="V424" s="237" t="s">
        <v>652</v>
      </c>
      <c r="W424" s="245">
        <v>45986</v>
      </c>
      <c r="X424" s="237">
        <v>0</v>
      </c>
      <c r="Y424" s="237">
        <v>0</v>
      </c>
      <c r="Z424" s="237" t="s">
        <v>228</v>
      </c>
      <c r="AA424" s="237" t="s">
        <v>2602</v>
      </c>
      <c r="AB424" s="237" t="s">
        <v>228</v>
      </c>
      <c r="AC424" s="237" t="s">
        <v>228</v>
      </c>
    </row>
    <row r="425" spans="1:29" ht="13.5" customHeight="1">
      <c r="A425" s="235">
        <v>423</v>
      </c>
      <c r="B425" s="237"/>
      <c r="C425" s="255" t="s">
        <v>2603</v>
      </c>
      <c r="D425" s="237" t="s">
        <v>2604</v>
      </c>
      <c r="E425" s="237">
        <v>52</v>
      </c>
      <c r="F425" s="237" t="s">
        <v>75</v>
      </c>
      <c r="G425" s="237" t="s">
        <v>2605</v>
      </c>
      <c r="H425" s="243" t="s">
        <v>15</v>
      </c>
      <c r="I425" s="243"/>
      <c r="K425" s="240" t="s">
        <v>97</v>
      </c>
      <c r="L425" s="243" t="s">
        <v>231</v>
      </c>
      <c r="M425" s="243" t="s">
        <v>231</v>
      </c>
      <c r="N425" s="237"/>
      <c r="O425" s="237"/>
      <c r="P425" s="237"/>
      <c r="Q425" s="245">
        <v>45720</v>
      </c>
      <c r="R425" s="237" t="s">
        <v>309</v>
      </c>
      <c r="S425" s="331" t="s">
        <v>233</v>
      </c>
      <c r="T425" s="237" t="s">
        <v>228</v>
      </c>
      <c r="U425" s="237" t="s">
        <v>234</v>
      </c>
      <c r="V425" s="237" t="s">
        <v>652</v>
      </c>
      <c r="W425" s="245">
        <v>45986</v>
      </c>
      <c r="X425" s="237">
        <v>0</v>
      </c>
      <c r="Y425" s="237">
        <v>0</v>
      </c>
      <c r="Z425" s="237" t="s">
        <v>228</v>
      </c>
      <c r="AA425" s="237" t="s">
        <v>2606</v>
      </c>
      <c r="AB425" s="237" t="s">
        <v>228</v>
      </c>
      <c r="AC425" s="237" t="s">
        <v>228</v>
      </c>
    </row>
    <row r="426" spans="1:29" ht="13.5" customHeight="1">
      <c r="A426" s="235">
        <v>424</v>
      </c>
      <c r="B426" s="237"/>
      <c r="C426" s="255" t="s">
        <v>2607</v>
      </c>
      <c r="D426" s="237" t="s">
        <v>2608</v>
      </c>
      <c r="E426" s="237">
        <v>38</v>
      </c>
      <c r="F426" s="237" t="s">
        <v>75</v>
      </c>
      <c r="G426" s="237" t="s">
        <v>2609</v>
      </c>
      <c r="H426" s="243" t="s">
        <v>188</v>
      </c>
      <c r="I426" s="243"/>
      <c r="K426" s="240"/>
      <c r="L426" s="243" t="s">
        <v>231</v>
      </c>
      <c r="M426" s="243" t="s">
        <v>231</v>
      </c>
      <c r="N426" s="237"/>
      <c r="O426" s="237"/>
      <c r="P426" s="237"/>
      <c r="Q426" s="245">
        <v>45777</v>
      </c>
      <c r="R426" s="237" t="s">
        <v>309</v>
      </c>
      <c r="S426" s="331" t="s">
        <v>233</v>
      </c>
      <c r="T426" s="237" t="s">
        <v>228</v>
      </c>
      <c r="U426" s="237" t="s">
        <v>234</v>
      </c>
      <c r="V426" s="237" t="s">
        <v>652</v>
      </c>
      <c r="W426" s="245">
        <v>45986</v>
      </c>
      <c r="X426" s="237">
        <v>0</v>
      </c>
      <c r="Y426" s="237">
        <v>0</v>
      </c>
      <c r="Z426" s="237" t="s">
        <v>228</v>
      </c>
      <c r="AA426" s="237" t="s">
        <v>2610</v>
      </c>
      <c r="AB426" s="237" t="s">
        <v>228</v>
      </c>
      <c r="AC426" s="237" t="s">
        <v>228</v>
      </c>
    </row>
    <row r="427" spans="1:29" ht="13.5" customHeight="1">
      <c r="A427" s="235">
        <v>425</v>
      </c>
      <c r="B427" s="237"/>
      <c r="C427" s="255" t="s">
        <v>2611</v>
      </c>
      <c r="D427" s="237" t="s">
        <v>2612</v>
      </c>
      <c r="E427" s="237">
        <v>50</v>
      </c>
      <c r="F427" s="237" t="s">
        <v>60</v>
      </c>
      <c r="G427" s="237" t="s">
        <v>2613</v>
      </c>
      <c r="H427" s="243" t="s">
        <v>188</v>
      </c>
      <c r="I427" s="243"/>
      <c r="K427" s="240"/>
      <c r="L427" s="243" t="s">
        <v>231</v>
      </c>
      <c r="M427" s="243" t="s">
        <v>231</v>
      </c>
      <c r="N427" s="237"/>
      <c r="O427" s="237"/>
      <c r="P427" s="237"/>
      <c r="Q427" s="245">
        <v>45777</v>
      </c>
      <c r="R427" s="237" t="s">
        <v>309</v>
      </c>
      <c r="S427" s="331" t="s">
        <v>233</v>
      </c>
      <c r="T427" s="237" t="s">
        <v>228</v>
      </c>
      <c r="U427" s="237" t="s">
        <v>234</v>
      </c>
      <c r="V427" s="237" t="s">
        <v>652</v>
      </c>
      <c r="W427" s="245">
        <v>45986</v>
      </c>
      <c r="X427" s="237">
        <v>0</v>
      </c>
      <c r="Y427" s="237">
        <v>0</v>
      </c>
      <c r="Z427" s="237" t="s">
        <v>228</v>
      </c>
      <c r="AA427" s="237" t="s">
        <v>2614</v>
      </c>
      <c r="AB427" s="237" t="s">
        <v>228</v>
      </c>
      <c r="AC427" s="237" t="s">
        <v>228</v>
      </c>
    </row>
    <row r="428" spans="1:29" ht="13.5" customHeight="1">
      <c r="A428" s="235">
        <v>426</v>
      </c>
      <c r="B428" s="237"/>
      <c r="C428" s="255" t="s">
        <v>2615</v>
      </c>
      <c r="D428" s="237" t="s">
        <v>2616</v>
      </c>
      <c r="E428" s="237">
        <v>21</v>
      </c>
      <c r="F428" s="237" t="s">
        <v>75</v>
      </c>
      <c r="G428" s="237" t="s">
        <v>2617</v>
      </c>
      <c r="H428" s="243" t="s">
        <v>188</v>
      </c>
      <c r="I428" s="243"/>
      <c r="K428" s="240"/>
      <c r="L428" s="243" t="s">
        <v>231</v>
      </c>
      <c r="M428" s="243" t="s">
        <v>231</v>
      </c>
      <c r="N428" s="237"/>
      <c r="O428" s="237"/>
      <c r="P428" s="237"/>
      <c r="Q428" s="245">
        <v>45779</v>
      </c>
      <c r="R428" s="237" t="s">
        <v>309</v>
      </c>
      <c r="S428" s="331" t="s">
        <v>233</v>
      </c>
      <c r="T428" s="237" t="s">
        <v>228</v>
      </c>
      <c r="U428" s="237" t="s">
        <v>234</v>
      </c>
      <c r="V428" s="237" t="s">
        <v>652</v>
      </c>
      <c r="W428" s="245">
        <v>45986</v>
      </c>
      <c r="X428" s="237">
        <v>0</v>
      </c>
      <c r="Y428" s="237">
        <v>0</v>
      </c>
      <c r="Z428" s="237" t="s">
        <v>228</v>
      </c>
      <c r="AA428" s="237" t="s">
        <v>2618</v>
      </c>
      <c r="AB428" s="237" t="s">
        <v>228</v>
      </c>
      <c r="AC428" s="237" t="s">
        <v>228</v>
      </c>
    </row>
    <row r="429" spans="1:29" ht="13.5" customHeight="1">
      <c r="A429" s="235">
        <v>427</v>
      </c>
      <c r="B429" s="237"/>
      <c r="C429" s="255" t="s">
        <v>2619</v>
      </c>
      <c r="D429" s="237" t="s">
        <v>2620</v>
      </c>
      <c r="E429" s="237">
        <v>46</v>
      </c>
      <c r="F429" s="237" t="s">
        <v>75</v>
      </c>
      <c r="G429" s="237" t="s">
        <v>2621</v>
      </c>
      <c r="H429" s="243" t="s">
        <v>188</v>
      </c>
      <c r="I429" s="243"/>
      <c r="K429" s="240"/>
      <c r="L429" s="243" t="s">
        <v>231</v>
      </c>
      <c r="M429" s="243" t="s">
        <v>231</v>
      </c>
      <c r="N429" s="237"/>
      <c r="O429" s="237"/>
      <c r="P429" s="237"/>
      <c r="Q429" s="245">
        <v>45779</v>
      </c>
      <c r="R429" s="237" t="s">
        <v>309</v>
      </c>
      <c r="S429" s="331" t="s">
        <v>233</v>
      </c>
      <c r="T429" s="237" t="s">
        <v>228</v>
      </c>
      <c r="U429" s="237" t="s">
        <v>234</v>
      </c>
      <c r="V429" s="237" t="s">
        <v>652</v>
      </c>
      <c r="W429" s="245">
        <v>45986</v>
      </c>
      <c r="X429" s="237">
        <v>0</v>
      </c>
      <c r="Y429" s="237">
        <v>0</v>
      </c>
      <c r="Z429" s="237" t="s">
        <v>228</v>
      </c>
      <c r="AA429" s="237" t="s">
        <v>2622</v>
      </c>
      <c r="AB429" s="237" t="s">
        <v>228</v>
      </c>
      <c r="AC429" s="237" t="s">
        <v>228</v>
      </c>
    </row>
    <row r="430" spans="1:29" ht="13.5" customHeight="1">
      <c r="A430" s="235">
        <v>428</v>
      </c>
      <c r="B430" s="237"/>
      <c r="C430" s="255" t="s">
        <v>2623</v>
      </c>
      <c r="D430" s="237" t="s">
        <v>2624</v>
      </c>
      <c r="E430" s="237">
        <v>47</v>
      </c>
      <c r="F430" s="237" t="s">
        <v>75</v>
      </c>
      <c r="G430" s="237" t="s">
        <v>2625</v>
      </c>
      <c r="H430" s="243" t="s">
        <v>188</v>
      </c>
      <c r="I430" s="243"/>
      <c r="K430" s="240"/>
      <c r="L430" s="243" t="s">
        <v>231</v>
      </c>
      <c r="M430" s="243" t="s">
        <v>231</v>
      </c>
      <c r="N430" s="237"/>
      <c r="O430" s="237"/>
      <c r="P430" s="237"/>
      <c r="Q430" s="245">
        <v>45782</v>
      </c>
      <c r="R430" s="237" t="s">
        <v>309</v>
      </c>
      <c r="S430" s="331" t="s">
        <v>233</v>
      </c>
      <c r="T430" s="237" t="s">
        <v>228</v>
      </c>
      <c r="U430" s="237" t="s">
        <v>234</v>
      </c>
      <c r="V430" s="237" t="s">
        <v>652</v>
      </c>
      <c r="W430" s="245">
        <v>45986</v>
      </c>
      <c r="X430" s="237">
        <v>0</v>
      </c>
      <c r="Y430" s="237">
        <v>0</v>
      </c>
      <c r="Z430" s="237" t="s">
        <v>228</v>
      </c>
      <c r="AA430" s="237" t="s">
        <v>2626</v>
      </c>
      <c r="AB430" s="237" t="s">
        <v>228</v>
      </c>
      <c r="AC430" s="237" t="s">
        <v>228</v>
      </c>
    </row>
    <row r="431" spans="1:29" ht="13.5" customHeight="1">
      <c r="A431" s="235">
        <v>429</v>
      </c>
      <c r="B431" s="237"/>
      <c r="C431" s="255" t="s">
        <v>2627</v>
      </c>
      <c r="D431" s="237" t="s">
        <v>2628</v>
      </c>
      <c r="E431" s="237">
        <v>43</v>
      </c>
      <c r="F431" s="237" t="s">
        <v>60</v>
      </c>
      <c r="G431" s="237" t="s">
        <v>2629</v>
      </c>
      <c r="H431" s="243" t="s">
        <v>188</v>
      </c>
      <c r="I431" s="243"/>
      <c r="K431" s="240"/>
      <c r="L431" s="243" t="s">
        <v>231</v>
      </c>
      <c r="M431" s="243" t="s">
        <v>231</v>
      </c>
      <c r="N431" s="237"/>
      <c r="O431" s="237"/>
      <c r="P431" s="237"/>
      <c r="Q431" s="245">
        <v>45790</v>
      </c>
      <c r="R431" s="237" t="s">
        <v>309</v>
      </c>
      <c r="S431" s="331" t="s">
        <v>233</v>
      </c>
      <c r="T431" s="237" t="s">
        <v>228</v>
      </c>
      <c r="U431" s="237" t="s">
        <v>234</v>
      </c>
      <c r="V431" s="237" t="s">
        <v>652</v>
      </c>
      <c r="W431" s="245">
        <v>45986</v>
      </c>
      <c r="X431" s="237">
        <v>0</v>
      </c>
      <c r="Y431" s="237">
        <v>0</v>
      </c>
      <c r="Z431" s="237" t="s">
        <v>228</v>
      </c>
      <c r="AA431" s="237" t="s">
        <v>2630</v>
      </c>
      <c r="AB431" s="237" t="s">
        <v>228</v>
      </c>
      <c r="AC431" s="237" t="s">
        <v>228</v>
      </c>
    </row>
    <row r="432" spans="1:29" ht="13.5" customHeight="1">
      <c r="A432" s="235">
        <v>430</v>
      </c>
      <c r="B432" s="237"/>
      <c r="C432" s="255" t="s">
        <v>2631</v>
      </c>
      <c r="D432" s="237" t="s">
        <v>2632</v>
      </c>
      <c r="E432" s="237">
        <v>45</v>
      </c>
      <c r="F432" s="237" t="s">
        <v>75</v>
      </c>
      <c r="G432" s="237" t="s">
        <v>2633</v>
      </c>
      <c r="H432" s="243" t="s">
        <v>188</v>
      </c>
      <c r="I432" s="243"/>
      <c r="K432" s="240"/>
      <c r="L432" s="243" t="s">
        <v>231</v>
      </c>
      <c r="M432" s="243" t="s">
        <v>231</v>
      </c>
      <c r="N432" s="237"/>
      <c r="O432" s="237"/>
      <c r="P432" s="237"/>
      <c r="Q432" s="245">
        <v>45790</v>
      </c>
      <c r="R432" s="237" t="s">
        <v>309</v>
      </c>
      <c r="S432" s="331" t="s">
        <v>233</v>
      </c>
      <c r="T432" s="237" t="s">
        <v>228</v>
      </c>
      <c r="U432" s="237" t="s">
        <v>234</v>
      </c>
      <c r="V432" s="237" t="s">
        <v>652</v>
      </c>
      <c r="W432" s="245">
        <v>45986</v>
      </c>
      <c r="X432" s="237">
        <v>0</v>
      </c>
      <c r="Y432" s="237">
        <v>0</v>
      </c>
      <c r="Z432" s="237" t="s">
        <v>228</v>
      </c>
      <c r="AA432" s="237" t="s">
        <v>2634</v>
      </c>
      <c r="AB432" s="237" t="s">
        <v>228</v>
      </c>
      <c r="AC432" s="237" t="s">
        <v>228</v>
      </c>
    </row>
    <row r="433" spans="1:29" ht="13.5" customHeight="1">
      <c r="A433" s="235">
        <v>431</v>
      </c>
      <c r="B433" s="237"/>
      <c r="C433" s="255" t="s">
        <v>2635</v>
      </c>
      <c r="D433" s="237" t="s">
        <v>2636</v>
      </c>
      <c r="E433" s="237">
        <v>36</v>
      </c>
      <c r="F433" s="237" t="s">
        <v>75</v>
      </c>
      <c r="G433" s="237" t="s">
        <v>2637</v>
      </c>
      <c r="H433" s="243" t="s">
        <v>188</v>
      </c>
      <c r="I433" s="243"/>
      <c r="K433" s="240"/>
      <c r="L433" s="243" t="s">
        <v>231</v>
      </c>
      <c r="M433" s="243" t="s">
        <v>231</v>
      </c>
      <c r="N433" s="237"/>
      <c r="O433" s="237"/>
      <c r="P433" s="237"/>
      <c r="Q433" s="245">
        <v>45794</v>
      </c>
      <c r="R433" s="237" t="s">
        <v>309</v>
      </c>
      <c r="S433" s="331" t="s">
        <v>233</v>
      </c>
      <c r="T433" s="237" t="s">
        <v>228</v>
      </c>
      <c r="U433" s="237" t="s">
        <v>234</v>
      </c>
      <c r="V433" s="237" t="s">
        <v>652</v>
      </c>
      <c r="W433" s="245">
        <v>45986</v>
      </c>
      <c r="X433" s="237">
        <v>0</v>
      </c>
      <c r="Y433" s="237">
        <v>0</v>
      </c>
      <c r="Z433" s="237" t="s">
        <v>228</v>
      </c>
      <c r="AA433" s="237" t="s">
        <v>2638</v>
      </c>
      <c r="AB433" s="237" t="s">
        <v>228</v>
      </c>
      <c r="AC433" s="237" t="s">
        <v>228</v>
      </c>
    </row>
    <row r="434" spans="1:29" ht="13.5" customHeight="1">
      <c r="A434" s="235">
        <v>432</v>
      </c>
      <c r="B434" s="237" t="s">
        <v>2639</v>
      </c>
      <c r="C434" s="255" t="s">
        <v>2640</v>
      </c>
      <c r="D434" s="237" t="s">
        <v>2641</v>
      </c>
      <c r="E434" s="237">
        <v>29</v>
      </c>
      <c r="F434" s="237" t="s">
        <v>75</v>
      </c>
      <c r="G434" s="237" t="s">
        <v>2642</v>
      </c>
      <c r="H434" s="243" t="s">
        <v>188</v>
      </c>
      <c r="I434" s="243"/>
      <c r="K434" s="240"/>
      <c r="L434" s="243" t="s">
        <v>231</v>
      </c>
      <c r="M434" s="246" t="s">
        <v>228</v>
      </c>
      <c r="N434" s="237"/>
      <c r="O434" s="237"/>
      <c r="P434" s="237"/>
      <c r="Q434" s="245">
        <v>45794</v>
      </c>
      <c r="R434" s="237" t="s">
        <v>309</v>
      </c>
      <c r="S434" s="331" t="s">
        <v>233</v>
      </c>
      <c r="T434" s="237" t="s">
        <v>228</v>
      </c>
      <c r="U434" s="237" t="s">
        <v>234</v>
      </c>
      <c r="V434" s="237" t="s">
        <v>652</v>
      </c>
      <c r="W434" s="245">
        <v>45986</v>
      </c>
      <c r="X434" s="237">
        <v>0</v>
      </c>
      <c r="Y434" s="237">
        <v>0</v>
      </c>
      <c r="Z434" s="237" t="s">
        <v>228</v>
      </c>
      <c r="AA434" s="237" t="s">
        <v>2643</v>
      </c>
      <c r="AB434" s="237" t="s">
        <v>228</v>
      </c>
      <c r="AC434" s="237" t="s">
        <v>228</v>
      </c>
    </row>
    <row r="435" spans="1:29" ht="13.5" customHeight="1">
      <c r="A435" s="235">
        <v>433</v>
      </c>
      <c r="B435" s="237"/>
      <c r="C435" s="255" t="s">
        <v>2644</v>
      </c>
      <c r="D435" s="237" t="s">
        <v>2645</v>
      </c>
      <c r="E435" s="237">
        <v>31</v>
      </c>
      <c r="F435" s="237" t="s">
        <v>75</v>
      </c>
      <c r="G435" s="237" t="s">
        <v>2646</v>
      </c>
      <c r="H435" s="243" t="s">
        <v>188</v>
      </c>
      <c r="I435" s="243"/>
      <c r="K435" s="240"/>
      <c r="L435" s="243" t="s">
        <v>231</v>
      </c>
      <c r="M435" s="243" t="s">
        <v>231</v>
      </c>
      <c r="N435" s="237"/>
      <c r="O435" s="237"/>
      <c r="P435" s="237"/>
      <c r="Q435" s="245">
        <v>45794</v>
      </c>
      <c r="R435" s="237" t="s">
        <v>309</v>
      </c>
      <c r="S435" s="331" t="s">
        <v>233</v>
      </c>
      <c r="T435" s="237" t="s">
        <v>228</v>
      </c>
      <c r="U435" s="237" t="s">
        <v>234</v>
      </c>
      <c r="V435" s="237" t="s">
        <v>652</v>
      </c>
      <c r="W435" s="245">
        <v>45986</v>
      </c>
      <c r="X435" s="237">
        <v>0</v>
      </c>
      <c r="Y435" s="237">
        <v>0</v>
      </c>
      <c r="Z435" s="237" t="s">
        <v>228</v>
      </c>
      <c r="AA435" s="237" t="s">
        <v>2647</v>
      </c>
      <c r="AB435" s="237" t="s">
        <v>228</v>
      </c>
      <c r="AC435" s="237" t="s">
        <v>228</v>
      </c>
    </row>
    <row r="436" spans="1:29" ht="13.5" customHeight="1">
      <c r="A436" s="235">
        <v>434</v>
      </c>
      <c r="B436" s="237"/>
      <c r="C436" s="255" t="s">
        <v>2648</v>
      </c>
      <c r="D436" s="237" t="s">
        <v>2649</v>
      </c>
      <c r="E436" s="237">
        <v>54</v>
      </c>
      <c r="F436" s="237" t="s">
        <v>75</v>
      </c>
      <c r="G436" s="237" t="s">
        <v>2650</v>
      </c>
      <c r="H436" s="243" t="s">
        <v>188</v>
      </c>
      <c r="I436" s="243"/>
      <c r="K436" s="240"/>
      <c r="L436" s="243" t="s">
        <v>231</v>
      </c>
      <c r="M436" s="243" t="s">
        <v>231</v>
      </c>
      <c r="N436" s="237"/>
      <c r="O436" s="237"/>
      <c r="P436" s="237"/>
      <c r="Q436" s="245">
        <v>45794</v>
      </c>
      <c r="R436" s="237" t="s">
        <v>309</v>
      </c>
      <c r="S436" s="331" t="s">
        <v>233</v>
      </c>
      <c r="T436" s="237" t="s">
        <v>228</v>
      </c>
      <c r="U436" s="237" t="s">
        <v>234</v>
      </c>
      <c r="V436" s="237" t="s">
        <v>652</v>
      </c>
      <c r="W436" s="245">
        <v>45986</v>
      </c>
      <c r="X436" s="237">
        <v>0</v>
      </c>
      <c r="Y436" s="237">
        <v>0</v>
      </c>
      <c r="Z436" s="237" t="s">
        <v>228</v>
      </c>
      <c r="AA436" s="237" t="s">
        <v>2651</v>
      </c>
      <c r="AB436" s="237" t="s">
        <v>228</v>
      </c>
      <c r="AC436" s="237" t="s">
        <v>228</v>
      </c>
    </row>
    <row r="437" spans="1:29" ht="13.5" customHeight="1">
      <c r="A437" s="235">
        <v>435</v>
      </c>
      <c r="B437" s="237"/>
      <c r="C437" s="255" t="s">
        <v>2652</v>
      </c>
      <c r="D437" s="237" t="s">
        <v>2653</v>
      </c>
      <c r="E437" s="237">
        <v>35</v>
      </c>
      <c r="F437" s="237" t="s">
        <v>75</v>
      </c>
      <c r="G437" s="237" t="s">
        <v>2654</v>
      </c>
      <c r="H437" s="243" t="s">
        <v>188</v>
      </c>
      <c r="I437" s="243"/>
      <c r="K437" s="240"/>
      <c r="L437" s="243" t="s">
        <v>231</v>
      </c>
      <c r="M437" s="243" t="s">
        <v>231</v>
      </c>
      <c r="N437" s="237"/>
      <c r="O437" s="237"/>
      <c r="P437" s="237"/>
      <c r="Q437" s="245">
        <v>45794</v>
      </c>
      <c r="R437" s="237" t="s">
        <v>309</v>
      </c>
      <c r="S437" s="331" t="s">
        <v>233</v>
      </c>
      <c r="T437" s="237" t="s">
        <v>228</v>
      </c>
      <c r="U437" s="237" t="s">
        <v>234</v>
      </c>
      <c r="V437" s="237" t="s">
        <v>652</v>
      </c>
      <c r="W437" s="245">
        <v>45986</v>
      </c>
      <c r="X437" s="237">
        <v>0</v>
      </c>
      <c r="Y437" s="237">
        <v>0</v>
      </c>
      <c r="Z437" s="237" t="s">
        <v>228</v>
      </c>
      <c r="AA437" s="237" t="s">
        <v>2655</v>
      </c>
      <c r="AB437" s="237" t="s">
        <v>228</v>
      </c>
      <c r="AC437" s="237" t="s">
        <v>228</v>
      </c>
    </row>
    <row r="438" spans="1:29" ht="13.5" customHeight="1">
      <c r="A438" s="235">
        <v>436</v>
      </c>
      <c r="B438" s="237"/>
      <c r="C438" s="255" t="s">
        <v>2656</v>
      </c>
      <c r="D438" s="237" t="s">
        <v>2657</v>
      </c>
      <c r="E438" s="237">
        <v>66</v>
      </c>
      <c r="F438" s="237" t="s">
        <v>60</v>
      </c>
      <c r="G438" s="237" t="s">
        <v>2658</v>
      </c>
      <c r="H438" s="243" t="s">
        <v>188</v>
      </c>
      <c r="I438" s="243"/>
      <c r="K438" s="240"/>
      <c r="L438" s="243" t="s">
        <v>231</v>
      </c>
      <c r="M438" s="243" t="s">
        <v>231</v>
      </c>
      <c r="N438" s="237"/>
      <c r="O438" s="237"/>
      <c r="P438" s="237"/>
      <c r="Q438" s="245">
        <v>45794</v>
      </c>
      <c r="R438" s="237" t="s">
        <v>309</v>
      </c>
      <c r="S438" s="331" t="s">
        <v>233</v>
      </c>
      <c r="T438" s="237" t="s">
        <v>228</v>
      </c>
      <c r="U438" s="237" t="s">
        <v>234</v>
      </c>
      <c r="V438" s="237" t="s">
        <v>652</v>
      </c>
      <c r="W438" s="245">
        <v>45986</v>
      </c>
      <c r="X438" s="237">
        <v>0</v>
      </c>
      <c r="Y438" s="237">
        <v>0</v>
      </c>
      <c r="Z438" s="237" t="s">
        <v>228</v>
      </c>
      <c r="AA438" s="237" t="s">
        <v>2659</v>
      </c>
      <c r="AB438" s="237" t="s">
        <v>228</v>
      </c>
      <c r="AC438" s="237" t="s">
        <v>228</v>
      </c>
    </row>
    <row r="439" spans="1:29" ht="13.5" customHeight="1">
      <c r="A439" s="235">
        <v>437</v>
      </c>
      <c r="B439" s="237"/>
      <c r="C439" s="255" t="s">
        <v>2660</v>
      </c>
      <c r="D439" s="237" t="s">
        <v>2661</v>
      </c>
      <c r="E439" s="237">
        <v>64</v>
      </c>
      <c r="F439" s="237" t="s">
        <v>75</v>
      </c>
      <c r="G439" s="237" t="s">
        <v>2662</v>
      </c>
      <c r="H439" s="243" t="s">
        <v>188</v>
      </c>
      <c r="I439" s="243"/>
      <c r="K439" s="240"/>
      <c r="L439" s="243" t="s">
        <v>231</v>
      </c>
      <c r="M439" s="243" t="s">
        <v>231</v>
      </c>
      <c r="N439" s="237"/>
      <c r="O439" s="237"/>
      <c r="P439" s="237"/>
      <c r="Q439" s="245">
        <v>45794</v>
      </c>
      <c r="R439" s="237" t="s">
        <v>309</v>
      </c>
      <c r="S439" s="331" t="s">
        <v>233</v>
      </c>
      <c r="T439" s="237" t="s">
        <v>228</v>
      </c>
      <c r="U439" s="237" t="s">
        <v>234</v>
      </c>
      <c r="V439" s="237" t="s">
        <v>652</v>
      </c>
      <c r="W439" s="245">
        <v>45986</v>
      </c>
      <c r="X439" s="237">
        <v>0</v>
      </c>
      <c r="Y439" s="237">
        <v>0</v>
      </c>
      <c r="Z439" s="237" t="s">
        <v>228</v>
      </c>
      <c r="AA439" s="237" t="s">
        <v>2663</v>
      </c>
      <c r="AB439" s="237" t="s">
        <v>228</v>
      </c>
      <c r="AC439" s="237" t="s">
        <v>228</v>
      </c>
    </row>
    <row r="440" spans="1:29" ht="13.5" customHeight="1">
      <c r="A440" s="235">
        <v>438</v>
      </c>
      <c r="B440" s="237"/>
      <c r="C440" s="255" t="s">
        <v>2664</v>
      </c>
      <c r="D440" s="237" t="s">
        <v>2665</v>
      </c>
      <c r="E440" s="237">
        <v>29</v>
      </c>
      <c r="F440" s="237" t="s">
        <v>60</v>
      </c>
      <c r="G440" s="237" t="s">
        <v>2666</v>
      </c>
      <c r="H440" s="243" t="s">
        <v>27</v>
      </c>
      <c r="I440" s="243"/>
      <c r="J440" s="235" t="s">
        <v>433</v>
      </c>
      <c r="K440" s="240"/>
      <c r="L440" s="243" t="s">
        <v>231</v>
      </c>
      <c r="M440" s="243" t="s">
        <v>231</v>
      </c>
      <c r="N440" s="237"/>
      <c r="O440" s="237"/>
      <c r="P440" s="237"/>
      <c r="Q440" s="245">
        <v>45876</v>
      </c>
      <c r="R440" s="237" t="s">
        <v>309</v>
      </c>
      <c r="S440" s="331" t="s">
        <v>233</v>
      </c>
      <c r="T440" s="237" t="s">
        <v>228</v>
      </c>
      <c r="U440" s="237" t="s">
        <v>234</v>
      </c>
      <c r="V440" s="237" t="s">
        <v>652</v>
      </c>
      <c r="W440" s="245">
        <v>45986</v>
      </c>
      <c r="X440" s="237">
        <v>0</v>
      </c>
      <c r="Y440" s="237">
        <v>0</v>
      </c>
      <c r="Z440" s="237" t="s">
        <v>228</v>
      </c>
      <c r="AA440" s="237" t="s">
        <v>2667</v>
      </c>
      <c r="AB440" s="237" t="s">
        <v>228</v>
      </c>
      <c r="AC440" s="237" t="s">
        <v>228</v>
      </c>
    </row>
    <row r="441" spans="1:29" ht="13.5" customHeight="1">
      <c r="A441" s="235">
        <v>439</v>
      </c>
      <c r="B441" s="237"/>
      <c r="C441" s="255" t="s">
        <v>2668</v>
      </c>
      <c r="D441" s="237" t="s">
        <v>2669</v>
      </c>
      <c r="E441" s="237">
        <v>43</v>
      </c>
      <c r="F441" s="237" t="s">
        <v>75</v>
      </c>
      <c r="G441" s="237" t="s">
        <v>2670</v>
      </c>
      <c r="H441" s="243" t="s">
        <v>15</v>
      </c>
      <c r="I441" s="243"/>
      <c r="K441" s="240" t="s">
        <v>154</v>
      </c>
      <c r="L441" s="243" t="s">
        <v>87</v>
      </c>
      <c r="M441" s="246" t="s">
        <v>228</v>
      </c>
      <c r="N441" s="237"/>
      <c r="O441" s="237"/>
      <c r="P441" s="237"/>
      <c r="Q441" s="245">
        <v>45878</v>
      </c>
      <c r="R441" s="237" t="s">
        <v>309</v>
      </c>
      <c r="S441" s="331" t="s">
        <v>233</v>
      </c>
      <c r="T441" s="237" t="s">
        <v>228</v>
      </c>
      <c r="U441" s="237" t="s">
        <v>234</v>
      </c>
      <c r="V441" s="237" t="s">
        <v>652</v>
      </c>
      <c r="W441" s="245">
        <v>45986</v>
      </c>
      <c r="X441" s="237">
        <v>0</v>
      </c>
      <c r="Y441" s="237">
        <v>0</v>
      </c>
      <c r="Z441" s="237" t="s">
        <v>228</v>
      </c>
      <c r="AA441" s="237" t="s">
        <v>2671</v>
      </c>
      <c r="AB441" s="237" t="s">
        <v>228</v>
      </c>
      <c r="AC441" s="237" t="s">
        <v>228</v>
      </c>
    </row>
    <row r="442" spans="1:29" ht="13.5" customHeight="1">
      <c r="A442" s="235">
        <v>440</v>
      </c>
      <c r="B442" s="237"/>
      <c r="C442" s="255" t="s">
        <v>2674</v>
      </c>
      <c r="D442" s="237" t="s">
        <v>2675</v>
      </c>
      <c r="E442" s="237">
        <v>41</v>
      </c>
      <c r="F442" s="237" t="s">
        <v>75</v>
      </c>
      <c r="G442" s="237" t="s">
        <v>2676</v>
      </c>
      <c r="H442" s="243" t="s">
        <v>27</v>
      </c>
      <c r="I442" s="243"/>
      <c r="J442" s="235" t="s">
        <v>433</v>
      </c>
      <c r="K442" s="240"/>
      <c r="L442" s="243" t="s">
        <v>231</v>
      </c>
      <c r="M442" s="243" t="s">
        <v>528</v>
      </c>
      <c r="N442" s="237"/>
      <c r="O442" s="237"/>
      <c r="P442" s="237"/>
      <c r="Q442" s="245">
        <v>45880</v>
      </c>
      <c r="R442" s="237" t="s">
        <v>309</v>
      </c>
      <c r="S442" s="331" t="s">
        <v>233</v>
      </c>
      <c r="T442" s="237" t="s">
        <v>228</v>
      </c>
      <c r="U442" s="237" t="s">
        <v>234</v>
      </c>
      <c r="V442" s="237" t="s">
        <v>652</v>
      </c>
      <c r="W442" s="245">
        <v>45986</v>
      </c>
      <c r="X442" s="237">
        <v>0</v>
      </c>
      <c r="Y442" s="237">
        <v>0</v>
      </c>
      <c r="Z442" s="237" t="s">
        <v>228</v>
      </c>
      <c r="AA442" s="237" t="s">
        <v>2677</v>
      </c>
      <c r="AB442" s="237" t="s">
        <v>228</v>
      </c>
      <c r="AC442" s="237" t="s">
        <v>228</v>
      </c>
    </row>
    <row r="443" spans="1:29" ht="13.5" customHeight="1">
      <c r="A443" s="235">
        <v>441</v>
      </c>
      <c r="B443" s="237"/>
      <c r="C443" s="255" t="s">
        <v>2678</v>
      </c>
      <c r="D443" s="237" t="s">
        <v>2679</v>
      </c>
      <c r="E443" s="237">
        <v>28</v>
      </c>
      <c r="F443" s="237" t="s">
        <v>75</v>
      </c>
      <c r="G443" s="237" t="s">
        <v>2680</v>
      </c>
      <c r="H443" s="243" t="s">
        <v>27</v>
      </c>
      <c r="I443" s="243"/>
      <c r="J443" s="235" t="s">
        <v>433</v>
      </c>
      <c r="K443" s="240"/>
      <c r="L443" s="243" t="s">
        <v>231</v>
      </c>
      <c r="M443" s="243" t="s">
        <v>2681</v>
      </c>
      <c r="N443" s="237"/>
      <c r="O443" s="237"/>
      <c r="P443" s="237"/>
      <c r="Q443" s="245">
        <v>45881</v>
      </c>
      <c r="R443" s="237" t="s">
        <v>309</v>
      </c>
      <c r="S443" s="331" t="s">
        <v>233</v>
      </c>
      <c r="T443" s="237" t="s">
        <v>228</v>
      </c>
      <c r="U443" s="237" t="s">
        <v>234</v>
      </c>
      <c r="V443" s="237" t="s">
        <v>652</v>
      </c>
      <c r="W443" s="245">
        <v>45986</v>
      </c>
      <c r="X443" s="237">
        <v>0</v>
      </c>
      <c r="Y443" s="237">
        <v>0</v>
      </c>
      <c r="Z443" s="237" t="s">
        <v>228</v>
      </c>
      <c r="AA443" s="237" t="s">
        <v>2682</v>
      </c>
      <c r="AB443" s="237" t="s">
        <v>228</v>
      </c>
      <c r="AC443" s="237" t="s">
        <v>228</v>
      </c>
    </row>
    <row r="444" spans="1:29" ht="13.5" customHeight="1">
      <c r="A444" s="235">
        <v>442</v>
      </c>
      <c r="B444" s="237"/>
      <c r="C444" s="255" t="s">
        <v>2683</v>
      </c>
      <c r="D444" s="237" t="s">
        <v>2684</v>
      </c>
      <c r="E444" s="237">
        <v>80</v>
      </c>
      <c r="F444" s="237" t="s">
        <v>60</v>
      </c>
      <c r="G444" s="237" t="s">
        <v>2685</v>
      </c>
      <c r="H444" s="243" t="s">
        <v>27</v>
      </c>
      <c r="I444" s="243"/>
      <c r="J444" s="235" t="s">
        <v>433</v>
      </c>
      <c r="K444" s="240"/>
      <c r="L444" s="243" t="s">
        <v>231</v>
      </c>
      <c r="M444" s="243" t="s">
        <v>1110</v>
      </c>
      <c r="N444" s="237"/>
      <c r="O444" s="237"/>
      <c r="P444" s="237"/>
      <c r="Q444" s="245">
        <v>45882</v>
      </c>
      <c r="R444" s="237" t="s">
        <v>309</v>
      </c>
      <c r="S444" s="331" t="s">
        <v>233</v>
      </c>
      <c r="T444" s="237" t="s">
        <v>228</v>
      </c>
      <c r="U444" s="237" t="s">
        <v>234</v>
      </c>
      <c r="V444" s="237" t="s">
        <v>652</v>
      </c>
      <c r="W444" s="245">
        <v>45986</v>
      </c>
      <c r="X444" s="237">
        <v>0</v>
      </c>
      <c r="Y444" s="237">
        <v>0</v>
      </c>
      <c r="Z444" s="237" t="s">
        <v>228</v>
      </c>
      <c r="AA444" s="237" t="s">
        <v>2686</v>
      </c>
      <c r="AB444" s="237" t="s">
        <v>228</v>
      </c>
      <c r="AC444" s="237" t="s">
        <v>228</v>
      </c>
    </row>
    <row r="445" spans="1:29" ht="13.5" customHeight="1">
      <c r="A445" s="235">
        <v>443</v>
      </c>
      <c r="B445" s="237"/>
      <c r="C445" s="255" t="s">
        <v>2687</v>
      </c>
      <c r="D445" s="237" t="s">
        <v>2688</v>
      </c>
      <c r="E445" s="237">
        <v>48</v>
      </c>
      <c r="F445" s="237" t="s">
        <v>75</v>
      </c>
      <c r="G445" s="237" t="s">
        <v>2689</v>
      </c>
      <c r="H445" s="243" t="s">
        <v>27</v>
      </c>
      <c r="I445" s="243"/>
      <c r="J445" s="235" t="s">
        <v>433</v>
      </c>
      <c r="K445" s="240"/>
      <c r="L445" s="243" t="s">
        <v>231</v>
      </c>
      <c r="M445" s="243" t="s">
        <v>231</v>
      </c>
      <c r="N445" s="237"/>
      <c r="O445" s="237"/>
      <c r="P445" s="237"/>
      <c r="Q445" s="245">
        <v>45882</v>
      </c>
      <c r="R445" s="237" t="s">
        <v>309</v>
      </c>
      <c r="S445" s="331" t="s">
        <v>233</v>
      </c>
      <c r="T445" s="237" t="s">
        <v>228</v>
      </c>
      <c r="U445" s="237" t="s">
        <v>234</v>
      </c>
      <c r="V445" s="237" t="s">
        <v>652</v>
      </c>
      <c r="W445" s="245">
        <v>45986</v>
      </c>
      <c r="X445" s="237">
        <v>0</v>
      </c>
      <c r="Y445" s="237">
        <v>0</v>
      </c>
      <c r="Z445" s="237" t="s">
        <v>228</v>
      </c>
      <c r="AA445" s="237" t="s">
        <v>2690</v>
      </c>
      <c r="AB445" s="237" t="s">
        <v>228</v>
      </c>
      <c r="AC445" s="237" t="s">
        <v>228</v>
      </c>
    </row>
    <row r="446" spans="1:29" ht="13.5" customHeight="1">
      <c r="A446" s="235">
        <v>444</v>
      </c>
      <c r="B446" s="237"/>
      <c r="C446" s="255" t="s">
        <v>2691</v>
      </c>
      <c r="D446" s="237" t="s">
        <v>2692</v>
      </c>
      <c r="E446" s="237">
        <v>24</v>
      </c>
      <c r="F446" s="237" t="s">
        <v>60</v>
      </c>
      <c r="G446" s="237" t="s">
        <v>2693</v>
      </c>
      <c r="H446" s="243" t="s">
        <v>188</v>
      </c>
      <c r="I446" s="243"/>
      <c r="K446" s="240"/>
      <c r="L446" s="243" t="s">
        <v>231</v>
      </c>
      <c r="M446" s="243" t="s">
        <v>231</v>
      </c>
      <c r="N446" s="237"/>
      <c r="O446" s="237"/>
      <c r="P446" s="237"/>
      <c r="Q446" s="245">
        <v>45901</v>
      </c>
      <c r="R446" s="237" t="s">
        <v>309</v>
      </c>
      <c r="S446" s="331" t="s">
        <v>233</v>
      </c>
      <c r="T446" s="237" t="s">
        <v>228</v>
      </c>
      <c r="U446" s="237" t="s">
        <v>234</v>
      </c>
      <c r="V446" s="237" t="s">
        <v>652</v>
      </c>
      <c r="W446" s="245">
        <v>45986</v>
      </c>
      <c r="X446" s="237">
        <v>0</v>
      </c>
      <c r="Y446" s="237">
        <v>0</v>
      </c>
      <c r="Z446" s="237" t="s">
        <v>228</v>
      </c>
      <c r="AA446" s="237" t="s">
        <v>2694</v>
      </c>
      <c r="AB446" s="237" t="s">
        <v>228</v>
      </c>
      <c r="AC446" s="237" t="s">
        <v>228</v>
      </c>
    </row>
    <row r="447" spans="1:29" ht="13.5" customHeight="1">
      <c r="A447" s="235">
        <v>445</v>
      </c>
      <c r="B447" s="237"/>
      <c r="C447" s="255" t="s">
        <v>2695</v>
      </c>
      <c r="D447" s="237" t="s">
        <v>2696</v>
      </c>
      <c r="E447" s="237">
        <v>25</v>
      </c>
      <c r="F447" s="237" t="s">
        <v>60</v>
      </c>
      <c r="G447" s="237" t="s">
        <v>2697</v>
      </c>
      <c r="H447" s="243" t="s">
        <v>188</v>
      </c>
      <c r="I447" s="243"/>
      <c r="K447" s="240"/>
      <c r="L447" s="243" t="s">
        <v>231</v>
      </c>
      <c r="M447" s="243" t="s">
        <v>231</v>
      </c>
      <c r="N447" s="237"/>
      <c r="O447" s="237"/>
      <c r="P447" s="237"/>
      <c r="Q447" s="245">
        <v>45901</v>
      </c>
      <c r="R447" s="237" t="s">
        <v>309</v>
      </c>
      <c r="S447" s="331" t="s">
        <v>233</v>
      </c>
      <c r="T447" s="237" t="s">
        <v>228</v>
      </c>
      <c r="U447" s="237" t="s">
        <v>234</v>
      </c>
      <c r="V447" s="237" t="s">
        <v>652</v>
      </c>
      <c r="W447" s="245">
        <v>45986</v>
      </c>
      <c r="X447" s="237">
        <v>0</v>
      </c>
      <c r="Y447" s="237">
        <v>0</v>
      </c>
      <c r="Z447" s="237" t="s">
        <v>228</v>
      </c>
      <c r="AA447" s="237" t="s">
        <v>2698</v>
      </c>
      <c r="AB447" s="237" t="s">
        <v>228</v>
      </c>
      <c r="AC447" s="237" t="s">
        <v>228</v>
      </c>
    </row>
    <row r="448" spans="1:29" ht="13.5" customHeight="1">
      <c r="A448" s="235">
        <v>446</v>
      </c>
      <c r="B448" s="237"/>
      <c r="C448" s="255" t="s">
        <v>2699</v>
      </c>
      <c r="D448" s="237" t="s">
        <v>2700</v>
      </c>
      <c r="E448" s="237">
        <v>25</v>
      </c>
      <c r="F448" s="237" t="s">
        <v>75</v>
      </c>
      <c r="G448" s="237" t="s">
        <v>2701</v>
      </c>
      <c r="H448" s="243" t="s">
        <v>15</v>
      </c>
      <c r="I448" s="243" t="s">
        <v>2298</v>
      </c>
      <c r="K448" s="240" t="s">
        <v>146</v>
      </c>
      <c r="L448" s="243" t="s">
        <v>162</v>
      </c>
      <c r="M448" s="243" t="s">
        <v>231</v>
      </c>
      <c r="N448" s="237"/>
      <c r="O448" s="237"/>
      <c r="P448" s="237"/>
      <c r="Q448" s="245">
        <v>45905</v>
      </c>
      <c r="R448" s="237" t="s">
        <v>309</v>
      </c>
      <c r="S448" s="331" t="s">
        <v>233</v>
      </c>
      <c r="T448" s="237" t="s">
        <v>228</v>
      </c>
      <c r="U448" s="237" t="s">
        <v>234</v>
      </c>
      <c r="V448" s="237" t="s">
        <v>652</v>
      </c>
      <c r="W448" s="245">
        <v>45986</v>
      </c>
      <c r="X448" s="237">
        <v>0</v>
      </c>
      <c r="Y448" s="237">
        <v>0</v>
      </c>
      <c r="Z448" s="237" t="s">
        <v>228</v>
      </c>
      <c r="AA448" s="237" t="s">
        <v>2702</v>
      </c>
      <c r="AB448" s="237" t="s">
        <v>228</v>
      </c>
      <c r="AC448" s="237" t="s">
        <v>228</v>
      </c>
    </row>
    <row r="449" spans="1:39" ht="13.5" customHeight="1">
      <c r="A449" s="235">
        <v>447</v>
      </c>
      <c r="B449" s="237"/>
      <c r="C449" s="255" t="s">
        <v>2703</v>
      </c>
      <c r="D449" s="237" t="s">
        <v>2704</v>
      </c>
      <c r="E449" s="237">
        <v>58</v>
      </c>
      <c r="F449" s="237" t="s">
        <v>60</v>
      </c>
      <c r="G449" s="237" t="s">
        <v>2705</v>
      </c>
      <c r="H449" s="243" t="s">
        <v>188</v>
      </c>
      <c r="I449" s="243"/>
      <c r="K449" s="240"/>
      <c r="L449" s="243" t="s">
        <v>231</v>
      </c>
      <c r="M449" s="243" t="s">
        <v>231</v>
      </c>
      <c r="N449" s="237"/>
      <c r="O449" s="237"/>
      <c r="P449" s="237"/>
      <c r="Q449" s="245">
        <v>45907</v>
      </c>
      <c r="R449" s="237" t="s">
        <v>309</v>
      </c>
      <c r="S449" s="331" t="s">
        <v>233</v>
      </c>
      <c r="T449" s="237" t="s">
        <v>228</v>
      </c>
      <c r="U449" s="237" t="s">
        <v>234</v>
      </c>
      <c r="V449" s="237" t="s">
        <v>652</v>
      </c>
      <c r="W449" s="245">
        <v>45986</v>
      </c>
      <c r="X449" s="237">
        <v>0</v>
      </c>
      <c r="Y449" s="237">
        <v>0</v>
      </c>
      <c r="Z449" s="237" t="s">
        <v>228</v>
      </c>
      <c r="AA449" s="237" t="s">
        <v>2706</v>
      </c>
      <c r="AB449" s="237" t="s">
        <v>228</v>
      </c>
      <c r="AC449" s="237" t="s">
        <v>228</v>
      </c>
    </row>
    <row r="450" spans="1:39" ht="13.5" customHeight="1">
      <c r="A450" s="235">
        <v>448</v>
      </c>
      <c r="B450" s="237"/>
      <c r="C450" s="255" t="s">
        <v>2707</v>
      </c>
      <c r="D450" s="237" t="s">
        <v>2708</v>
      </c>
      <c r="E450" s="237">
        <v>47</v>
      </c>
      <c r="F450" s="237" t="s">
        <v>75</v>
      </c>
      <c r="G450" s="237" t="s">
        <v>2709</v>
      </c>
      <c r="H450" s="289" t="s">
        <v>3</v>
      </c>
      <c r="I450" s="243"/>
      <c r="K450" s="240"/>
      <c r="L450" s="243" t="s">
        <v>20</v>
      </c>
      <c r="M450" s="243" t="s">
        <v>231</v>
      </c>
      <c r="N450" s="237"/>
      <c r="O450" s="237"/>
      <c r="P450" s="237"/>
      <c r="Q450" s="245">
        <v>45916</v>
      </c>
      <c r="R450" s="237" t="s">
        <v>309</v>
      </c>
      <c r="S450" s="331" t="s">
        <v>233</v>
      </c>
      <c r="T450" s="237" t="s">
        <v>228</v>
      </c>
      <c r="U450" s="237" t="s">
        <v>234</v>
      </c>
      <c r="V450" s="237" t="s">
        <v>652</v>
      </c>
      <c r="W450" s="245">
        <v>45986</v>
      </c>
      <c r="X450" s="237">
        <v>0</v>
      </c>
      <c r="Y450" s="237">
        <v>0</v>
      </c>
      <c r="Z450" s="237" t="s">
        <v>228</v>
      </c>
      <c r="AA450" s="237" t="s">
        <v>2713</v>
      </c>
      <c r="AB450" s="237" t="s">
        <v>228</v>
      </c>
      <c r="AC450" s="237" t="s">
        <v>228</v>
      </c>
    </row>
    <row r="451" spans="1:39" ht="13.5" customHeight="1">
      <c r="A451" s="235">
        <v>449</v>
      </c>
      <c r="B451" s="237"/>
      <c r="C451" s="255" t="s">
        <v>2714</v>
      </c>
      <c r="D451" s="237" t="s">
        <v>2715</v>
      </c>
      <c r="E451" s="237">
        <v>70</v>
      </c>
      <c r="F451" s="237" t="s">
        <v>60</v>
      </c>
      <c r="G451" s="237" t="s">
        <v>2716</v>
      </c>
      <c r="H451" s="243" t="s">
        <v>4</v>
      </c>
      <c r="I451" s="243"/>
      <c r="K451" s="243" t="s">
        <v>137</v>
      </c>
      <c r="L451" s="243" t="s">
        <v>1642</v>
      </c>
      <c r="M451" s="243" t="s">
        <v>528</v>
      </c>
      <c r="N451" s="237"/>
      <c r="O451" s="237"/>
      <c r="P451" s="237"/>
      <c r="Q451" s="245">
        <v>45916</v>
      </c>
      <c r="R451" s="237" t="s">
        <v>309</v>
      </c>
      <c r="S451" s="331" t="s">
        <v>233</v>
      </c>
      <c r="T451" s="237" t="s">
        <v>228</v>
      </c>
      <c r="U451" s="237" t="s">
        <v>234</v>
      </c>
      <c r="V451" s="237" t="s">
        <v>652</v>
      </c>
      <c r="W451" s="245">
        <v>45986</v>
      </c>
      <c r="X451" s="237">
        <v>0</v>
      </c>
      <c r="Y451" s="237">
        <v>0</v>
      </c>
      <c r="Z451" s="237" t="s">
        <v>228</v>
      </c>
      <c r="AA451" s="237" t="s">
        <v>2717</v>
      </c>
      <c r="AB451" s="237" t="s">
        <v>228</v>
      </c>
      <c r="AC451" s="237" t="s">
        <v>228</v>
      </c>
    </row>
    <row r="452" spans="1:39" s="259" customFormat="1" ht="13.5" customHeight="1">
      <c r="A452" s="235">
        <v>450</v>
      </c>
      <c r="B452" s="258"/>
      <c r="C452" s="263" t="s">
        <v>2718</v>
      </c>
      <c r="D452" s="258" t="s">
        <v>2719</v>
      </c>
      <c r="E452" s="258">
        <v>44</v>
      </c>
      <c r="F452" s="264" t="s">
        <v>60</v>
      </c>
      <c r="G452" s="258" t="s">
        <v>2720</v>
      </c>
      <c r="H452" s="257" t="s">
        <v>27</v>
      </c>
      <c r="I452" s="257"/>
      <c r="J452" s="259" t="s">
        <v>433</v>
      </c>
      <c r="K452" s="265" t="s">
        <v>2721</v>
      </c>
      <c r="L452" s="266"/>
      <c r="M452" s="257" t="s">
        <v>231</v>
      </c>
      <c r="N452" s="258"/>
      <c r="O452" s="258"/>
      <c r="P452" s="258"/>
      <c r="Q452" s="261">
        <v>45919</v>
      </c>
      <c r="R452" s="258" t="s">
        <v>309</v>
      </c>
      <c r="S452" s="333" t="s">
        <v>233</v>
      </c>
      <c r="T452" s="258" t="s">
        <v>228</v>
      </c>
      <c r="U452" s="258" t="s">
        <v>234</v>
      </c>
      <c r="V452" s="258" t="s">
        <v>652</v>
      </c>
      <c r="W452" s="261">
        <v>45971</v>
      </c>
      <c r="X452" s="258" t="s">
        <v>1836</v>
      </c>
      <c r="Y452" s="258" t="s">
        <v>588</v>
      </c>
      <c r="Z452" s="237" t="s">
        <v>237</v>
      </c>
      <c r="AA452" s="258" t="s">
        <v>2723</v>
      </c>
      <c r="AB452" s="258" t="s">
        <v>228</v>
      </c>
      <c r="AC452" s="258" t="s">
        <v>228</v>
      </c>
      <c r="AD452" s="299"/>
      <c r="AE452" s="299"/>
      <c r="AF452" s="299"/>
      <c r="AG452" s="299"/>
      <c r="AH452" s="299"/>
      <c r="AI452" s="299"/>
      <c r="AJ452" s="299"/>
      <c r="AK452" s="299"/>
      <c r="AL452" s="299"/>
      <c r="AM452" s="304"/>
    </row>
    <row r="453" spans="1:39" ht="13.5" customHeight="1">
      <c r="A453" s="235">
        <v>451</v>
      </c>
      <c r="B453" s="237"/>
      <c r="C453" s="255" t="s">
        <v>2724</v>
      </c>
      <c r="D453" s="237" t="s">
        <v>2725</v>
      </c>
      <c r="E453" s="237">
        <v>57</v>
      </c>
      <c r="F453" s="237" t="s">
        <v>75</v>
      </c>
      <c r="G453" s="237" t="s">
        <v>2726</v>
      </c>
      <c r="H453" s="243" t="s">
        <v>188</v>
      </c>
      <c r="I453" s="243"/>
      <c r="K453" s="240"/>
      <c r="L453" s="243" t="s">
        <v>231</v>
      </c>
      <c r="M453" s="243" t="s">
        <v>231</v>
      </c>
      <c r="N453" s="237"/>
      <c r="O453" s="237"/>
      <c r="P453" s="237"/>
      <c r="Q453" s="245">
        <v>45921</v>
      </c>
      <c r="R453" s="237" t="s">
        <v>309</v>
      </c>
      <c r="S453" s="331" t="s">
        <v>233</v>
      </c>
      <c r="T453" s="237" t="s">
        <v>228</v>
      </c>
      <c r="U453" s="237" t="s">
        <v>234</v>
      </c>
      <c r="V453" s="237" t="s">
        <v>652</v>
      </c>
      <c r="W453" s="245">
        <v>45971</v>
      </c>
      <c r="X453" s="237" t="s">
        <v>2727</v>
      </c>
      <c r="Y453" s="237" t="s">
        <v>588</v>
      </c>
      <c r="Z453" s="237" t="s">
        <v>237</v>
      </c>
      <c r="AA453" s="237" t="s">
        <v>2728</v>
      </c>
      <c r="AB453" s="237" t="s">
        <v>228</v>
      </c>
      <c r="AC453" s="237" t="s">
        <v>228</v>
      </c>
    </row>
    <row r="454" spans="1:39" ht="13.5" customHeight="1">
      <c r="A454" s="235">
        <v>452</v>
      </c>
      <c r="B454" s="237"/>
      <c r="C454" s="255" t="s">
        <v>2729</v>
      </c>
      <c r="D454" s="237" t="s">
        <v>2730</v>
      </c>
      <c r="E454" s="237">
        <v>64</v>
      </c>
      <c r="F454" s="237" t="s">
        <v>60</v>
      </c>
      <c r="G454" s="237" t="s">
        <v>2731</v>
      </c>
      <c r="H454" s="243" t="s">
        <v>188</v>
      </c>
      <c r="I454" s="243"/>
      <c r="K454" s="240"/>
      <c r="L454" s="243" t="s">
        <v>231</v>
      </c>
      <c r="M454" s="243" t="s">
        <v>231</v>
      </c>
      <c r="N454" s="237"/>
      <c r="O454" s="237"/>
      <c r="P454" s="237"/>
      <c r="Q454" s="245">
        <v>45921</v>
      </c>
      <c r="R454" s="237" t="s">
        <v>309</v>
      </c>
      <c r="S454" s="331" t="s">
        <v>233</v>
      </c>
      <c r="T454" s="237" t="s">
        <v>228</v>
      </c>
      <c r="U454" s="237" t="s">
        <v>234</v>
      </c>
      <c r="V454" s="237" t="s">
        <v>652</v>
      </c>
      <c r="W454" s="245">
        <v>45971</v>
      </c>
      <c r="X454" s="237" t="s">
        <v>2732</v>
      </c>
      <c r="Y454" s="237" t="s">
        <v>588</v>
      </c>
      <c r="Z454" s="237" t="s">
        <v>237</v>
      </c>
      <c r="AA454" s="237" t="s">
        <v>2733</v>
      </c>
      <c r="AB454" s="237" t="s">
        <v>228</v>
      </c>
      <c r="AC454" s="237" t="s">
        <v>228</v>
      </c>
    </row>
    <row r="455" spans="1:39" ht="13.5" customHeight="1">
      <c r="A455" s="235">
        <v>453</v>
      </c>
      <c r="B455" s="237"/>
      <c r="C455" s="255" t="s">
        <v>2734</v>
      </c>
      <c r="D455" s="237" t="s">
        <v>2735</v>
      </c>
      <c r="E455" s="237">
        <v>49</v>
      </c>
      <c r="F455" s="237" t="s">
        <v>60</v>
      </c>
      <c r="G455" s="237" t="s">
        <v>2736</v>
      </c>
      <c r="H455" s="243" t="s">
        <v>5</v>
      </c>
      <c r="I455" s="243"/>
      <c r="K455" s="240" t="s">
        <v>2737</v>
      </c>
      <c r="L455" s="72" t="s">
        <v>67</v>
      </c>
      <c r="M455" s="243" t="s">
        <v>231</v>
      </c>
      <c r="N455" s="237"/>
      <c r="O455" s="237"/>
      <c r="P455" s="237"/>
      <c r="Q455" s="245">
        <v>45924</v>
      </c>
      <c r="R455" s="237" t="s">
        <v>309</v>
      </c>
      <c r="S455" s="331" t="s">
        <v>233</v>
      </c>
      <c r="T455" s="237" t="s">
        <v>228</v>
      </c>
      <c r="U455" s="237" t="s">
        <v>234</v>
      </c>
      <c r="V455" s="237" t="s">
        <v>652</v>
      </c>
      <c r="W455" s="245">
        <v>45986</v>
      </c>
      <c r="X455" s="237">
        <v>0</v>
      </c>
      <c r="Y455" s="237">
        <v>0</v>
      </c>
      <c r="Z455" s="237" t="s">
        <v>228</v>
      </c>
      <c r="AA455" s="237" t="s">
        <v>2738</v>
      </c>
      <c r="AB455" s="237" t="s">
        <v>228</v>
      </c>
      <c r="AC455" s="237" t="s">
        <v>228</v>
      </c>
    </row>
    <row r="456" spans="1:39" ht="13.5" customHeight="1">
      <c r="A456" s="235">
        <v>454</v>
      </c>
      <c r="B456" s="237"/>
      <c r="C456" s="255" t="s">
        <v>2739</v>
      </c>
      <c r="D456" s="237" t="s">
        <v>2740</v>
      </c>
      <c r="E456" s="237">
        <v>73</v>
      </c>
      <c r="F456" s="237" t="s">
        <v>60</v>
      </c>
      <c r="G456" s="237" t="s">
        <v>2741</v>
      </c>
      <c r="H456" s="243" t="s">
        <v>188</v>
      </c>
      <c r="I456" s="243"/>
      <c r="K456" s="240"/>
      <c r="L456" s="243" t="s">
        <v>231</v>
      </c>
      <c r="M456" s="243" t="s">
        <v>231</v>
      </c>
      <c r="N456" s="237"/>
      <c r="O456" s="237"/>
      <c r="P456" s="237"/>
      <c r="Q456" s="245">
        <v>45924</v>
      </c>
      <c r="R456" s="237" t="s">
        <v>309</v>
      </c>
      <c r="S456" s="331" t="s">
        <v>233</v>
      </c>
      <c r="T456" s="237" t="s">
        <v>228</v>
      </c>
      <c r="U456" s="237" t="s">
        <v>234</v>
      </c>
      <c r="V456" s="237" t="s">
        <v>652</v>
      </c>
      <c r="W456" s="245">
        <v>45971</v>
      </c>
      <c r="X456" s="237" t="s">
        <v>2742</v>
      </c>
      <c r="Y456" s="237" t="s">
        <v>588</v>
      </c>
      <c r="Z456" s="237" t="s">
        <v>237</v>
      </c>
      <c r="AA456" s="237" t="s">
        <v>2743</v>
      </c>
      <c r="AB456" s="237" t="s">
        <v>228</v>
      </c>
      <c r="AC456" s="237" t="s">
        <v>228</v>
      </c>
    </row>
    <row r="457" spans="1:39" ht="13.5" customHeight="1">
      <c r="A457" s="235">
        <v>455</v>
      </c>
      <c r="B457" s="237"/>
      <c r="C457" s="255" t="s">
        <v>2744</v>
      </c>
      <c r="D457" s="237" t="s">
        <v>2745</v>
      </c>
      <c r="E457" s="237">
        <v>37</v>
      </c>
      <c r="F457" s="237" t="s">
        <v>75</v>
      </c>
      <c r="G457" s="237" t="s">
        <v>2746</v>
      </c>
      <c r="H457" s="243" t="s">
        <v>188</v>
      </c>
      <c r="I457" s="243"/>
      <c r="K457" s="240"/>
      <c r="L457" s="243" t="s">
        <v>231</v>
      </c>
      <c r="M457" s="243" t="s">
        <v>231</v>
      </c>
      <c r="N457" s="237"/>
      <c r="O457" s="237"/>
      <c r="P457" s="237"/>
      <c r="Q457" s="245">
        <v>45926</v>
      </c>
      <c r="R457" s="237" t="s">
        <v>309</v>
      </c>
      <c r="S457" s="331" t="s">
        <v>233</v>
      </c>
      <c r="T457" s="237" t="s">
        <v>228</v>
      </c>
      <c r="U457" s="237" t="s">
        <v>234</v>
      </c>
      <c r="V457" s="237" t="s">
        <v>652</v>
      </c>
      <c r="W457" s="245">
        <v>45986</v>
      </c>
      <c r="X457" s="237">
        <v>0</v>
      </c>
      <c r="Y457" s="237">
        <v>0</v>
      </c>
      <c r="Z457" s="237" t="s">
        <v>228</v>
      </c>
      <c r="AA457" s="237" t="s">
        <v>2747</v>
      </c>
      <c r="AB457" s="237" t="s">
        <v>228</v>
      </c>
      <c r="AC457" s="237" t="s">
        <v>228</v>
      </c>
    </row>
    <row r="458" spans="1:39" ht="13.5" customHeight="1">
      <c r="A458" s="235">
        <v>456</v>
      </c>
      <c r="B458" s="237"/>
      <c r="C458" s="255" t="s">
        <v>2748</v>
      </c>
      <c r="D458" s="237" t="s">
        <v>2749</v>
      </c>
      <c r="E458" s="237">
        <v>71</v>
      </c>
      <c r="F458" s="237" t="s">
        <v>60</v>
      </c>
      <c r="G458" s="237" t="s">
        <v>2750</v>
      </c>
      <c r="H458" s="243" t="s">
        <v>188</v>
      </c>
      <c r="I458" s="243"/>
      <c r="K458" s="240"/>
      <c r="L458" s="243" t="s">
        <v>231</v>
      </c>
      <c r="M458" s="243" t="s">
        <v>231</v>
      </c>
      <c r="N458" s="237"/>
      <c r="O458" s="237"/>
      <c r="P458" s="237"/>
      <c r="Q458" s="245">
        <v>45926</v>
      </c>
      <c r="R458" s="237" t="s">
        <v>309</v>
      </c>
      <c r="S458" s="331" t="s">
        <v>233</v>
      </c>
      <c r="T458" s="237" t="s">
        <v>228</v>
      </c>
      <c r="U458" s="237" t="s">
        <v>234</v>
      </c>
      <c r="V458" s="237" t="s">
        <v>652</v>
      </c>
      <c r="W458" s="245">
        <v>45986</v>
      </c>
      <c r="X458" s="237">
        <v>0</v>
      </c>
      <c r="Y458" s="237">
        <v>0</v>
      </c>
      <c r="Z458" s="237" t="s">
        <v>228</v>
      </c>
      <c r="AA458" s="237" t="s">
        <v>2751</v>
      </c>
      <c r="AB458" s="237" t="s">
        <v>228</v>
      </c>
      <c r="AC458" s="237" t="s">
        <v>228</v>
      </c>
    </row>
    <row r="459" spans="1:39" ht="13.5" customHeight="1">
      <c r="A459" s="235">
        <v>457</v>
      </c>
      <c r="B459" s="237"/>
      <c r="C459" s="255" t="s">
        <v>2752</v>
      </c>
      <c r="D459" s="237" t="s">
        <v>2753</v>
      </c>
      <c r="E459" s="237">
        <v>59</v>
      </c>
      <c r="F459" s="237" t="s">
        <v>60</v>
      </c>
      <c r="G459" s="237" t="s">
        <v>2754</v>
      </c>
      <c r="H459" s="243" t="s">
        <v>188</v>
      </c>
      <c r="I459" s="243"/>
      <c r="K459" s="240"/>
      <c r="L459" s="243" t="s">
        <v>231</v>
      </c>
      <c r="M459" s="243" t="s">
        <v>231</v>
      </c>
      <c r="N459" s="237"/>
      <c r="O459" s="237"/>
      <c r="P459" s="237"/>
      <c r="Q459" s="245">
        <v>45926</v>
      </c>
      <c r="R459" s="237" t="s">
        <v>309</v>
      </c>
      <c r="S459" s="331" t="s">
        <v>233</v>
      </c>
      <c r="T459" s="237" t="s">
        <v>228</v>
      </c>
      <c r="U459" s="237" t="s">
        <v>234</v>
      </c>
      <c r="V459" s="237" t="s">
        <v>652</v>
      </c>
      <c r="W459" s="245">
        <v>45986</v>
      </c>
      <c r="X459" s="237">
        <v>0</v>
      </c>
      <c r="Y459" s="237">
        <v>0</v>
      </c>
      <c r="Z459" s="237" t="s">
        <v>228</v>
      </c>
      <c r="AA459" s="237" t="s">
        <v>2755</v>
      </c>
      <c r="AB459" s="237" t="s">
        <v>228</v>
      </c>
      <c r="AC459" s="237" t="s">
        <v>228</v>
      </c>
    </row>
    <row r="460" spans="1:39" ht="13.5" customHeight="1">
      <c r="A460" s="235">
        <v>458</v>
      </c>
      <c r="B460" s="237"/>
      <c r="C460" s="255" t="s">
        <v>2756</v>
      </c>
      <c r="D460" s="237" t="s">
        <v>2757</v>
      </c>
      <c r="E460" s="237">
        <v>79</v>
      </c>
      <c r="F460" s="237" t="s">
        <v>60</v>
      </c>
      <c r="G460" s="237" t="s">
        <v>2758</v>
      </c>
      <c r="H460" s="243" t="s">
        <v>188</v>
      </c>
      <c r="I460" s="243"/>
      <c r="K460" s="240"/>
      <c r="L460" s="243" t="s">
        <v>231</v>
      </c>
      <c r="M460" s="243" t="s">
        <v>231</v>
      </c>
      <c r="N460" s="237"/>
      <c r="O460" s="237"/>
      <c r="P460" s="237"/>
      <c r="Q460" s="245">
        <v>45927</v>
      </c>
      <c r="R460" s="237" t="s">
        <v>309</v>
      </c>
      <c r="S460" s="331" t="s">
        <v>233</v>
      </c>
      <c r="T460" s="237" t="s">
        <v>228</v>
      </c>
      <c r="U460" s="237" t="s">
        <v>234</v>
      </c>
      <c r="V460" s="237" t="s">
        <v>652</v>
      </c>
      <c r="W460" s="245">
        <v>45986</v>
      </c>
      <c r="X460" s="237">
        <v>0</v>
      </c>
      <c r="Y460" s="237">
        <v>0</v>
      </c>
      <c r="Z460" s="237" t="s">
        <v>228</v>
      </c>
      <c r="AA460" s="237" t="s">
        <v>2759</v>
      </c>
      <c r="AB460" s="237" t="s">
        <v>228</v>
      </c>
      <c r="AC460" s="237" t="s">
        <v>228</v>
      </c>
    </row>
    <row r="461" spans="1:39" ht="13.5" customHeight="1">
      <c r="A461" s="235">
        <v>459</v>
      </c>
      <c r="B461" s="237"/>
      <c r="C461" s="255" t="s">
        <v>2760</v>
      </c>
      <c r="D461" s="237" t="s">
        <v>2761</v>
      </c>
      <c r="E461" s="237">
        <v>84</v>
      </c>
      <c r="F461" s="237" t="s">
        <v>60</v>
      </c>
      <c r="G461" s="237" t="s">
        <v>2762</v>
      </c>
      <c r="H461" s="243" t="s">
        <v>188</v>
      </c>
      <c r="I461" s="243"/>
      <c r="K461" s="240"/>
      <c r="L461" s="243" t="s">
        <v>231</v>
      </c>
      <c r="M461" s="243" t="s">
        <v>231</v>
      </c>
      <c r="N461" s="237"/>
      <c r="O461" s="237"/>
      <c r="P461" s="237"/>
      <c r="Q461" s="245">
        <v>45929</v>
      </c>
      <c r="R461" s="237" t="s">
        <v>309</v>
      </c>
      <c r="S461" s="331" t="s">
        <v>233</v>
      </c>
      <c r="T461" s="237" t="s">
        <v>228</v>
      </c>
      <c r="U461" s="237" t="s">
        <v>234</v>
      </c>
      <c r="V461" s="237" t="s">
        <v>652</v>
      </c>
      <c r="W461" s="245">
        <v>45986</v>
      </c>
      <c r="X461" s="237">
        <v>0</v>
      </c>
      <c r="Y461" s="237">
        <v>0</v>
      </c>
      <c r="Z461" s="237" t="s">
        <v>228</v>
      </c>
      <c r="AA461" s="237" t="s">
        <v>2763</v>
      </c>
      <c r="AB461" s="237" t="s">
        <v>228</v>
      </c>
      <c r="AC461" s="237" t="s">
        <v>228</v>
      </c>
    </row>
    <row r="462" spans="1:39" ht="13.5" customHeight="1">
      <c r="A462" s="235">
        <v>460</v>
      </c>
      <c r="B462" s="237"/>
      <c r="C462" s="255" t="s">
        <v>2764</v>
      </c>
      <c r="D462" s="237" t="s">
        <v>2765</v>
      </c>
      <c r="E462" s="237">
        <v>78</v>
      </c>
      <c r="F462" s="237" t="s">
        <v>60</v>
      </c>
      <c r="G462" s="237" t="s">
        <v>2766</v>
      </c>
      <c r="H462" s="243" t="s">
        <v>4</v>
      </c>
      <c r="I462" s="243"/>
      <c r="K462" s="289" t="s">
        <v>138</v>
      </c>
      <c r="L462" s="289" t="s">
        <v>138</v>
      </c>
      <c r="M462" s="243" t="s">
        <v>2767</v>
      </c>
      <c r="N462" s="237"/>
      <c r="O462" s="237"/>
      <c r="P462" s="237"/>
      <c r="Q462" s="245">
        <v>45929</v>
      </c>
      <c r="R462" s="237" t="s">
        <v>309</v>
      </c>
      <c r="S462" s="331" t="s">
        <v>233</v>
      </c>
      <c r="T462" s="237" t="s">
        <v>228</v>
      </c>
      <c r="U462" s="237" t="s">
        <v>234</v>
      </c>
      <c r="V462" s="237" t="s">
        <v>652</v>
      </c>
      <c r="W462" s="245">
        <v>45986</v>
      </c>
      <c r="X462" s="237">
        <v>0</v>
      </c>
      <c r="Y462" s="237">
        <v>0</v>
      </c>
      <c r="Z462" s="237" t="s">
        <v>228</v>
      </c>
      <c r="AA462" s="237" t="s">
        <v>2768</v>
      </c>
      <c r="AB462" s="237" t="s">
        <v>228</v>
      </c>
      <c r="AC462" s="237" t="s">
        <v>228</v>
      </c>
    </row>
    <row r="463" spans="1:39" ht="13.5" customHeight="1">
      <c r="A463" s="235">
        <v>461</v>
      </c>
      <c r="B463" s="237"/>
      <c r="C463" s="255" t="s">
        <v>2769</v>
      </c>
      <c r="D463" s="237" t="s">
        <v>2770</v>
      </c>
      <c r="E463" s="237">
        <v>43</v>
      </c>
      <c r="F463" s="237" t="s">
        <v>60</v>
      </c>
      <c r="G463" s="237" t="s">
        <v>2771</v>
      </c>
      <c r="H463" s="243" t="s">
        <v>27</v>
      </c>
      <c r="I463" s="243"/>
      <c r="J463" s="235" t="s">
        <v>2250</v>
      </c>
      <c r="K463" s="240"/>
      <c r="L463" s="243" t="s">
        <v>231</v>
      </c>
      <c r="M463" s="243" t="s">
        <v>231</v>
      </c>
      <c r="N463" s="237"/>
      <c r="O463" s="237"/>
      <c r="P463" s="237"/>
      <c r="Q463" s="245">
        <v>45930</v>
      </c>
      <c r="R463" s="237" t="s">
        <v>309</v>
      </c>
      <c r="S463" s="331" t="s">
        <v>233</v>
      </c>
      <c r="T463" s="237" t="s">
        <v>228</v>
      </c>
      <c r="U463" s="237" t="s">
        <v>234</v>
      </c>
      <c r="V463" s="237" t="s">
        <v>652</v>
      </c>
      <c r="W463" s="245">
        <v>45986</v>
      </c>
      <c r="X463" s="237">
        <v>0</v>
      </c>
      <c r="Y463" s="237">
        <v>0</v>
      </c>
      <c r="Z463" s="237" t="s">
        <v>228</v>
      </c>
      <c r="AA463" s="237" t="s">
        <v>2772</v>
      </c>
      <c r="AB463" s="237" t="s">
        <v>228</v>
      </c>
      <c r="AC463" s="237" t="s">
        <v>228</v>
      </c>
    </row>
    <row r="464" spans="1:39" ht="13.5" customHeight="1">
      <c r="A464" s="235">
        <v>462</v>
      </c>
      <c r="B464" s="237"/>
      <c r="C464" s="255" t="s">
        <v>2773</v>
      </c>
      <c r="D464" s="237" t="s">
        <v>2774</v>
      </c>
      <c r="E464" s="237">
        <v>51</v>
      </c>
      <c r="F464" s="237" t="s">
        <v>75</v>
      </c>
      <c r="G464" s="237" t="s">
        <v>2766</v>
      </c>
      <c r="H464" s="243" t="s">
        <v>27</v>
      </c>
      <c r="I464" s="243"/>
      <c r="J464" s="235" t="s">
        <v>433</v>
      </c>
      <c r="K464" s="240"/>
      <c r="L464" s="243" t="s">
        <v>231</v>
      </c>
      <c r="M464" s="243" t="s">
        <v>231</v>
      </c>
      <c r="N464" s="237"/>
      <c r="O464" s="237"/>
      <c r="P464" s="237"/>
      <c r="Q464" s="245">
        <v>45930</v>
      </c>
      <c r="R464" s="237" t="s">
        <v>309</v>
      </c>
      <c r="S464" s="331" t="s">
        <v>233</v>
      </c>
      <c r="T464" s="237" t="s">
        <v>228</v>
      </c>
      <c r="U464" s="237" t="s">
        <v>234</v>
      </c>
      <c r="V464" s="237" t="s">
        <v>652</v>
      </c>
      <c r="W464" s="245">
        <v>45986</v>
      </c>
      <c r="X464" s="237">
        <v>0</v>
      </c>
      <c r="Y464" s="237">
        <v>0</v>
      </c>
      <c r="Z464" s="237" t="s">
        <v>228</v>
      </c>
      <c r="AA464" s="237" t="s">
        <v>2775</v>
      </c>
      <c r="AB464" s="237" t="s">
        <v>228</v>
      </c>
      <c r="AC464" s="237" t="s">
        <v>228</v>
      </c>
    </row>
    <row r="465" spans="1:29" ht="13.5" customHeight="1">
      <c r="A465" s="235">
        <v>463</v>
      </c>
      <c r="B465" s="237"/>
      <c r="C465" s="255" t="s">
        <v>2776</v>
      </c>
      <c r="D465" s="237" t="s">
        <v>2777</v>
      </c>
      <c r="E465" s="237">
        <v>67</v>
      </c>
      <c r="F465" s="237" t="s">
        <v>75</v>
      </c>
      <c r="G465" s="237" t="s">
        <v>2778</v>
      </c>
      <c r="H465" s="243" t="s">
        <v>27</v>
      </c>
      <c r="I465" s="243"/>
      <c r="J465" s="235" t="s">
        <v>433</v>
      </c>
      <c r="K465" s="240"/>
      <c r="L465" s="243" t="s">
        <v>231</v>
      </c>
      <c r="M465" s="243" t="s">
        <v>231</v>
      </c>
      <c r="N465" s="237"/>
      <c r="O465" s="237"/>
      <c r="P465" s="237"/>
      <c r="Q465" s="245">
        <v>45930</v>
      </c>
      <c r="R465" s="237" t="s">
        <v>309</v>
      </c>
      <c r="S465" s="331" t="s">
        <v>233</v>
      </c>
      <c r="T465" s="237" t="s">
        <v>228</v>
      </c>
      <c r="U465" s="237" t="s">
        <v>234</v>
      </c>
      <c r="V465" s="237" t="s">
        <v>652</v>
      </c>
      <c r="W465" s="245">
        <v>45986</v>
      </c>
      <c r="X465" s="237">
        <v>0</v>
      </c>
      <c r="Y465" s="237">
        <v>0</v>
      </c>
      <c r="Z465" s="237" t="s">
        <v>228</v>
      </c>
      <c r="AA465" s="237" t="s">
        <v>2779</v>
      </c>
      <c r="AB465" s="237" t="s">
        <v>237</v>
      </c>
      <c r="AC465" s="237" t="s">
        <v>353</v>
      </c>
    </row>
    <row r="466" spans="1:29" ht="13.5" customHeight="1">
      <c r="A466" s="235">
        <v>464</v>
      </c>
      <c r="B466" s="237"/>
      <c r="C466" s="255" t="s">
        <v>2780</v>
      </c>
      <c r="D466" s="237" t="s">
        <v>2781</v>
      </c>
      <c r="E466" s="237">
        <v>47</v>
      </c>
      <c r="F466" s="237" t="s">
        <v>75</v>
      </c>
      <c r="G466" s="267" t="s">
        <v>2782</v>
      </c>
      <c r="H466" s="243" t="s">
        <v>188</v>
      </c>
      <c r="I466" s="292" t="s">
        <v>2783</v>
      </c>
      <c r="K466" s="240"/>
      <c r="L466" s="243" t="s">
        <v>231</v>
      </c>
      <c r="M466" s="243" t="s">
        <v>2784</v>
      </c>
      <c r="N466" s="237"/>
      <c r="O466" s="237"/>
      <c r="P466" s="237"/>
      <c r="Q466" s="245">
        <v>45958</v>
      </c>
      <c r="R466" s="237" t="s">
        <v>309</v>
      </c>
      <c r="S466" s="331" t="s">
        <v>233</v>
      </c>
      <c r="T466" s="237" t="s">
        <v>228</v>
      </c>
      <c r="U466" s="237" t="s">
        <v>234</v>
      </c>
      <c r="V466" s="237" t="s">
        <v>652</v>
      </c>
      <c r="W466" s="245">
        <v>45971</v>
      </c>
      <c r="X466" s="237" t="s">
        <v>2785</v>
      </c>
      <c r="Y466" s="237" t="s">
        <v>237</v>
      </c>
      <c r="Z466" s="237" t="s">
        <v>237</v>
      </c>
      <c r="AA466" s="237" t="s">
        <v>2786</v>
      </c>
      <c r="AB466" s="237" t="s">
        <v>228</v>
      </c>
      <c r="AC466" s="237" t="s">
        <v>228</v>
      </c>
    </row>
    <row r="467" spans="1:29" ht="13.5" customHeight="1">
      <c r="A467" s="235">
        <v>465</v>
      </c>
      <c r="B467" s="237"/>
      <c r="C467" s="255" t="s">
        <v>2787</v>
      </c>
      <c r="D467" s="264" t="s">
        <v>2788</v>
      </c>
      <c r="E467" s="237">
        <v>59</v>
      </c>
      <c r="F467" s="237" t="s">
        <v>60</v>
      </c>
      <c r="G467" s="237" t="s">
        <v>2789</v>
      </c>
      <c r="H467" s="243" t="s">
        <v>4</v>
      </c>
      <c r="I467" s="249" t="s">
        <v>2790</v>
      </c>
      <c r="K467" s="240" t="s">
        <v>4394</v>
      </c>
      <c r="L467" s="289" t="s">
        <v>108</v>
      </c>
      <c r="M467" s="243" t="s">
        <v>231</v>
      </c>
      <c r="N467" s="237"/>
      <c r="O467" s="237"/>
      <c r="P467" s="237"/>
      <c r="Q467" s="245">
        <v>45964</v>
      </c>
      <c r="R467" s="237" t="s">
        <v>309</v>
      </c>
      <c r="S467" s="331" t="s">
        <v>233</v>
      </c>
      <c r="T467" s="237" t="s">
        <v>228</v>
      </c>
      <c r="U467" s="237" t="s">
        <v>234</v>
      </c>
      <c r="V467" s="237" t="s">
        <v>652</v>
      </c>
      <c r="W467" s="245">
        <v>45986</v>
      </c>
      <c r="X467" s="237">
        <v>0</v>
      </c>
      <c r="Y467" s="237" t="s">
        <v>237</v>
      </c>
      <c r="Z467" s="237" t="s">
        <v>237</v>
      </c>
      <c r="AA467" s="237" t="s">
        <v>2792</v>
      </c>
      <c r="AB467" s="237" t="s">
        <v>228</v>
      </c>
      <c r="AC467" s="237" t="s">
        <v>228</v>
      </c>
    </row>
    <row r="468" spans="1:29" ht="13.5" customHeight="1">
      <c r="A468" s="235">
        <v>466</v>
      </c>
      <c r="B468" s="237"/>
      <c r="C468" s="243" t="s">
        <v>2793</v>
      </c>
      <c r="D468" s="237" t="s">
        <v>2794</v>
      </c>
      <c r="E468" s="237">
        <v>68</v>
      </c>
      <c r="F468" s="237" t="s">
        <v>75</v>
      </c>
      <c r="G468" s="237" t="s">
        <v>2795</v>
      </c>
      <c r="H468" s="243" t="s">
        <v>3</v>
      </c>
      <c r="I468" s="243"/>
      <c r="J468" s="240" t="s">
        <v>886</v>
      </c>
      <c r="K468" s="240" t="s">
        <v>1318</v>
      </c>
      <c r="L468" s="72" t="s">
        <v>41</v>
      </c>
      <c r="M468" s="243" t="s">
        <v>231</v>
      </c>
      <c r="N468" s="237"/>
      <c r="O468" s="237"/>
      <c r="P468" s="237"/>
      <c r="Q468" s="245">
        <v>44930</v>
      </c>
      <c r="R468" s="237" t="s">
        <v>309</v>
      </c>
      <c r="S468" s="331" t="s">
        <v>233</v>
      </c>
      <c r="T468" s="237" t="s">
        <v>228</v>
      </c>
      <c r="U468" s="237" t="s">
        <v>234</v>
      </c>
      <c r="V468" s="237" t="s">
        <v>652</v>
      </c>
      <c r="W468" s="245">
        <v>45986</v>
      </c>
      <c r="X468" s="237">
        <v>0</v>
      </c>
      <c r="Y468" s="237">
        <v>0</v>
      </c>
      <c r="Z468" s="237" t="s">
        <v>228</v>
      </c>
      <c r="AA468" s="237" t="s">
        <v>2796</v>
      </c>
      <c r="AB468" s="237" t="s">
        <v>228</v>
      </c>
      <c r="AC468" s="237" t="s">
        <v>228</v>
      </c>
    </row>
    <row r="469" spans="1:29" ht="13.5" customHeight="1">
      <c r="A469" s="235">
        <v>467</v>
      </c>
      <c r="B469" s="237"/>
      <c r="C469" s="243" t="s">
        <v>2797</v>
      </c>
      <c r="D469" s="237" t="s">
        <v>2798</v>
      </c>
      <c r="E469" s="237">
        <v>65</v>
      </c>
      <c r="F469" s="237" t="s">
        <v>60</v>
      </c>
      <c r="G469" s="237" t="s">
        <v>2799</v>
      </c>
      <c r="H469" s="243" t="s">
        <v>4</v>
      </c>
      <c r="I469" s="243"/>
      <c r="J469" s="240" t="s">
        <v>886</v>
      </c>
      <c r="K469" s="240" t="s">
        <v>2800</v>
      </c>
      <c r="L469" s="72" t="s">
        <v>65</v>
      </c>
      <c r="M469" s="243" t="s">
        <v>231</v>
      </c>
      <c r="N469" s="237"/>
      <c r="O469" s="237"/>
      <c r="P469" s="237"/>
      <c r="Q469" s="245">
        <v>44931</v>
      </c>
      <c r="R469" s="237" t="s">
        <v>309</v>
      </c>
      <c r="S469" s="331" t="s">
        <v>233</v>
      </c>
      <c r="T469" s="237" t="s">
        <v>228</v>
      </c>
      <c r="U469" s="237" t="s">
        <v>234</v>
      </c>
      <c r="V469" s="237" t="s">
        <v>652</v>
      </c>
      <c r="W469" s="245">
        <v>45986</v>
      </c>
      <c r="X469" s="237">
        <v>0</v>
      </c>
      <c r="Y469" s="237">
        <v>0</v>
      </c>
      <c r="Z469" s="237" t="s">
        <v>228</v>
      </c>
      <c r="AA469" s="237" t="s">
        <v>2801</v>
      </c>
      <c r="AB469" s="237" t="s">
        <v>228</v>
      </c>
      <c r="AC469" s="237" t="s">
        <v>228</v>
      </c>
    </row>
    <row r="470" spans="1:29" ht="13.5" customHeight="1">
      <c r="A470" s="235">
        <v>468</v>
      </c>
      <c r="B470" s="237"/>
      <c r="C470" s="243" t="s">
        <v>2802</v>
      </c>
      <c r="D470" s="237" t="s">
        <v>2803</v>
      </c>
      <c r="E470" s="237">
        <v>58</v>
      </c>
      <c r="F470" s="237" t="s">
        <v>60</v>
      </c>
      <c r="G470" s="237" t="s">
        <v>2804</v>
      </c>
      <c r="H470" s="243" t="s">
        <v>3</v>
      </c>
      <c r="I470" s="243"/>
      <c r="J470" s="240" t="s">
        <v>886</v>
      </c>
      <c r="K470" s="240" t="s">
        <v>903</v>
      </c>
      <c r="L470" s="72" t="s">
        <v>45</v>
      </c>
      <c r="M470" s="243" t="s">
        <v>231</v>
      </c>
      <c r="N470" s="237"/>
      <c r="O470" s="237"/>
      <c r="P470" s="237"/>
      <c r="Q470" s="245">
        <v>44932</v>
      </c>
      <c r="R470" s="237" t="s">
        <v>309</v>
      </c>
      <c r="S470" s="331" t="s">
        <v>233</v>
      </c>
      <c r="T470" s="237" t="s">
        <v>228</v>
      </c>
      <c r="U470" s="237" t="s">
        <v>234</v>
      </c>
      <c r="V470" s="237" t="s">
        <v>652</v>
      </c>
      <c r="W470" s="245">
        <v>45986</v>
      </c>
      <c r="X470" s="237">
        <v>0</v>
      </c>
      <c r="Y470" s="237">
        <v>0</v>
      </c>
      <c r="Z470" s="237" t="s">
        <v>228</v>
      </c>
      <c r="AA470" s="237" t="s">
        <v>2805</v>
      </c>
      <c r="AB470" s="237" t="s">
        <v>228</v>
      </c>
      <c r="AC470" s="237" t="s">
        <v>228</v>
      </c>
    </row>
    <row r="471" spans="1:29" ht="13.5" customHeight="1">
      <c r="A471" s="235">
        <v>469</v>
      </c>
      <c r="B471" s="237"/>
      <c r="C471" s="243" t="s">
        <v>2806</v>
      </c>
      <c r="D471" s="237" t="s">
        <v>2807</v>
      </c>
      <c r="E471" s="237">
        <v>36</v>
      </c>
      <c r="F471" s="237" t="s">
        <v>75</v>
      </c>
      <c r="G471" s="237" t="s">
        <v>2808</v>
      </c>
      <c r="H471" s="243" t="s">
        <v>3</v>
      </c>
      <c r="I471" s="243"/>
      <c r="J471" s="240" t="s">
        <v>886</v>
      </c>
      <c r="K471" s="240" t="s">
        <v>2809</v>
      </c>
      <c r="L471" s="72" t="s">
        <v>65</v>
      </c>
      <c r="M471" s="243" t="s">
        <v>231</v>
      </c>
      <c r="N471" s="237"/>
      <c r="O471" s="237"/>
      <c r="P471" s="237"/>
      <c r="Q471" s="245">
        <v>44938</v>
      </c>
      <c r="R471" s="237" t="s">
        <v>309</v>
      </c>
      <c r="S471" s="331" t="s">
        <v>233</v>
      </c>
      <c r="T471" s="237" t="s">
        <v>228</v>
      </c>
      <c r="U471" s="237" t="s">
        <v>234</v>
      </c>
      <c r="V471" s="237" t="s">
        <v>652</v>
      </c>
      <c r="W471" s="245">
        <v>45986</v>
      </c>
      <c r="X471" s="237">
        <v>0</v>
      </c>
      <c r="Y471" s="237">
        <v>0</v>
      </c>
      <c r="Z471" s="237" t="s">
        <v>228</v>
      </c>
      <c r="AA471" s="237" t="s">
        <v>2810</v>
      </c>
      <c r="AB471" s="237" t="s">
        <v>228</v>
      </c>
      <c r="AC471" s="237" t="s">
        <v>228</v>
      </c>
    </row>
    <row r="472" spans="1:29" ht="13.5" customHeight="1">
      <c r="A472" s="235">
        <v>470</v>
      </c>
      <c r="B472" s="237">
        <v>211</v>
      </c>
      <c r="C472" s="255" t="s">
        <v>2811</v>
      </c>
      <c r="D472" s="237" t="s">
        <v>2812</v>
      </c>
      <c r="E472" s="237">
        <v>59</v>
      </c>
      <c r="F472" s="237" t="s">
        <v>60</v>
      </c>
      <c r="G472" s="237" t="s">
        <v>2813</v>
      </c>
      <c r="H472" s="243" t="s">
        <v>3</v>
      </c>
      <c r="I472" s="243"/>
      <c r="J472" s="240" t="s">
        <v>886</v>
      </c>
      <c r="K472" s="240" t="s">
        <v>2814</v>
      </c>
      <c r="L472" s="72" t="s">
        <v>45</v>
      </c>
      <c r="M472" s="246" t="s">
        <v>228</v>
      </c>
      <c r="N472" s="237"/>
      <c r="O472" s="237"/>
      <c r="P472" s="237"/>
      <c r="Q472" s="245">
        <v>45645</v>
      </c>
      <c r="R472" s="237" t="s">
        <v>232</v>
      </c>
      <c r="S472" s="331" t="s">
        <v>233</v>
      </c>
      <c r="T472" s="237" t="s">
        <v>228</v>
      </c>
      <c r="U472" s="237" t="s">
        <v>234</v>
      </c>
      <c r="V472" s="237" t="s">
        <v>473</v>
      </c>
      <c r="W472" s="245">
        <v>45768</v>
      </c>
      <c r="X472" s="237" t="s">
        <v>2815</v>
      </c>
      <c r="Y472" s="237" t="s">
        <v>237</v>
      </c>
      <c r="Z472" s="237" t="s">
        <v>237</v>
      </c>
      <c r="AA472" s="237" t="s">
        <v>2816</v>
      </c>
      <c r="AB472" s="237" t="s">
        <v>228</v>
      </c>
      <c r="AC472" s="237" t="s">
        <v>228</v>
      </c>
    </row>
    <row r="473" spans="1:29" ht="13.5" customHeight="1">
      <c r="A473" s="235">
        <v>471</v>
      </c>
      <c r="B473" s="235">
        <v>0</v>
      </c>
      <c r="C473" s="243" t="s">
        <v>2817</v>
      </c>
      <c r="D473" s="235" t="s">
        <v>2818</v>
      </c>
      <c r="E473" s="235">
        <v>65</v>
      </c>
      <c r="F473" s="235" t="s">
        <v>60</v>
      </c>
      <c r="G473" s="235" t="s">
        <v>2819</v>
      </c>
      <c r="H473" s="243" t="s">
        <v>3</v>
      </c>
      <c r="I473" s="243"/>
      <c r="J473" s="240" t="s">
        <v>886</v>
      </c>
      <c r="K473" s="240" t="s">
        <v>903</v>
      </c>
      <c r="L473" s="72" t="s">
        <v>45</v>
      </c>
      <c r="M473" s="246" t="s">
        <v>228</v>
      </c>
      <c r="N473" s="237"/>
      <c r="O473" s="237"/>
      <c r="P473" s="237"/>
      <c r="Q473" s="245">
        <v>45659</v>
      </c>
      <c r="R473" s="237" t="s">
        <v>309</v>
      </c>
      <c r="S473" s="331" t="s">
        <v>233</v>
      </c>
      <c r="T473" s="237" t="s">
        <v>228</v>
      </c>
      <c r="U473" s="237" t="s">
        <v>234</v>
      </c>
      <c r="V473" s="237" t="s">
        <v>228</v>
      </c>
      <c r="W473" s="237" t="s">
        <v>228</v>
      </c>
      <c r="X473" s="237" t="s">
        <v>228</v>
      </c>
      <c r="Y473" s="237" t="s">
        <v>228</v>
      </c>
      <c r="Z473" s="237" t="s">
        <v>228</v>
      </c>
      <c r="AA473" s="237" t="s">
        <v>2820</v>
      </c>
      <c r="AB473" s="237" t="s">
        <v>228</v>
      </c>
      <c r="AC473" s="237" t="s">
        <v>228</v>
      </c>
    </row>
    <row r="474" spans="1:29" ht="13.5" customHeight="1">
      <c r="A474" s="235">
        <v>472</v>
      </c>
      <c r="B474" s="235">
        <v>0</v>
      </c>
      <c r="C474" s="243" t="s">
        <v>2821</v>
      </c>
      <c r="D474" s="235" t="s">
        <v>2822</v>
      </c>
      <c r="E474" s="235">
        <v>63</v>
      </c>
      <c r="F474" s="235" t="s">
        <v>75</v>
      </c>
      <c r="G474" s="235" t="s">
        <v>2823</v>
      </c>
      <c r="H474" s="243" t="s">
        <v>3</v>
      </c>
      <c r="I474" s="243"/>
      <c r="J474" s="240" t="s">
        <v>886</v>
      </c>
      <c r="K474" s="240" t="s">
        <v>2824</v>
      </c>
      <c r="L474" s="72" t="s">
        <v>34</v>
      </c>
      <c r="M474" s="246" t="s">
        <v>228</v>
      </c>
      <c r="N474" s="237"/>
      <c r="O474" s="237"/>
      <c r="P474" s="237"/>
      <c r="Q474" s="245">
        <v>45660</v>
      </c>
      <c r="R474" s="237" t="s">
        <v>309</v>
      </c>
      <c r="S474" s="331" t="s">
        <v>233</v>
      </c>
      <c r="T474" s="237" t="s">
        <v>228</v>
      </c>
      <c r="U474" s="237" t="s">
        <v>234</v>
      </c>
      <c r="V474" s="237" t="s">
        <v>228</v>
      </c>
      <c r="W474" s="237" t="s">
        <v>228</v>
      </c>
      <c r="X474" s="237" t="s">
        <v>228</v>
      </c>
      <c r="Y474" s="237" t="s">
        <v>228</v>
      </c>
      <c r="Z474" s="237" t="s">
        <v>228</v>
      </c>
      <c r="AA474" s="237" t="s">
        <v>2825</v>
      </c>
      <c r="AB474" s="237" t="s">
        <v>228</v>
      </c>
      <c r="AC474" s="237" t="s">
        <v>228</v>
      </c>
    </row>
    <row r="475" spans="1:29" ht="13.5" customHeight="1">
      <c r="A475" s="235">
        <v>473</v>
      </c>
      <c r="B475" s="235">
        <v>0</v>
      </c>
      <c r="C475" s="243" t="s">
        <v>2826</v>
      </c>
      <c r="D475" s="235" t="s">
        <v>2827</v>
      </c>
      <c r="E475" s="235">
        <v>32</v>
      </c>
      <c r="F475" s="235" t="s">
        <v>75</v>
      </c>
      <c r="G475" s="235" t="s">
        <v>2828</v>
      </c>
      <c r="H475" s="243" t="s">
        <v>3</v>
      </c>
      <c r="I475" s="243"/>
      <c r="J475" s="240" t="s">
        <v>886</v>
      </c>
      <c r="K475" s="240" t="s">
        <v>2829</v>
      </c>
      <c r="L475" s="72" t="s">
        <v>52</v>
      </c>
      <c r="M475" s="246" t="s">
        <v>228</v>
      </c>
      <c r="N475" s="237"/>
      <c r="O475" s="237"/>
      <c r="P475" s="237"/>
      <c r="Q475" s="245">
        <v>45660</v>
      </c>
      <c r="R475" s="237" t="s">
        <v>309</v>
      </c>
      <c r="S475" s="331" t="s">
        <v>233</v>
      </c>
      <c r="T475" s="237" t="s">
        <v>228</v>
      </c>
      <c r="U475" s="237" t="s">
        <v>234</v>
      </c>
      <c r="V475" s="237" t="s">
        <v>228</v>
      </c>
      <c r="W475" s="237" t="s">
        <v>228</v>
      </c>
      <c r="X475" s="237" t="s">
        <v>228</v>
      </c>
      <c r="Y475" s="237" t="s">
        <v>228</v>
      </c>
      <c r="Z475" s="237" t="s">
        <v>228</v>
      </c>
      <c r="AA475" s="237" t="s">
        <v>2830</v>
      </c>
      <c r="AB475" s="237" t="s">
        <v>228</v>
      </c>
      <c r="AC475" s="237" t="s">
        <v>228</v>
      </c>
    </row>
    <row r="476" spans="1:29" ht="13.5" customHeight="1">
      <c r="A476" s="235">
        <v>474</v>
      </c>
      <c r="B476" s="235">
        <v>0</v>
      </c>
      <c r="C476" s="243" t="s">
        <v>2831</v>
      </c>
      <c r="D476" s="235" t="s">
        <v>2832</v>
      </c>
      <c r="E476" s="235">
        <v>74</v>
      </c>
      <c r="F476" s="235" t="s">
        <v>60</v>
      </c>
      <c r="G476" s="235" t="s">
        <v>2833</v>
      </c>
      <c r="H476" s="243" t="s">
        <v>3</v>
      </c>
      <c r="I476" s="243"/>
      <c r="J476" s="240" t="s">
        <v>886</v>
      </c>
      <c r="K476" s="240" t="s">
        <v>1038</v>
      </c>
      <c r="L476" s="243" t="s">
        <v>1642</v>
      </c>
      <c r="M476" s="246" t="s">
        <v>228</v>
      </c>
      <c r="N476" s="237"/>
      <c r="O476" s="237"/>
      <c r="P476" s="237"/>
      <c r="Q476" s="245">
        <v>45660</v>
      </c>
      <c r="R476" s="237" t="s">
        <v>309</v>
      </c>
      <c r="S476" s="331" t="s">
        <v>233</v>
      </c>
      <c r="T476" s="237" t="s">
        <v>228</v>
      </c>
      <c r="U476" s="237" t="s">
        <v>234</v>
      </c>
      <c r="V476" s="237" t="s">
        <v>228</v>
      </c>
      <c r="W476" s="237" t="s">
        <v>228</v>
      </c>
      <c r="X476" s="237" t="s">
        <v>228</v>
      </c>
      <c r="Y476" s="237" t="s">
        <v>228</v>
      </c>
      <c r="Z476" s="237" t="s">
        <v>228</v>
      </c>
      <c r="AA476" s="237" t="s">
        <v>2834</v>
      </c>
      <c r="AB476" s="237" t="s">
        <v>228</v>
      </c>
      <c r="AC476" s="237" t="s">
        <v>228</v>
      </c>
    </row>
    <row r="477" spans="1:29" ht="13.5" customHeight="1">
      <c r="A477" s="235">
        <v>475</v>
      </c>
      <c r="B477" s="235">
        <v>0</v>
      </c>
      <c r="C477" s="243" t="s">
        <v>2835</v>
      </c>
      <c r="D477" s="235" t="s">
        <v>2836</v>
      </c>
      <c r="E477" s="235">
        <v>52</v>
      </c>
      <c r="F477" s="235" t="s">
        <v>75</v>
      </c>
      <c r="G477" s="235" t="s">
        <v>2837</v>
      </c>
      <c r="H477" s="243" t="s">
        <v>3</v>
      </c>
      <c r="I477" s="243"/>
      <c r="J477" s="240" t="s">
        <v>886</v>
      </c>
      <c r="K477" s="240" t="s">
        <v>1720</v>
      </c>
      <c r="L477" s="72" t="s">
        <v>16</v>
      </c>
      <c r="M477" s="246" t="s">
        <v>228</v>
      </c>
      <c r="N477" s="237"/>
      <c r="O477" s="237"/>
      <c r="P477" s="237"/>
      <c r="Q477" s="245">
        <v>45660</v>
      </c>
      <c r="R477" s="237" t="s">
        <v>309</v>
      </c>
      <c r="S477" s="331" t="s">
        <v>233</v>
      </c>
      <c r="T477" s="237" t="s">
        <v>228</v>
      </c>
      <c r="U477" s="237" t="s">
        <v>234</v>
      </c>
      <c r="V477" s="237" t="s">
        <v>228</v>
      </c>
      <c r="W477" s="237" t="s">
        <v>228</v>
      </c>
      <c r="X477" s="237" t="s">
        <v>228</v>
      </c>
      <c r="Y477" s="237" t="s">
        <v>228</v>
      </c>
      <c r="Z477" s="237" t="s">
        <v>228</v>
      </c>
      <c r="AA477" s="237" t="s">
        <v>2838</v>
      </c>
      <c r="AB477" s="237" t="s">
        <v>228</v>
      </c>
      <c r="AC477" s="237" t="s">
        <v>228</v>
      </c>
    </row>
    <row r="478" spans="1:29" ht="13.5" customHeight="1">
      <c r="A478" s="235">
        <v>476</v>
      </c>
      <c r="B478" s="235">
        <v>362</v>
      </c>
      <c r="C478" s="243" t="s">
        <v>2839</v>
      </c>
      <c r="D478" s="235" t="s">
        <v>2840</v>
      </c>
      <c r="E478" s="235">
        <v>57</v>
      </c>
      <c r="F478" s="235" t="s">
        <v>60</v>
      </c>
      <c r="G478" s="235" t="s">
        <v>2841</v>
      </c>
      <c r="H478" s="243" t="s">
        <v>27</v>
      </c>
      <c r="I478" s="243"/>
      <c r="J478" s="235" t="s">
        <v>433</v>
      </c>
      <c r="K478" s="240"/>
      <c r="L478" s="243" t="s">
        <v>231</v>
      </c>
      <c r="M478" s="243" t="s">
        <v>32</v>
      </c>
      <c r="N478" s="237"/>
      <c r="O478" s="237"/>
      <c r="P478" s="237"/>
      <c r="Q478" s="245">
        <v>45650</v>
      </c>
      <c r="R478" s="237" t="s">
        <v>309</v>
      </c>
      <c r="S478" s="331" t="s">
        <v>233</v>
      </c>
      <c r="T478" s="237">
        <v>8.5</v>
      </c>
      <c r="U478" s="237" t="s">
        <v>234</v>
      </c>
      <c r="V478" s="237" t="s">
        <v>235</v>
      </c>
      <c r="W478" s="237">
        <v>45692</v>
      </c>
      <c r="X478" s="237" t="s">
        <v>2842</v>
      </c>
      <c r="Y478" s="237" t="s">
        <v>237</v>
      </c>
      <c r="Z478" s="237" t="s">
        <v>228</v>
      </c>
      <c r="AA478" s="237" t="s">
        <v>2843</v>
      </c>
      <c r="AB478" s="237" t="s">
        <v>228</v>
      </c>
      <c r="AC478" s="237" t="s">
        <v>228</v>
      </c>
    </row>
    <row r="479" spans="1:29" ht="13.5" customHeight="1">
      <c r="A479" s="235">
        <v>477</v>
      </c>
      <c r="B479" s="235">
        <v>155</v>
      </c>
      <c r="C479" s="255" t="s">
        <v>2844</v>
      </c>
      <c r="D479" s="235" t="s">
        <v>2845</v>
      </c>
      <c r="E479" s="235">
        <v>40</v>
      </c>
      <c r="F479" s="235" t="s">
        <v>60</v>
      </c>
      <c r="G479" s="235" t="s">
        <v>2846</v>
      </c>
      <c r="H479" s="243" t="s">
        <v>188</v>
      </c>
      <c r="I479" s="243"/>
      <c r="K479" s="240"/>
      <c r="L479" s="243" t="s">
        <v>231</v>
      </c>
      <c r="M479" s="246" t="s">
        <v>228</v>
      </c>
      <c r="N479" s="237" t="s">
        <v>2847</v>
      </c>
      <c r="O479" s="237" t="s">
        <v>228</v>
      </c>
      <c r="P479" s="237" t="s">
        <v>231</v>
      </c>
      <c r="Q479" s="245">
        <v>45090</v>
      </c>
      <c r="R479" s="237" t="s">
        <v>309</v>
      </c>
      <c r="S479" s="331" t="s">
        <v>233</v>
      </c>
      <c r="T479" s="237" t="s">
        <v>228</v>
      </c>
      <c r="U479" s="237" t="s">
        <v>234</v>
      </c>
      <c r="V479" s="237" t="s">
        <v>228</v>
      </c>
      <c r="W479" s="237" t="s">
        <v>228</v>
      </c>
      <c r="X479" s="237" t="s">
        <v>228</v>
      </c>
      <c r="Y479" s="237" t="s">
        <v>228</v>
      </c>
      <c r="Z479" s="237" t="s">
        <v>228</v>
      </c>
      <c r="AA479" s="237" t="s">
        <v>2848</v>
      </c>
      <c r="AB479" s="237" t="s">
        <v>228</v>
      </c>
      <c r="AC479" s="237" t="s">
        <v>228</v>
      </c>
    </row>
    <row r="480" spans="1:29" ht="13.5" customHeight="1">
      <c r="A480" s="235">
        <v>478</v>
      </c>
      <c r="B480" s="235" t="s">
        <v>2849</v>
      </c>
      <c r="C480" s="255" t="s">
        <v>2850</v>
      </c>
      <c r="D480" s="235" t="s">
        <v>2851</v>
      </c>
      <c r="E480" s="235">
        <v>23</v>
      </c>
      <c r="F480" s="235" t="s">
        <v>60</v>
      </c>
      <c r="G480" s="235" t="s">
        <v>2852</v>
      </c>
      <c r="H480" s="243" t="s">
        <v>188</v>
      </c>
      <c r="I480" s="243"/>
      <c r="K480" s="240"/>
      <c r="L480" s="243" t="s">
        <v>231</v>
      </c>
      <c r="M480" s="246" t="s">
        <v>228</v>
      </c>
      <c r="N480" s="237"/>
      <c r="O480" s="237"/>
      <c r="P480" s="237"/>
      <c r="Q480" s="245">
        <v>45456</v>
      </c>
      <c r="R480" s="237" t="s">
        <v>309</v>
      </c>
      <c r="S480" s="331" t="s">
        <v>233</v>
      </c>
      <c r="T480" s="237" t="s">
        <v>228</v>
      </c>
      <c r="U480" s="237" t="s">
        <v>234</v>
      </c>
      <c r="V480" s="237" t="s">
        <v>228</v>
      </c>
      <c r="W480" s="237" t="s">
        <v>228</v>
      </c>
      <c r="X480" s="237" t="s">
        <v>228</v>
      </c>
      <c r="Y480" s="237" t="s">
        <v>228</v>
      </c>
      <c r="Z480" s="237" t="s">
        <v>228</v>
      </c>
      <c r="AA480" s="237" t="s">
        <v>2853</v>
      </c>
      <c r="AB480" s="237" t="s">
        <v>228</v>
      </c>
      <c r="AC480" s="237" t="s">
        <v>228</v>
      </c>
    </row>
    <row r="481" spans="1:29" ht="13.5" customHeight="1">
      <c r="A481" s="235">
        <v>479</v>
      </c>
      <c r="B481" s="235" t="s">
        <v>2854</v>
      </c>
      <c r="C481" s="255" t="s">
        <v>2855</v>
      </c>
      <c r="D481" s="235" t="s">
        <v>2856</v>
      </c>
      <c r="E481" s="235">
        <v>21</v>
      </c>
      <c r="F481" s="235" t="s">
        <v>60</v>
      </c>
      <c r="G481" s="235" t="s">
        <v>2857</v>
      </c>
      <c r="H481" s="243" t="s">
        <v>188</v>
      </c>
      <c r="I481" s="243"/>
      <c r="K481" s="240"/>
      <c r="L481" s="243" t="s">
        <v>231</v>
      </c>
      <c r="M481" s="246" t="s">
        <v>228</v>
      </c>
      <c r="N481" s="237"/>
      <c r="O481" s="237"/>
      <c r="P481" s="237"/>
      <c r="Q481" s="245">
        <v>45456</v>
      </c>
      <c r="R481" s="237" t="s">
        <v>309</v>
      </c>
      <c r="S481" s="331" t="s">
        <v>233</v>
      </c>
      <c r="T481" s="237" t="s">
        <v>228</v>
      </c>
      <c r="U481" s="237" t="s">
        <v>234</v>
      </c>
      <c r="V481" s="237" t="s">
        <v>228</v>
      </c>
      <c r="W481" s="237" t="s">
        <v>228</v>
      </c>
      <c r="X481" s="237" t="s">
        <v>228</v>
      </c>
      <c r="Y481" s="237" t="s">
        <v>228</v>
      </c>
      <c r="Z481" s="237" t="s">
        <v>228</v>
      </c>
      <c r="AA481" s="237" t="s">
        <v>2858</v>
      </c>
      <c r="AB481" s="237" t="s">
        <v>228</v>
      </c>
      <c r="AC481" s="237" t="s">
        <v>228</v>
      </c>
    </row>
    <row r="482" spans="1:29" ht="13.5" customHeight="1">
      <c r="A482" s="235">
        <v>480</v>
      </c>
      <c r="B482" s="235" t="s">
        <v>2859</v>
      </c>
      <c r="C482" s="255" t="s">
        <v>2860</v>
      </c>
      <c r="D482" s="235" t="s">
        <v>2861</v>
      </c>
      <c r="E482" s="235">
        <v>18</v>
      </c>
      <c r="F482" s="235" t="s">
        <v>60</v>
      </c>
      <c r="G482" s="235" t="s">
        <v>2862</v>
      </c>
      <c r="H482" s="243" t="s">
        <v>188</v>
      </c>
      <c r="I482" s="243"/>
      <c r="K482" s="240"/>
      <c r="L482" s="243" t="s">
        <v>231</v>
      </c>
      <c r="M482" s="246" t="s">
        <v>228</v>
      </c>
      <c r="N482" s="237"/>
      <c r="O482" s="237"/>
      <c r="P482" s="237"/>
      <c r="Q482" s="245">
        <v>45456</v>
      </c>
      <c r="R482" s="237" t="s">
        <v>309</v>
      </c>
      <c r="S482" s="331" t="s">
        <v>233</v>
      </c>
      <c r="T482" s="237" t="s">
        <v>228</v>
      </c>
      <c r="U482" s="237" t="s">
        <v>234</v>
      </c>
      <c r="V482" s="237" t="s">
        <v>228</v>
      </c>
      <c r="W482" s="237" t="s">
        <v>228</v>
      </c>
      <c r="X482" s="237" t="s">
        <v>228</v>
      </c>
      <c r="Y482" s="237" t="s">
        <v>228</v>
      </c>
      <c r="Z482" s="237" t="s">
        <v>228</v>
      </c>
      <c r="AA482" s="237" t="s">
        <v>2863</v>
      </c>
      <c r="AB482" s="237" t="s">
        <v>228</v>
      </c>
      <c r="AC482" s="237" t="s">
        <v>228</v>
      </c>
    </row>
    <row r="483" spans="1:29" ht="13.5" customHeight="1">
      <c r="A483" s="235">
        <v>481</v>
      </c>
      <c r="B483" s="235" t="s">
        <v>2864</v>
      </c>
      <c r="C483" s="255" t="s">
        <v>2865</v>
      </c>
      <c r="D483" s="235" t="s">
        <v>2866</v>
      </c>
      <c r="E483" s="235">
        <v>21</v>
      </c>
      <c r="F483" s="235" t="s">
        <v>60</v>
      </c>
      <c r="G483" s="235" t="s">
        <v>2867</v>
      </c>
      <c r="H483" s="243" t="s">
        <v>188</v>
      </c>
      <c r="I483" s="243"/>
      <c r="K483" s="240"/>
      <c r="L483" s="243" t="s">
        <v>231</v>
      </c>
      <c r="M483" s="246" t="s">
        <v>228</v>
      </c>
      <c r="N483" s="237"/>
      <c r="O483" s="237"/>
      <c r="P483" s="237"/>
      <c r="Q483" s="245">
        <v>45456</v>
      </c>
      <c r="R483" s="237" t="s">
        <v>309</v>
      </c>
      <c r="S483" s="331" t="s">
        <v>233</v>
      </c>
      <c r="T483" s="237" t="s">
        <v>228</v>
      </c>
      <c r="U483" s="237" t="s">
        <v>234</v>
      </c>
      <c r="V483" s="237" t="s">
        <v>228</v>
      </c>
      <c r="W483" s="237" t="s">
        <v>228</v>
      </c>
      <c r="X483" s="237" t="s">
        <v>228</v>
      </c>
      <c r="Y483" s="237" t="s">
        <v>228</v>
      </c>
      <c r="Z483" s="237" t="s">
        <v>228</v>
      </c>
      <c r="AA483" s="237" t="s">
        <v>2868</v>
      </c>
      <c r="AB483" s="237" t="s">
        <v>228</v>
      </c>
      <c r="AC483" s="237" t="s">
        <v>228</v>
      </c>
    </row>
    <row r="484" spans="1:29" ht="13.5" customHeight="1">
      <c r="A484" s="235">
        <v>482</v>
      </c>
      <c r="B484" s="235" t="s">
        <v>2869</v>
      </c>
      <c r="C484" s="255" t="s">
        <v>2870</v>
      </c>
      <c r="D484" s="235" t="s">
        <v>2871</v>
      </c>
      <c r="E484" s="235">
        <v>23</v>
      </c>
      <c r="F484" s="235" t="s">
        <v>60</v>
      </c>
      <c r="G484" s="235" t="s">
        <v>2872</v>
      </c>
      <c r="H484" s="243" t="s">
        <v>188</v>
      </c>
      <c r="I484" s="243"/>
      <c r="K484" s="240"/>
      <c r="L484" s="243" t="s">
        <v>231</v>
      </c>
      <c r="M484" s="246" t="s">
        <v>228</v>
      </c>
      <c r="N484" s="237"/>
      <c r="O484" s="237"/>
      <c r="P484" s="237"/>
      <c r="Q484" s="245">
        <v>45456</v>
      </c>
      <c r="R484" s="237" t="s">
        <v>309</v>
      </c>
      <c r="S484" s="331" t="s">
        <v>233</v>
      </c>
      <c r="T484" s="237" t="s">
        <v>228</v>
      </c>
      <c r="U484" s="237" t="s">
        <v>234</v>
      </c>
      <c r="V484" s="237" t="s">
        <v>228</v>
      </c>
      <c r="W484" s="237" t="s">
        <v>228</v>
      </c>
      <c r="X484" s="237" t="s">
        <v>228</v>
      </c>
      <c r="Y484" s="237" t="s">
        <v>228</v>
      </c>
      <c r="Z484" s="237" t="s">
        <v>228</v>
      </c>
      <c r="AA484" s="237" t="s">
        <v>2873</v>
      </c>
      <c r="AB484" s="237" t="s">
        <v>228</v>
      </c>
      <c r="AC484" s="237" t="s">
        <v>228</v>
      </c>
    </row>
    <row r="485" spans="1:29" ht="13.5" customHeight="1">
      <c r="A485" s="235">
        <v>483</v>
      </c>
      <c r="B485" s="235" t="s">
        <v>2874</v>
      </c>
      <c r="C485" s="255" t="s">
        <v>2875</v>
      </c>
      <c r="D485" s="235" t="s">
        <v>2876</v>
      </c>
      <c r="E485" s="235">
        <v>22</v>
      </c>
      <c r="F485" s="235" t="s">
        <v>60</v>
      </c>
      <c r="G485" s="235" t="s">
        <v>2877</v>
      </c>
      <c r="H485" s="243" t="s">
        <v>188</v>
      </c>
      <c r="I485" s="243"/>
      <c r="K485" s="240"/>
      <c r="L485" s="243" t="s">
        <v>231</v>
      </c>
      <c r="M485" s="246" t="s">
        <v>228</v>
      </c>
      <c r="N485" s="237"/>
      <c r="O485" s="237"/>
      <c r="P485" s="237"/>
      <c r="Q485" s="245">
        <v>45456</v>
      </c>
      <c r="R485" s="237" t="s">
        <v>309</v>
      </c>
      <c r="S485" s="331" t="s">
        <v>233</v>
      </c>
      <c r="T485" s="237" t="s">
        <v>228</v>
      </c>
      <c r="U485" s="237" t="s">
        <v>234</v>
      </c>
      <c r="V485" s="237" t="s">
        <v>228</v>
      </c>
      <c r="W485" s="237" t="s">
        <v>228</v>
      </c>
      <c r="X485" s="237" t="s">
        <v>228</v>
      </c>
      <c r="Y485" s="237" t="s">
        <v>228</v>
      </c>
      <c r="Z485" s="237" t="s">
        <v>228</v>
      </c>
      <c r="AA485" s="237" t="s">
        <v>2878</v>
      </c>
      <c r="AB485" s="237" t="s">
        <v>228</v>
      </c>
      <c r="AC485" s="237" t="s">
        <v>228</v>
      </c>
    </row>
    <row r="486" spans="1:29" ht="13.5" customHeight="1">
      <c r="A486" s="235">
        <v>484</v>
      </c>
      <c r="B486" s="235" t="s">
        <v>2879</v>
      </c>
      <c r="C486" s="255" t="s">
        <v>2880</v>
      </c>
      <c r="D486" s="235" t="s">
        <v>2881</v>
      </c>
      <c r="E486" s="235">
        <v>24</v>
      </c>
      <c r="F486" s="235" t="s">
        <v>60</v>
      </c>
      <c r="G486" s="235" t="s">
        <v>2882</v>
      </c>
      <c r="H486" s="243" t="s">
        <v>188</v>
      </c>
      <c r="I486" s="243"/>
      <c r="K486" s="240"/>
      <c r="L486" s="243" t="s">
        <v>231</v>
      </c>
      <c r="M486" s="246" t="s">
        <v>228</v>
      </c>
      <c r="N486" s="237"/>
      <c r="O486" s="237"/>
      <c r="P486" s="237"/>
      <c r="Q486" s="245">
        <v>45456</v>
      </c>
      <c r="R486" s="237" t="s">
        <v>309</v>
      </c>
      <c r="S486" s="331" t="s">
        <v>233</v>
      </c>
      <c r="T486" s="237" t="s">
        <v>228</v>
      </c>
      <c r="U486" s="237" t="s">
        <v>234</v>
      </c>
      <c r="V486" s="237" t="s">
        <v>228</v>
      </c>
      <c r="W486" s="237" t="s">
        <v>228</v>
      </c>
      <c r="X486" s="237" t="s">
        <v>228</v>
      </c>
      <c r="Y486" s="237" t="s">
        <v>228</v>
      </c>
      <c r="Z486" s="237" t="s">
        <v>228</v>
      </c>
      <c r="AA486" s="237" t="s">
        <v>2883</v>
      </c>
      <c r="AB486" s="237" t="s">
        <v>228</v>
      </c>
      <c r="AC486" s="237" t="s">
        <v>228</v>
      </c>
    </row>
    <row r="487" spans="1:29" ht="13.5" customHeight="1">
      <c r="A487" s="235">
        <v>485</v>
      </c>
      <c r="B487" s="235" t="s">
        <v>2884</v>
      </c>
      <c r="C487" s="255" t="s">
        <v>2885</v>
      </c>
      <c r="D487" s="235" t="s">
        <v>2886</v>
      </c>
      <c r="E487" s="235">
        <v>28</v>
      </c>
      <c r="F487" s="235" t="s">
        <v>60</v>
      </c>
      <c r="G487" s="235" t="s">
        <v>2887</v>
      </c>
      <c r="H487" s="243" t="s">
        <v>188</v>
      </c>
      <c r="I487" s="243"/>
      <c r="K487" s="240"/>
      <c r="L487" s="243" t="s">
        <v>231</v>
      </c>
      <c r="M487" s="246" t="s">
        <v>228</v>
      </c>
      <c r="N487" s="237"/>
      <c r="O487" s="237"/>
      <c r="P487" s="237"/>
      <c r="Q487" s="245">
        <v>45461</v>
      </c>
      <c r="R487" s="237" t="s">
        <v>309</v>
      </c>
      <c r="S487" s="331" t="s">
        <v>233</v>
      </c>
      <c r="T487" s="237" t="s">
        <v>228</v>
      </c>
      <c r="U487" s="237" t="s">
        <v>234</v>
      </c>
      <c r="V487" s="237" t="s">
        <v>228</v>
      </c>
      <c r="W487" s="237" t="s">
        <v>228</v>
      </c>
      <c r="X487" s="237" t="s">
        <v>228</v>
      </c>
      <c r="Y487" s="237" t="s">
        <v>228</v>
      </c>
      <c r="Z487" s="237" t="s">
        <v>228</v>
      </c>
      <c r="AA487" s="237" t="s">
        <v>2888</v>
      </c>
      <c r="AB487" s="237" t="s">
        <v>228</v>
      </c>
      <c r="AC487" s="237" t="s">
        <v>228</v>
      </c>
    </row>
    <row r="488" spans="1:29" ht="13.5" customHeight="1">
      <c r="A488" s="235">
        <v>486</v>
      </c>
      <c r="B488" s="235" t="s">
        <v>2889</v>
      </c>
      <c r="C488" s="255" t="s">
        <v>2890</v>
      </c>
      <c r="D488" s="235" t="s">
        <v>2891</v>
      </c>
      <c r="E488" s="235">
        <v>26</v>
      </c>
      <c r="F488" s="235" t="s">
        <v>60</v>
      </c>
      <c r="G488" s="235" t="s">
        <v>2892</v>
      </c>
      <c r="H488" s="243" t="s">
        <v>188</v>
      </c>
      <c r="I488" s="243"/>
      <c r="K488" s="240"/>
      <c r="L488" s="243" t="s">
        <v>231</v>
      </c>
      <c r="M488" s="246" t="s">
        <v>228</v>
      </c>
      <c r="N488" s="237"/>
      <c r="O488" s="237"/>
      <c r="P488" s="237"/>
      <c r="Q488" s="245">
        <v>45461</v>
      </c>
      <c r="R488" s="237" t="s">
        <v>309</v>
      </c>
      <c r="S488" s="331" t="s">
        <v>233</v>
      </c>
      <c r="T488" s="237" t="s">
        <v>228</v>
      </c>
      <c r="U488" s="237" t="s">
        <v>234</v>
      </c>
      <c r="V488" s="237" t="s">
        <v>228</v>
      </c>
      <c r="W488" s="237" t="s">
        <v>228</v>
      </c>
      <c r="X488" s="237" t="s">
        <v>228</v>
      </c>
      <c r="Y488" s="237" t="s">
        <v>228</v>
      </c>
      <c r="Z488" s="237" t="s">
        <v>228</v>
      </c>
      <c r="AA488" s="237" t="s">
        <v>2893</v>
      </c>
      <c r="AB488" s="237" t="s">
        <v>228</v>
      </c>
      <c r="AC488" s="237" t="s">
        <v>228</v>
      </c>
    </row>
    <row r="489" spans="1:29" ht="13.5" customHeight="1">
      <c r="A489" s="235">
        <v>487</v>
      </c>
      <c r="B489" s="235" t="s">
        <v>2894</v>
      </c>
      <c r="C489" s="255" t="s">
        <v>2895</v>
      </c>
      <c r="D489" s="235" t="s">
        <v>2896</v>
      </c>
      <c r="E489" s="235">
        <v>26</v>
      </c>
      <c r="F489" s="235" t="s">
        <v>60</v>
      </c>
      <c r="G489" s="235" t="s">
        <v>2897</v>
      </c>
      <c r="H489" s="243" t="s">
        <v>188</v>
      </c>
      <c r="I489" s="243"/>
      <c r="K489" s="240"/>
      <c r="L489" s="243" t="s">
        <v>231</v>
      </c>
      <c r="M489" s="246" t="s">
        <v>228</v>
      </c>
      <c r="N489" s="237"/>
      <c r="O489" s="237"/>
      <c r="P489" s="237"/>
      <c r="Q489" s="245">
        <v>45461</v>
      </c>
      <c r="R489" s="237" t="s">
        <v>309</v>
      </c>
      <c r="S489" s="331" t="s">
        <v>233</v>
      </c>
      <c r="T489" s="237" t="s">
        <v>228</v>
      </c>
      <c r="U489" s="237" t="s">
        <v>234</v>
      </c>
      <c r="V489" s="237" t="s">
        <v>228</v>
      </c>
      <c r="W489" s="237" t="s">
        <v>228</v>
      </c>
      <c r="X489" s="237" t="s">
        <v>228</v>
      </c>
      <c r="Y489" s="237" t="s">
        <v>228</v>
      </c>
      <c r="Z489" s="237" t="s">
        <v>228</v>
      </c>
      <c r="AA489" s="237" t="s">
        <v>2898</v>
      </c>
      <c r="AB489" s="237" t="s">
        <v>228</v>
      </c>
      <c r="AC489" s="237" t="s">
        <v>228</v>
      </c>
    </row>
    <row r="490" spans="1:29" ht="13.5" customHeight="1">
      <c r="A490" s="235">
        <v>488</v>
      </c>
      <c r="B490" s="235" t="s">
        <v>2899</v>
      </c>
      <c r="C490" s="255" t="s">
        <v>2900</v>
      </c>
      <c r="D490" s="235" t="s">
        <v>2901</v>
      </c>
      <c r="E490" s="235">
        <v>26</v>
      </c>
      <c r="F490" s="235" t="s">
        <v>60</v>
      </c>
      <c r="G490" s="235" t="s">
        <v>2902</v>
      </c>
      <c r="H490" s="243" t="s">
        <v>188</v>
      </c>
      <c r="I490" s="243"/>
      <c r="K490" s="240"/>
      <c r="L490" s="243" t="s">
        <v>231</v>
      </c>
      <c r="M490" s="246" t="s">
        <v>228</v>
      </c>
      <c r="N490" s="237"/>
      <c r="O490" s="237"/>
      <c r="P490" s="237"/>
      <c r="Q490" s="245">
        <v>45461</v>
      </c>
      <c r="R490" s="237" t="s">
        <v>309</v>
      </c>
      <c r="S490" s="331" t="s">
        <v>233</v>
      </c>
      <c r="T490" s="237" t="s">
        <v>228</v>
      </c>
      <c r="U490" s="237" t="s">
        <v>234</v>
      </c>
      <c r="V490" s="237" t="s">
        <v>228</v>
      </c>
      <c r="W490" s="237" t="s">
        <v>228</v>
      </c>
      <c r="X490" s="237" t="s">
        <v>228</v>
      </c>
      <c r="Y490" s="237" t="s">
        <v>228</v>
      </c>
      <c r="Z490" s="237" t="s">
        <v>228</v>
      </c>
      <c r="AA490" s="237" t="s">
        <v>2903</v>
      </c>
      <c r="AB490" s="237" t="s">
        <v>228</v>
      </c>
      <c r="AC490" s="237" t="s">
        <v>228</v>
      </c>
    </row>
    <row r="491" spans="1:29" ht="13.5" customHeight="1">
      <c r="A491" s="235">
        <v>489</v>
      </c>
      <c r="B491" s="235" t="s">
        <v>2904</v>
      </c>
      <c r="C491" s="255" t="s">
        <v>2905</v>
      </c>
      <c r="D491" s="235" t="s">
        <v>2906</v>
      </c>
      <c r="E491" s="235">
        <v>30</v>
      </c>
      <c r="F491" s="235" t="s">
        <v>60</v>
      </c>
      <c r="G491" s="235" t="s">
        <v>2907</v>
      </c>
      <c r="H491" s="243" t="s">
        <v>188</v>
      </c>
      <c r="I491" s="243"/>
      <c r="K491" s="240"/>
      <c r="L491" s="243" t="s">
        <v>231</v>
      </c>
      <c r="M491" s="246" t="s">
        <v>228</v>
      </c>
      <c r="N491" s="237"/>
      <c r="O491" s="237"/>
      <c r="P491" s="237"/>
      <c r="Q491" s="245">
        <v>45461</v>
      </c>
      <c r="R491" s="237" t="s">
        <v>309</v>
      </c>
      <c r="S491" s="331" t="s">
        <v>233</v>
      </c>
      <c r="T491" s="237" t="s">
        <v>228</v>
      </c>
      <c r="U491" s="237" t="s">
        <v>234</v>
      </c>
      <c r="V491" s="237" t="s">
        <v>228</v>
      </c>
      <c r="W491" s="237" t="s">
        <v>228</v>
      </c>
      <c r="X491" s="237" t="s">
        <v>228</v>
      </c>
      <c r="Y491" s="237" t="s">
        <v>228</v>
      </c>
      <c r="Z491" s="237" t="s">
        <v>228</v>
      </c>
      <c r="AA491" s="237" t="s">
        <v>2908</v>
      </c>
      <c r="AB491" s="237" t="s">
        <v>228</v>
      </c>
      <c r="AC491" s="237" t="s">
        <v>228</v>
      </c>
    </row>
    <row r="492" spans="1:29" ht="13.5" customHeight="1">
      <c r="A492" s="235">
        <v>490</v>
      </c>
      <c r="B492" s="235" t="s">
        <v>2909</v>
      </c>
      <c r="C492" s="255" t="s">
        <v>2910</v>
      </c>
      <c r="D492" s="235" t="s">
        <v>2911</v>
      </c>
      <c r="E492" s="235">
        <v>25</v>
      </c>
      <c r="F492" s="235" t="s">
        <v>60</v>
      </c>
      <c r="G492" s="235" t="s">
        <v>2912</v>
      </c>
      <c r="H492" s="243" t="s">
        <v>188</v>
      </c>
      <c r="I492" s="243"/>
      <c r="K492" s="240"/>
      <c r="L492" s="243" t="s">
        <v>231</v>
      </c>
      <c r="M492" s="246" t="s">
        <v>228</v>
      </c>
      <c r="N492" s="237"/>
      <c r="O492" s="237"/>
      <c r="P492" s="237"/>
      <c r="Q492" s="245">
        <v>45461</v>
      </c>
      <c r="R492" s="237" t="s">
        <v>309</v>
      </c>
      <c r="S492" s="331" t="s">
        <v>233</v>
      </c>
      <c r="T492" s="237" t="s">
        <v>228</v>
      </c>
      <c r="U492" s="237" t="s">
        <v>234</v>
      </c>
      <c r="V492" s="237" t="s">
        <v>228</v>
      </c>
      <c r="W492" s="237" t="s">
        <v>228</v>
      </c>
      <c r="X492" s="237" t="s">
        <v>228</v>
      </c>
      <c r="Y492" s="237" t="s">
        <v>228</v>
      </c>
      <c r="Z492" s="237" t="s">
        <v>228</v>
      </c>
      <c r="AA492" s="237" t="s">
        <v>2913</v>
      </c>
      <c r="AB492" s="237" t="s">
        <v>228</v>
      </c>
      <c r="AC492" s="237" t="s">
        <v>228</v>
      </c>
    </row>
    <row r="493" spans="1:29" ht="13.5" customHeight="1">
      <c r="A493" s="235">
        <v>491</v>
      </c>
      <c r="B493" s="235" t="s">
        <v>2914</v>
      </c>
      <c r="C493" s="255" t="s">
        <v>2915</v>
      </c>
      <c r="D493" s="235" t="s">
        <v>2916</v>
      </c>
      <c r="E493" s="235">
        <v>25</v>
      </c>
      <c r="F493" s="235" t="s">
        <v>60</v>
      </c>
      <c r="G493" s="235" t="s">
        <v>2917</v>
      </c>
      <c r="H493" s="243" t="s">
        <v>188</v>
      </c>
      <c r="I493" s="243"/>
      <c r="K493" s="240"/>
      <c r="L493" s="243" t="s">
        <v>231</v>
      </c>
      <c r="M493" s="246" t="s">
        <v>228</v>
      </c>
      <c r="N493" s="237"/>
      <c r="O493" s="237"/>
      <c r="P493" s="237"/>
      <c r="Q493" s="245">
        <v>45462</v>
      </c>
      <c r="R493" s="237" t="s">
        <v>309</v>
      </c>
      <c r="S493" s="331" t="s">
        <v>233</v>
      </c>
      <c r="T493" s="237" t="s">
        <v>228</v>
      </c>
      <c r="U493" s="237" t="s">
        <v>234</v>
      </c>
      <c r="V493" s="237" t="s">
        <v>228</v>
      </c>
      <c r="W493" s="237" t="s">
        <v>228</v>
      </c>
      <c r="X493" s="237" t="s">
        <v>228</v>
      </c>
      <c r="Y493" s="237" t="s">
        <v>228</v>
      </c>
      <c r="Z493" s="237" t="s">
        <v>228</v>
      </c>
      <c r="AA493" s="237" t="s">
        <v>2918</v>
      </c>
      <c r="AB493" s="237" t="s">
        <v>228</v>
      </c>
      <c r="AC493" s="237" t="s">
        <v>228</v>
      </c>
    </row>
    <row r="494" spans="1:29" ht="13.5" customHeight="1">
      <c r="A494" s="235">
        <v>492</v>
      </c>
      <c r="B494" s="235" t="s">
        <v>2919</v>
      </c>
      <c r="C494" s="255" t="s">
        <v>2920</v>
      </c>
      <c r="D494" s="235" t="s">
        <v>2921</v>
      </c>
      <c r="E494" s="235">
        <v>27</v>
      </c>
      <c r="F494" s="235" t="s">
        <v>60</v>
      </c>
      <c r="G494" s="235" t="s">
        <v>2922</v>
      </c>
      <c r="H494" s="243" t="s">
        <v>188</v>
      </c>
      <c r="I494" s="243"/>
      <c r="K494" s="240"/>
      <c r="L494" s="243" t="s">
        <v>231</v>
      </c>
      <c r="M494" s="246" t="s">
        <v>228</v>
      </c>
      <c r="N494" s="237"/>
      <c r="O494" s="237"/>
      <c r="P494" s="237"/>
      <c r="Q494" s="245">
        <v>45462</v>
      </c>
      <c r="R494" s="237" t="s">
        <v>309</v>
      </c>
      <c r="S494" s="331" t="s">
        <v>233</v>
      </c>
      <c r="T494" s="237" t="s">
        <v>228</v>
      </c>
      <c r="U494" s="237" t="s">
        <v>234</v>
      </c>
      <c r="V494" s="237" t="s">
        <v>228</v>
      </c>
      <c r="W494" s="237" t="s">
        <v>228</v>
      </c>
      <c r="X494" s="237" t="s">
        <v>228</v>
      </c>
      <c r="Y494" s="237" t="s">
        <v>228</v>
      </c>
      <c r="Z494" s="237" t="s">
        <v>228</v>
      </c>
      <c r="AA494" s="237" t="s">
        <v>2923</v>
      </c>
      <c r="AB494" s="237" t="s">
        <v>228</v>
      </c>
      <c r="AC494" s="237" t="s">
        <v>228</v>
      </c>
    </row>
    <row r="495" spans="1:29" ht="13.5" customHeight="1">
      <c r="A495" s="235">
        <v>493</v>
      </c>
      <c r="B495" s="235" t="s">
        <v>2924</v>
      </c>
      <c r="C495" s="255" t="s">
        <v>2925</v>
      </c>
      <c r="D495" s="235" t="s">
        <v>2926</v>
      </c>
      <c r="E495" s="235">
        <v>29</v>
      </c>
      <c r="F495" s="235" t="s">
        <v>75</v>
      </c>
      <c r="G495" s="235" t="s">
        <v>2927</v>
      </c>
      <c r="H495" s="243" t="s">
        <v>188</v>
      </c>
      <c r="I495" s="243"/>
      <c r="K495" s="240"/>
      <c r="L495" s="243" t="s">
        <v>231</v>
      </c>
      <c r="M495" s="246" t="s">
        <v>228</v>
      </c>
      <c r="N495" s="237"/>
      <c r="O495" s="237"/>
      <c r="P495" s="237"/>
      <c r="Q495" s="245">
        <v>45464</v>
      </c>
      <c r="R495" s="237" t="s">
        <v>309</v>
      </c>
      <c r="S495" s="331" t="s">
        <v>233</v>
      </c>
      <c r="T495" s="237">
        <v>0</v>
      </c>
      <c r="U495" s="237" t="s">
        <v>234</v>
      </c>
      <c r="V495" s="237" t="s">
        <v>228</v>
      </c>
      <c r="W495" s="237" t="s">
        <v>228</v>
      </c>
      <c r="X495" s="237" t="s">
        <v>228</v>
      </c>
      <c r="Y495" s="237" t="s">
        <v>228</v>
      </c>
      <c r="Z495" s="237" t="s">
        <v>228</v>
      </c>
      <c r="AA495" s="237" t="s">
        <v>2928</v>
      </c>
      <c r="AB495" s="237" t="s">
        <v>228</v>
      </c>
      <c r="AC495" s="237" t="s">
        <v>228</v>
      </c>
    </row>
    <row r="496" spans="1:29" ht="13.5" customHeight="1">
      <c r="A496" s="235">
        <v>494</v>
      </c>
      <c r="B496" s="235" t="s">
        <v>2929</v>
      </c>
      <c r="C496" s="255" t="s">
        <v>2930</v>
      </c>
      <c r="D496" s="235" t="s">
        <v>2931</v>
      </c>
      <c r="E496" s="235">
        <v>27</v>
      </c>
      <c r="F496" s="235" t="s">
        <v>75</v>
      </c>
      <c r="G496" s="235" t="s">
        <v>2932</v>
      </c>
      <c r="H496" s="243" t="s">
        <v>188</v>
      </c>
      <c r="I496" s="243"/>
      <c r="K496" s="240"/>
      <c r="L496" s="243" t="s">
        <v>231</v>
      </c>
      <c r="M496" s="246" t="s">
        <v>228</v>
      </c>
      <c r="N496" s="237"/>
      <c r="O496" s="237"/>
      <c r="P496" s="237"/>
      <c r="Q496" s="245">
        <v>45464</v>
      </c>
      <c r="R496" s="237" t="s">
        <v>309</v>
      </c>
      <c r="S496" s="331" t="s">
        <v>233</v>
      </c>
      <c r="T496" s="237">
        <v>0</v>
      </c>
      <c r="U496" s="237" t="s">
        <v>234</v>
      </c>
      <c r="V496" s="237" t="s">
        <v>228</v>
      </c>
      <c r="W496" s="237" t="s">
        <v>228</v>
      </c>
      <c r="X496" s="237" t="s">
        <v>228</v>
      </c>
      <c r="Y496" s="237" t="s">
        <v>228</v>
      </c>
      <c r="Z496" s="237" t="s">
        <v>228</v>
      </c>
      <c r="AA496" s="237" t="s">
        <v>2933</v>
      </c>
      <c r="AB496" s="237" t="s">
        <v>228</v>
      </c>
      <c r="AC496" s="237" t="s">
        <v>228</v>
      </c>
    </row>
    <row r="497" spans="1:29" ht="13.5" customHeight="1">
      <c r="A497" s="235">
        <v>495</v>
      </c>
      <c r="B497" s="235">
        <v>0</v>
      </c>
      <c r="C497" s="255" t="s">
        <v>2934</v>
      </c>
      <c r="D497" s="235" t="s">
        <v>2935</v>
      </c>
      <c r="E497" s="235">
        <v>32</v>
      </c>
      <c r="F497" s="235" t="s">
        <v>60</v>
      </c>
      <c r="G497" s="235" t="s">
        <v>2936</v>
      </c>
      <c r="H497" s="243" t="s">
        <v>188</v>
      </c>
      <c r="I497" s="243"/>
      <c r="K497" s="240"/>
      <c r="L497" s="243" t="s">
        <v>231</v>
      </c>
      <c r="M497" s="243" t="s">
        <v>231</v>
      </c>
      <c r="N497" s="237"/>
      <c r="O497" s="237"/>
      <c r="P497" s="237"/>
      <c r="Q497" s="245">
        <v>45475</v>
      </c>
      <c r="R497" s="237" t="s">
        <v>309</v>
      </c>
      <c r="S497" s="331" t="s">
        <v>233</v>
      </c>
      <c r="T497" s="237">
        <v>0</v>
      </c>
      <c r="U497" s="237" t="s">
        <v>234</v>
      </c>
      <c r="V497" s="237" t="s">
        <v>652</v>
      </c>
      <c r="W497" s="244">
        <v>46028</v>
      </c>
      <c r="X497" s="237" t="s">
        <v>2937</v>
      </c>
      <c r="Y497" s="237" t="s">
        <v>588</v>
      </c>
      <c r="Z497" s="237" t="s">
        <v>228</v>
      </c>
      <c r="AA497" s="237" t="s">
        <v>2938</v>
      </c>
      <c r="AB497" s="237" t="s">
        <v>228</v>
      </c>
      <c r="AC497" s="237" t="s">
        <v>228</v>
      </c>
    </row>
    <row r="498" spans="1:29" ht="13.5" customHeight="1">
      <c r="A498" s="235">
        <v>496</v>
      </c>
      <c r="B498" s="235">
        <v>0</v>
      </c>
      <c r="C498" s="255" t="s">
        <v>2939</v>
      </c>
      <c r="D498" s="235" t="s">
        <v>2940</v>
      </c>
      <c r="E498" s="235">
        <v>31</v>
      </c>
      <c r="F498" s="235" t="s">
        <v>60</v>
      </c>
      <c r="G498" s="235" t="s">
        <v>2941</v>
      </c>
      <c r="H498" s="243" t="s">
        <v>188</v>
      </c>
      <c r="I498" s="243"/>
      <c r="K498" s="240"/>
      <c r="L498" s="243" t="s">
        <v>231</v>
      </c>
      <c r="M498" s="243" t="s">
        <v>231</v>
      </c>
      <c r="N498" s="237"/>
      <c r="O498" s="237"/>
      <c r="P498" s="237"/>
      <c r="Q498" s="245">
        <v>45474</v>
      </c>
      <c r="R498" s="237" t="s">
        <v>309</v>
      </c>
      <c r="S498" s="331" t="s">
        <v>233</v>
      </c>
      <c r="T498" s="237">
        <v>0</v>
      </c>
      <c r="U498" s="237" t="s">
        <v>234</v>
      </c>
      <c r="V498" s="237" t="s">
        <v>652</v>
      </c>
      <c r="W498" s="244">
        <v>46028</v>
      </c>
      <c r="X498" s="237" t="s">
        <v>2942</v>
      </c>
      <c r="Y498" s="237" t="s">
        <v>588</v>
      </c>
      <c r="Z498" s="237" t="s">
        <v>228</v>
      </c>
      <c r="AA498" s="237" t="s">
        <v>2943</v>
      </c>
      <c r="AB498" s="237" t="s">
        <v>228</v>
      </c>
      <c r="AC498" s="237" t="s">
        <v>228</v>
      </c>
    </row>
    <row r="499" spans="1:29" ht="13.5" customHeight="1">
      <c r="A499" s="235">
        <v>497</v>
      </c>
      <c r="B499" s="235">
        <v>0</v>
      </c>
      <c r="C499" s="255" t="s">
        <v>2944</v>
      </c>
      <c r="D499" s="235" t="s">
        <v>2945</v>
      </c>
      <c r="E499" s="235">
        <v>34</v>
      </c>
      <c r="F499" s="235" t="s">
        <v>60</v>
      </c>
      <c r="G499" s="235" t="s">
        <v>2946</v>
      </c>
      <c r="H499" s="243" t="s">
        <v>188</v>
      </c>
      <c r="I499" s="243"/>
      <c r="K499" s="240"/>
      <c r="L499" s="243" t="s">
        <v>231</v>
      </c>
      <c r="M499" s="243" t="s">
        <v>231</v>
      </c>
      <c r="N499" s="237"/>
      <c r="O499" s="237"/>
      <c r="P499" s="237"/>
      <c r="Q499" s="245">
        <v>45474</v>
      </c>
      <c r="R499" s="237" t="s">
        <v>309</v>
      </c>
      <c r="S499" s="331" t="s">
        <v>233</v>
      </c>
      <c r="T499" s="237">
        <v>0</v>
      </c>
      <c r="U499" s="237" t="s">
        <v>234</v>
      </c>
      <c r="V499" s="237" t="s">
        <v>652</v>
      </c>
      <c r="W499" s="244">
        <v>46028</v>
      </c>
      <c r="X499" s="237" t="s">
        <v>2947</v>
      </c>
      <c r="Y499" s="237" t="s">
        <v>588</v>
      </c>
      <c r="Z499" s="237" t="s">
        <v>228</v>
      </c>
      <c r="AA499" s="237" t="s">
        <v>2948</v>
      </c>
      <c r="AB499" s="237" t="s">
        <v>228</v>
      </c>
      <c r="AC499" s="237" t="s">
        <v>228</v>
      </c>
    </row>
    <row r="500" spans="1:29" ht="13.5" customHeight="1">
      <c r="A500" s="235">
        <v>498</v>
      </c>
      <c r="B500" s="235" t="s">
        <v>2949</v>
      </c>
      <c r="C500" s="255" t="s">
        <v>2950</v>
      </c>
      <c r="D500" s="235" t="s">
        <v>2951</v>
      </c>
      <c r="E500" s="235">
        <v>25</v>
      </c>
      <c r="F500" s="235" t="s">
        <v>75</v>
      </c>
      <c r="G500" s="235" t="s">
        <v>2952</v>
      </c>
      <c r="H500" s="243" t="s">
        <v>188</v>
      </c>
      <c r="I500" s="243"/>
      <c r="K500" s="240"/>
      <c r="L500" s="243" t="s">
        <v>231</v>
      </c>
      <c r="M500" s="246" t="s">
        <v>228</v>
      </c>
      <c r="N500" s="237"/>
      <c r="O500" s="237"/>
      <c r="P500" s="237"/>
      <c r="Q500" s="245">
        <v>45469</v>
      </c>
      <c r="R500" s="237" t="s">
        <v>309</v>
      </c>
      <c r="S500" s="331" t="s">
        <v>233</v>
      </c>
      <c r="T500" s="237" t="s">
        <v>228</v>
      </c>
      <c r="U500" s="237" t="s">
        <v>234</v>
      </c>
      <c r="V500" s="237" t="s">
        <v>228</v>
      </c>
      <c r="W500" s="244" t="s">
        <v>228</v>
      </c>
      <c r="X500" s="237" t="s">
        <v>228</v>
      </c>
      <c r="Y500" s="237" t="s">
        <v>228</v>
      </c>
      <c r="Z500" s="237" t="s">
        <v>228</v>
      </c>
      <c r="AA500" s="237" t="s">
        <v>2953</v>
      </c>
      <c r="AB500" s="237" t="s">
        <v>228</v>
      </c>
      <c r="AC500" s="237" t="s">
        <v>228</v>
      </c>
    </row>
    <row r="501" spans="1:29" ht="13.5" customHeight="1">
      <c r="A501" s="235">
        <v>499</v>
      </c>
      <c r="B501" s="235">
        <v>0</v>
      </c>
      <c r="C501" s="255" t="s">
        <v>2954</v>
      </c>
      <c r="D501" s="235" t="s">
        <v>2955</v>
      </c>
      <c r="E501" s="235">
        <v>33</v>
      </c>
      <c r="F501" s="235" t="s">
        <v>60</v>
      </c>
      <c r="G501" s="235" t="s">
        <v>2956</v>
      </c>
      <c r="H501" s="243" t="s">
        <v>188</v>
      </c>
      <c r="I501" s="243"/>
      <c r="K501" s="240"/>
      <c r="L501" s="243" t="s">
        <v>231</v>
      </c>
      <c r="M501" s="243" t="s">
        <v>231</v>
      </c>
      <c r="N501" s="237"/>
      <c r="O501" s="237"/>
      <c r="P501" s="237"/>
      <c r="Q501" s="245">
        <v>45474</v>
      </c>
      <c r="R501" s="237" t="s">
        <v>309</v>
      </c>
      <c r="S501" s="331" t="s">
        <v>233</v>
      </c>
      <c r="T501" s="237">
        <v>0</v>
      </c>
      <c r="U501" s="237" t="s">
        <v>234</v>
      </c>
      <c r="V501" s="237" t="s">
        <v>652</v>
      </c>
      <c r="W501" s="244">
        <v>46028</v>
      </c>
      <c r="X501" s="237" t="s">
        <v>2957</v>
      </c>
      <c r="Y501" s="237" t="s">
        <v>588</v>
      </c>
      <c r="Z501" s="237" t="s">
        <v>228</v>
      </c>
      <c r="AA501" s="237" t="s">
        <v>2958</v>
      </c>
      <c r="AB501" s="237" t="s">
        <v>228</v>
      </c>
      <c r="AC501" s="237" t="s">
        <v>228</v>
      </c>
    </row>
    <row r="502" spans="1:29" ht="13.5" customHeight="1">
      <c r="A502" s="235">
        <v>500</v>
      </c>
      <c r="B502" s="235">
        <v>0</v>
      </c>
      <c r="C502" s="255" t="s">
        <v>2959</v>
      </c>
      <c r="D502" s="235" t="s">
        <v>2960</v>
      </c>
      <c r="E502" s="235">
        <v>32</v>
      </c>
      <c r="F502" s="235" t="s">
        <v>60</v>
      </c>
      <c r="G502" s="235" t="s">
        <v>2961</v>
      </c>
      <c r="H502" s="243" t="s">
        <v>188</v>
      </c>
      <c r="I502" s="243"/>
      <c r="K502" s="240"/>
      <c r="L502" s="243" t="s">
        <v>231</v>
      </c>
      <c r="M502" s="243" t="s">
        <v>231</v>
      </c>
      <c r="N502" s="237"/>
      <c r="O502" s="237"/>
      <c r="P502" s="237"/>
      <c r="Q502" s="245">
        <v>45475</v>
      </c>
      <c r="R502" s="237" t="s">
        <v>309</v>
      </c>
      <c r="S502" s="331" t="s">
        <v>233</v>
      </c>
      <c r="T502" s="237">
        <v>0</v>
      </c>
      <c r="U502" s="237" t="s">
        <v>234</v>
      </c>
      <c r="V502" s="237" t="s">
        <v>652</v>
      </c>
      <c r="W502" s="244">
        <v>46028</v>
      </c>
      <c r="X502" s="237" t="s">
        <v>2962</v>
      </c>
      <c r="Y502" s="237" t="s">
        <v>588</v>
      </c>
      <c r="Z502" s="237" t="s">
        <v>228</v>
      </c>
      <c r="AA502" s="237" t="s">
        <v>2963</v>
      </c>
      <c r="AB502" s="237" t="s">
        <v>228</v>
      </c>
      <c r="AC502" s="237" t="s">
        <v>228</v>
      </c>
    </row>
    <row r="503" spans="1:29" ht="13.5" customHeight="1">
      <c r="A503" s="235">
        <v>501</v>
      </c>
      <c r="B503" s="235">
        <v>0</v>
      </c>
      <c r="C503" s="255" t="s">
        <v>2964</v>
      </c>
      <c r="D503" s="235" t="s">
        <v>2965</v>
      </c>
      <c r="E503" s="235">
        <v>32</v>
      </c>
      <c r="F503" s="235" t="s">
        <v>60</v>
      </c>
      <c r="G503" s="235" t="s">
        <v>2966</v>
      </c>
      <c r="H503" s="243" t="s">
        <v>188</v>
      </c>
      <c r="I503" s="243"/>
      <c r="K503" s="240"/>
      <c r="L503" s="243" t="s">
        <v>231</v>
      </c>
      <c r="M503" s="243" t="s">
        <v>231</v>
      </c>
      <c r="N503" s="237"/>
      <c r="O503" s="237"/>
      <c r="P503" s="237"/>
      <c r="Q503" s="245">
        <v>45475</v>
      </c>
      <c r="R503" s="237" t="s">
        <v>309</v>
      </c>
      <c r="S503" s="331" t="s">
        <v>233</v>
      </c>
      <c r="T503" s="237">
        <v>0</v>
      </c>
      <c r="U503" s="237" t="s">
        <v>234</v>
      </c>
      <c r="V503" s="237" t="s">
        <v>652</v>
      </c>
      <c r="W503" s="244">
        <v>46028</v>
      </c>
      <c r="X503" s="237" t="s">
        <v>2967</v>
      </c>
      <c r="Y503" s="237" t="s">
        <v>588</v>
      </c>
      <c r="Z503" s="237" t="s">
        <v>228</v>
      </c>
      <c r="AA503" s="237" t="s">
        <v>2968</v>
      </c>
      <c r="AB503" s="237" t="s">
        <v>228</v>
      </c>
      <c r="AC503" s="237" t="s">
        <v>228</v>
      </c>
    </row>
    <row r="504" spans="1:29" ht="13.5" customHeight="1">
      <c r="A504" s="235">
        <v>502</v>
      </c>
      <c r="B504" s="235">
        <v>0</v>
      </c>
      <c r="C504" s="255" t="s">
        <v>2969</v>
      </c>
      <c r="D504" s="235" t="s">
        <v>2970</v>
      </c>
      <c r="E504" s="235">
        <v>35</v>
      </c>
      <c r="F504" s="235" t="s">
        <v>60</v>
      </c>
      <c r="G504" s="235" t="s">
        <v>2971</v>
      </c>
      <c r="H504" s="243" t="s">
        <v>188</v>
      </c>
      <c r="I504" s="243"/>
      <c r="K504" s="240"/>
      <c r="L504" s="243" t="s">
        <v>231</v>
      </c>
      <c r="M504" s="243" t="s">
        <v>231</v>
      </c>
      <c r="N504" s="237"/>
      <c r="O504" s="237"/>
      <c r="P504" s="237"/>
      <c r="Q504" s="245">
        <v>45475</v>
      </c>
      <c r="R504" s="237" t="s">
        <v>309</v>
      </c>
      <c r="S504" s="331" t="s">
        <v>233</v>
      </c>
      <c r="T504" s="237">
        <v>0</v>
      </c>
      <c r="U504" s="237" t="s">
        <v>234</v>
      </c>
      <c r="V504" s="237" t="s">
        <v>652</v>
      </c>
      <c r="W504" s="244">
        <v>46028</v>
      </c>
      <c r="X504" s="237" t="s">
        <v>787</v>
      </c>
      <c r="Y504" s="237" t="s">
        <v>588</v>
      </c>
      <c r="Z504" s="237" t="s">
        <v>228</v>
      </c>
      <c r="AA504" s="237" t="s">
        <v>2972</v>
      </c>
      <c r="AB504" s="237" t="s">
        <v>228</v>
      </c>
      <c r="AC504" s="237" t="s">
        <v>228</v>
      </c>
    </row>
    <row r="505" spans="1:29" ht="13.5" customHeight="1">
      <c r="A505" s="235">
        <v>503</v>
      </c>
      <c r="B505" s="235">
        <v>0</v>
      </c>
      <c r="C505" s="255" t="s">
        <v>2973</v>
      </c>
      <c r="D505" s="235" t="s">
        <v>2974</v>
      </c>
      <c r="E505" s="235">
        <v>31</v>
      </c>
      <c r="F505" s="235" t="s">
        <v>60</v>
      </c>
      <c r="G505" s="235" t="s">
        <v>2975</v>
      </c>
      <c r="H505" s="243" t="s">
        <v>188</v>
      </c>
      <c r="I505" s="243"/>
      <c r="K505" s="240"/>
      <c r="L505" s="243" t="s">
        <v>231</v>
      </c>
      <c r="M505" s="243" t="s">
        <v>231</v>
      </c>
      <c r="N505" s="237"/>
      <c r="O505" s="237"/>
      <c r="P505" s="237"/>
      <c r="Q505" s="245">
        <v>45475</v>
      </c>
      <c r="R505" s="237" t="s">
        <v>309</v>
      </c>
      <c r="S505" s="331" t="s">
        <v>233</v>
      </c>
      <c r="T505" s="237">
        <v>0</v>
      </c>
      <c r="U505" s="237" t="s">
        <v>234</v>
      </c>
      <c r="V505" s="237" t="s">
        <v>652</v>
      </c>
      <c r="W505" s="244">
        <v>46028</v>
      </c>
      <c r="X505" s="237" t="s">
        <v>2976</v>
      </c>
      <c r="Y505" s="237" t="s">
        <v>588</v>
      </c>
      <c r="Z505" s="237" t="s">
        <v>228</v>
      </c>
      <c r="AA505" s="237" t="s">
        <v>2977</v>
      </c>
      <c r="AB505" s="237" t="s">
        <v>228</v>
      </c>
      <c r="AC505" s="237" t="s">
        <v>228</v>
      </c>
    </row>
    <row r="506" spans="1:29" ht="13.5" customHeight="1">
      <c r="A506" s="235">
        <v>504</v>
      </c>
      <c r="B506" s="235">
        <v>0</v>
      </c>
      <c r="C506" s="255" t="s">
        <v>2978</v>
      </c>
      <c r="D506" s="235" t="s">
        <v>2979</v>
      </c>
      <c r="E506" s="235">
        <v>32</v>
      </c>
      <c r="F506" s="235" t="s">
        <v>60</v>
      </c>
      <c r="G506" s="235" t="s">
        <v>2980</v>
      </c>
      <c r="H506" s="243" t="s">
        <v>188</v>
      </c>
      <c r="I506" s="243"/>
      <c r="K506" s="240"/>
      <c r="L506" s="243" t="s">
        <v>231</v>
      </c>
      <c r="M506" s="243" t="s">
        <v>231</v>
      </c>
      <c r="N506" s="237"/>
      <c r="O506" s="237"/>
      <c r="P506" s="237"/>
      <c r="Q506" s="245">
        <v>45475</v>
      </c>
      <c r="R506" s="237" t="s">
        <v>309</v>
      </c>
      <c r="S506" s="331" t="s">
        <v>233</v>
      </c>
      <c r="T506" s="237">
        <v>0</v>
      </c>
      <c r="U506" s="237" t="s">
        <v>234</v>
      </c>
      <c r="V506" s="237" t="s">
        <v>652</v>
      </c>
      <c r="W506" s="244">
        <v>46028</v>
      </c>
      <c r="X506" s="237" t="s">
        <v>2981</v>
      </c>
      <c r="Y506" s="237" t="s">
        <v>588</v>
      </c>
      <c r="Z506" s="237" t="s">
        <v>228</v>
      </c>
      <c r="AA506" s="237" t="s">
        <v>2982</v>
      </c>
      <c r="AB506" s="237" t="s">
        <v>228</v>
      </c>
      <c r="AC506" s="237" t="s">
        <v>228</v>
      </c>
    </row>
    <row r="507" spans="1:29" ht="13.5" customHeight="1">
      <c r="A507" s="235">
        <v>505</v>
      </c>
      <c r="B507" s="235">
        <v>0</v>
      </c>
      <c r="C507" s="255" t="s">
        <v>2983</v>
      </c>
      <c r="D507" s="235" t="s">
        <v>2984</v>
      </c>
      <c r="E507" s="235">
        <v>34</v>
      </c>
      <c r="F507" s="235" t="s">
        <v>60</v>
      </c>
      <c r="G507" s="235" t="s">
        <v>2985</v>
      </c>
      <c r="H507" s="243" t="s">
        <v>188</v>
      </c>
      <c r="I507" s="243"/>
      <c r="K507" s="240"/>
      <c r="L507" s="243" t="s">
        <v>231</v>
      </c>
      <c r="M507" s="243" t="s">
        <v>231</v>
      </c>
      <c r="N507" s="237"/>
      <c r="O507" s="237"/>
      <c r="P507" s="237"/>
      <c r="Q507" s="245">
        <v>45475</v>
      </c>
      <c r="R507" s="237" t="s">
        <v>309</v>
      </c>
      <c r="S507" s="331" t="s">
        <v>233</v>
      </c>
      <c r="T507" s="237">
        <v>0</v>
      </c>
      <c r="U507" s="237" t="s">
        <v>234</v>
      </c>
      <c r="V507" s="237" t="s">
        <v>652</v>
      </c>
      <c r="W507" s="244">
        <v>46028</v>
      </c>
      <c r="X507" s="237" t="s">
        <v>2986</v>
      </c>
      <c r="Y507" s="237" t="s">
        <v>588</v>
      </c>
      <c r="Z507" s="237" t="s">
        <v>228</v>
      </c>
      <c r="AA507" s="237" t="s">
        <v>2987</v>
      </c>
      <c r="AB507" s="237" t="s">
        <v>228</v>
      </c>
      <c r="AC507" s="237" t="s">
        <v>228</v>
      </c>
    </row>
    <row r="508" spans="1:29" ht="13.5" customHeight="1">
      <c r="A508" s="235">
        <v>506</v>
      </c>
      <c r="B508" s="235" t="s">
        <v>2988</v>
      </c>
      <c r="C508" s="255" t="s">
        <v>2989</v>
      </c>
      <c r="D508" s="235" t="s">
        <v>2990</v>
      </c>
      <c r="E508" s="235">
        <v>19</v>
      </c>
      <c r="F508" s="235" t="s">
        <v>60</v>
      </c>
      <c r="G508" s="235" t="s">
        <v>2991</v>
      </c>
      <c r="H508" s="243" t="s">
        <v>188</v>
      </c>
      <c r="I508" s="243"/>
      <c r="K508" s="240"/>
      <c r="L508" s="243" t="s">
        <v>231</v>
      </c>
      <c r="M508" s="246" t="s">
        <v>228</v>
      </c>
      <c r="N508" s="237"/>
      <c r="O508" s="237"/>
      <c r="P508" s="237"/>
      <c r="Q508" s="245">
        <v>45478</v>
      </c>
      <c r="R508" s="237" t="s">
        <v>309</v>
      </c>
      <c r="S508" s="331" t="s">
        <v>233</v>
      </c>
      <c r="T508" s="237" t="s">
        <v>228</v>
      </c>
      <c r="U508" s="237" t="s">
        <v>234</v>
      </c>
      <c r="V508" s="237" t="s">
        <v>228</v>
      </c>
      <c r="W508" s="244" t="s">
        <v>228</v>
      </c>
      <c r="X508" s="237" t="s">
        <v>228</v>
      </c>
      <c r="Y508" s="237" t="s">
        <v>228</v>
      </c>
      <c r="Z508" s="237" t="s">
        <v>228</v>
      </c>
      <c r="AA508" s="237" t="s">
        <v>2992</v>
      </c>
      <c r="AB508" s="237" t="s">
        <v>228</v>
      </c>
      <c r="AC508" s="237" t="s">
        <v>228</v>
      </c>
    </row>
    <row r="509" spans="1:29" ht="13.5" customHeight="1">
      <c r="A509" s="235">
        <v>507</v>
      </c>
      <c r="B509" s="235">
        <v>0</v>
      </c>
      <c r="C509" s="255" t="s">
        <v>2993</v>
      </c>
      <c r="D509" s="235" t="s">
        <v>2994</v>
      </c>
      <c r="E509" s="235">
        <v>50</v>
      </c>
      <c r="F509" s="235" t="s">
        <v>60</v>
      </c>
      <c r="G509" s="235" t="s">
        <v>2995</v>
      </c>
      <c r="H509" s="243" t="s">
        <v>188</v>
      </c>
      <c r="I509" s="243"/>
      <c r="K509" s="240"/>
      <c r="L509" s="243" t="s">
        <v>231</v>
      </c>
      <c r="M509" s="243" t="s">
        <v>231</v>
      </c>
      <c r="N509" s="237"/>
      <c r="O509" s="237"/>
      <c r="P509" s="237"/>
      <c r="Q509" s="245">
        <v>45531</v>
      </c>
      <c r="R509" s="237" t="s">
        <v>309</v>
      </c>
      <c r="S509" s="331" t="s">
        <v>233</v>
      </c>
      <c r="T509" s="237">
        <v>0</v>
      </c>
      <c r="U509" s="237" t="s">
        <v>234</v>
      </c>
      <c r="V509" s="237" t="s">
        <v>652</v>
      </c>
      <c r="W509" s="244">
        <v>46028</v>
      </c>
      <c r="X509" s="237" t="s">
        <v>2996</v>
      </c>
      <c r="Y509" s="237" t="s">
        <v>588</v>
      </c>
      <c r="Z509" s="237" t="s">
        <v>228</v>
      </c>
      <c r="AA509" s="237" t="s">
        <v>2997</v>
      </c>
      <c r="AB509" s="237" t="s">
        <v>228</v>
      </c>
      <c r="AC509" s="237" t="s">
        <v>228</v>
      </c>
    </row>
    <row r="510" spans="1:29" ht="13.5" customHeight="1">
      <c r="A510" s="235">
        <v>508</v>
      </c>
      <c r="B510" s="235">
        <v>0</v>
      </c>
      <c r="C510" s="255" t="s">
        <v>2998</v>
      </c>
      <c r="D510" s="235" t="s">
        <v>2999</v>
      </c>
      <c r="E510" s="235">
        <v>23</v>
      </c>
      <c r="F510" s="235" t="s">
        <v>60</v>
      </c>
      <c r="G510" s="235" t="s">
        <v>3000</v>
      </c>
      <c r="H510" s="243" t="s">
        <v>188</v>
      </c>
      <c r="I510" s="243"/>
      <c r="K510" s="240"/>
      <c r="L510" s="243" t="s">
        <v>231</v>
      </c>
      <c r="M510" s="243" t="s">
        <v>231</v>
      </c>
      <c r="N510" s="237"/>
      <c r="O510" s="237"/>
      <c r="P510" s="237"/>
      <c r="Q510" s="245">
        <v>45479</v>
      </c>
      <c r="R510" s="237" t="s">
        <v>309</v>
      </c>
      <c r="S510" s="331" t="s">
        <v>233</v>
      </c>
      <c r="T510" s="237">
        <v>0</v>
      </c>
      <c r="U510" s="237" t="s">
        <v>234</v>
      </c>
      <c r="V510" s="237" t="s">
        <v>652</v>
      </c>
      <c r="W510" s="244">
        <v>46028</v>
      </c>
      <c r="X510" s="237" t="s">
        <v>3001</v>
      </c>
      <c r="Y510" s="237" t="s">
        <v>588</v>
      </c>
      <c r="Z510" s="237" t="s">
        <v>228</v>
      </c>
      <c r="AA510" s="237" t="s">
        <v>3002</v>
      </c>
      <c r="AB510" s="237" t="s">
        <v>228</v>
      </c>
      <c r="AC510" s="237" t="s">
        <v>228</v>
      </c>
    </row>
    <row r="511" spans="1:29" ht="13.5" customHeight="1">
      <c r="A511" s="235">
        <v>509</v>
      </c>
      <c r="B511" s="235">
        <v>0</v>
      </c>
      <c r="C511" s="255" t="s">
        <v>3003</v>
      </c>
      <c r="D511" s="235" t="s">
        <v>3004</v>
      </c>
      <c r="E511" s="235">
        <v>18</v>
      </c>
      <c r="F511" s="235" t="s">
        <v>60</v>
      </c>
      <c r="G511" s="235" t="s">
        <v>3005</v>
      </c>
      <c r="H511" s="243" t="s">
        <v>188</v>
      </c>
      <c r="I511" s="243"/>
      <c r="K511" s="240"/>
      <c r="L511" s="243" t="s">
        <v>231</v>
      </c>
      <c r="M511" s="243" t="s">
        <v>231</v>
      </c>
      <c r="N511" s="237"/>
      <c r="O511" s="237"/>
      <c r="P511" s="237"/>
      <c r="Q511" s="245">
        <v>45479</v>
      </c>
      <c r="R511" s="237" t="s">
        <v>309</v>
      </c>
      <c r="S511" s="331" t="s">
        <v>233</v>
      </c>
      <c r="T511" s="237">
        <v>0</v>
      </c>
      <c r="U511" s="237" t="s">
        <v>234</v>
      </c>
      <c r="V511" s="237" t="s">
        <v>652</v>
      </c>
      <c r="W511" s="244">
        <v>46028</v>
      </c>
      <c r="X511" s="237" t="s">
        <v>3006</v>
      </c>
      <c r="Y511" s="237" t="s">
        <v>588</v>
      </c>
      <c r="Z511" s="237" t="s">
        <v>228</v>
      </c>
      <c r="AA511" s="237" t="s">
        <v>3007</v>
      </c>
      <c r="AB511" s="237" t="s">
        <v>228</v>
      </c>
      <c r="AC511" s="237" t="s">
        <v>228</v>
      </c>
    </row>
    <row r="512" spans="1:29" ht="13.5" customHeight="1">
      <c r="A512" s="235">
        <v>510</v>
      </c>
      <c r="B512" s="235" t="s">
        <v>3008</v>
      </c>
      <c r="C512" s="255" t="s">
        <v>3009</v>
      </c>
      <c r="D512" s="235" t="s">
        <v>3010</v>
      </c>
      <c r="E512" s="235">
        <v>20</v>
      </c>
      <c r="F512" s="235" t="s">
        <v>75</v>
      </c>
      <c r="G512" s="235" t="s">
        <v>3011</v>
      </c>
      <c r="H512" s="243" t="s">
        <v>188</v>
      </c>
      <c r="I512" s="243"/>
      <c r="K512" s="240"/>
      <c r="L512" s="243" t="s">
        <v>231</v>
      </c>
      <c r="M512" s="246" t="s">
        <v>228</v>
      </c>
      <c r="N512" s="237"/>
      <c r="O512" s="237"/>
      <c r="P512" s="237"/>
      <c r="Q512" s="245">
        <v>45517</v>
      </c>
      <c r="R512" s="237" t="s">
        <v>309</v>
      </c>
      <c r="S512" s="331" t="s">
        <v>233</v>
      </c>
      <c r="T512" s="237" t="s">
        <v>228</v>
      </c>
      <c r="U512" s="237" t="s">
        <v>234</v>
      </c>
      <c r="V512" s="237" t="s">
        <v>228</v>
      </c>
      <c r="W512" s="244" t="s">
        <v>228</v>
      </c>
      <c r="X512" s="237" t="s">
        <v>228</v>
      </c>
      <c r="Y512" s="237" t="s">
        <v>228</v>
      </c>
      <c r="Z512" s="237" t="s">
        <v>228</v>
      </c>
      <c r="AA512" s="237" t="s">
        <v>3012</v>
      </c>
      <c r="AB512" s="237" t="s">
        <v>228</v>
      </c>
      <c r="AC512" s="237" t="s">
        <v>228</v>
      </c>
    </row>
    <row r="513" spans="1:39" ht="13.5" customHeight="1">
      <c r="A513" s="235">
        <v>511</v>
      </c>
      <c r="B513" s="235" t="s">
        <v>3013</v>
      </c>
      <c r="C513" s="255" t="s">
        <v>3014</v>
      </c>
      <c r="D513" s="235" t="s">
        <v>3015</v>
      </c>
      <c r="E513" s="235">
        <v>20</v>
      </c>
      <c r="F513" s="235" t="s">
        <v>75</v>
      </c>
      <c r="G513" s="235" t="s">
        <v>3016</v>
      </c>
      <c r="H513" s="243" t="s">
        <v>188</v>
      </c>
      <c r="I513" s="243"/>
      <c r="K513" s="240"/>
      <c r="L513" s="243" t="s">
        <v>231</v>
      </c>
      <c r="M513" s="246" t="s">
        <v>228</v>
      </c>
      <c r="N513" s="237"/>
      <c r="O513" s="237"/>
      <c r="P513" s="237"/>
      <c r="Q513" s="245">
        <v>45531</v>
      </c>
      <c r="R513" s="237" t="s">
        <v>309</v>
      </c>
      <c r="S513" s="331" t="s">
        <v>233</v>
      </c>
      <c r="T513" s="237" t="s">
        <v>228</v>
      </c>
      <c r="U513" s="237" t="s">
        <v>234</v>
      </c>
      <c r="V513" s="237" t="s">
        <v>228</v>
      </c>
      <c r="W513" s="244" t="s">
        <v>228</v>
      </c>
      <c r="X513" s="237" t="s">
        <v>228</v>
      </c>
      <c r="Y513" s="237" t="s">
        <v>228</v>
      </c>
      <c r="Z513" s="237" t="s">
        <v>228</v>
      </c>
      <c r="AA513" s="237" t="s">
        <v>3017</v>
      </c>
      <c r="AB513" s="237" t="s">
        <v>228</v>
      </c>
      <c r="AC513" s="237" t="s">
        <v>228</v>
      </c>
    </row>
    <row r="514" spans="1:39" s="253" customFormat="1" ht="13.5" customHeight="1">
      <c r="A514" s="235">
        <v>512</v>
      </c>
      <c r="B514" s="237">
        <v>45</v>
      </c>
      <c r="C514" s="243" t="s">
        <v>3018</v>
      </c>
      <c r="D514" s="237" t="s">
        <v>3019</v>
      </c>
      <c r="E514" s="237">
        <v>56</v>
      </c>
      <c r="F514" s="237" t="s">
        <v>60</v>
      </c>
      <c r="G514" s="237" t="s">
        <v>3020</v>
      </c>
      <c r="H514" s="243" t="s">
        <v>188</v>
      </c>
      <c r="I514" s="243"/>
      <c r="J514" s="235"/>
      <c r="K514" s="240"/>
      <c r="L514" s="243" t="s">
        <v>231</v>
      </c>
      <c r="M514" s="243"/>
      <c r="N514" s="237" t="s">
        <v>228</v>
      </c>
      <c r="O514" s="237" t="s">
        <v>228</v>
      </c>
      <c r="P514" s="237" t="s">
        <v>231</v>
      </c>
      <c r="Q514" s="245">
        <v>44875</v>
      </c>
      <c r="R514" s="237" t="s">
        <v>232</v>
      </c>
      <c r="S514" s="331" t="s">
        <v>233</v>
      </c>
      <c r="T514" s="237">
        <v>8.6</v>
      </c>
      <c r="U514" s="237" t="s">
        <v>234</v>
      </c>
      <c r="V514" s="237" t="s">
        <v>235</v>
      </c>
      <c r="W514" s="244" t="s">
        <v>228</v>
      </c>
      <c r="X514" s="237" t="s">
        <v>3021</v>
      </c>
      <c r="Y514" s="237" t="s">
        <v>237</v>
      </c>
      <c r="Z514" s="237" t="s">
        <v>237</v>
      </c>
      <c r="AA514" s="237" t="s">
        <v>3022</v>
      </c>
      <c r="AB514" s="237" t="s">
        <v>228</v>
      </c>
      <c r="AC514" s="251" t="s">
        <v>228</v>
      </c>
      <c r="AD514" s="298"/>
      <c r="AE514" s="298"/>
      <c r="AF514" s="298"/>
      <c r="AG514" s="298"/>
      <c r="AH514" s="298"/>
      <c r="AI514" s="298"/>
      <c r="AJ514" s="298"/>
      <c r="AK514" s="298"/>
      <c r="AL514" s="298"/>
      <c r="AM514" s="303"/>
    </row>
    <row r="515" spans="1:39" ht="13.5" customHeight="1">
      <c r="A515" s="235">
        <v>513</v>
      </c>
      <c r="B515" s="235">
        <v>0</v>
      </c>
      <c r="C515" s="243" t="s">
        <v>3023</v>
      </c>
      <c r="D515" s="235" t="s">
        <v>3024</v>
      </c>
      <c r="E515" s="235">
        <v>62</v>
      </c>
      <c r="F515" s="235" t="s">
        <v>60</v>
      </c>
      <c r="G515" s="235" t="s">
        <v>3025</v>
      </c>
      <c r="H515" s="243" t="s">
        <v>4</v>
      </c>
      <c r="I515" s="243" t="s">
        <v>3026</v>
      </c>
      <c r="J515" s="240" t="s">
        <v>886</v>
      </c>
      <c r="K515" s="240" t="s">
        <v>3027</v>
      </c>
      <c r="L515" s="72" t="s">
        <v>54</v>
      </c>
      <c r="M515" s="243" t="s">
        <v>231</v>
      </c>
      <c r="N515" s="237"/>
      <c r="O515" s="237"/>
      <c r="P515" s="237"/>
      <c r="Q515" s="245">
        <v>44903</v>
      </c>
      <c r="R515" s="237" t="s">
        <v>309</v>
      </c>
      <c r="S515" s="330" t="s">
        <v>233</v>
      </c>
      <c r="T515" s="237" t="s">
        <v>228</v>
      </c>
      <c r="U515" s="237" t="s">
        <v>234</v>
      </c>
      <c r="V515" s="237" t="s">
        <v>652</v>
      </c>
      <c r="W515" s="244">
        <v>45986</v>
      </c>
      <c r="X515" s="237" t="s">
        <v>3028</v>
      </c>
      <c r="Y515" s="237" t="s">
        <v>588</v>
      </c>
      <c r="Z515" s="237" t="s">
        <v>228</v>
      </c>
      <c r="AA515" s="237" t="s">
        <v>3029</v>
      </c>
      <c r="AB515" s="237" t="s">
        <v>228</v>
      </c>
      <c r="AC515" s="237" t="s">
        <v>228</v>
      </c>
    </row>
    <row r="516" spans="1:39" ht="13.5" customHeight="1">
      <c r="A516" s="235">
        <v>514</v>
      </c>
      <c r="B516" s="235">
        <v>0</v>
      </c>
      <c r="C516" s="243" t="s">
        <v>3030</v>
      </c>
      <c r="D516" s="235" t="s">
        <v>3031</v>
      </c>
      <c r="E516" s="235">
        <v>42</v>
      </c>
      <c r="F516" s="235" t="s">
        <v>75</v>
      </c>
      <c r="G516" s="235" t="s">
        <v>3032</v>
      </c>
      <c r="H516" s="243" t="s">
        <v>3</v>
      </c>
      <c r="I516" s="243"/>
      <c r="J516" s="240" t="s">
        <v>886</v>
      </c>
      <c r="K516" s="240" t="s">
        <v>3033</v>
      </c>
      <c r="L516" s="72" t="s">
        <v>10</v>
      </c>
      <c r="M516" s="243" t="s">
        <v>231</v>
      </c>
      <c r="N516" s="237"/>
      <c r="O516" s="237"/>
      <c r="P516" s="237"/>
      <c r="Q516" s="245">
        <v>44907</v>
      </c>
      <c r="R516" s="237" t="s">
        <v>309</v>
      </c>
      <c r="S516" s="331" t="s">
        <v>233</v>
      </c>
      <c r="T516" s="237" t="s">
        <v>228</v>
      </c>
      <c r="U516" s="237" t="s">
        <v>234</v>
      </c>
      <c r="V516" s="237" t="s">
        <v>652</v>
      </c>
      <c r="W516" s="244">
        <v>45986</v>
      </c>
      <c r="X516" s="237" t="s">
        <v>3034</v>
      </c>
      <c r="Y516" s="237" t="s">
        <v>588</v>
      </c>
      <c r="Z516" s="237" t="s">
        <v>228</v>
      </c>
      <c r="AA516" s="237" t="s">
        <v>3035</v>
      </c>
      <c r="AB516" s="237" t="s">
        <v>228</v>
      </c>
      <c r="AC516" s="237" t="s">
        <v>228</v>
      </c>
    </row>
    <row r="517" spans="1:39" ht="13.5" customHeight="1">
      <c r="A517" s="235">
        <v>515</v>
      </c>
      <c r="B517" s="235">
        <v>0</v>
      </c>
      <c r="C517" s="243" t="s">
        <v>3036</v>
      </c>
      <c r="D517" s="235" t="s">
        <v>3037</v>
      </c>
      <c r="E517" s="235">
        <v>33</v>
      </c>
      <c r="F517" s="235" t="s">
        <v>60</v>
      </c>
      <c r="G517" s="235" t="s">
        <v>3038</v>
      </c>
      <c r="H517" s="243" t="s">
        <v>4</v>
      </c>
      <c r="I517" s="243"/>
      <c r="J517" s="240" t="s">
        <v>886</v>
      </c>
      <c r="K517" s="240" t="s">
        <v>3039</v>
      </c>
      <c r="L517" s="72" t="s">
        <v>58</v>
      </c>
      <c r="M517" s="243" t="s">
        <v>231</v>
      </c>
      <c r="N517" s="237"/>
      <c r="O517" s="237"/>
      <c r="P517" s="237"/>
      <c r="Q517" s="245">
        <v>44907</v>
      </c>
      <c r="R517" s="237" t="s">
        <v>309</v>
      </c>
      <c r="S517" s="331" t="s">
        <v>233</v>
      </c>
      <c r="T517" s="237" t="s">
        <v>228</v>
      </c>
      <c r="U517" s="237" t="s">
        <v>234</v>
      </c>
      <c r="V517" s="237" t="s">
        <v>652</v>
      </c>
      <c r="W517" s="244">
        <v>45986</v>
      </c>
      <c r="X517" s="237" t="s">
        <v>3040</v>
      </c>
      <c r="Y517" s="237" t="s">
        <v>588</v>
      </c>
      <c r="Z517" s="237" t="s">
        <v>228</v>
      </c>
      <c r="AA517" s="237" t="s">
        <v>3041</v>
      </c>
      <c r="AB517" s="237" t="s">
        <v>228</v>
      </c>
      <c r="AC517" s="237" t="s">
        <v>228</v>
      </c>
    </row>
    <row r="518" spans="1:39" ht="13.5" customHeight="1">
      <c r="A518" s="235">
        <v>516</v>
      </c>
      <c r="B518" s="235">
        <v>0</v>
      </c>
      <c r="C518" s="243" t="s">
        <v>3042</v>
      </c>
      <c r="D518" s="235" t="s">
        <v>3043</v>
      </c>
      <c r="E518" s="235">
        <v>60</v>
      </c>
      <c r="F518" s="235" t="s">
        <v>75</v>
      </c>
      <c r="G518" s="235" t="s">
        <v>3044</v>
      </c>
      <c r="H518" s="243" t="s">
        <v>4</v>
      </c>
      <c r="I518" s="243"/>
      <c r="J518" s="240" t="s">
        <v>886</v>
      </c>
      <c r="K518" s="240" t="s">
        <v>3045</v>
      </c>
      <c r="L518" s="72" t="s">
        <v>49</v>
      </c>
      <c r="M518" s="243" t="s">
        <v>231</v>
      </c>
      <c r="N518" s="237"/>
      <c r="O518" s="237"/>
      <c r="P518" s="237"/>
      <c r="Q518" s="245">
        <v>44907</v>
      </c>
      <c r="R518" s="237" t="s">
        <v>309</v>
      </c>
      <c r="S518" s="331" t="s">
        <v>233</v>
      </c>
      <c r="T518" s="237" t="s">
        <v>228</v>
      </c>
      <c r="U518" s="237" t="s">
        <v>234</v>
      </c>
      <c r="V518" s="237" t="s">
        <v>652</v>
      </c>
      <c r="W518" s="244">
        <v>45986</v>
      </c>
      <c r="X518" s="237" t="s">
        <v>3046</v>
      </c>
      <c r="Y518" s="237" t="s">
        <v>588</v>
      </c>
      <c r="Z518" s="237" t="s">
        <v>228</v>
      </c>
      <c r="AA518" s="237" t="s">
        <v>3047</v>
      </c>
      <c r="AB518" s="237" t="s">
        <v>228</v>
      </c>
      <c r="AC518" s="237" t="s">
        <v>228</v>
      </c>
    </row>
    <row r="519" spans="1:39" ht="13.5" customHeight="1">
      <c r="A519" s="235">
        <v>517</v>
      </c>
      <c r="B519" s="235">
        <v>0</v>
      </c>
      <c r="C519" s="243" t="s">
        <v>3048</v>
      </c>
      <c r="D519" s="235" t="s">
        <v>3049</v>
      </c>
      <c r="E519" s="235">
        <v>65</v>
      </c>
      <c r="F519" s="235" t="s">
        <v>60</v>
      </c>
      <c r="G519" s="235" t="s">
        <v>3050</v>
      </c>
      <c r="H519" s="243" t="s">
        <v>3</v>
      </c>
      <c r="I519" s="243"/>
      <c r="J519" s="240" t="s">
        <v>886</v>
      </c>
      <c r="K519" s="240" t="s">
        <v>1135</v>
      </c>
      <c r="L519" s="243" t="s">
        <v>1642</v>
      </c>
      <c r="M519" s="243" t="s">
        <v>231</v>
      </c>
      <c r="N519" s="237"/>
      <c r="O519" s="237"/>
      <c r="P519" s="237"/>
      <c r="Q519" s="245">
        <v>44907</v>
      </c>
      <c r="R519" s="237" t="s">
        <v>309</v>
      </c>
      <c r="S519" s="331" t="s">
        <v>233</v>
      </c>
      <c r="T519" s="237" t="s">
        <v>228</v>
      </c>
      <c r="U519" s="237" t="s">
        <v>234</v>
      </c>
      <c r="V519" s="237" t="s">
        <v>652</v>
      </c>
      <c r="W519" s="244">
        <v>45986</v>
      </c>
      <c r="X519" s="237" t="s">
        <v>3051</v>
      </c>
      <c r="Y519" s="237" t="s">
        <v>588</v>
      </c>
      <c r="Z519" s="237" t="s">
        <v>228</v>
      </c>
      <c r="AA519" s="237" t="s">
        <v>3052</v>
      </c>
      <c r="AB519" s="237" t="s">
        <v>228</v>
      </c>
      <c r="AC519" s="237" t="s">
        <v>228</v>
      </c>
    </row>
    <row r="520" spans="1:39" ht="13.5" customHeight="1">
      <c r="A520" s="235">
        <v>518</v>
      </c>
      <c r="B520" s="235">
        <v>0</v>
      </c>
      <c r="C520" s="243" t="s">
        <v>3053</v>
      </c>
      <c r="D520" s="235" t="s">
        <v>3054</v>
      </c>
      <c r="E520" s="235">
        <v>35</v>
      </c>
      <c r="F520" s="235" t="s">
        <v>60</v>
      </c>
      <c r="G520" s="235" t="s">
        <v>3055</v>
      </c>
      <c r="H520" s="243" t="s">
        <v>4</v>
      </c>
      <c r="I520" s="243"/>
      <c r="J520" s="240" t="s">
        <v>886</v>
      </c>
      <c r="K520" s="240" t="s">
        <v>3056</v>
      </c>
      <c r="L520" s="72" t="s">
        <v>62</v>
      </c>
      <c r="M520" s="243" t="s">
        <v>231</v>
      </c>
      <c r="N520" s="237"/>
      <c r="O520" s="237"/>
      <c r="P520" s="237"/>
      <c r="Q520" s="245">
        <v>44907</v>
      </c>
      <c r="R520" s="237" t="s">
        <v>309</v>
      </c>
      <c r="S520" s="331" t="s">
        <v>233</v>
      </c>
      <c r="T520" s="237" t="s">
        <v>228</v>
      </c>
      <c r="U520" s="237" t="s">
        <v>234</v>
      </c>
      <c r="V520" s="237" t="s">
        <v>652</v>
      </c>
      <c r="W520" s="244">
        <v>45986</v>
      </c>
      <c r="X520" s="237" t="s">
        <v>3057</v>
      </c>
      <c r="Y520" s="237" t="s">
        <v>588</v>
      </c>
      <c r="Z520" s="237" t="s">
        <v>228</v>
      </c>
      <c r="AA520" s="237" t="s">
        <v>3058</v>
      </c>
      <c r="AB520" s="237" t="s">
        <v>228</v>
      </c>
      <c r="AC520" s="237" t="s">
        <v>228</v>
      </c>
    </row>
    <row r="521" spans="1:39" ht="13.5" customHeight="1">
      <c r="A521" s="235">
        <v>519</v>
      </c>
      <c r="B521" s="235">
        <v>0</v>
      </c>
      <c r="C521" s="243" t="s">
        <v>3059</v>
      </c>
      <c r="D521" s="235" t="s">
        <v>3060</v>
      </c>
      <c r="E521" s="235">
        <v>68</v>
      </c>
      <c r="F521" s="235" t="s">
        <v>60</v>
      </c>
      <c r="G521" s="235" t="s">
        <v>3061</v>
      </c>
      <c r="H521" s="243" t="s">
        <v>4</v>
      </c>
      <c r="I521" s="243"/>
      <c r="J521" s="240" t="s">
        <v>886</v>
      </c>
      <c r="K521" s="240" t="s">
        <v>3062</v>
      </c>
      <c r="L521" s="72" t="s">
        <v>67</v>
      </c>
      <c r="M521" s="243" t="s">
        <v>231</v>
      </c>
      <c r="N521" s="237"/>
      <c r="O521" s="237"/>
      <c r="P521" s="237"/>
      <c r="Q521" s="245">
        <v>44907</v>
      </c>
      <c r="R521" s="237" t="s">
        <v>309</v>
      </c>
      <c r="S521" s="331" t="s">
        <v>233</v>
      </c>
      <c r="T521" s="237" t="s">
        <v>228</v>
      </c>
      <c r="U521" s="237" t="s">
        <v>234</v>
      </c>
      <c r="V521" s="237" t="s">
        <v>652</v>
      </c>
      <c r="W521" s="244">
        <v>45986</v>
      </c>
      <c r="X521" s="237" t="s">
        <v>3063</v>
      </c>
      <c r="Y521" s="237" t="s">
        <v>588</v>
      </c>
      <c r="Z521" s="237" t="s">
        <v>228</v>
      </c>
      <c r="AA521" s="237" t="s">
        <v>3064</v>
      </c>
      <c r="AB521" s="237" t="s">
        <v>228</v>
      </c>
      <c r="AC521" s="237" t="s">
        <v>228</v>
      </c>
    </row>
    <row r="522" spans="1:39" ht="13.5" customHeight="1">
      <c r="A522" s="235">
        <v>520</v>
      </c>
      <c r="B522" s="235">
        <v>0</v>
      </c>
      <c r="C522" s="243" t="s">
        <v>3065</v>
      </c>
      <c r="D522" s="235" t="s">
        <v>3066</v>
      </c>
      <c r="E522" s="235">
        <v>32</v>
      </c>
      <c r="F522" s="235" t="s">
        <v>60</v>
      </c>
      <c r="G522" s="235" t="s">
        <v>3067</v>
      </c>
      <c r="H522" s="243" t="s">
        <v>4</v>
      </c>
      <c r="I522" s="243"/>
      <c r="J522" s="240" t="s">
        <v>886</v>
      </c>
      <c r="K522" s="240" t="s">
        <v>3068</v>
      </c>
      <c r="L522" s="72" t="s">
        <v>76</v>
      </c>
      <c r="M522" s="243" t="s">
        <v>231</v>
      </c>
      <c r="N522" s="237"/>
      <c r="O522" s="237"/>
      <c r="P522" s="237"/>
      <c r="Q522" s="245">
        <v>44907</v>
      </c>
      <c r="R522" s="237" t="s">
        <v>309</v>
      </c>
      <c r="S522" s="331" t="s">
        <v>233</v>
      </c>
      <c r="T522" s="237" t="s">
        <v>228</v>
      </c>
      <c r="U522" s="237" t="s">
        <v>234</v>
      </c>
      <c r="V522" s="237" t="s">
        <v>652</v>
      </c>
      <c r="W522" s="244">
        <v>45986</v>
      </c>
      <c r="X522" s="237" t="s">
        <v>3069</v>
      </c>
      <c r="Y522" s="237" t="s">
        <v>588</v>
      </c>
      <c r="Z522" s="237" t="s">
        <v>228</v>
      </c>
      <c r="AA522" s="237" t="s">
        <v>3070</v>
      </c>
      <c r="AB522" s="237" t="s">
        <v>228</v>
      </c>
      <c r="AC522" s="237" t="s">
        <v>228</v>
      </c>
    </row>
    <row r="523" spans="1:39" ht="13.5" customHeight="1">
      <c r="A523" s="235">
        <v>521</v>
      </c>
      <c r="B523" s="235">
        <v>0</v>
      </c>
      <c r="C523" s="243" t="s">
        <v>3071</v>
      </c>
      <c r="D523" s="235" t="s">
        <v>3072</v>
      </c>
      <c r="E523" s="235">
        <v>70</v>
      </c>
      <c r="F523" s="235" t="s">
        <v>60</v>
      </c>
      <c r="G523" s="235" t="s">
        <v>3073</v>
      </c>
      <c r="H523" s="243" t="s">
        <v>3</v>
      </c>
      <c r="I523" s="243"/>
      <c r="J523" s="240" t="s">
        <v>886</v>
      </c>
      <c r="K523" s="240" t="s">
        <v>1135</v>
      </c>
      <c r="L523" s="243" t="s">
        <v>1642</v>
      </c>
      <c r="M523" s="243" t="s">
        <v>231</v>
      </c>
      <c r="N523" s="237"/>
      <c r="O523" s="237"/>
      <c r="P523" s="237"/>
      <c r="Q523" s="245">
        <v>44907</v>
      </c>
      <c r="R523" s="237" t="s">
        <v>309</v>
      </c>
      <c r="S523" s="331" t="s">
        <v>233</v>
      </c>
      <c r="T523" s="237" t="s">
        <v>228</v>
      </c>
      <c r="U523" s="237" t="s">
        <v>234</v>
      </c>
      <c r="V523" s="237" t="s">
        <v>652</v>
      </c>
      <c r="W523" s="244">
        <v>45986</v>
      </c>
      <c r="X523" s="237" t="s">
        <v>3074</v>
      </c>
      <c r="Y523" s="237" t="s">
        <v>588</v>
      </c>
      <c r="Z523" s="237" t="s">
        <v>228</v>
      </c>
      <c r="AA523" s="237" t="s">
        <v>3075</v>
      </c>
      <c r="AB523" s="237" t="s">
        <v>228</v>
      </c>
      <c r="AC523" s="237" t="s">
        <v>228</v>
      </c>
    </row>
    <row r="524" spans="1:39" ht="13.5" customHeight="1">
      <c r="A524" s="235">
        <v>522</v>
      </c>
      <c r="B524" s="235">
        <v>0</v>
      </c>
      <c r="C524" s="243" t="s">
        <v>3076</v>
      </c>
      <c r="D524" s="235" t="s">
        <v>3077</v>
      </c>
      <c r="E524" s="235">
        <v>38</v>
      </c>
      <c r="F524" s="235" t="s">
        <v>75</v>
      </c>
      <c r="G524" s="235" t="s">
        <v>3078</v>
      </c>
      <c r="H524" s="243" t="s">
        <v>4</v>
      </c>
      <c r="I524" s="243"/>
      <c r="J524" s="240" t="s">
        <v>886</v>
      </c>
      <c r="K524" s="240" t="s">
        <v>3079</v>
      </c>
      <c r="L524" s="72" t="s">
        <v>49</v>
      </c>
      <c r="M524" s="243" t="s">
        <v>231</v>
      </c>
      <c r="N524" s="237"/>
      <c r="O524" s="237"/>
      <c r="P524" s="237"/>
      <c r="Q524" s="245">
        <v>44908</v>
      </c>
      <c r="R524" s="237" t="s">
        <v>309</v>
      </c>
      <c r="S524" s="331" t="s">
        <v>233</v>
      </c>
      <c r="T524" s="237" t="s">
        <v>228</v>
      </c>
      <c r="U524" s="237" t="s">
        <v>234</v>
      </c>
      <c r="V524" s="237" t="s">
        <v>652</v>
      </c>
      <c r="W524" s="244">
        <v>45986</v>
      </c>
      <c r="X524" s="237" t="s">
        <v>3080</v>
      </c>
      <c r="Y524" s="237" t="s">
        <v>588</v>
      </c>
      <c r="Z524" s="237" t="s">
        <v>228</v>
      </c>
      <c r="AA524" s="237" t="s">
        <v>3081</v>
      </c>
      <c r="AB524" s="237" t="s">
        <v>228</v>
      </c>
      <c r="AC524" s="237" t="s">
        <v>228</v>
      </c>
    </row>
    <row r="525" spans="1:39" ht="13.5" customHeight="1">
      <c r="A525" s="235">
        <v>523</v>
      </c>
      <c r="B525" s="235">
        <v>0</v>
      </c>
      <c r="C525" s="243" t="s">
        <v>3082</v>
      </c>
      <c r="D525" s="235" t="s">
        <v>3083</v>
      </c>
      <c r="E525" s="235">
        <v>62</v>
      </c>
      <c r="F525" s="235" t="s">
        <v>75</v>
      </c>
      <c r="G525" s="235" t="s">
        <v>3084</v>
      </c>
      <c r="H525" s="243" t="s">
        <v>4</v>
      </c>
      <c r="I525" s="243"/>
      <c r="J525" s="240" t="s">
        <v>886</v>
      </c>
      <c r="K525" s="240" t="s">
        <v>3085</v>
      </c>
      <c r="L525" s="72" t="s">
        <v>11</v>
      </c>
      <c r="M525" s="243" t="s">
        <v>231</v>
      </c>
      <c r="N525" s="237"/>
      <c r="O525" s="237"/>
      <c r="P525" s="237"/>
      <c r="Q525" s="245">
        <v>44908</v>
      </c>
      <c r="R525" s="237" t="s">
        <v>309</v>
      </c>
      <c r="S525" s="331" t="s">
        <v>233</v>
      </c>
      <c r="T525" s="237" t="s">
        <v>228</v>
      </c>
      <c r="U525" s="237" t="s">
        <v>234</v>
      </c>
      <c r="V525" s="237" t="s">
        <v>652</v>
      </c>
      <c r="W525" s="244">
        <v>45986</v>
      </c>
      <c r="X525" s="237" t="s">
        <v>3086</v>
      </c>
      <c r="Y525" s="237" t="s">
        <v>588</v>
      </c>
      <c r="Z525" s="237" t="s">
        <v>228</v>
      </c>
      <c r="AA525" s="237" t="s">
        <v>3087</v>
      </c>
      <c r="AB525" s="237" t="s">
        <v>228</v>
      </c>
      <c r="AC525" s="237" t="s">
        <v>228</v>
      </c>
    </row>
    <row r="526" spans="1:39" ht="13.5" customHeight="1">
      <c r="A526" s="235">
        <v>524</v>
      </c>
      <c r="B526" s="235">
        <v>87</v>
      </c>
      <c r="C526" s="243" t="s">
        <v>3088</v>
      </c>
      <c r="D526" s="235" t="s">
        <v>3089</v>
      </c>
      <c r="E526" s="235">
        <v>65</v>
      </c>
      <c r="F526" s="235" t="s">
        <v>60</v>
      </c>
      <c r="G526" s="235" t="s">
        <v>3090</v>
      </c>
      <c r="H526" s="243" t="s">
        <v>188</v>
      </c>
      <c r="I526" s="243"/>
      <c r="K526" s="240"/>
      <c r="L526" s="243" t="s">
        <v>231</v>
      </c>
      <c r="M526" s="246" t="s">
        <v>228</v>
      </c>
      <c r="N526" s="237" t="s">
        <v>228</v>
      </c>
      <c r="O526" s="237" t="s">
        <v>228</v>
      </c>
      <c r="P526" s="237" t="s">
        <v>231</v>
      </c>
      <c r="Q526" s="245" t="s">
        <v>3091</v>
      </c>
      <c r="R526" s="237" t="s">
        <v>309</v>
      </c>
      <c r="S526" s="331" t="s">
        <v>233</v>
      </c>
      <c r="T526" s="237" t="s">
        <v>228</v>
      </c>
      <c r="U526" s="237" t="s">
        <v>234</v>
      </c>
      <c r="V526" s="237" t="s">
        <v>235</v>
      </c>
      <c r="W526" s="244" t="s">
        <v>228</v>
      </c>
      <c r="X526" s="237">
        <v>0</v>
      </c>
      <c r="Y526" s="237" t="s">
        <v>3092</v>
      </c>
      <c r="Z526" s="237" t="s">
        <v>228</v>
      </c>
      <c r="AA526" s="237" t="s">
        <v>228</v>
      </c>
      <c r="AB526" s="237" t="s">
        <v>228</v>
      </c>
      <c r="AC526" s="237" t="s">
        <v>228</v>
      </c>
    </row>
    <row r="527" spans="1:39" ht="13.5" customHeight="1">
      <c r="A527" s="235">
        <v>525</v>
      </c>
      <c r="B527" s="235">
        <v>156</v>
      </c>
      <c r="C527" s="255" t="s">
        <v>3093</v>
      </c>
      <c r="D527" s="235" t="s">
        <v>3094</v>
      </c>
      <c r="E527" s="235">
        <v>50</v>
      </c>
      <c r="F527" s="235" t="s">
        <v>60</v>
      </c>
      <c r="G527" s="235" t="s">
        <v>3095</v>
      </c>
      <c r="H527" s="243" t="s">
        <v>188</v>
      </c>
      <c r="I527" s="243"/>
      <c r="K527" s="240"/>
      <c r="L527" s="243" t="s">
        <v>231</v>
      </c>
      <c r="M527" s="246" t="s">
        <v>228</v>
      </c>
      <c r="N527" s="237" t="s">
        <v>3096</v>
      </c>
      <c r="O527" s="237" t="s">
        <v>228</v>
      </c>
      <c r="P527" s="237" t="s">
        <v>231</v>
      </c>
      <c r="Q527" s="245">
        <v>45112</v>
      </c>
      <c r="R527" s="237" t="s">
        <v>309</v>
      </c>
      <c r="S527" s="331" t="s">
        <v>233</v>
      </c>
      <c r="T527" s="237" t="s">
        <v>228</v>
      </c>
      <c r="U527" s="237" t="s">
        <v>234</v>
      </c>
      <c r="V527" s="237" t="s">
        <v>228</v>
      </c>
      <c r="W527" s="244" t="s">
        <v>228</v>
      </c>
      <c r="X527" s="237" t="s">
        <v>228</v>
      </c>
      <c r="Y527" s="237" t="s">
        <v>228</v>
      </c>
      <c r="Z527" s="237" t="s">
        <v>228</v>
      </c>
      <c r="AA527" s="237" t="s">
        <v>3097</v>
      </c>
      <c r="AB527" s="237" t="s">
        <v>228</v>
      </c>
      <c r="AC527" s="237" t="s">
        <v>228</v>
      </c>
    </row>
    <row r="528" spans="1:39" ht="13.5" customHeight="1">
      <c r="A528" s="235">
        <v>526</v>
      </c>
      <c r="B528" s="235">
        <v>0</v>
      </c>
      <c r="C528" s="255" t="s">
        <v>3098</v>
      </c>
      <c r="D528" s="235" t="s">
        <v>3099</v>
      </c>
      <c r="E528" s="235">
        <v>64</v>
      </c>
      <c r="F528" s="235" t="s">
        <v>75</v>
      </c>
      <c r="G528" s="235" t="s">
        <v>3100</v>
      </c>
      <c r="H528" s="243" t="s">
        <v>188</v>
      </c>
      <c r="I528" s="243"/>
      <c r="K528" s="240"/>
      <c r="L528" s="243" t="s">
        <v>231</v>
      </c>
      <c r="M528" s="243" t="s">
        <v>231</v>
      </c>
      <c r="N528" s="237"/>
      <c r="O528" s="237"/>
      <c r="P528" s="237"/>
      <c r="Q528" s="245">
        <v>45640</v>
      </c>
      <c r="R528" s="237" t="s">
        <v>309</v>
      </c>
      <c r="S528" s="331" t="s">
        <v>233</v>
      </c>
      <c r="T528" s="237">
        <v>0</v>
      </c>
      <c r="U528" s="237" t="s">
        <v>234</v>
      </c>
      <c r="V528" s="237" t="s">
        <v>228</v>
      </c>
      <c r="W528" s="244" t="s">
        <v>228</v>
      </c>
      <c r="X528" s="237" t="s">
        <v>228</v>
      </c>
      <c r="Y528" s="237" t="s">
        <v>228</v>
      </c>
      <c r="Z528" s="237" t="s">
        <v>228</v>
      </c>
      <c r="AA528" s="237" t="s">
        <v>3101</v>
      </c>
      <c r="AB528" s="237" t="s">
        <v>228</v>
      </c>
      <c r="AC528" s="237" t="s">
        <v>228</v>
      </c>
    </row>
    <row r="529" spans="1:29" ht="13.5" customHeight="1">
      <c r="A529" s="235">
        <v>527</v>
      </c>
      <c r="B529" s="235">
        <v>0</v>
      </c>
      <c r="C529" s="255" t="s">
        <v>3102</v>
      </c>
      <c r="D529" s="235" t="s">
        <v>3103</v>
      </c>
      <c r="E529" s="235">
        <v>65</v>
      </c>
      <c r="F529" s="235" t="s">
        <v>75</v>
      </c>
      <c r="G529" s="235" t="s">
        <v>3104</v>
      </c>
      <c r="H529" s="243" t="s">
        <v>188</v>
      </c>
      <c r="I529" s="243"/>
      <c r="K529" s="240"/>
      <c r="L529" s="243" t="s">
        <v>231</v>
      </c>
      <c r="M529" s="243" t="s">
        <v>231</v>
      </c>
      <c r="N529" s="237"/>
      <c r="O529" s="237"/>
      <c r="P529" s="237"/>
      <c r="Q529" s="245">
        <v>45640</v>
      </c>
      <c r="R529" s="237" t="s">
        <v>309</v>
      </c>
      <c r="S529" s="331" t="s">
        <v>233</v>
      </c>
      <c r="T529" s="237">
        <v>0</v>
      </c>
      <c r="U529" s="237" t="s">
        <v>234</v>
      </c>
      <c r="V529" s="237" t="s">
        <v>652</v>
      </c>
      <c r="W529" s="244">
        <v>46028</v>
      </c>
      <c r="X529" s="237" t="s">
        <v>3105</v>
      </c>
      <c r="Y529" s="237" t="s">
        <v>588</v>
      </c>
      <c r="Z529" s="237" t="s">
        <v>228</v>
      </c>
      <c r="AA529" s="237" t="s">
        <v>3106</v>
      </c>
      <c r="AB529" s="237" t="s">
        <v>228</v>
      </c>
      <c r="AC529" s="237" t="s">
        <v>228</v>
      </c>
    </row>
    <row r="530" spans="1:29" ht="13.5" customHeight="1">
      <c r="A530" s="235">
        <v>528</v>
      </c>
      <c r="B530" s="235" t="s">
        <v>3107</v>
      </c>
      <c r="C530" s="255" t="s">
        <v>3108</v>
      </c>
      <c r="D530" s="235" t="s">
        <v>3109</v>
      </c>
      <c r="E530" s="235">
        <v>34</v>
      </c>
      <c r="F530" s="235" t="s">
        <v>75</v>
      </c>
      <c r="G530" s="235" t="s">
        <v>3110</v>
      </c>
      <c r="H530" s="243" t="s">
        <v>188</v>
      </c>
      <c r="I530" s="243"/>
      <c r="K530" s="240"/>
      <c r="L530" s="243"/>
      <c r="M530" s="243" t="s">
        <v>184</v>
      </c>
      <c r="N530" s="237"/>
      <c r="O530" s="237"/>
      <c r="P530" s="237"/>
      <c r="Q530" s="245">
        <v>45640</v>
      </c>
      <c r="R530" s="237" t="s">
        <v>309</v>
      </c>
      <c r="S530" s="331" t="s">
        <v>233</v>
      </c>
      <c r="T530" s="237" t="s">
        <v>228</v>
      </c>
      <c r="U530" s="237" t="s">
        <v>234</v>
      </c>
      <c r="V530" s="237" t="s">
        <v>228</v>
      </c>
      <c r="W530" s="244" t="s">
        <v>228</v>
      </c>
      <c r="X530" s="237" t="s">
        <v>228</v>
      </c>
      <c r="Y530" s="237" t="s">
        <v>228</v>
      </c>
      <c r="Z530" s="237" t="s">
        <v>228</v>
      </c>
      <c r="AA530" s="237" t="s">
        <v>3111</v>
      </c>
      <c r="AB530" s="237" t="s">
        <v>228</v>
      </c>
      <c r="AC530" s="237" t="s">
        <v>228</v>
      </c>
    </row>
    <row r="531" spans="1:29" ht="13.5" customHeight="1">
      <c r="A531" s="235">
        <v>529</v>
      </c>
      <c r="B531" s="235">
        <v>0</v>
      </c>
      <c r="C531" s="255" t="s">
        <v>3112</v>
      </c>
      <c r="D531" s="235" t="s">
        <v>3113</v>
      </c>
      <c r="E531" s="235">
        <v>57</v>
      </c>
      <c r="F531" s="235" t="s">
        <v>60</v>
      </c>
      <c r="G531" s="235" t="s">
        <v>3114</v>
      </c>
      <c r="H531" s="243" t="s">
        <v>188</v>
      </c>
      <c r="I531" s="243"/>
      <c r="K531" s="240"/>
      <c r="L531" s="243" t="s">
        <v>231</v>
      </c>
      <c r="M531" s="243" t="s">
        <v>231</v>
      </c>
      <c r="N531" s="237"/>
      <c r="O531" s="237"/>
      <c r="P531" s="237"/>
      <c r="Q531" s="245">
        <v>45640</v>
      </c>
      <c r="R531" s="237" t="s">
        <v>309</v>
      </c>
      <c r="S531" s="331" t="s">
        <v>233</v>
      </c>
      <c r="T531" s="237">
        <v>0</v>
      </c>
      <c r="U531" s="237" t="s">
        <v>234</v>
      </c>
      <c r="V531" s="237" t="s">
        <v>652</v>
      </c>
      <c r="W531" s="244">
        <v>46028</v>
      </c>
      <c r="X531" s="237" t="s">
        <v>3115</v>
      </c>
      <c r="Y531" s="237" t="s">
        <v>588</v>
      </c>
      <c r="Z531" s="237" t="s">
        <v>228</v>
      </c>
      <c r="AA531" s="237" t="s">
        <v>3116</v>
      </c>
      <c r="AB531" s="237" t="s">
        <v>228</v>
      </c>
      <c r="AC531" s="237" t="s">
        <v>228</v>
      </c>
    </row>
    <row r="532" spans="1:29" ht="13.5" customHeight="1">
      <c r="A532" s="235">
        <v>530</v>
      </c>
      <c r="B532" s="235">
        <v>0</v>
      </c>
      <c r="C532" s="255" t="s">
        <v>3117</v>
      </c>
      <c r="D532" s="235" t="s">
        <v>3118</v>
      </c>
      <c r="E532" s="235">
        <v>52</v>
      </c>
      <c r="F532" s="235" t="s">
        <v>75</v>
      </c>
      <c r="G532" s="235" t="s">
        <v>3119</v>
      </c>
      <c r="H532" s="243" t="s">
        <v>188</v>
      </c>
      <c r="I532" s="243"/>
      <c r="K532" s="240"/>
      <c r="L532" s="243" t="s">
        <v>231</v>
      </c>
      <c r="M532" s="243" t="s">
        <v>231</v>
      </c>
      <c r="N532" s="237"/>
      <c r="O532" s="237"/>
      <c r="P532" s="237"/>
      <c r="Q532" s="245">
        <v>45640</v>
      </c>
      <c r="R532" s="237" t="s">
        <v>309</v>
      </c>
      <c r="S532" s="331" t="s">
        <v>233</v>
      </c>
      <c r="T532" s="237">
        <v>0</v>
      </c>
      <c r="U532" s="237" t="s">
        <v>234</v>
      </c>
      <c r="V532" s="237" t="s">
        <v>652</v>
      </c>
      <c r="W532" s="244">
        <v>46028</v>
      </c>
      <c r="X532" s="237" t="s">
        <v>3120</v>
      </c>
      <c r="Y532" s="237" t="s">
        <v>588</v>
      </c>
      <c r="Z532" s="237" t="s">
        <v>228</v>
      </c>
      <c r="AA532" s="237" t="s">
        <v>3121</v>
      </c>
      <c r="AB532" s="237" t="s">
        <v>228</v>
      </c>
      <c r="AC532" s="237" t="s">
        <v>228</v>
      </c>
    </row>
    <row r="533" spans="1:29" ht="13.5" customHeight="1">
      <c r="A533" s="235">
        <v>531</v>
      </c>
      <c r="B533" s="235">
        <v>0</v>
      </c>
      <c r="C533" s="255" t="s">
        <v>3122</v>
      </c>
      <c r="D533" s="235" t="s">
        <v>3123</v>
      </c>
      <c r="E533" s="235">
        <v>45</v>
      </c>
      <c r="F533" s="235" t="s">
        <v>75</v>
      </c>
      <c r="G533" s="235" t="s">
        <v>3124</v>
      </c>
      <c r="H533" s="243" t="s">
        <v>188</v>
      </c>
      <c r="I533" s="243"/>
      <c r="K533" s="240"/>
      <c r="L533" s="243" t="s">
        <v>231</v>
      </c>
      <c r="M533" s="243" t="s">
        <v>231</v>
      </c>
      <c r="N533" s="237"/>
      <c r="O533" s="237"/>
      <c r="P533" s="237"/>
      <c r="Q533" s="245">
        <v>45640</v>
      </c>
      <c r="R533" s="237" t="s">
        <v>309</v>
      </c>
      <c r="S533" s="331" t="s">
        <v>233</v>
      </c>
      <c r="T533" s="237">
        <v>0</v>
      </c>
      <c r="U533" s="237" t="s">
        <v>234</v>
      </c>
      <c r="V533" s="237" t="s">
        <v>652</v>
      </c>
      <c r="W533" s="244">
        <v>46028</v>
      </c>
      <c r="X533" s="237" t="s">
        <v>3125</v>
      </c>
      <c r="Y533" s="237" t="s">
        <v>588</v>
      </c>
      <c r="Z533" s="237" t="s">
        <v>228</v>
      </c>
      <c r="AA533" s="237" t="s">
        <v>3126</v>
      </c>
      <c r="AB533" s="237" t="s">
        <v>228</v>
      </c>
      <c r="AC533" s="237" t="s">
        <v>228</v>
      </c>
    </row>
    <row r="534" spans="1:29" ht="13.5" customHeight="1">
      <c r="A534" s="235">
        <v>532</v>
      </c>
      <c r="B534" s="235">
        <v>0</v>
      </c>
      <c r="C534" s="255" t="s">
        <v>3127</v>
      </c>
      <c r="D534" s="235" t="s">
        <v>3128</v>
      </c>
      <c r="E534" s="235">
        <v>73</v>
      </c>
      <c r="F534" s="235" t="s">
        <v>60</v>
      </c>
      <c r="G534" s="235" t="s">
        <v>3129</v>
      </c>
      <c r="H534" s="243" t="s">
        <v>188</v>
      </c>
      <c r="I534" s="243"/>
      <c r="K534" s="240"/>
      <c r="L534" s="243" t="s">
        <v>231</v>
      </c>
      <c r="M534" s="243" t="s">
        <v>231</v>
      </c>
      <c r="N534" s="237"/>
      <c r="O534" s="237"/>
      <c r="P534" s="237"/>
      <c r="Q534" s="245">
        <v>45640</v>
      </c>
      <c r="R534" s="237" t="s">
        <v>309</v>
      </c>
      <c r="S534" s="331" t="s">
        <v>233</v>
      </c>
      <c r="T534" s="237">
        <v>0</v>
      </c>
      <c r="U534" s="237" t="s">
        <v>234</v>
      </c>
      <c r="V534" s="237" t="s">
        <v>652</v>
      </c>
      <c r="W534" s="244">
        <v>46028</v>
      </c>
      <c r="X534" s="237" t="s">
        <v>3130</v>
      </c>
      <c r="Y534" s="237" t="s">
        <v>588</v>
      </c>
      <c r="Z534" s="237" t="s">
        <v>228</v>
      </c>
      <c r="AA534" s="237" t="s">
        <v>3131</v>
      </c>
      <c r="AB534" s="237" t="s">
        <v>228</v>
      </c>
      <c r="AC534" s="237" t="s">
        <v>228</v>
      </c>
    </row>
    <row r="535" spans="1:29" ht="13.5" customHeight="1">
      <c r="A535" s="235">
        <v>533</v>
      </c>
      <c r="B535" s="235">
        <v>0</v>
      </c>
      <c r="C535" s="255" t="s">
        <v>3132</v>
      </c>
      <c r="D535" s="235" t="s">
        <v>3133</v>
      </c>
      <c r="E535" s="235">
        <v>35</v>
      </c>
      <c r="F535" s="235" t="s">
        <v>75</v>
      </c>
      <c r="G535" s="235" t="s">
        <v>3134</v>
      </c>
      <c r="H535" s="243" t="s">
        <v>188</v>
      </c>
      <c r="I535" s="243"/>
      <c r="K535" s="240"/>
      <c r="L535" s="243" t="s">
        <v>231</v>
      </c>
      <c r="M535" s="243" t="s">
        <v>231</v>
      </c>
      <c r="N535" s="237"/>
      <c r="O535" s="237"/>
      <c r="P535" s="237"/>
      <c r="Q535" s="245">
        <v>45643</v>
      </c>
      <c r="R535" s="237" t="s">
        <v>309</v>
      </c>
      <c r="S535" s="331" t="s">
        <v>233</v>
      </c>
      <c r="T535" s="237">
        <v>0</v>
      </c>
      <c r="U535" s="237" t="s">
        <v>234</v>
      </c>
      <c r="V535" s="237" t="s">
        <v>652</v>
      </c>
      <c r="W535" s="244">
        <v>46028</v>
      </c>
      <c r="X535" s="237" t="s">
        <v>3135</v>
      </c>
      <c r="Y535" s="237" t="s">
        <v>588</v>
      </c>
      <c r="Z535" s="237" t="s">
        <v>228</v>
      </c>
      <c r="AA535" s="237" t="s">
        <v>3136</v>
      </c>
      <c r="AB535" s="237" t="s">
        <v>228</v>
      </c>
      <c r="AC535" s="237" t="s">
        <v>228</v>
      </c>
    </row>
    <row r="536" spans="1:29" ht="13.5" customHeight="1">
      <c r="A536" s="235">
        <v>534</v>
      </c>
      <c r="B536" s="235" t="s">
        <v>3137</v>
      </c>
      <c r="C536" s="255" t="s">
        <v>3138</v>
      </c>
      <c r="D536" s="235" t="s">
        <v>3139</v>
      </c>
      <c r="E536" s="235">
        <v>28</v>
      </c>
      <c r="F536" s="235" t="s">
        <v>60</v>
      </c>
      <c r="G536" s="235" t="s">
        <v>3140</v>
      </c>
      <c r="H536" s="243" t="s">
        <v>188</v>
      </c>
      <c r="I536" s="243"/>
      <c r="K536" s="240"/>
      <c r="L536" s="243" t="s">
        <v>231</v>
      </c>
      <c r="M536" s="246" t="s">
        <v>228</v>
      </c>
      <c r="N536" s="237"/>
      <c r="O536" s="237"/>
      <c r="P536" s="237"/>
      <c r="Q536" s="245">
        <v>45643</v>
      </c>
      <c r="R536" s="237" t="s">
        <v>309</v>
      </c>
      <c r="S536" s="331" t="s">
        <v>233</v>
      </c>
      <c r="T536" s="237">
        <v>0</v>
      </c>
      <c r="U536" s="237" t="s">
        <v>234</v>
      </c>
      <c r="V536" s="237" t="s">
        <v>228</v>
      </c>
      <c r="W536" s="244" t="s">
        <v>228</v>
      </c>
      <c r="X536" s="237" t="s">
        <v>228</v>
      </c>
      <c r="Y536" s="237" t="s">
        <v>228</v>
      </c>
      <c r="Z536" s="237" t="s">
        <v>228</v>
      </c>
      <c r="AA536" s="237" t="s">
        <v>3141</v>
      </c>
      <c r="AB536" s="237" t="s">
        <v>228</v>
      </c>
      <c r="AC536" s="237" t="s">
        <v>228</v>
      </c>
    </row>
    <row r="537" spans="1:29" ht="13.5" customHeight="1">
      <c r="A537" s="235">
        <v>535</v>
      </c>
      <c r="B537" s="235">
        <v>0</v>
      </c>
      <c r="C537" s="255" t="s">
        <v>3142</v>
      </c>
      <c r="D537" s="235" t="s">
        <v>3143</v>
      </c>
      <c r="E537" s="235">
        <v>46</v>
      </c>
      <c r="F537" s="235" t="s">
        <v>60</v>
      </c>
      <c r="G537" s="235" t="s">
        <v>3144</v>
      </c>
      <c r="H537" s="243" t="s">
        <v>188</v>
      </c>
      <c r="I537" s="243"/>
      <c r="K537" s="240"/>
      <c r="L537" s="243" t="s">
        <v>231</v>
      </c>
      <c r="M537" s="243" t="s">
        <v>231</v>
      </c>
      <c r="N537" s="237"/>
      <c r="O537" s="237"/>
      <c r="P537" s="237"/>
      <c r="Q537" s="245">
        <v>45644</v>
      </c>
      <c r="R537" s="237" t="s">
        <v>309</v>
      </c>
      <c r="S537" s="331" t="s">
        <v>233</v>
      </c>
      <c r="T537" s="237">
        <v>0</v>
      </c>
      <c r="U537" s="237" t="s">
        <v>234</v>
      </c>
      <c r="V537" s="237" t="s">
        <v>652</v>
      </c>
      <c r="W537" s="244">
        <v>46028</v>
      </c>
      <c r="X537" s="237" t="s">
        <v>3145</v>
      </c>
      <c r="Y537" s="237" t="s">
        <v>588</v>
      </c>
      <c r="Z537" s="237" t="s">
        <v>228</v>
      </c>
      <c r="AA537" s="237" t="s">
        <v>3146</v>
      </c>
      <c r="AB537" s="237" t="s">
        <v>228</v>
      </c>
      <c r="AC537" s="237" t="s">
        <v>228</v>
      </c>
    </row>
    <row r="538" spans="1:29" ht="13.5" customHeight="1">
      <c r="A538" s="235">
        <v>536</v>
      </c>
      <c r="B538" s="235">
        <v>0</v>
      </c>
      <c r="C538" s="255" t="s">
        <v>3147</v>
      </c>
      <c r="D538" s="235" t="s">
        <v>3148</v>
      </c>
      <c r="E538" s="235">
        <v>38</v>
      </c>
      <c r="F538" s="235" t="s">
        <v>60</v>
      </c>
      <c r="G538" s="235" t="s">
        <v>3149</v>
      </c>
      <c r="H538" s="243" t="s">
        <v>188</v>
      </c>
      <c r="I538" s="243"/>
      <c r="K538" s="240"/>
      <c r="L538" s="243" t="s">
        <v>231</v>
      </c>
      <c r="M538" s="243" t="s">
        <v>231</v>
      </c>
      <c r="N538" s="237"/>
      <c r="O538" s="237"/>
      <c r="P538" s="237"/>
      <c r="Q538" s="245">
        <v>45644</v>
      </c>
      <c r="R538" s="237" t="s">
        <v>309</v>
      </c>
      <c r="S538" s="331" t="s">
        <v>233</v>
      </c>
      <c r="T538" s="237">
        <v>0</v>
      </c>
      <c r="U538" s="237" t="s">
        <v>234</v>
      </c>
      <c r="V538" s="237" t="s">
        <v>652</v>
      </c>
      <c r="W538" s="244">
        <v>46028</v>
      </c>
      <c r="X538" s="237" t="s">
        <v>3150</v>
      </c>
      <c r="Y538" s="237" t="s">
        <v>588</v>
      </c>
      <c r="Z538" s="237" t="s">
        <v>228</v>
      </c>
      <c r="AA538" s="237" t="s">
        <v>3151</v>
      </c>
      <c r="AB538" s="237" t="s">
        <v>228</v>
      </c>
      <c r="AC538" s="237" t="s">
        <v>228</v>
      </c>
    </row>
    <row r="539" spans="1:29" ht="13.5" customHeight="1">
      <c r="A539" s="235">
        <v>537</v>
      </c>
      <c r="B539" s="235">
        <v>0</v>
      </c>
      <c r="C539" s="255" t="s">
        <v>3152</v>
      </c>
      <c r="D539" s="235" t="s">
        <v>3153</v>
      </c>
      <c r="E539" s="235">
        <v>39</v>
      </c>
      <c r="F539" s="235" t="s">
        <v>60</v>
      </c>
      <c r="G539" s="235" t="s">
        <v>3154</v>
      </c>
      <c r="H539" s="243" t="s">
        <v>188</v>
      </c>
      <c r="I539" s="243"/>
      <c r="K539" s="240"/>
      <c r="L539" s="243" t="s">
        <v>231</v>
      </c>
      <c r="M539" s="243" t="s">
        <v>231</v>
      </c>
      <c r="N539" s="237"/>
      <c r="O539" s="237"/>
      <c r="P539" s="237"/>
      <c r="Q539" s="245">
        <v>45644</v>
      </c>
      <c r="R539" s="237" t="s">
        <v>309</v>
      </c>
      <c r="S539" s="331" t="s">
        <v>233</v>
      </c>
      <c r="T539" s="237">
        <v>0</v>
      </c>
      <c r="U539" s="237" t="s">
        <v>234</v>
      </c>
      <c r="V539" s="237" t="s">
        <v>652</v>
      </c>
      <c r="W539" s="244">
        <v>46028</v>
      </c>
      <c r="X539" s="237" t="s">
        <v>3155</v>
      </c>
      <c r="Y539" s="237" t="s">
        <v>588</v>
      </c>
      <c r="Z539" s="237" t="s">
        <v>228</v>
      </c>
      <c r="AA539" s="237" t="s">
        <v>3156</v>
      </c>
      <c r="AB539" s="237" t="s">
        <v>228</v>
      </c>
      <c r="AC539" s="237" t="s">
        <v>228</v>
      </c>
    </row>
    <row r="540" spans="1:29" ht="13.5" customHeight="1">
      <c r="A540" s="235">
        <v>538</v>
      </c>
      <c r="B540" s="235">
        <v>0</v>
      </c>
      <c r="C540" s="255" t="s">
        <v>3157</v>
      </c>
      <c r="D540" s="235" t="s">
        <v>3158</v>
      </c>
      <c r="E540" s="235">
        <v>55</v>
      </c>
      <c r="F540" s="235" t="s">
        <v>60</v>
      </c>
      <c r="G540" s="235" t="s">
        <v>3159</v>
      </c>
      <c r="H540" s="243" t="s">
        <v>188</v>
      </c>
      <c r="I540" s="243"/>
      <c r="K540" s="240"/>
      <c r="L540" s="243" t="s">
        <v>231</v>
      </c>
      <c r="M540" s="243" t="s">
        <v>231</v>
      </c>
      <c r="N540" s="237"/>
      <c r="O540" s="237"/>
      <c r="P540" s="237"/>
      <c r="Q540" s="245">
        <v>45644</v>
      </c>
      <c r="R540" s="237" t="s">
        <v>309</v>
      </c>
      <c r="S540" s="331" t="s">
        <v>233</v>
      </c>
      <c r="T540" s="237">
        <v>0</v>
      </c>
      <c r="U540" s="237" t="s">
        <v>234</v>
      </c>
      <c r="V540" s="237" t="s">
        <v>652</v>
      </c>
      <c r="W540" s="244">
        <v>46028</v>
      </c>
      <c r="X540" s="237" t="s">
        <v>3160</v>
      </c>
      <c r="Y540" s="237" t="s">
        <v>588</v>
      </c>
      <c r="Z540" s="237" t="s">
        <v>228</v>
      </c>
      <c r="AA540" s="237" t="s">
        <v>3161</v>
      </c>
      <c r="AB540" s="237" t="s">
        <v>228</v>
      </c>
      <c r="AC540" s="237" t="s">
        <v>228</v>
      </c>
    </row>
    <row r="541" spans="1:29" ht="13.5" customHeight="1">
      <c r="A541" s="235">
        <v>539</v>
      </c>
      <c r="B541" s="235">
        <v>0</v>
      </c>
      <c r="C541" s="255" t="s">
        <v>3162</v>
      </c>
      <c r="D541" s="235" t="s">
        <v>3163</v>
      </c>
      <c r="E541" s="235">
        <v>24</v>
      </c>
      <c r="F541" s="235" t="s">
        <v>60</v>
      </c>
      <c r="G541" s="235" t="s">
        <v>3164</v>
      </c>
      <c r="H541" s="243" t="s">
        <v>188</v>
      </c>
      <c r="I541" s="243"/>
      <c r="K541" s="240"/>
      <c r="L541" s="243" t="s">
        <v>231</v>
      </c>
      <c r="M541" s="243" t="s">
        <v>231</v>
      </c>
      <c r="N541" s="237"/>
      <c r="O541" s="237"/>
      <c r="P541" s="237"/>
      <c r="Q541" s="245">
        <v>45644</v>
      </c>
      <c r="R541" s="237" t="s">
        <v>309</v>
      </c>
      <c r="S541" s="331" t="s">
        <v>233</v>
      </c>
      <c r="T541" s="237">
        <v>0</v>
      </c>
      <c r="U541" s="237" t="s">
        <v>234</v>
      </c>
      <c r="V541" s="237" t="s">
        <v>652</v>
      </c>
      <c r="W541" s="244">
        <v>46028</v>
      </c>
      <c r="X541" s="237" t="s">
        <v>3165</v>
      </c>
      <c r="Y541" s="237" t="s">
        <v>588</v>
      </c>
      <c r="Z541" s="237" t="s">
        <v>228</v>
      </c>
      <c r="AA541" s="237" t="s">
        <v>3166</v>
      </c>
      <c r="AB541" s="237" t="s">
        <v>228</v>
      </c>
      <c r="AC541" s="237" t="s">
        <v>228</v>
      </c>
    </row>
    <row r="542" spans="1:29" ht="13.5" customHeight="1">
      <c r="A542" s="235">
        <v>540</v>
      </c>
      <c r="B542" s="235">
        <v>0</v>
      </c>
      <c r="C542" s="255" t="s">
        <v>3167</v>
      </c>
      <c r="D542" s="235" t="s">
        <v>3168</v>
      </c>
      <c r="E542" s="235">
        <v>56</v>
      </c>
      <c r="F542" s="235" t="s">
        <v>60</v>
      </c>
      <c r="G542" s="235" t="s">
        <v>3169</v>
      </c>
      <c r="H542" s="243" t="s">
        <v>188</v>
      </c>
      <c r="I542" s="243"/>
      <c r="K542" s="240"/>
      <c r="L542" s="243" t="s">
        <v>231</v>
      </c>
      <c r="M542" s="243" t="s">
        <v>231</v>
      </c>
      <c r="N542" s="237"/>
      <c r="O542" s="237"/>
      <c r="P542" s="237"/>
      <c r="Q542" s="245">
        <v>45644</v>
      </c>
      <c r="R542" s="237" t="s">
        <v>309</v>
      </c>
      <c r="S542" s="331" t="s">
        <v>233</v>
      </c>
      <c r="T542" s="237">
        <v>0</v>
      </c>
      <c r="U542" s="237" t="s">
        <v>234</v>
      </c>
      <c r="V542" s="237" t="s">
        <v>652</v>
      </c>
      <c r="W542" s="244">
        <v>46028</v>
      </c>
      <c r="X542" s="237" t="s">
        <v>3170</v>
      </c>
      <c r="Y542" s="237" t="s">
        <v>588</v>
      </c>
      <c r="Z542" s="237" t="s">
        <v>228</v>
      </c>
      <c r="AA542" s="237" t="s">
        <v>3171</v>
      </c>
      <c r="AB542" s="237" t="s">
        <v>228</v>
      </c>
      <c r="AC542" s="237" t="s">
        <v>228</v>
      </c>
    </row>
    <row r="543" spans="1:29" ht="13.5" customHeight="1">
      <c r="A543" s="235">
        <v>541</v>
      </c>
      <c r="B543" s="235">
        <v>0</v>
      </c>
      <c r="C543" s="255" t="s">
        <v>3172</v>
      </c>
      <c r="D543" s="235" t="s">
        <v>3173</v>
      </c>
      <c r="E543" s="235">
        <v>50</v>
      </c>
      <c r="F543" s="235" t="s">
        <v>60</v>
      </c>
      <c r="G543" s="235" t="s">
        <v>3174</v>
      </c>
      <c r="H543" s="243" t="s">
        <v>188</v>
      </c>
      <c r="I543" s="243"/>
      <c r="K543" s="240"/>
      <c r="L543" s="243" t="s">
        <v>231</v>
      </c>
      <c r="M543" s="243" t="s">
        <v>231</v>
      </c>
      <c r="N543" s="237"/>
      <c r="O543" s="237"/>
      <c r="P543" s="237"/>
      <c r="Q543" s="245">
        <v>45644</v>
      </c>
      <c r="R543" s="237" t="s">
        <v>309</v>
      </c>
      <c r="S543" s="331" t="s">
        <v>233</v>
      </c>
      <c r="T543" s="237">
        <v>0</v>
      </c>
      <c r="U543" s="237" t="s">
        <v>234</v>
      </c>
      <c r="V543" s="237" t="s">
        <v>652</v>
      </c>
      <c r="W543" s="244">
        <v>46028</v>
      </c>
      <c r="X543" s="237" t="s">
        <v>3175</v>
      </c>
      <c r="Y543" s="237" t="s">
        <v>588</v>
      </c>
      <c r="Z543" s="237" t="s">
        <v>228</v>
      </c>
      <c r="AA543" s="237" t="s">
        <v>3176</v>
      </c>
      <c r="AB543" s="237" t="s">
        <v>228</v>
      </c>
      <c r="AC543" s="237" t="s">
        <v>228</v>
      </c>
    </row>
    <row r="544" spans="1:29" ht="13.5" customHeight="1">
      <c r="A544" s="235">
        <v>542</v>
      </c>
      <c r="B544" s="235" t="s">
        <v>3177</v>
      </c>
      <c r="C544" s="255" t="s">
        <v>3178</v>
      </c>
      <c r="D544" s="235" t="s">
        <v>3179</v>
      </c>
      <c r="E544" s="235">
        <v>21</v>
      </c>
      <c r="F544" s="235" t="s">
        <v>60</v>
      </c>
      <c r="G544" s="235" t="s">
        <v>3180</v>
      </c>
      <c r="H544" s="243" t="s">
        <v>188</v>
      </c>
      <c r="I544" s="243"/>
      <c r="K544" s="240"/>
      <c r="L544" s="243" t="s">
        <v>231</v>
      </c>
      <c r="M544" s="246" t="s">
        <v>228</v>
      </c>
      <c r="N544" s="237"/>
      <c r="O544" s="237"/>
      <c r="P544" s="237"/>
      <c r="Q544" s="245">
        <v>45644</v>
      </c>
      <c r="R544" s="237" t="s">
        <v>309</v>
      </c>
      <c r="S544" s="331" t="s">
        <v>233</v>
      </c>
      <c r="T544" s="237" t="s">
        <v>228</v>
      </c>
      <c r="U544" s="237" t="s">
        <v>234</v>
      </c>
      <c r="V544" s="237" t="s">
        <v>228</v>
      </c>
      <c r="W544" s="244" t="s">
        <v>228</v>
      </c>
      <c r="X544" s="237" t="s">
        <v>228</v>
      </c>
      <c r="Y544" s="237" t="s">
        <v>228</v>
      </c>
      <c r="Z544" s="237" t="s">
        <v>228</v>
      </c>
      <c r="AA544" s="237" t="s">
        <v>3181</v>
      </c>
      <c r="AB544" s="237" t="s">
        <v>228</v>
      </c>
      <c r="AC544" s="237" t="s">
        <v>228</v>
      </c>
    </row>
    <row r="545" spans="1:39" ht="13.5" customHeight="1">
      <c r="A545" s="235">
        <v>543</v>
      </c>
      <c r="B545" s="235">
        <v>0</v>
      </c>
      <c r="C545" s="255" t="s">
        <v>3182</v>
      </c>
      <c r="D545" s="235" t="s">
        <v>3183</v>
      </c>
      <c r="E545" s="235">
        <v>33</v>
      </c>
      <c r="F545" s="235" t="s">
        <v>60</v>
      </c>
      <c r="G545" s="235" t="s">
        <v>3184</v>
      </c>
      <c r="H545" s="243" t="s">
        <v>188</v>
      </c>
      <c r="I545" s="243"/>
      <c r="K545" s="240"/>
      <c r="L545" s="243" t="s">
        <v>231</v>
      </c>
      <c r="M545" s="243" t="s">
        <v>231</v>
      </c>
      <c r="N545" s="237"/>
      <c r="O545" s="237"/>
      <c r="P545" s="237"/>
      <c r="Q545" s="245">
        <v>45645</v>
      </c>
      <c r="R545" s="237" t="s">
        <v>309</v>
      </c>
      <c r="S545" s="331" t="s">
        <v>233</v>
      </c>
      <c r="T545" s="237">
        <v>0</v>
      </c>
      <c r="U545" s="237" t="s">
        <v>234</v>
      </c>
      <c r="V545" s="237" t="s">
        <v>652</v>
      </c>
      <c r="W545" s="244">
        <v>46028</v>
      </c>
      <c r="X545" s="237" t="s">
        <v>3185</v>
      </c>
      <c r="Y545" s="237" t="s">
        <v>588</v>
      </c>
      <c r="Z545" s="237" t="s">
        <v>228</v>
      </c>
      <c r="AA545" s="237" t="s">
        <v>3186</v>
      </c>
      <c r="AB545" s="237" t="s">
        <v>228</v>
      </c>
      <c r="AC545" s="237" t="s">
        <v>228</v>
      </c>
    </row>
    <row r="546" spans="1:39" ht="13.5" customHeight="1">
      <c r="A546" s="235">
        <v>544</v>
      </c>
      <c r="B546" s="235">
        <v>0</v>
      </c>
      <c r="C546" s="255" t="s">
        <v>3187</v>
      </c>
      <c r="D546" s="235" t="s">
        <v>3188</v>
      </c>
      <c r="E546" s="235">
        <v>38</v>
      </c>
      <c r="F546" s="235" t="s">
        <v>60</v>
      </c>
      <c r="G546" s="235" t="s">
        <v>3189</v>
      </c>
      <c r="H546" s="243" t="s">
        <v>188</v>
      </c>
      <c r="I546" s="243"/>
      <c r="K546" s="240"/>
      <c r="L546" s="243" t="s">
        <v>231</v>
      </c>
      <c r="M546" s="243" t="s">
        <v>231</v>
      </c>
      <c r="N546" s="237"/>
      <c r="O546" s="237"/>
      <c r="P546" s="237"/>
      <c r="Q546" s="245">
        <v>45645</v>
      </c>
      <c r="R546" s="237" t="s">
        <v>309</v>
      </c>
      <c r="S546" s="331" t="s">
        <v>233</v>
      </c>
      <c r="T546" s="237">
        <v>0</v>
      </c>
      <c r="U546" s="237" t="s">
        <v>234</v>
      </c>
      <c r="V546" s="237" t="s">
        <v>652</v>
      </c>
      <c r="W546" s="244">
        <v>46028</v>
      </c>
      <c r="X546" s="237" t="s">
        <v>3190</v>
      </c>
      <c r="Y546" s="237" t="s">
        <v>588</v>
      </c>
      <c r="Z546" s="237" t="s">
        <v>228</v>
      </c>
      <c r="AA546" s="237" t="s">
        <v>3191</v>
      </c>
      <c r="AB546" s="237" t="s">
        <v>228</v>
      </c>
      <c r="AC546" s="237" t="s">
        <v>228</v>
      </c>
    </row>
    <row r="547" spans="1:39" s="306" customFormat="1" ht="13.5" customHeight="1">
      <c r="A547" s="235">
        <v>545</v>
      </c>
      <c r="B547" s="306">
        <v>361</v>
      </c>
      <c r="C547" s="307" t="s">
        <v>3192</v>
      </c>
      <c r="D547" s="306" t="s">
        <v>2285</v>
      </c>
      <c r="E547" s="306">
        <v>56</v>
      </c>
      <c r="F547" s="306" t="s">
        <v>75</v>
      </c>
      <c r="G547" s="306" t="s">
        <v>3193</v>
      </c>
      <c r="H547" s="289" t="s">
        <v>18</v>
      </c>
      <c r="I547" s="289"/>
      <c r="K547" s="290" t="s">
        <v>4395</v>
      </c>
      <c r="L547" s="289" t="s">
        <v>231</v>
      </c>
      <c r="M547" s="289" t="s">
        <v>31</v>
      </c>
      <c r="N547" s="264"/>
      <c r="O547" s="264"/>
      <c r="P547" s="264"/>
      <c r="Q547" s="314">
        <v>45647</v>
      </c>
      <c r="R547" s="264" t="s">
        <v>309</v>
      </c>
      <c r="S547" s="332" t="s">
        <v>233</v>
      </c>
      <c r="T547" s="264" t="s">
        <v>228</v>
      </c>
      <c r="U547" s="264" t="s">
        <v>298</v>
      </c>
      <c r="V547" s="264" t="s">
        <v>228</v>
      </c>
      <c r="W547" s="308" t="s">
        <v>228</v>
      </c>
      <c r="X547" s="264" t="s">
        <v>228</v>
      </c>
      <c r="Y547" s="264" t="s">
        <v>228</v>
      </c>
      <c r="Z547" s="237" t="s">
        <v>228</v>
      </c>
      <c r="AA547" s="264" t="s">
        <v>3196</v>
      </c>
      <c r="AB547" s="264" t="s">
        <v>228</v>
      </c>
      <c r="AC547" s="264" t="s">
        <v>228</v>
      </c>
      <c r="AD547" s="309"/>
      <c r="AE547" s="309"/>
      <c r="AF547" s="309"/>
      <c r="AG547" s="309"/>
      <c r="AH547" s="309"/>
      <c r="AI547" s="309"/>
      <c r="AJ547" s="309"/>
      <c r="AK547" s="309"/>
      <c r="AL547" s="309"/>
      <c r="AM547" s="310"/>
    </row>
    <row r="548" spans="1:39" ht="13.5" customHeight="1">
      <c r="A548" s="235">
        <v>546</v>
      </c>
      <c r="B548" s="235" t="s">
        <v>3197</v>
      </c>
      <c r="C548" s="255" t="s">
        <v>3198</v>
      </c>
      <c r="D548" s="235" t="s">
        <v>3199</v>
      </c>
      <c r="E548" s="235">
        <v>73</v>
      </c>
      <c r="F548" s="235" t="s">
        <v>60</v>
      </c>
      <c r="G548" s="235" t="s">
        <v>3200</v>
      </c>
      <c r="H548" s="243" t="s">
        <v>188</v>
      </c>
      <c r="I548" s="243"/>
      <c r="K548" s="240"/>
      <c r="L548" s="243" t="s">
        <v>231</v>
      </c>
      <c r="M548" s="243" t="s">
        <v>231</v>
      </c>
      <c r="N548" s="237"/>
      <c r="O548" s="237"/>
      <c r="P548" s="237"/>
      <c r="Q548" s="245">
        <v>45649</v>
      </c>
      <c r="R548" s="237" t="s">
        <v>309</v>
      </c>
      <c r="S548" s="331" t="s">
        <v>233</v>
      </c>
      <c r="T548" s="237" t="s">
        <v>228</v>
      </c>
      <c r="U548" s="237" t="s">
        <v>234</v>
      </c>
      <c r="V548" s="237" t="s">
        <v>228</v>
      </c>
      <c r="W548" s="244" t="s">
        <v>228</v>
      </c>
      <c r="X548" s="237" t="s">
        <v>228</v>
      </c>
      <c r="Y548" s="237" t="s">
        <v>228</v>
      </c>
      <c r="Z548" s="237" t="s">
        <v>228</v>
      </c>
      <c r="AA548" s="237" t="s">
        <v>3201</v>
      </c>
      <c r="AB548" s="237" t="s">
        <v>228</v>
      </c>
      <c r="AC548" s="237" t="s">
        <v>228</v>
      </c>
    </row>
    <row r="549" spans="1:39" ht="13.5" customHeight="1">
      <c r="A549" s="235">
        <v>547</v>
      </c>
      <c r="B549" s="235" t="s">
        <v>3202</v>
      </c>
      <c r="C549" s="255" t="s">
        <v>3203</v>
      </c>
      <c r="D549" s="235" t="s">
        <v>3204</v>
      </c>
      <c r="E549" s="235">
        <v>19</v>
      </c>
      <c r="F549" s="235" t="s">
        <v>60</v>
      </c>
      <c r="G549" s="235" t="s">
        <v>3205</v>
      </c>
      <c r="H549" s="243" t="s">
        <v>188</v>
      </c>
      <c r="I549" s="243"/>
      <c r="K549" s="240"/>
      <c r="L549" s="243" t="s">
        <v>231</v>
      </c>
      <c r="M549" s="246" t="s">
        <v>228</v>
      </c>
      <c r="N549" s="237"/>
      <c r="O549" s="237"/>
      <c r="P549" s="237"/>
      <c r="Q549" s="245">
        <v>45664</v>
      </c>
      <c r="R549" s="237" t="s">
        <v>309</v>
      </c>
      <c r="S549" s="331" t="s">
        <v>233</v>
      </c>
      <c r="T549" s="237">
        <v>0</v>
      </c>
      <c r="U549" s="237" t="s">
        <v>234</v>
      </c>
      <c r="V549" s="237" t="s">
        <v>228</v>
      </c>
      <c r="W549" s="244" t="s">
        <v>228</v>
      </c>
      <c r="X549" s="237" t="s">
        <v>228</v>
      </c>
      <c r="Y549" s="237" t="s">
        <v>228</v>
      </c>
      <c r="Z549" s="237" t="s">
        <v>228</v>
      </c>
      <c r="AA549" s="237" t="s">
        <v>3206</v>
      </c>
      <c r="AB549" s="237" t="s">
        <v>228</v>
      </c>
      <c r="AC549" s="237" t="s">
        <v>228</v>
      </c>
    </row>
    <row r="550" spans="1:39" ht="13.5" customHeight="1">
      <c r="A550" s="235">
        <v>548</v>
      </c>
      <c r="B550" s="235">
        <v>0</v>
      </c>
      <c r="C550" s="255" t="s">
        <v>3207</v>
      </c>
      <c r="D550" s="235" t="s">
        <v>3208</v>
      </c>
      <c r="E550" s="235">
        <v>27</v>
      </c>
      <c r="F550" s="235" t="s">
        <v>60</v>
      </c>
      <c r="G550" s="235" t="s">
        <v>3209</v>
      </c>
      <c r="H550" s="243" t="s">
        <v>188</v>
      </c>
      <c r="I550" s="243"/>
      <c r="K550" s="240"/>
      <c r="L550" s="243" t="s">
        <v>231</v>
      </c>
      <c r="M550" s="243" t="s">
        <v>231</v>
      </c>
      <c r="N550" s="237"/>
      <c r="O550" s="237"/>
      <c r="P550" s="237"/>
      <c r="Q550" s="245">
        <v>45664</v>
      </c>
      <c r="R550" s="237" t="s">
        <v>309</v>
      </c>
      <c r="S550" s="331" t="s">
        <v>233</v>
      </c>
      <c r="T550" s="237">
        <v>0</v>
      </c>
      <c r="U550" s="237" t="s">
        <v>234</v>
      </c>
      <c r="V550" s="237" t="s">
        <v>652</v>
      </c>
      <c r="W550" s="244">
        <v>46028</v>
      </c>
      <c r="X550" s="237" t="s">
        <v>3210</v>
      </c>
      <c r="Y550" s="237" t="s">
        <v>588</v>
      </c>
      <c r="Z550" s="237" t="s">
        <v>228</v>
      </c>
      <c r="AA550" s="237" t="s">
        <v>3211</v>
      </c>
      <c r="AB550" s="237" t="s">
        <v>228</v>
      </c>
      <c r="AC550" s="237" t="s">
        <v>228</v>
      </c>
    </row>
    <row r="551" spans="1:39" ht="13.5" customHeight="1">
      <c r="A551" s="235">
        <v>549</v>
      </c>
      <c r="B551" s="235">
        <v>0</v>
      </c>
      <c r="C551" s="255" t="s">
        <v>3212</v>
      </c>
      <c r="D551" s="235" t="s">
        <v>3213</v>
      </c>
      <c r="E551" s="235">
        <v>52</v>
      </c>
      <c r="F551" s="235" t="s">
        <v>75</v>
      </c>
      <c r="G551" s="235" t="s">
        <v>3214</v>
      </c>
      <c r="H551" s="243" t="s">
        <v>188</v>
      </c>
      <c r="I551" s="243"/>
      <c r="K551" s="240"/>
      <c r="L551" s="243" t="s">
        <v>231</v>
      </c>
      <c r="M551" s="243" t="s">
        <v>231</v>
      </c>
      <c r="N551" s="237"/>
      <c r="O551" s="237"/>
      <c r="P551" s="237"/>
      <c r="Q551" s="245">
        <v>45666</v>
      </c>
      <c r="R551" s="237" t="s">
        <v>309</v>
      </c>
      <c r="S551" s="330" t="s">
        <v>233</v>
      </c>
      <c r="T551" s="237">
        <v>0</v>
      </c>
      <c r="U551" s="237" t="s">
        <v>234</v>
      </c>
      <c r="V551" s="237" t="s">
        <v>228</v>
      </c>
      <c r="W551" s="244" t="s">
        <v>228</v>
      </c>
      <c r="X551" s="237" t="s">
        <v>228</v>
      </c>
      <c r="Y551" s="237" t="s">
        <v>228</v>
      </c>
      <c r="Z551" s="237" t="s">
        <v>228</v>
      </c>
      <c r="AA551" s="237" t="s">
        <v>3215</v>
      </c>
      <c r="AB551" s="237" t="s">
        <v>228</v>
      </c>
      <c r="AC551" s="237" t="s">
        <v>228</v>
      </c>
    </row>
    <row r="552" spans="1:39" ht="13.5" customHeight="1">
      <c r="A552" s="235">
        <v>550</v>
      </c>
      <c r="B552" s="235">
        <v>0</v>
      </c>
      <c r="C552" s="255" t="s">
        <v>3216</v>
      </c>
      <c r="D552" s="235" t="s">
        <v>3217</v>
      </c>
      <c r="E552" s="235">
        <v>31</v>
      </c>
      <c r="F552" s="235" t="s">
        <v>75</v>
      </c>
      <c r="G552" s="235" t="s">
        <v>3218</v>
      </c>
      <c r="H552" s="243" t="s">
        <v>188</v>
      </c>
      <c r="I552" s="243"/>
      <c r="K552" s="240"/>
      <c r="L552" s="243" t="s">
        <v>231</v>
      </c>
      <c r="M552" s="243" t="s">
        <v>231</v>
      </c>
      <c r="N552" s="237"/>
      <c r="O552" s="237"/>
      <c r="P552" s="237"/>
      <c r="Q552" s="245">
        <v>45666</v>
      </c>
      <c r="R552" s="237" t="s">
        <v>309</v>
      </c>
      <c r="S552" s="331" t="s">
        <v>233</v>
      </c>
      <c r="T552" s="237">
        <v>0</v>
      </c>
      <c r="U552" s="237" t="s">
        <v>234</v>
      </c>
      <c r="V552" s="237" t="s">
        <v>652</v>
      </c>
      <c r="W552" s="244">
        <v>46028</v>
      </c>
      <c r="X552" s="237" t="s">
        <v>492</v>
      </c>
      <c r="Y552" s="237" t="s">
        <v>588</v>
      </c>
      <c r="Z552" s="237" t="s">
        <v>228</v>
      </c>
      <c r="AA552" s="237" t="s">
        <v>3219</v>
      </c>
      <c r="AB552" s="237" t="s">
        <v>228</v>
      </c>
      <c r="AC552" s="237" t="s">
        <v>228</v>
      </c>
    </row>
    <row r="553" spans="1:39" ht="13.5" customHeight="1">
      <c r="A553" s="235">
        <v>551</v>
      </c>
      <c r="B553" s="235">
        <v>0</v>
      </c>
      <c r="C553" s="255" t="s">
        <v>3220</v>
      </c>
      <c r="D553" s="235" t="s">
        <v>3221</v>
      </c>
      <c r="E553" s="235">
        <v>50</v>
      </c>
      <c r="F553" s="235" t="s">
        <v>75</v>
      </c>
      <c r="G553" s="235" t="s">
        <v>3222</v>
      </c>
      <c r="H553" s="243" t="s">
        <v>188</v>
      </c>
      <c r="I553" s="243"/>
      <c r="K553" s="240"/>
      <c r="L553" s="243" t="s">
        <v>231</v>
      </c>
      <c r="M553" s="243" t="s">
        <v>231</v>
      </c>
      <c r="N553" s="237"/>
      <c r="O553" s="237"/>
      <c r="P553" s="237"/>
      <c r="Q553" s="245">
        <v>45666</v>
      </c>
      <c r="R553" s="237" t="s">
        <v>309</v>
      </c>
      <c r="S553" s="331" t="s">
        <v>233</v>
      </c>
      <c r="T553" s="237">
        <v>0</v>
      </c>
      <c r="U553" s="237" t="s">
        <v>234</v>
      </c>
      <c r="V553" s="237" t="s">
        <v>652</v>
      </c>
      <c r="W553" s="244">
        <v>46028</v>
      </c>
      <c r="X553" s="237" t="s">
        <v>3223</v>
      </c>
      <c r="Y553" s="237" t="s">
        <v>588</v>
      </c>
      <c r="Z553" s="237" t="s">
        <v>228</v>
      </c>
      <c r="AA553" s="237" t="s">
        <v>3224</v>
      </c>
      <c r="AB553" s="237" t="s">
        <v>228</v>
      </c>
      <c r="AC553" s="237" t="s">
        <v>228</v>
      </c>
    </row>
    <row r="554" spans="1:39" ht="13.5" customHeight="1">
      <c r="A554" s="235">
        <v>552</v>
      </c>
      <c r="B554" s="235">
        <v>0</v>
      </c>
      <c r="C554" s="255" t="s">
        <v>3225</v>
      </c>
      <c r="D554" s="235" t="s">
        <v>3226</v>
      </c>
      <c r="E554" s="235">
        <v>38</v>
      </c>
      <c r="F554" s="235" t="s">
        <v>75</v>
      </c>
      <c r="G554" s="235" t="s">
        <v>3227</v>
      </c>
      <c r="H554" s="243" t="s">
        <v>188</v>
      </c>
      <c r="I554" s="243"/>
      <c r="K554" s="240"/>
      <c r="L554" s="243" t="s">
        <v>231</v>
      </c>
      <c r="M554" s="243" t="s">
        <v>231</v>
      </c>
      <c r="N554" s="237"/>
      <c r="O554" s="237"/>
      <c r="P554" s="237"/>
      <c r="Q554" s="245">
        <v>45666</v>
      </c>
      <c r="R554" s="237" t="s">
        <v>309</v>
      </c>
      <c r="S554" s="331" t="s">
        <v>233</v>
      </c>
      <c r="T554" s="237">
        <v>0</v>
      </c>
      <c r="U554" s="237" t="s">
        <v>234</v>
      </c>
      <c r="V554" s="237" t="s">
        <v>652</v>
      </c>
      <c r="W554" s="244">
        <v>46028</v>
      </c>
      <c r="X554" s="237" t="s">
        <v>3228</v>
      </c>
      <c r="Y554" s="237" t="s">
        <v>588</v>
      </c>
      <c r="Z554" s="237" t="s">
        <v>228</v>
      </c>
      <c r="AA554" s="237" t="s">
        <v>3229</v>
      </c>
      <c r="AB554" s="237" t="s">
        <v>228</v>
      </c>
      <c r="AC554" s="237" t="s">
        <v>228</v>
      </c>
    </row>
    <row r="555" spans="1:39" ht="13.5" customHeight="1">
      <c r="A555" s="235">
        <v>553</v>
      </c>
      <c r="B555" s="235">
        <v>0</v>
      </c>
      <c r="C555" s="255" t="s">
        <v>3230</v>
      </c>
      <c r="D555" s="235" t="s">
        <v>3231</v>
      </c>
      <c r="E555" s="235">
        <v>53</v>
      </c>
      <c r="F555" s="235" t="s">
        <v>75</v>
      </c>
      <c r="G555" s="235" t="s">
        <v>3232</v>
      </c>
      <c r="H555" s="243" t="s">
        <v>188</v>
      </c>
      <c r="I555" s="243"/>
      <c r="K555" s="240"/>
      <c r="L555" s="243" t="s">
        <v>231</v>
      </c>
      <c r="M555" s="243" t="s">
        <v>231</v>
      </c>
      <c r="N555" s="237"/>
      <c r="O555" s="237"/>
      <c r="P555" s="237"/>
      <c r="Q555" s="245">
        <v>45666</v>
      </c>
      <c r="R555" s="237" t="s">
        <v>309</v>
      </c>
      <c r="S555" s="331" t="s">
        <v>233</v>
      </c>
      <c r="T555" s="237">
        <v>0</v>
      </c>
      <c r="U555" s="237" t="s">
        <v>234</v>
      </c>
      <c r="V555" s="237" t="s">
        <v>228</v>
      </c>
      <c r="W555" s="244" t="s">
        <v>228</v>
      </c>
      <c r="X555" s="237" t="s">
        <v>228</v>
      </c>
      <c r="Y555" s="237" t="s">
        <v>228</v>
      </c>
      <c r="Z555" s="237" t="s">
        <v>228</v>
      </c>
      <c r="AA555" s="237" t="s">
        <v>3233</v>
      </c>
      <c r="AB555" s="237" t="s">
        <v>228</v>
      </c>
      <c r="AC555" s="237" t="s">
        <v>228</v>
      </c>
    </row>
    <row r="556" spans="1:39" ht="13.5" customHeight="1">
      <c r="A556" s="235">
        <v>554</v>
      </c>
      <c r="B556" s="235">
        <v>0</v>
      </c>
      <c r="C556" s="255" t="s">
        <v>3234</v>
      </c>
      <c r="D556" s="235" t="s">
        <v>3235</v>
      </c>
      <c r="E556" s="235">
        <v>46</v>
      </c>
      <c r="F556" s="235" t="s">
        <v>75</v>
      </c>
      <c r="G556" s="235" t="s">
        <v>3236</v>
      </c>
      <c r="H556" s="243" t="s">
        <v>188</v>
      </c>
      <c r="I556" s="243"/>
      <c r="K556" s="240"/>
      <c r="L556" s="243" t="s">
        <v>231</v>
      </c>
      <c r="M556" s="243" t="s">
        <v>231</v>
      </c>
      <c r="N556" s="237"/>
      <c r="O556" s="237"/>
      <c r="P556" s="237"/>
      <c r="Q556" s="245">
        <v>45666</v>
      </c>
      <c r="R556" s="237" t="s">
        <v>309</v>
      </c>
      <c r="S556" s="331" t="s">
        <v>233</v>
      </c>
      <c r="T556" s="237">
        <v>0</v>
      </c>
      <c r="U556" s="237" t="s">
        <v>234</v>
      </c>
      <c r="V556" s="237" t="s">
        <v>228</v>
      </c>
      <c r="W556" s="244" t="s">
        <v>228</v>
      </c>
      <c r="X556" s="237" t="s">
        <v>228</v>
      </c>
      <c r="Y556" s="237" t="s">
        <v>228</v>
      </c>
      <c r="Z556" s="237" t="s">
        <v>228</v>
      </c>
      <c r="AA556" s="237" t="s">
        <v>3237</v>
      </c>
      <c r="AB556" s="237" t="s">
        <v>228</v>
      </c>
      <c r="AC556" s="237" t="s">
        <v>228</v>
      </c>
    </row>
    <row r="557" spans="1:39" ht="13.5" customHeight="1">
      <c r="A557" s="235">
        <v>555</v>
      </c>
      <c r="B557" s="235" t="s">
        <v>3238</v>
      </c>
      <c r="C557" s="255" t="s">
        <v>3239</v>
      </c>
      <c r="D557" s="235" t="s">
        <v>3240</v>
      </c>
      <c r="E557" s="235">
        <v>23</v>
      </c>
      <c r="F557" s="235" t="s">
        <v>75</v>
      </c>
      <c r="G557" s="235" t="s">
        <v>3241</v>
      </c>
      <c r="H557" s="243" t="s">
        <v>188</v>
      </c>
      <c r="I557" s="243"/>
      <c r="K557" s="240"/>
      <c r="L557" s="243" t="s">
        <v>231</v>
      </c>
      <c r="M557" s="246" t="s">
        <v>228</v>
      </c>
      <c r="N557" s="237"/>
      <c r="O557" s="237"/>
      <c r="P557" s="237"/>
      <c r="Q557" s="245">
        <v>45666</v>
      </c>
      <c r="R557" s="237" t="s">
        <v>309</v>
      </c>
      <c r="S557" s="331" t="s">
        <v>233</v>
      </c>
      <c r="T557" s="237" t="s">
        <v>228</v>
      </c>
      <c r="U557" s="237" t="s">
        <v>234</v>
      </c>
      <c r="V557" s="237" t="s">
        <v>228</v>
      </c>
      <c r="W557" s="244" t="s">
        <v>228</v>
      </c>
      <c r="X557" s="237" t="s">
        <v>228</v>
      </c>
      <c r="Y557" s="237" t="s">
        <v>228</v>
      </c>
      <c r="Z557" s="237" t="s">
        <v>228</v>
      </c>
      <c r="AA557" s="237" t="s">
        <v>3242</v>
      </c>
      <c r="AB557" s="237" t="s">
        <v>228</v>
      </c>
      <c r="AC557" s="237" t="s">
        <v>228</v>
      </c>
    </row>
    <row r="558" spans="1:39" ht="13.5" customHeight="1">
      <c r="A558" s="235">
        <v>556</v>
      </c>
      <c r="B558" s="235" t="s">
        <v>3243</v>
      </c>
      <c r="C558" s="255" t="s">
        <v>3244</v>
      </c>
      <c r="D558" s="235" t="s">
        <v>3245</v>
      </c>
      <c r="E558" s="235">
        <v>29</v>
      </c>
      <c r="F558" s="235" t="s">
        <v>75</v>
      </c>
      <c r="G558" s="235" t="s">
        <v>3246</v>
      </c>
      <c r="H558" s="243" t="s">
        <v>188</v>
      </c>
      <c r="I558" s="243"/>
      <c r="K558" s="240"/>
      <c r="L558" s="243" t="s">
        <v>231</v>
      </c>
      <c r="M558" s="246" t="s">
        <v>228</v>
      </c>
      <c r="N558" s="237"/>
      <c r="O558" s="237"/>
      <c r="P558" s="237"/>
      <c r="Q558" s="245">
        <v>45666</v>
      </c>
      <c r="R558" s="237" t="s">
        <v>309</v>
      </c>
      <c r="S558" s="331" t="s">
        <v>233</v>
      </c>
      <c r="T558" s="237" t="s">
        <v>228</v>
      </c>
      <c r="U558" s="237" t="s">
        <v>234</v>
      </c>
      <c r="V558" s="237" t="s">
        <v>228</v>
      </c>
      <c r="W558" s="244" t="s">
        <v>228</v>
      </c>
      <c r="X558" s="237" t="s">
        <v>228</v>
      </c>
      <c r="Y558" s="237" t="s">
        <v>228</v>
      </c>
      <c r="Z558" s="237" t="s">
        <v>228</v>
      </c>
      <c r="AA558" s="237" t="s">
        <v>3247</v>
      </c>
      <c r="AB558" s="237" t="s">
        <v>228</v>
      </c>
      <c r="AC558" s="237" t="s">
        <v>228</v>
      </c>
    </row>
    <row r="559" spans="1:39" ht="13.5" customHeight="1">
      <c r="A559" s="235">
        <v>557</v>
      </c>
      <c r="B559" s="235" t="s">
        <v>3248</v>
      </c>
      <c r="C559" s="255" t="s">
        <v>3249</v>
      </c>
      <c r="D559" s="235" t="s">
        <v>3250</v>
      </c>
      <c r="E559" s="235">
        <v>73</v>
      </c>
      <c r="F559" s="235" t="s">
        <v>60</v>
      </c>
      <c r="G559" s="235" t="s">
        <v>3251</v>
      </c>
      <c r="H559" s="243" t="s">
        <v>188</v>
      </c>
      <c r="I559" s="243"/>
      <c r="K559" s="240"/>
      <c r="L559" s="243" t="s">
        <v>231</v>
      </c>
      <c r="M559" s="243" t="s">
        <v>231</v>
      </c>
      <c r="N559" s="237"/>
      <c r="O559" s="237"/>
      <c r="P559" s="237"/>
      <c r="Q559" s="245">
        <v>45666</v>
      </c>
      <c r="R559" s="237" t="s">
        <v>309</v>
      </c>
      <c r="S559" s="331" t="s">
        <v>233</v>
      </c>
      <c r="T559" s="237" t="s">
        <v>228</v>
      </c>
      <c r="U559" s="237" t="s">
        <v>234</v>
      </c>
      <c r="V559" s="237" t="s">
        <v>228</v>
      </c>
      <c r="W559" s="244" t="s">
        <v>228</v>
      </c>
      <c r="X559" s="237" t="s">
        <v>228</v>
      </c>
      <c r="Y559" s="237" t="s">
        <v>228</v>
      </c>
      <c r="Z559" s="237" t="s">
        <v>228</v>
      </c>
      <c r="AA559" s="237" t="s">
        <v>3252</v>
      </c>
      <c r="AB559" s="237" t="s">
        <v>228</v>
      </c>
      <c r="AC559" s="237" t="s">
        <v>228</v>
      </c>
    </row>
    <row r="560" spans="1:39" ht="13.5" customHeight="1">
      <c r="A560" s="235">
        <v>558</v>
      </c>
      <c r="B560" s="235">
        <v>0</v>
      </c>
      <c r="C560" s="255" t="s">
        <v>3253</v>
      </c>
      <c r="D560" s="235" t="s">
        <v>3254</v>
      </c>
      <c r="E560" s="235">
        <v>37</v>
      </c>
      <c r="F560" s="235" t="s">
        <v>75</v>
      </c>
      <c r="G560" s="235" t="s">
        <v>3255</v>
      </c>
      <c r="H560" s="243" t="s">
        <v>188</v>
      </c>
      <c r="I560" s="243"/>
      <c r="K560" s="240"/>
      <c r="L560" s="243" t="s">
        <v>231</v>
      </c>
      <c r="M560" s="243" t="s">
        <v>231</v>
      </c>
      <c r="N560" s="237"/>
      <c r="O560" s="237"/>
      <c r="P560" s="237"/>
      <c r="Q560" s="245">
        <v>45666</v>
      </c>
      <c r="R560" s="237" t="s">
        <v>309</v>
      </c>
      <c r="S560" s="331" t="s">
        <v>233</v>
      </c>
      <c r="T560" s="237">
        <v>0</v>
      </c>
      <c r="U560" s="237" t="s">
        <v>234</v>
      </c>
      <c r="V560" s="237" t="s">
        <v>652</v>
      </c>
      <c r="W560" s="244">
        <v>46003</v>
      </c>
      <c r="X560" s="237" t="s">
        <v>3256</v>
      </c>
      <c r="Y560" s="237" t="s">
        <v>588</v>
      </c>
      <c r="Z560" s="237" t="s">
        <v>228</v>
      </c>
      <c r="AA560" s="237" t="s">
        <v>3257</v>
      </c>
      <c r="AB560" s="237" t="s">
        <v>228</v>
      </c>
      <c r="AC560" s="237" t="s">
        <v>228</v>
      </c>
    </row>
    <row r="561" spans="1:29" ht="13.5" customHeight="1">
      <c r="A561" s="235">
        <v>559</v>
      </c>
      <c r="B561" s="235">
        <v>0</v>
      </c>
      <c r="C561" s="255" t="s">
        <v>3258</v>
      </c>
      <c r="D561" s="235" t="s">
        <v>3259</v>
      </c>
      <c r="E561" s="235">
        <v>31</v>
      </c>
      <c r="F561" s="235" t="s">
        <v>60</v>
      </c>
      <c r="G561" s="235" t="s">
        <v>3260</v>
      </c>
      <c r="H561" s="243" t="s">
        <v>188</v>
      </c>
      <c r="I561" s="243"/>
      <c r="K561" s="240"/>
      <c r="L561" s="243" t="s">
        <v>231</v>
      </c>
      <c r="M561" s="243" t="s">
        <v>231</v>
      </c>
      <c r="N561" s="237"/>
      <c r="O561" s="237"/>
      <c r="P561" s="237"/>
      <c r="Q561" s="245">
        <v>45666</v>
      </c>
      <c r="R561" s="237" t="s">
        <v>309</v>
      </c>
      <c r="S561" s="331" t="s">
        <v>233</v>
      </c>
      <c r="T561" s="237">
        <v>0</v>
      </c>
      <c r="U561" s="237" t="s">
        <v>234</v>
      </c>
      <c r="V561" s="237" t="s">
        <v>652</v>
      </c>
      <c r="W561" s="244">
        <v>46003</v>
      </c>
      <c r="X561" s="237" t="s">
        <v>3261</v>
      </c>
      <c r="Y561" s="237" t="s">
        <v>588</v>
      </c>
      <c r="Z561" s="237" t="s">
        <v>228</v>
      </c>
      <c r="AA561" s="237" t="s">
        <v>3262</v>
      </c>
      <c r="AB561" s="237" t="s">
        <v>228</v>
      </c>
      <c r="AC561" s="237" t="s">
        <v>228</v>
      </c>
    </row>
    <row r="562" spans="1:29" ht="13.5" customHeight="1">
      <c r="A562" s="235">
        <v>560</v>
      </c>
      <c r="B562" s="235">
        <v>0</v>
      </c>
      <c r="C562" s="255" t="s">
        <v>3263</v>
      </c>
      <c r="D562" s="235" t="s">
        <v>3264</v>
      </c>
      <c r="E562" s="235">
        <v>59</v>
      </c>
      <c r="F562" s="235" t="s">
        <v>60</v>
      </c>
      <c r="G562" s="235" t="s">
        <v>3265</v>
      </c>
      <c r="H562" s="243" t="s">
        <v>188</v>
      </c>
      <c r="I562" s="243"/>
      <c r="K562" s="240"/>
      <c r="L562" s="243" t="s">
        <v>231</v>
      </c>
      <c r="M562" s="243" t="s">
        <v>231</v>
      </c>
      <c r="N562" s="237"/>
      <c r="O562" s="237"/>
      <c r="P562" s="237"/>
      <c r="Q562" s="245">
        <v>45666</v>
      </c>
      <c r="R562" s="237" t="s">
        <v>309</v>
      </c>
      <c r="S562" s="331" t="s">
        <v>233</v>
      </c>
      <c r="T562" s="237">
        <v>0</v>
      </c>
      <c r="U562" s="237" t="s">
        <v>234</v>
      </c>
      <c r="V562" s="237" t="s">
        <v>652</v>
      </c>
      <c r="W562" s="244">
        <v>46003</v>
      </c>
      <c r="X562" s="237" t="s">
        <v>3266</v>
      </c>
      <c r="Y562" s="237" t="s">
        <v>588</v>
      </c>
      <c r="Z562" s="237" t="s">
        <v>228</v>
      </c>
      <c r="AA562" s="237" t="s">
        <v>3267</v>
      </c>
      <c r="AB562" s="237" t="s">
        <v>228</v>
      </c>
      <c r="AC562" s="237" t="s">
        <v>228</v>
      </c>
    </row>
    <row r="563" spans="1:29" ht="13.5" customHeight="1">
      <c r="A563" s="235">
        <v>561</v>
      </c>
      <c r="B563" s="235" t="s">
        <v>3268</v>
      </c>
      <c r="C563" s="255" t="s">
        <v>3269</v>
      </c>
      <c r="D563" s="235" t="s">
        <v>3270</v>
      </c>
      <c r="E563" s="235">
        <v>29</v>
      </c>
      <c r="F563" s="235" t="s">
        <v>75</v>
      </c>
      <c r="G563" s="235" t="s">
        <v>3271</v>
      </c>
      <c r="H563" s="243" t="s">
        <v>188</v>
      </c>
      <c r="I563" s="243"/>
      <c r="K563" s="240"/>
      <c r="L563" s="243" t="s">
        <v>231</v>
      </c>
      <c r="M563" s="246" t="s">
        <v>228</v>
      </c>
      <c r="N563" s="237"/>
      <c r="O563" s="237"/>
      <c r="P563" s="237"/>
      <c r="Q563" s="245">
        <v>45666</v>
      </c>
      <c r="R563" s="237" t="s">
        <v>309</v>
      </c>
      <c r="S563" s="331" t="s">
        <v>233</v>
      </c>
      <c r="T563" s="237">
        <v>8</v>
      </c>
      <c r="U563" s="237" t="s">
        <v>234</v>
      </c>
      <c r="V563" s="237" t="s">
        <v>228</v>
      </c>
      <c r="W563" s="244" t="s">
        <v>228</v>
      </c>
      <c r="X563" s="237" t="s">
        <v>228</v>
      </c>
      <c r="Y563" s="237" t="s">
        <v>228</v>
      </c>
      <c r="Z563" s="237" t="s">
        <v>228</v>
      </c>
      <c r="AA563" s="237" t="s">
        <v>3272</v>
      </c>
      <c r="AB563" s="237" t="s">
        <v>228</v>
      </c>
      <c r="AC563" s="237" t="s">
        <v>228</v>
      </c>
    </row>
    <row r="564" spans="1:29" ht="13.5" customHeight="1">
      <c r="A564" s="235">
        <v>562</v>
      </c>
      <c r="B564" s="235">
        <v>0</v>
      </c>
      <c r="C564" s="255" t="s">
        <v>3273</v>
      </c>
      <c r="D564" s="235" t="s">
        <v>3274</v>
      </c>
      <c r="E564" s="235">
        <v>34</v>
      </c>
      <c r="F564" s="235" t="s">
        <v>75</v>
      </c>
      <c r="G564" s="235" t="s">
        <v>3275</v>
      </c>
      <c r="H564" s="243" t="s">
        <v>188</v>
      </c>
      <c r="I564" s="243"/>
      <c r="K564" s="240"/>
      <c r="L564" s="243" t="s">
        <v>231</v>
      </c>
      <c r="M564" s="243" t="s">
        <v>231</v>
      </c>
      <c r="N564" s="237"/>
      <c r="O564" s="237"/>
      <c r="P564" s="237"/>
      <c r="Q564" s="245">
        <v>45666</v>
      </c>
      <c r="R564" s="237" t="s">
        <v>309</v>
      </c>
      <c r="S564" s="331" t="s">
        <v>233</v>
      </c>
      <c r="T564" s="237">
        <v>0</v>
      </c>
      <c r="U564" s="237" t="s">
        <v>234</v>
      </c>
      <c r="V564" s="237" t="s">
        <v>652</v>
      </c>
      <c r="W564" s="244">
        <v>46003</v>
      </c>
      <c r="X564" s="237" t="s">
        <v>2815</v>
      </c>
      <c r="Y564" s="237" t="s">
        <v>588</v>
      </c>
      <c r="Z564" s="237" t="s">
        <v>228</v>
      </c>
      <c r="AA564" s="237" t="s">
        <v>3276</v>
      </c>
      <c r="AB564" s="237" t="s">
        <v>228</v>
      </c>
      <c r="AC564" s="237" t="s">
        <v>228</v>
      </c>
    </row>
    <row r="565" spans="1:29" ht="13.5" customHeight="1">
      <c r="A565" s="235">
        <v>563</v>
      </c>
      <c r="B565" s="235">
        <v>0</v>
      </c>
      <c r="C565" s="255" t="s">
        <v>3277</v>
      </c>
      <c r="D565" s="235" t="s">
        <v>3278</v>
      </c>
      <c r="E565" s="235">
        <v>22</v>
      </c>
      <c r="F565" s="235" t="s">
        <v>75</v>
      </c>
      <c r="G565" s="235" t="s">
        <v>3279</v>
      </c>
      <c r="H565" s="243" t="s">
        <v>188</v>
      </c>
      <c r="I565" s="243"/>
      <c r="K565" s="240"/>
      <c r="L565" s="243" t="s">
        <v>231</v>
      </c>
      <c r="M565" s="243" t="s">
        <v>231</v>
      </c>
      <c r="N565" s="237"/>
      <c r="O565" s="237"/>
      <c r="P565" s="237"/>
      <c r="Q565" s="245">
        <v>45666</v>
      </c>
      <c r="R565" s="237" t="s">
        <v>309</v>
      </c>
      <c r="S565" s="331" t="s">
        <v>233</v>
      </c>
      <c r="T565" s="237">
        <v>0</v>
      </c>
      <c r="U565" s="237" t="s">
        <v>234</v>
      </c>
      <c r="V565" s="237" t="s">
        <v>652</v>
      </c>
      <c r="W565" s="244">
        <v>46003</v>
      </c>
      <c r="X565" s="237" t="s">
        <v>3170</v>
      </c>
      <c r="Y565" s="237" t="s">
        <v>588</v>
      </c>
      <c r="Z565" s="237" t="s">
        <v>228</v>
      </c>
      <c r="AA565" s="237" t="s">
        <v>3280</v>
      </c>
      <c r="AB565" s="237" t="s">
        <v>228</v>
      </c>
      <c r="AC565" s="237" t="s">
        <v>228</v>
      </c>
    </row>
    <row r="566" spans="1:29" ht="13.5" customHeight="1">
      <c r="A566" s="235">
        <v>564</v>
      </c>
      <c r="B566" s="235">
        <v>0</v>
      </c>
      <c r="C566" s="255" t="s">
        <v>3281</v>
      </c>
      <c r="D566" s="235" t="s">
        <v>3282</v>
      </c>
      <c r="E566" s="235">
        <v>43</v>
      </c>
      <c r="F566" s="235" t="s">
        <v>75</v>
      </c>
      <c r="G566" s="235" t="s">
        <v>3283</v>
      </c>
      <c r="H566" s="243" t="s">
        <v>188</v>
      </c>
      <c r="I566" s="243"/>
      <c r="K566" s="240"/>
      <c r="L566" s="243" t="s">
        <v>231</v>
      </c>
      <c r="M566" s="243" t="s">
        <v>231</v>
      </c>
      <c r="N566" s="237"/>
      <c r="O566" s="237"/>
      <c r="P566" s="237"/>
      <c r="Q566" s="245">
        <v>45666</v>
      </c>
      <c r="R566" s="237" t="s">
        <v>309</v>
      </c>
      <c r="S566" s="331" t="s">
        <v>233</v>
      </c>
      <c r="T566" s="237">
        <v>0</v>
      </c>
      <c r="U566" s="237" t="s">
        <v>234</v>
      </c>
      <c r="V566" s="237" t="s">
        <v>652</v>
      </c>
      <c r="W566" s="244">
        <v>46003</v>
      </c>
      <c r="X566" s="237" t="s">
        <v>3284</v>
      </c>
      <c r="Y566" s="237" t="s">
        <v>588</v>
      </c>
      <c r="Z566" s="237" t="s">
        <v>228</v>
      </c>
      <c r="AA566" s="237" t="s">
        <v>3285</v>
      </c>
      <c r="AB566" s="237" t="s">
        <v>228</v>
      </c>
      <c r="AC566" s="237" t="s">
        <v>228</v>
      </c>
    </row>
    <row r="567" spans="1:29" ht="13.5" customHeight="1">
      <c r="A567" s="235">
        <v>565</v>
      </c>
      <c r="B567" s="235">
        <v>0</v>
      </c>
      <c r="C567" s="255" t="s">
        <v>3286</v>
      </c>
      <c r="D567" s="235" t="s">
        <v>3287</v>
      </c>
      <c r="E567" s="235">
        <v>37</v>
      </c>
      <c r="F567" s="235" t="s">
        <v>60</v>
      </c>
      <c r="G567" s="235" t="s">
        <v>3288</v>
      </c>
      <c r="H567" s="243" t="s">
        <v>188</v>
      </c>
      <c r="I567" s="243"/>
      <c r="K567" s="240"/>
      <c r="L567" s="243" t="s">
        <v>231</v>
      </c>
      <c r="M567" s="243" t="s">
        <v>231</v>
      </c>
      <c r="N567" s="237"/>
      <c r="O567" s="237"/>
      <c r="P567" s="237"/>
      <c r="Q567" s="245">
        <v>45666</v>
      </c>
      <c r="R567" s="237" t="s">
        <v>309</v>
      </c>
      <c r="S567" s="331" t="s">
        <v>233</v>
      </c>
      <c r="T567" s="237">
        <v>0</v>
      </c>
      <c r="U567" s="237" t="s">
        <v>234</v>
      </c>
      <c r="V567" s="237" t="s">
        <v>652</v>
      </c>
      <c r="W567" s="244">
        <v>46003</v>
      </c>
      <c r="X567" s="237" t="s">
        <v>3289</v>
      </c>
      <c r="Y567" s="237" t="s">
        <v>588</v>
      </c>
      <c r="Z567" s="237" t="s">
        <v>228</v>
      </c>
      <c r="AA567" s="237" t="s">
        <v>3290</v>
      </c>
      <c r="AB567" s="237" t="s">
        <v>228</v>
      </c>
      <c r="AC567" s="237" t="s">
        <v>228</v>
      </c>
    </row>
    <row r="568" spans="1:29" ht="13.5" customHeight="1">
      <c r="A568" s="235">
        <v>566</v>
      </c>
      <c r="B568" s="235" t="s">
        <v>3291</v>
      </c>
      <c r="C568" s="255" t="s">
        <v>3292</v>
      </c>
      <c r="D568" s="235" t="s">
        <v>3293</v>
      </c>
      <c r="E568" s="235">
        <v>29</v>
      </c>
      <c r="F568" s="235" t="s">
        <v>75</v>
      </c>
      <c r="G568" s="235" t="s">
        <v>3294</v>
      </c>
      <c r="H568" s="243" t="s">
        <v>188</v>
      </c>
      <c r="I568" s="243"/>
      <c r="K568" s="240"/>
      <c r="L568" s="243" t="s">
        <v>231</v>
      </c>
      <c r="M568" s="246" t="s">
        <v>228</v>
      </c>
      <c r="N568" s="237"/>
      <c r="O568" s="237"/>
      <c r="P568" s="237"/>
      <c r="Q568" s="245">
        <v>45666</v>
      </c>
      <c r="R568" s="237" t="s">
        <v>309</v>
      </c>
      <c r="S568" s="331" t="s">
        <v>233</v>
      </c>
      <c r="T568" s="237" t="s">
        <v>228</v>
      </c>
      <c r="U568" s="237" t="s">
        <v>234</v>
      </c>
      <c r="V568" s="237" t="s">
        <v>228</v>
      </c>
      <c r="W568" s="244" t="s">
        <v>228</v>
      </c>
      <c r="X568" s="237" t="s">
        <v>228</v>
      </c>
      <c r="Y568" s="237" t="s">
        <v>228</v>
      </c>
      <c r="Z568" s="237" t="s">
        <v>228</v>
      </c>
      <c r="AA568" s="237" t="s">
        <v>3295</v>
      </c>
      <c r="AB568" s="237" t="s">
        <v>228</v>
      </c>
      <c r="AC568" s="237" t="s">
        <v>228</v>
      </c>
    </row>
    <row r="569" spans="1:29" ht="13.5" customHeight="1">
      <c r="A569" s="235">
        <v>567</v>
      </c>
      <c r="B569" s="235">
        <v>0</v>
      </c>
      <c r="C569" s="255" t="s">
        <v>3296</v>
      </c>
      <c r="D569" s="235" t="s">
        <v>3297</v>
      </c>
      <c r="E569" s="235">
        <v>36</v>
      </c>
      <c r="F569" s="235" t="s">
        <v>60</v>
      </c>
      <c r="G569" s="235" t="s">
        <v>3298</v>
      </c>
      <c r="H569" s="243" t="s">
        <v>188</v>
      </c>
      <c r="I569" s="243"/>
      <c r="K569" s="240"/>
      <c r="L569" s="243" t="s">
        <v>231</v>
      </c>
      <c r="M569" s="243" t="s">
        <v>231</v>
      </c>
      <c r="N569" s="237"/>
      <c r="O569" s="237"/>
      <c r="P569" s="237"/>
      <c r="Q569" s="245">
        <v>45666</v>
      </c>
      <c r="R569" s="237" t="s">
        <v>309</v>
      </c>
      <c r="S569" s="331" t="s">
        <v>233</v>
      </c>
      <c r="T569" s="237">
        <v>0</v>
      </c>
      <c r="U569" s="237" t="s">
        <v>234</v>
      </c>
      <c r="V569" s="237" t="s">
        <v>652</v>
      </c>
      <c r="W569" s="244">
        <v>46003</v>
      </c>
      <c r="X569" s="237" t="s">
        <v>3299</v>
      </c>
      <c r="Y569" s="237" t="s">
        <v>588</v>
      </c>
      <c r="Z569" s="237" t="s">
        <v>228</v>
      </c>
      <c r="AA569" s="237" t="s">
        <v>3300</v>
      </c>
      <c r="AB569" s="237" t="s">
        <v>228</v>
      </c>
      <c r="AC569" s="237" t="s">
        <v>228</v>
      </c>
    </row>
    <row r="570" spans="1:29" ht="13.5" customHeight="1">
      <c r="A570" s="235">
        <v>568</v>
      </c>
      <c r="B570" s="235">
        <v>0</v>
      </c>
      <c r="C570" s="255" t="s">
        <v>3301</v>
      </c>
      <c r="D570" s="235" t="s">
        <v>3302</v>
      </c>
      <c r="E570" s="235">
        <v>41</v>
      </c>
      <c r="F570" s="235" t="s">
        <v>75</v>
      </c>
      <c r="G570" s="235" t="s">
        <v>3303</v>
      </c>
      <c r="H570" s="243" t="s">
        <v>188</v>
      </c>
      <c r="I570" s="243"/>
      <c r="K570" s="240"/>
      <c r="L570" s="243" t="s">
        <v>231</v>
      </c>
      <c r="M570" s="243" t="s">
        <v>231</v>
      </c>
      <c r="N570" s="237"/>
      <c r="O570" s="237"/>
      <c r="P570" s="237"/>
      <c r="Q570" s="245">
        <v>45666</v>
      </c>
      <c r="R570" s="237" t="s">
        <v>309</v>
      </c>
      <c r="S570" s="331" t="s">
        <v>233</v>
      </c>
      <c r="T570" s="237">
        <v>0</v>
      </c>
      <c r="U570" s="237" t="s">
        <v>234</v>
      </c>
      <c r="V570" s="237" t="s">
        <v>652</v>
      </c>
      <c r="W570" s="244">
        <v>46003</v>
      </c>
      <c r="X570" s="237" t="s">
        <v>3304</v>
      </c>
      <c r="Y570" s="237" t="s">
        <v>588</v>
      </c>
      <c r="Z570" s="237" t="s">
        <v>228</v>
      </c>
      <c r="AA570" s="237" t="s">
        <v>3305</v>
      </c>
      <c r="AB570" s="237" t="s">
        <v>228</v>
      </c>
      <c r="AC570" s="237" t="s">
        <v>228</v>
      </c>
    </row>
    <row r="571" spans="1:29" ht="13.5" customHeight="1">
      <c r="A571" s="235">
        <v>569</v>
      </c>
      <c r="B571" s="235">
        <v>0</v>
      </c>
      <c r="C571" s="255" t="s">
        <v>3306</v>
      </c>
      <c r="D571" s="235" t="s">
        <v>3307</v>
      </c>
      <c r="E571" s="235">
        <v>44</v>
      </c>
      <c r="F571" s="235" t="s">
        <v>60</v>
      </c>
      <c r="G571" s="235" t="s">
        <v>3308</v>
      </c>
      <c r="H571" s="243" t="s">
        <v>188</v>
      </c>
      <c r="I571" s="243"/>
      <c r="K571" s="240"/>
      <c r="L571" s="243" t="s">
        <v>231</v>
      </c>
      <c r="M571" s="243" t="s">
        <v>231</v>
      </c>
      <c r="N571" s="237"/>
      <c r="O571" s="237"/>
      <c r="P571" s="237"/>
      <c r="Q571" s="245">
        <v>45666</v>
      </c>
      <c r="R571" s="237" t="s">
        <v>309</v>
      </c>
      <c r="S571" s="331" t="s">
        <v>233</v>
      </c>
      <c r="T571" s="237">
        <v>0</v>
      </c>
      <c r="U571" s="237" t="s">
        <v>234</v>
      </c>
      <c r="V571" s="237" t="s">
        <v>652</v>
      </c>
      <c r="W571" s="244">
        <v>46003</v>
      </c>
      <c r="X571" s="237" t="s">
        <v>3309</v>
      </c>
      <c r="Y571" s="237" t="s">
        <v>588</v>
      </c>
      <c r="Z571" s="237" t="s">
        <v>228</v>
      </c>
      <c r="AA571" s="237" t="s">
        <v>3310</v>
      </c>
      <c r="AB571" s="237" t="s">
        <v>228</v>
      </c>
      <c r="AC571" s="237" t="s">
        <v>228</v>
      </c>
    </row>
    <row r="572" spans="1:29" ht="13.5" customHeight="1">
      <c r="A572" s="235">
        <v>570</v>
      </c>
      <c r="B572" s="235">
        <v>0</v>
      </c>
      <c r="C572" s="255" t="s">
        <v>3311</v>
      </c>
      <c r="D572" s="235" t="s">
        <v>3312</v>
      </c>
      <c r="E572" s="235">
        <v>30</v>
      </c>
      <c r="F572" s="235" t="s">
        <v>75</v>
      </c>
      <c r="G572" s="235" t="s">
        <v>3313</v>
      </c>
      <c r="H572" s="243" t="s">
        <v>188</v>
      </c>
      <c r="I572" s="243"/>
      <c r="K572" s="240"/>
      <c r="L572" s="243" t="s">
        <v>231</v>
      </c>
      <c r="M572" s="243" t="s">
        <v>231</v>
      </c>
      <c r="N572" s="237"/>
      <c r="O572" s="237"/>
      <c r="P572" s="237"/>
      <c r="Q572" s="245">
        <v>45666</v>
      </c>
      <c r="R572" s="237" t="s">
        <v>309</v>
      </c>
      <c r="S572" s="331" t="s">
        <v>233</v>
      </c>
      <c r="T572" s="237">
        <v>0</v>
      </c>
      <c r="U572" s="237" t="s">
        <v>234</v>
      </c>
      <c r="V572" s="237" t="s">
        <v>652</v>
      </c>
      <c r="W572" s="244">
        <v>46003</v>
      </c>
      <c r="X572" s="237" t="s">
        <v>3314</v>
      </c>
      <c r="Y572" s="237" t="s">
        <v>588</v>
      </c>
      <c r="Z572" s="237" t="s">
        <v>228</v>
      </c>
      <c r="AA572" s="237" t="s">
        <v>3315</v>
      </c>
      <c r="AB572" s="237" t="s">
        <v>228</v>
      </c>
      <c r="AC572" s="237" t="s">
        <v>228</v>
      </c>
    </row>
    <row r="573" spans="1:29" ht="13.5" customHeight="1">
      <c r="A573" s="235">
        <v>571</v>
      </c>
      <c r="B573" s="235">
        <v>0</v>
      </c>
      <c r="C573" s="255" t="s">
        <v>3316</v>
      </c>
      <c r="D573" s="235" t="s">
        <v>3317</v>
      </c>
      <c r="E573" s="235">
        <v>37</v>
      </c>
      <c r="F573" s="235" t="s">
        <v>75</v>
      </c>
      <c r="G573" s="235" t="s">
        <v>3318</v>
      </c>
      <c r="H573" s="243" t="s">
        <v>188</v>
      </c>
      <c r="I573" s="243"/>
      <c r="K573" s="240"/>
      <c r="L573" s="243" t="s">
        <v>231</v>
      </c>
      <c r="M573" s="243" t="s">
        <v>231</v>
      </c>
      <c r="N573" s="237"/>
      <c r="O573" s="237"/>
      <c r="P573" s="237"/>
      <c r="Q573" s="245">
        <v>45666</v>
      </c>
      <c r="R573" s="237" t="s">
        <v>309</v>
      </c>
      <c r="S573" s="331" t="s">
        <v>233</v>
      </c>
      <c r="T573" s="237">
        <v>0</v>
      </c>
      <c r="U573" s="237" t="s">
        <v>234</v>
      </c>
      <c r="V573" s="237" t="s">
        <v>652</v>
      </c>
      <c r="W573" s="244">
        <v>46003</v>
      </c>
      <c r="X573" s="237" t="s">
        <v>3319</v>
      </c>
      <c r="Y573" s="237" t="s">
        <v>588</v>
      </c>
      <c r="Z573" s="237" t="s">
        <v>228</v>
      </c>
      <c r="AA573" s="237" t="s">
        <v>3320</v>
      </c>
      <c r="AB573" s="237" t="s">
        <v>228</v>
      </c>
      <c r="AC573" s="237" t="s">
        <v>228</v>
      </c>
    </row>
    <row r="574" spans="1:29" ht="13.5" customHeight="1">
      <c r="A574" s="235">
        <v>572</v>
      </c>
      <c r="B574" s="235" t="s">
        <v>3321</v>
      </c>
      <c r="C574" s="255" t="s">
        <v>3322</v>
      </c>
      <c r="D574" s="235" t="s">
        <v>3323</v>
      </c>
      <c r="E574" s="235">
        <v>27</v>
      </c>
      <c r="F574" s="235" t="s">
        <v>60</v>
      </c>
      <c r="G574" s="235" t="s">
        <v>3324</v>
      </c>
      <c r="H574" s="243" t="s">
        <v>188</v>
      </c>
      <c r="I574" s="243"/>
      <c r="K574" s="240"/>
      <c r="L574" s="243" t="s">
        <v>231</v>
      </c>
      <c r="M574" s="246" t="s">
        <v>228</v>
      </c>
      <c r="N574" s="237"/>
      <c r="O574" s="237"/>
      <c r="P574" s="237"/>
      <c r="Q574" s="245">
        <v>45668</v>
      </c>
      <c r="R574" s="237" t="s">
        <v>309</v>
      </c>
      <c r="S574" s="331" t="s">
        <v>233</v>
      </c>
      <c r="T574" s="237">
        <v>0</v>
      </c>
      <c r="U574" s="237" t="s">
        <v>234</v>
      </c>
      <c r="V574" s="237" t="s">
        <v>228</v>
      </c>
      <c r="W574" s="244" t="s">
        <v>228</v>
      </c>
      <c r="X574" s="237" t="s">
        <v>228</v>
      </c>
      <c r="Y574" s="237" t="s">
        <v>228</v>
      </c>
      <c r="Z574" s="237" t="s">
        <v>228</v>
      </c>
      <c r="AA574" s="237" t="s">
        <v>3325</v>
      </c>
      <c r="AB574" s="237" t="s">
        <v>228</v>
      </c>
      <c r="AC574" s="237" t="s">
        <v>228</v>
      </c>
    </row>
    <row r="575" spans="1:29" ht="13.5" customHeight="1">
      <c r="A575" s="235">
        <v>573</v>
      </c>
      <c r="B575" s="235">
        <v>0</v>
      </c>
      <c r="C575" s="255" t="s">
        <v>3326</v>
      </c>
      <c r="D575" s="235" t="s">
        <v>3327</v>
      </c>
      <c r="E575" s="235">
        <v>55</v>
      </c>
      <c r="F575" s="235" t="s">
        <v>75</v>
      </c>
      <c r="G575" s="235" t="s">
        <v>3328</v>
      </c>
      <c r="H575" s="243" t="s">
        <v>188</v>
      </c>
      <c r="I575" s="243"/>
      <c r="K575" s="240"/>
      <c r="L575" s="243" t="s">
        <v>231</v>
      </c>
      <c r="M575" s="243" t="s">
        <v>231</v>
      </c>
      <c r="N575" s="237"/>
      <c r="O575" s="237"/>
      <c r="P575" s="237"/>
      <c r="Q575" s="245">
        <v>45668</v>
      </c>
      <c r="R575" s="237" t="s">
        <v>309</v>
      </c>
      <c r="S575" s="331" t="s">
        <v>233</v>
      </c>
      <c r="T575" s="237">
        <v>0</v>
      </c>
      <c r="U575" s="237" t="s">
        <v>234</v>
      </c>
      <c r="V575" s="237" t="s">
        <v>652</v>
      </c>
      <c r="W575" s="244">
        <v>46003</v>
      </c>
      <c r="X575" s="237" t="s">
        <v>2815</v>
      </c>
      <c r="Y575" s="237" t="s">
        <v>588</v>
      </c>
      <c r="Z575" s="237" t="s">
        <v>228</v>
      </c>
      <c r="AA575" s="237" t="s">
        <v>3329</v>
      </c>
      <c r="AB575" s="237" t="s">
        <v>228</v>
      </c>
      <c r="AC575" s="237" t="s">
        <v>228</v>
      </c>
    </row>
    <row r="576" spans="1:29" ht="13.5" customHeight="1">
      <c r="A576" s="235">
        <v>574</v>
      </c>
      <c r="B576" s="235">
        <v>0</v>
      </c>
      <c r="C576" s="255" t="s">
        <v>3330</v>
      </c>
      <c r="D576" s="235" t="s">
        <v>3331</v>
      </c>
      <c r="E576" s="235">
        <v>32</v>
      </c>
      <c r="F576" s="235" t="s">
        <v>60</v>
      </c>
      <c r="G576" s="235" t="s">
        <v>3332</v>
      </c>
      <c r="H576" s="243" t="s">
        <v>188</v>
      </c>
      <c r="I576" s="243"/>
      <c r="K576" s="240"/>
      <c r="L576" s="243" t="s">
        <v>231</v>
      </c>
      <c r="M576" s="243" t="s">
        <v>231</v>
      </c>
      <c r="N576" s="237"/>
      <c r="O576" s="237"/>
      <c r="P576" s="237"/>
      <c r="Q576" s="245">
        <v>45668</v>
      </c>
      <c r="R576" s="237" t="s">
        <v>309</v>
      </c>
      <c r="S576" s="331" t="s">
        <v>233</v>
      </c>
      <c r="T576" s="237">
        <v>0</v>
      </c>
      <c r="U576" s="237" t="s">
        <v>234</v>
      </c>
      <c r="V576" s="237" t="s">
        <v>652</v>
      </c>
      <c r="W576" s="244">
        <v>46003</v>
      </c>
      <c r="X576" s="237" t="s">
        <v>2815</v>
      </c>
      <c r="Y576" s="237" t="s">
        <v>588</v>
      </c>
      <c r="Z576" s="237" t="s">
        <v>228</v>
      </c>
      <c r="AA576" s="237" t="s">
        <v>3333</v>
      </c>
      <c r="AB576" s="237" t="s">
        <v>228</v>
      </c>
      <c r="AC576" s="237" t="s">
        <v>228</v>
      </c>
    </row>
    <row r="577" spans="1:29" ht="13.5" customHeight="1">
      <c r="A577" s="235">
        <v>575</v>
      </c>
      <c r="B577" s="235">
        <v>0</v>
      </c>
      <c r="C577" s="255" t="s">
        <v>3334</v>
      </c>
      <c r="D577" s="235" t="s">
        <v>3335</v>
      </c>
      <c r="E577" s="235">
        <v>58</v>
      </c>
      <c r="F577" s="235" t="s">
        <v>60</v>
      </c>
      <c r="G577" s="235" t="s">
        <v>3336</v>
      </c>
      <c r="H577" s="243" t="s">
        <v>188</v>
      </c>
      <c r="I577" s="243"/>
      <c r="K577" s="240"/>
      <c r="L577" s="243" t="s">
        <v>231</v>
      </c>
      <c r="M577" s="243" t="s">
        <v>231</v>
      </c>
      <c r="N577" s="237"/>
      <c r="O577" s="237"/>
      <c r="P577" s="237"/>
      <c r="Q577" s="245">
        <v>45668</v>
      </c>
      <c r="R577" s="237" t="s">
        <v>309</v>
      </c>
      <c r="S577" s="331" t="s">
        <v>233</v>
      </c>
      <c r="T577" s="237">
        <v>0</v>
      </c>
      <c r="U577" s="237" t="s">
        <v>234</v>
      </c>
      <c r="V577" s="237" t="s">
        <v>652</v>
      </c>
      <c r="W577" s="244">
        <v>46003</v>
      </c>
      <c r="X577" s="237" t="s">
        <v>3337</v>
      </c>
      <c r="Y577" s="237" t="s">
        <v>588</v>
      </c>
      <c r="Z577" s="237" t="s">
        <v>228</v>
      </c>
      <c r="AA577" s="237" t="s">
        <v>3338</v>
      </c>
      <c r="AB577" s="237" t="s">
        <v>228</v>
      </c>
      <c r="AC577" s="237" t="s">
        <v>228</v>
      </c>
    </row>
    <row r="578" spans="1:29" ht="13.5" customHeight="1">
      <c r="A578" s="235">
        <v>576</v>
      </c>
      <c r="B578" s="235">
        <v>0</v>
      </c>
      <c r="C578" s="255" t="s">
        <v>3339</v>
      </c>
      <c r="D578" s="235" t="s">
        <v>3340</v>
      </c>
      <c r="E578" s="235">
        <v>38</v>
      </c>
      <c r="F578" s="235" t="s">
        <v>60</v>
      </c>
      <c r="G578" s="235" t="s">
        <v>3341</v>
      </c>
      <c r="H578" s="243" t="s">
        <v>188</v>
      </c>
      <c r="I578" s="243"/>
      <c r="K578" s="240"/>
      <c r="L578" s="243" t="s">
        <v>231</v>
      </c>
      <c r="M578" s="243" t="s">
        <v>231</v>
      </c>
      <c r="N578" s="237"/>
      <c r="O578" s="237"/>
      <c r="P578" s="237"/>
      <c r="Q578" s="245">
        <v>45670</v>
      </c>
      <c r="R578" s="237" t="s">
        <v>309</v>
      </c>
      <c r="S578" s="331" t="s">
        <v>233</v>
      </c>
      <c r="T578" s="237">
        <v>0</v>
      </c>
      <c r="U578" s="237" t="s">
        <v>234</v>
      </c>
      <c r="V578" s="237" t="s">
        <v>652</v>
      </c>
      <c r="W578" s="244">
        <v>46003</v>
      </c>
      <c r="X578" s="237" t="s">
        <v>3342</v>
      </c>
      <c r="Y578" s="237" t="s">
        <v>588</v>
      </c>
      <c r="Z578" s="237" t="s">
        <v>228</v>
      </c>
      <c r="AA578" s="237" t="s">
        <v>3343</v>
      </c>
      <c r="AB578" s="237" t="s">
        <v>228</v>
      </c>
      <c r="AC578" s="237" t="s">
        <v>228</v>
      </c>
    </row>
    <row r="579" spans="1:29" ht="13.5" customHeight="1">
      <c r="A579" s="235">
        <v>577</v>
      </c>
      <c r="B579" s="235">
        <v>0</v>
      </c>
      <c r="C579" s="255" t="s">
        <v>3344</v>
      </c>
      <c r="D579" s="235" t="s">
        <v>3345</v>
      </c>
      <c r="E579" s="235">
        <v>29</v>
      </c>
      <c r="F579" s="235" t="s">
        <v>60</v>
      </c>
      <c r="G579" s="235" t="s">
        <v>3346</v>
      </c>
      <c r="H579" s="243" t="s">
        <v>188</v>
      </c>
      <c r="I579" s="243"/>
      <c r="K579" s="240"/>
      <c r="L579" s="243" t="s">
        <v>231</v>
      </c>
      <c r="M579" s="243" t="s">
        <v>231</v>
      </c>
      <c r="N579" s="237"/>
      <c r="O579" s="237"/>
      <c r="P579" s="237"/>
      <c r="Q579" s="245">
        <v>45670</v>
      </c>
      <c r="R579" s="237" t="s">
        <v>309</v>
      </c>
      <c r="S579" s="331" t="s">
        <v>233</v>
      </c>
      <c r="T579" s="237">
        <v>0</v>
      </c>
      <c r="U579" s="237" t="s">
        <v>234</v>
      </c>
      <c r="V579" s="237" t="s">
        <v>652</v>
      </c>
      <c r="W579" s="244">
        <v>46003</v>
      </c>
      <c r="X579" s="237" t="s">
        <v>3347</v>
      </c>
      <c r="Y579" s="237" t="s">
        <v>588</v>
      </c>
      <c r="Z579" s="237" t="s">
        <v>228</v>
      </c>
      <c r="AA579" s="237" t="s">
        <v>3348</v>
      </c>
      <c r="AB579" s="237" t="s">
        <v>228</v>
      </c>
      <c r="AC579" s="237" t="s">
        <v>228</v>
      </c>
    </row>
    <row r="580" spans="1:29" ht="13.5" customHeight="1">
      <c r="A580" s="235">
        <v>578</v>
      </c>
      <c r="B580" s="235">
        <v>0</v>
      </c>
      <c r="C580" s="255" t="s">
        <v>3349</v>
      </c>
      <c r="D580" s="235" t="s">
        <v>3350</v>
      </c>
      <c r="E580" s="235">
        <v>26</v>
      </c>
      <c r="F580" s="235" t="s">
        <v>60</v>
      </c>
      <c r="G580" s="235" t="s">
        <v>3351</v>
      </c>
      <c r="H580" s="243" t="s">
        <v>188</v>
      </c>
      <c r="I580" s="243"/>
      <c r="K580" s="240"/>
      <c r="L580" s="243" t="s">
        <v>231</v>
      </c>
      <c r="M580" s="243" t="s">
        <v>231</v>
      </c>
      <c r="N580" s="237"/>
      <c r="O580" s="237"/>
      <c r="P580" s="237"/>
      <c r="Q580" s="245">
        <v>45670</v>
      </c>
      <c r="R580" s="237" t="s">
        <v>309</v>
      </c>
      <c r="S580" s="331" t="s">
        <v>233</v>
      </c>
      <c r="T580" s="237">
        <v>0</v>
      </c>
      <c r="U580" s="237" t="s">
        <v>234</v>
      </c>
      <c r="V580" s="237" t="s">
        <v>652</v>
      </c>
      <c r="W580" s="244">
        <v>46003</v>
      </c>
      <c r="X580" s="237" t="s">
        <v>2010</v>
      </c>
      <c r="Y580" s="237" t="s">
        <v>588</v>
      </c>
      <c r="Z580" s="237" t="s">
        <v>228</v>
      </c>
      <c r="AA580" s="237" t="s">
        <v>3352</v>
      </c>
      <c r="AB580" s="237" t="s">
        <v>228</v>
      </c>
      <c r="AC580" s="237" t="s">
        <v>228</v>
      </c>
    </row>
    <row r="581" spans="1:29" ht="13.5" customHeight="1">
      <c r="A581" s="235">
        <v>579</v>
      </c>
      <c r="B581" s="235" t="s">
        <v>3353</v>
      </c>
      <c r="C581" s="255" t="s">
        <v>3354</v>
      </c>
      <c r="D581" s="235" t="s">
        <v>3355</v>
      </c>
      <c r="E581" s="235">
        <v>29</v>
      </c>
      <c r="F581" s="235" t="s">
        <v>60</v>
      </c>
      <c r="G581" s="235" t="s">
        <v>3356</v>
      </c>
      <c r="H581" s="243" t="s">
        <v>188</v>
      </c>
      <c r="I581" s="243"/>
      <c r="K581" s="240"/>
      <c r="L581" s="243" t="s">
        <v>231</v>
      </c>
      <c r="M581" s="246" t="s">
        <v>228</v>
      </c>
      <c r="N581" s="237"/>
      <c r="O581" s="237"/>
      <c r="P581" s="237"/>
      <c r="Q581" s="245">
        <v>45670</v>
      </c>
      <c r="R581" s="237" t="s">
        <v>309</v>
      </c>
      <c r="S581" s="331" t="s">
        <v>233</v>
      </c>
      <c r="T581" s="237">
        <v>0</v>
      </c>
      <c r="U581" s="237" t="s">
        <v>234</v>
      </c>
      <c r="V581" s="237" t="s">
        <v>228</v>
      </c>
      <c r="W581" s="244" t="s">
        <v>228</v>
      </c>
      <c r="X581" s="237" t="s">
        <v>228</v>
      </c>
      <c r="Y581" s="237" t="s">
        <v>228</v>
      </c>
      <c r="Z581" s="237" t="s">
        <v>228</v>
      </c>
      <c r="AA581" s="237" t="s">
        <v>3357</v>
      </c>
      <c r="AB581" s="237" t="s">
        <v>228</v>
      </c>
      <c r="AC581" s="237" t="s">
        <v>228</v>
      </c>
    </row>
    <row r="582" spans="1:29" ht="13.5" customHeight="1">
      <c r="A582" s="235">
        <v>580</v>
      </c>
      <c r="B582" s="235" t="s">
        <v>3358</v>
      </c>
      <c r="C582" s="255" t="s">
        <v>3359</v>
      </c>
      <c r="D582" s="235" t="s">
        <v>3360</v>
      </c>
      <c r="E582" s="235">
        <v>25</v>
      </c>
      <c r="F582" s="235" t="s">
        <v>75</v>
      </c>
      <c r="G582" s="235" t="s">
        <v>1108</v>
      </c>
      <c r="H582" s="243" t="s">
        <v>188</v>
      </c>
      <c r="I582" s="243"/>
      <c r="K582" s="240"/>
      <c r="L582" s="243" t="s">
        <v>231</v>
      </c>
      <c r="M582" s="246" t="s">
        <v>228</v>
      </c>
      <c r="N582" s="237"/>
      <c r="O582" s="237"/>
      <c r="P582" s="237"/>
      <c r="Q582" s="245">
        <v>45670</v>
      </c>
      <c r="R582" s="237" t="s">
        <v>309</v>
      </c>
      <c r="S582" s="331" t="s">
        <v>233</v>
      </c>
      <c r="T582" s="237">
        <v>8.6</v>
      </c>
      <c r="U582" s="237" t="s">
        <v>234</v>
      </c>
      <c r="V582" s="237" t="s">
        <v>228</v>
      </c>
      <c r="W582" s="244" t="s">
        <v>228</v>
      </c>
      <c r="X582" s="237" t="s">
        <v>228</v>
      </c>
      <c r="Y582" s="237" t="s">
        <v>228</v>
      </c>
      <c r="Z582" s="237" t="s">
        <v>228</v>
      </c>
      <c r="AA582" s="237" t="s">
        <v>3361</v>
      </c>
      <c r="AB582" s="237" t="s">
        <v>228</v>
      </c>
      <c r="AC582" s="237" t="s">
        <v>228</v>
      </c>
    </row>
    <row r="583" spans="1:29" ht="13.5" customHeight="1">
      <c r="A583" s="235">
        <v>581</v>
      </c>
      <c r="B583" s="235" t="s">
        <v>3362</v>
      </c>
      <c r="C583" s="255" t="s">
        <v>3363</v>
      </c>
      <c r="D583" s="235" t="s">
        <v>3364</v>
      </c>
      <c r="E583" s="235">
        <v>25</v>
      </c>
      <c r="F583" s="235" t="s">
        <v>60</v>
      </c>
      <c r="G583" s="235" t="s">
        <v>3365</v>
      </c>
      <c r="H583" s="243" t="s">
        <v>188</v>
      </c>
      <c r="I583" s="243"/>
      <c r="K583" s="240"/>
      <c r="L583" s="243" t="s">
        <v>231</v>
      </c>
      <c r="M583" s="246" t="s">
        <v>228</v>
      </c>
      <c r="N583" s="237"/>
      <c r="O583" s="237"/>
      <c r="P583" s="237"/>
      <c r="Q583" s="245">
        <v>45670</v>
      </c>
      <c r="R583" s="237" t="s">
        <v>309</v>
      </c>
      <c r="S583" s="331" t="s">
        <v>233</v>
      </c>
      <c r="T583" s="237">
        <v>0</v>
      </c>
      <c r="U583" s="237" t="s">
        <v>234</v>
      </c>
      <c r="V583" s="237" t="s">
        <v>228</v>
      </c>
      <c r="W583" s="244" t="s">
        <v>228</v>
      </c>
      <c r="X583" s="237" t="s">
        <v>228</v>
      </c>
      <c r="Y583" s="237" t="s">
        <v>228</v>
      </c>
      <c r="Z583" s="237" t="s">
        <v>228</v>
      </c>
      <c r="AA583" s="237" t="s">
        <v>3366</v>
      </c>
      <c r="AB583" s="237" t="s">
        <v>228</v>
      </c>
      <c r="AC583" s="237" t="s">
        <v>228</v>
      </c>
    </row>
    <row r="584" spans="1:29" ht="13.5" customHeight="1">
      <c r="A584" s="235">
        <v>582</v>
      </c>
      <c r="B584" s="235" t="s">
        <v>3367</v>
      </c>
      <c r="C584" s="255" t="s">
        <v>3368</v>
      </c>
      <c r="D584" s="235" t="s">
        <v>3369</v>
      </c>
      <c r="E584" s="235">
        <v>27</v>
      </c>
      <c r="F584" s="235" t="s">
        <v>60</v>
      </c>
      <c r="G584" s="235" t="s">
        <v>3370</v>
      </c>
      <c r="H584" s="243" t="s">
        <v>188</v>
      </c>
      <c r="I584" s="243"/>
      <c r="K584" s="240"/>
      <c r="L584" s="243" t="s">
        <v>231</v>
      </c>
      <c r="M584" s="246" t="s">
        <v>228</v>
      </c>
      <c r="N584" s="237"/>
      <c r="O584" s="237"/>
      <c r="P584" s="237"/>
      <c r="Q584" s="245">
        <v>45670</v>
      </c>
      <c r="R584" s="237" t="s">
        <v>309</v>
      </c>
      <c r="S584" s="331" t="s">
        <v>233</v>
      </c>
      <c r="T584" s="237">
        <v>0</v>
      </c>
      <c r="U584" s="237" t="s">
        <v>234</v>
      </c>
      <c r="V584" s="237" t="s">
        <v>228</v>
      </c>
      <c r="W584" s="244" t="s">
        <v>228</v>
      </c>
      <c r="X584" s="237" t="s">
        <v>228</v>
      </c>
      <c r="Y584" s="237" t="s">
        <v>228</v>
      </c>
      <c r="Z584" s="237" t="s">
        <v>228</v>
      </c>
      <c r="AA584" s="237" t="s">
        <v>3371</v>
      </c>
      <c r="AB584" s="237" t="s">
        <v>228</v>
      </c>
      <c r="AC584" s="237" t="s">
        <v>228</v>
      </c>
    </row>
    <row r="585" spans="1:29" ht="13.5" customHeight="1">
      <c r="A585" s="235">
        <v>583</v>
      </c>
      <c r="B585" s="235">
        <v>0</v>
      </c>
      <c r="C585" s="255" t="s">
        <v>3372</v>
      </c>
      <c r="D585" s="235" t="s">
        <v>3373</v>
      </c>
      <c r="E585" s="235">
        <v>28</v>
      </c>
      <c r="F585" s="235" t="s">
        <v>60</v>
      </c>
      <c r="G585" s="235" t="s">
        <v>3374</v>
      </c>
      <c r="H585" s="243" t="s">
        <v>188</v>
      </c>
      <c r="I585" s="243"/>
      <c r="K585" s="240"/>
      <c r="L585" s="243" t="s">
        <v>231</v>
      </c>
      <c r="M585" s="243" t="s">
        <v>231</v>
      </c>
      <c r="N585" s="237"/>
      <c r="O585" s="237"/>
      <c r="P585" s="237"/>
      <c r="Q585" s="245">
        <v>45670</v>
      </c>
      <c r="R585" s="237" t="s">
        <v>309</v>
      </c>
      <c r="S585" s="331" t="s">
        <v>233</v>
      </c>
      <c r="T585" s="237">
        <v>0</v>
      </c>
      <c r="U585" s="237" t="s">
        <v>234</v>
      </c>
      <c r="V585" s="237" t="s">
        <v>652</v>
      </c>
      <c r="W585" s="244">
        <v>46003</v>
      </c>
      <c r="X585" s="237" t="s">
        <v>3375</v>
      </c>
      <c r="Y585" s="237" t="s">
        <v>588</v>
      </c>
      <c r="Z585" s="237" t="s">
        <v>228</v>
      </c>
      <c r="AA585" s="237" t="s">
        <v>3376</v>
      </c>
      <c r="AB585" s="237" t="s">
        <v>228</v>
      </c>
      <c r="AC585" s="237" t="s">
        <v>228</v>
      </c>
    </row>
    <row r="586" spans="1:29" ht="13.5" customHeight="1">
      <c r="A586" s="235">
        <v>584</v>
      </c>
      <c r="B586" s="235" t="s">
        <v>3377</v>
      </c>
      <c r="C586" s="255" t="s">
        <v>3378</v>
      </c>
      <c r="D586" s="235" t="s">
        <v>3379</v>
      </c>
      <c r="E586" s="235">
        <v>24</v>
      </c>
      <c r="F586" s="235" t="s">
        <v>75</v>
      </c>
      <c r="G586" s="235" t="s">
        <v>3380</v>
      </c>
      <c r="H586" s="243" t="s">
        <v>188</v>
      </c>
      <c r="I586" s="243"/>
      <c r="K586" s="240"/>
      <c r="L586" s="243" t="s">
        <v>231</v>
      </c>
      <c r="M586" s="246" t="s">
        <v>228</v>
      </c>
      <c r="N586" s="237"/>
      <c r="O586" s="237"/>
      <c r="P586" s="237"/>
      <c r="Q586" s="245">
        <v>45670</v>
      </c>
      <c r="R586" s="237" t="s">
        <v>309</v>
      </c>
      <c r="S586" s="331" t="s">
        <v>233</v>
      </c>
      <c r="T586" s="237" t="s">
        <v>228</v>
      </c>
      <c r="U586" s="237" t="s">
        <v>234</v>
      </c>
      <c r="V586" s="237" t="s">
        <v>228</v>
      </c>
      <c r="W586" s="244" t="s">
        <v>228</v>
      </c>
      <c r="X586" s="237" t="s">
        <v>228</v>
      </c>
      <c r="Y586" s="237" t="s">
        <v>228</v>
      </c>
      <c r="Z586" s="237" t="s">
        <v>228</v>
      </c>
      <c r="AA586" s="237" t="s">
        <v>3381</v>
      </c>
      <c r="AB586" s="237" t="s">
        <v>228</v>
      </c>
      <c r="AC586" s="237" t="s">
        <v>228</v>
      </c>
    </row>
    <row r="587" spans="1:29" ht="13.5" customHeight="1">
      <c r="A587" s="235">
        <v>585</v>
      </c>
      <c r="B587" s="235" t="s">
        <v>3382</v>
      </c>
      <c r="C587" s="255" t="s">
        <v>3383</v>
      </c>
      <c r="D587" s="235" t="s">
        <v>3384</v>
      </c>
      <c r="E587" s="235">
        <v>30</v>
      </c>
      <c r="F587" s="235" t="s">
        <v>75</v>
      </c>
      <c r="G587" s="235" t="s">
        <v>3385</v>
      </c>
      <c r="H587" s="243" t="s">
        <v>188</v>
      </c>
      <c r="I587" s="243"/>
      <c r="K587" s="240"/>
      <c r="L587" s="243" t="s">
        <v>231</v>
      </c>
      <c r="M587" s="246" t="s">
        <v>228</v>
      </c>
      <c r="N587" s="237"/>
      <c r="O587" s="237"/>
      <c r="P587" s="237"/>
      <c r="Q587" s="245">
        <v>45670</v>
      </c>
      <c r="R587" s="237" t="s">
        <v>309</v>
      </c>
      <c r="S587" s="331" t="s">
        <v>233</v>
      </c>
      <c r="T587" s="237" t="s">
        <v>228</v>
      </c>
      <c r="U587" s="237" t="s">
        <v>234</v>
      </c>
      <c r="V587" s="237" t="s">
        <v>228</v>
      </c>
      <c r="W587" s="244" t="s">
        <v>228</v>
      </c>
      <c r="X587" s="237" t="s">
        <v>228</v>
      </c>
      <c r="Y587" s="237" t="s">
        <v>228</v>
      </c>
      <c r="Z587" s="237" t="s">
        <v>228</v>
      </c>
      <c r="AA587" s="237" t="s">
        <v>3386</v>
      </c>
      <c r="AB587" s="237" t="s">
        <v>228</v>
      </c>
      <c r="AC587" s="237" t="s">
        <v>228</v>
      </c>
    </row>
    <row r="588" spans="1:29" ht="13.5" customHeight="1">
      <c r="A588" s="235">
        <v>586</v>
      </c>
      <c r="B588" s="235" t="s">
        <v>3387</v>
      </c>
      <c r="C588" s="255" t="s">
        <v>3388</v>
      </c>
      <c r="D588" s="235" t="s">
        <v>3389</v>
      </c>
      <c r="E588" s="235">
        <v>20</v>
      </c>
      <c r="F588" s="235" t="s">
        <v>75</v>
      </c>
      <c r="G588" s="235" t="s">
        <v>3390</v>
      </c>
      <c r="H588" s="243" t="s">
        <v>188</v>
      </c>
      <c r="I588" s="243"/>
      <c r="K588" s="240"/>
      <c r="L588" s="243" t="s">
        <v>231</v>
      </c>
      <c r="M588" s="246" t="s">
        <v>228</v>
      </c>
      <c r="N588" s="237"/>
      <c r="O588" s="237"/>
      <c r="P588" s="237"/>
      <c r="Q588" s="245">
        <v>45670</v>
      </c>
      <c r="R588" s="237" t="s">
        <v>309</v>
      </c>
      <c r="S588" s="331" t="s">
        <v>233</v>
      </c>
      <c r="T588" s="237" t="s">
        <v>228</v>
      </c>
      <c r="U588" s="237" t="s">
        <v>234</v>
      </c>
      <c r="V588" s="237" t="s">
        <v>228</v>
      </c>
      <c r="W588" s="244" t="s">
        <v>228</v>
      </c>
      <c r="X588" s="237" t="s">
        <v>228</v>
      </c>
      <c r="Y588" s="237" t="s">
        <v>228</v>
      </c>
      <c r="Z588" s="237" t="s">
        <v>228</v>
      </c>
      <c r="AA588" s="237" t="s">
        <v>3391</v>
      </c>
      <c r="AB588" s="237" t="s">
        <v>228</v>
      </c>
      <c r="AC588" s="237" t="s">
        <v>228</v>
      </c>
    </row>
    <row r="589" spans="1:29" ht="13.5" customHeight="1">
      <c r="A589" s="235">
        <v>587</v>
      </c>
      <c r="B589" s="235">
        <v>0</v>
      </c>
      <c r="C589" s="255" t="s">
        <v>3392</v>
      </c>
      <c r="D589" s="235" t="s">
        <v>3393</v>
      </c>
      <c r="E589" s="235">
        <v>21</v>
      </c>
      <c r="F589" s="235" t="s">
        <v>75</v>
      </c>
      <c r="G589" s="235" t="s">
        <v>3394</v>
      </c>
      <c r="H589" s="243" t="s">
        <v>188</v>
      </c>
      <c r="I589" s="243"/>
      <c r="K589" s="240"/>
      <c r="L589" s="243" t="s">
        <v>231</v>
      </c>
      <c r="M589" s="243" t="s">
        <v>231</v>
      </c>
      <c r="N589" s="237"/>
      <c r="O589" s="237"/>
      <c r="P589" s="237"/>
      <c r="Q589" s="245">
        <v>45670</v>
      </c>
      <c r="R589" s="237" t="s">
        <v>309</v>
      </c>
      <c r="S589" s="331" t="s">
        <v>233</v>
      </c>
      <c r="T589" s="237">
        <v>0</v>
      </c>
      <c r="U589" s="237" t="s">
        <v>234</v>
      </c>
      <c r="V589" s="237" t="s">
        <v>652</v>
      </c>
      <c r="W589" s="244">
        <v>46003</v>
      </c>
      <c r="X589" s="237" t="s">
        <v>3395</v>
      </c>
      <c r="Y589" s="237" t="s">
        <v>588</v>
      </c>
      <c r="Z589" s="237" t="s">
        <v>228</v>
      </c>
      <c r="AA589" s="237" t="s">
        <v>3396</v>
      </c>
      <c r="AB589" s="237" t="s">
        <v>228</v>
      </c>
      <c r="AC589" s="237" t="s">
        <v>228</v>
      </c>
    </row>
    <row r="590" spans="1:29" ht="13.5" customHeight="1">
      <c r="A590" s="235">
        <v>588</v>
      </c>
      <c r="B590" s="235">
        <v>0</v>
      </c>
      <c r="C590" s="255" t="s">
        <v>3397</v>
      </c>
      <c r="D590" s="235" t="s">
        <v>3398</v>
      </c>
      <c r="E590" s="235">
        <v>36</v>
      </c>
      <c r="F590" s="235" t="s">
        <v>60</v>
      </c>
      <c r="G590" s="235" t="s">
        <v>3399</v>
      </c>
      <c r="H590" s="243" t="s">
        <v>188</v>
      </c>
      <c r="I590" s="243"/>
      <c r="K590" s="240"/>
      <c r="L590" s="243" t="s">
        <v>231</v>
      </c>
      <c r="M590" s="243" t="s">
        <v>231</v>
      </c>
      <c r="N590" s="237"/>
      <c r="O590" s="237"/>
      <c r="P590" s="237"/>
      <c r="Q590" s="245">
        <v>45672</v>
      </c>
      <c r="R590" s="237" t="s">
        <v>309</v>
      </c>
      <c r="S590" s="331" t="s">
        <v>233</v>
      </c>
      <c r="T590" s="237">
        <v>0</v>
      </c>
      <c r="U590" s="237" t="s">
        <v>234</v>
      </c>
      <c r="V590" s="237" t="s">
        <v>652</v>
      </c>
      <c r="W590" s="244">
        <v>46003</v>
      </c>
      <c r="X590" s="237" t="s">
        <v>2272</v>
      </c>
      <c r="Y590" s="237" t="s">
        <v>588</v>
      </c>
      <c r="Z590" s="237" t="s">
        <v>228</v>
      </c>
      <c r="AA590" s="237" t="s">
        <v>3400</v>
      </c>
      <c r="AB590" s="237" t="s">
        <v>228</v>
      </c>
      <c r="AC590" s="237" t="s">
        <v>228</v>
      </c>
    </row>
    <row r="591" spans="1:29" ht="13.5" customHeight="1">
      <c r="A591" s="235">
        <v>589</v>
      </c>
      <c r="B591" s="235">
        <v>0</v>
      </c>
      <c r="C591" s="255" t="s">
        <v>3401</v>
      </c>
      <c r="D591" s="235" t="s">
        <v>3402</v>
      </c>
      <c r="E591" s="235">
        <v>31</v>
      </c>
      <c r="F591" s="235" t="s">
        <v>60</v>
      </c>
      <c r="G591" s="235" t="s">
        <v>3403</v>
      </c>
      <c r="H591" s="243" t="s">
        <v>188</v>
      </c>
      <c r="I591" s="243"/>
      <c r="K591" s="240"/>
      <c r="L591" s="243" t="s">
        <v>231</v>
      </c>
      <c r="M591" s="243" t="s">
        <v>231</v>
      </c>
      <c r="N591" s="237"/>
      <c r="O591" s="237"/>
      <c r="P591" s="237"/>
      <c r="Q591" s="245">
        <v>45672</v>
      </c>
      <c r="R591" s="237" t="s">
        <v>309</v>
      </c>
      <c r="S591" s="331" t="s">
        <v>233</v>
      </c>
      <c r="T591" s="237">
        <v>0</v>
      </c>
      <c r="U591" s="237" t="s">
        <v>234</v>
      </c>
      <c r="V591" s="237" t="s">
        <v>652</v>
      </c>
      <c r="W591" s="244">
        <v>46003</v>
      </c>
      <c r="X591" s="237" t="s">
        <v>3404</v>
      </c>
      <c r="Y591" s="237" t="s">
        <v>588</v>
      </c>
      <c r="Z591" s="237" t="s">
        <v>228</v>
      </c>
      <c r="AA591" s="237" t="s">
        <v>3405</v>
      </c>
      <c r="AB591" s="237" t="s">
        <v>228</v>
      </c>
      <c r="AC591" s="237" t="s">
        <v>228</v>
      </c>
    </row>
    <row r="592" spans="1:29" ht="13.5" customHeight="1">
      <c r="A592" s="235">
        <v>590</v>
      </c>
      <c r="B592" s="235">
        <v>0</v>
      </c>
      <c r="C592" s="255" t="s">
        <v>3406</v>
      </c>
      <c r="D592" s="235" t="s">
        <v>3407</v>
      </c>
      <c r="E592" s="235">
        <v>52</v>
      </c>
      <c r="F592" s="235" t="s">
        <v>75</v>
      </c>
      <c r="G592" s="235" t="s">
        <v>3408</v>
      </c>
      <c r="H592" s="243" t="s">
        <v>188</v>
      </c>
      <c r="I592" s="243"/>
      <c r="K592" s="240"/>
      <c r="L592" s="243" t="s">
        <v>231</v>
      </c>
      <c r="M592" s="243" t="s">
        <v>231</v>
      </c>
      <c r="N592" s="237"/>
      <c r="O592" s="237"/>
      <c r="P592" s="237"/>
      <c r="Q592" s="245">
        <v>45672</v>
      </c>
      <c r="R592" s="237" t="s">
        <v>309</v>
      </c>
      <c r="S592" s="331" t="s">
        <v>233</v>
      </c>
      <c r="T592" s="237">
        <v>0</v>
      </c>
      <c r="U592" s="237" t="s">
        <v>234</v>
      </c>
      <c r="V592" s="237" t="s">
        <v>652</v>
      </c>
      <c r="W592" s="244">
        <v>46003</v>
      </c>
      <c r="X592" s="237" t="s">
        <v>3409</v>
      </c>
      <c r="Y592" s="237" t="s">
        <v>588</v>
      </c>
      <c r="Z592" s="237" t="s">
        <v>228</v>
      </c>
      <c r="AA592" s="237" t="s">
        <v>3410</v>
      </c>
      <c r="AB592" s="237" t="s">
        <v>228</v>
      </c>
      <c r="AC592" s="237" t="s">
        <v>228</v>
      </c>
    </row>
    <row r="593" spans="1:29" ht="13.5" customHeight="1">
      <c r="A593" s="235">
        <v>591</v>
      </c>
      <c r="B593" s="235">
        <v>0</v>
      </c>
      <c r="C593" s="255" t="s">
        <v>3411</v>
      </c>
      <c r="D593" s="235" t="s">
        <v>3412</v>
      </c>
      <c r="E593" s="235">
        <v>29</v>
      </c>
      <c r="F593" s="235" t="s">
        <v>75</v>
      </c>
      <c r="G593" s="235" t="s">
        <v>3413</v>
      </c>
      <c r="H593" s="243" t="s">
        <v>188</v>
      </c>
      <c r="I593" s="243"/>
      <c r="K593" s="240"/>
      <c r="L593" s="243" t="s">
        <v>231</v>
      </c>
      <c r="M593" s="243" t="s">
        <v>231</v>
      </c>
      <c r="N593" s="237"/>
      <c r="O593" s="237"/>
      <c r="P593" s="237"/>
      <c r="Q593" s="245">
        <v>45672</v>
      </c>
      <c r="R593" s="237" t="s">
        <v>309</v>
      </c>
      <c r="S593" s="331" t="s">
        <v>233</v>
      </c>
      <c r="T593" s="237">
        <v>0</v>
      </c>
      <c r="U593" s="237" t="s">
        <v>234</v>
      </c>
      <c r="V593" s="237" t="s">
        <v>652</v>
      </c>
      <c r="W593" s="244">
        <v>46003</v>
      </c>
      <c r="X593" s="237" t="s">
        <v>3414</v>
      </c>
      <c r="Y593" s="237" t="s">
        <v>588</v>
      </c>
      <c r="Z593" s="237" t="s">
        <v>228</v>
      </c>
      <c r="AA593" s="237" t="s">
        <v>3415</v>
      </c>
      <c r="AB593" s="237" t="s">
        <v>228</v>
      </c>
      <c r="AC593" s="237" t="s">
        <v>228</v>
      </c>
    </row>
    <row r="594" spans="1:29" ht="13.5" customHeight="1">
      <c r="A594" s="235">
        <v>592</v>
      </c>
      <c r="B594" s="235">
        <v>0</v>
      </c>
      <c r="C594" s="255" t="s">
        <v>3416</v>
      </c>
      <c r="D594" s="235" t="s">
        <v>3417</v>
      </c>
      <c r="E594" s="235">
        <v>63</v>
      </c>
      <c r="F594" s="235" t="s">
        <v>60</v>
      </c>
      <c r="G594" s="235" t="s">
        <v>3418</v>
      </c>
      <c r="H594" s="243" t="s">
        <v>188</v>
      </c>
      <c r="I594" s="243"/>
      <c r="K594" s="240"/>
      <c r="L594" s="243" t="s">
        <v>231</v>
      </c>
      <c r="M594" s="243" t="s">
        <v>231</v>
      </c>
      <c r="N594" s="237"/>
      <c r="O594" s="237"/>
      <c r="P594" s="237"/>
      <c r="Q594" s="245">
        <v>45672</v>
      </c>
      <c r="R594" s="237" t="s">
        <v>309</v>
      </c>
      <c r="S594" s="331" t="s">
        <v>233</v>
      </c>
      <c r="T594" s="237">
        <v>0</v>
      </c>
      <c r="U594" s="237" t="s">
        <v>234</v>
      </c>
      <c r="V594" s="237" t="s">
        <v>652</v>
      </c>
      <c r="W594" s="244">
        <v>46003</v>
      </c>
      <c r="X594" s="237" t="s">
        <v>3419</v>
      </c>
      <c r="Y594" s="237" t="s">
        <v>588</v>
      </c>
      <c r="Z594" s="237" t="s">
        <v>228</v>
      </c>
      <c r="AA594" s="237" t="s">
        <v>3420</v>
      </c>
      <c r="AB594" s="237" t="s">
        <v>228</v>
      </c>
      <c r="AC594" s="237" t="s">
        <v>228</v>
      </c>
    </row>
    <row r="595" spans="1:29" ht="13.5" customHeight="1">
      <c r="A595" s="235">
        <v>593</v>
      </c>
      <c r="B595" s="235">
        <v>0</v>
      </c>
      <c r="C595" s="255" t="s">
        <v>3421</v>
      </c>
      <c r="D595" s="235" t="s">
        <v>3422</v>
      </c>
      <c r="E595" s="235">
        <v>29</v>
      </c>
      <c r="F595" s="235" t="s">
        <v>60</v>
      </c>
      <c r="G595" s="235" t="s">
        <v>3423</v>
      </c>
      <c r="H595" s="243" t="s">
        <v>188</v>
      </c>
      <c r="I595" s="243"/>
      <c r="K595" s="240"/>
      <c r="L595" s="243" t="s">
        <v>231</v>
      </c>
      <c r="M595" s="243" t="s">
        <v>231</v>
      </c>
      <c r="N595" s="237"/>
      <c r="O595" s="237"/>
      <c r="P595" s="237"/>
      <c r="Q595" s="245">
        <v>45672</v>
      </c>
      <c r="R595" s="237" t="s">
        <v>309</v>
      </c>
      <c r="S595" s="331" t="s">
        <v>233</v>
      </c>
      <c r="T595" s="237">
        <v>0</v>
      </c>
      <c r="U595" s="237" t="s">
        <v>234</v>
      </c>
      <c r="V595" s="237" t="s">
        <v>652</v>
      </c>
      <c r="W595" s="244">
        <v>46003</v>
      </c>
      <c r="X595" s="237" t="s">
        <v>3424</v>
      </c>
      <c r="Y595" s="237" t="s">
        <v>588</v>
      </c>
      <c r="Z595" s="237" t="s">
        <v>228</v>
      </c>
      <c r="AA595" s="237" t="s">
        <v>3425</v>
      </c>
      <c r="AB595" s="237" t="s">
        <v>228</v>
      </c>
      <c r="AC595" s="237" t="s">
        <v>228</v>
      </c>
    </row>
    <row r="596" spans="1:29" ht="13.5" customHeight="1">
      <c r="A596" s="235">
        <v>594</v>
      </c>
      <c r="B596" s="235">
        <v>0</v>
      </c>
      <c r="C596" s="255" t="s">
        <v>3426</v>
      </c>
      <c r="D596" s="235" t="s">
        <v>3427</v>
      </c>
      <c r="E596" s="235">
        <v>58</v>
      </c>
      <c r="F596" s="235" t="s">
        <v>60</v>
      </c>
      <c r="G596" s="235" t="s">
        <v>3428</v>
      </c>
      <c r="H596" s="243" t="s">
        <v>188</v>
      </c>
      <c r="I596" s="243"/>
      <c r="K596" s="240"/>
      <c r="L596" s="243" t="s">
        <v>231</v>
      </c>
      <c r="M596" s="243" t="s">
        <v>231</v>
      </c>
      <c r="N596" s="237"/>
      <c r="O596" s="237"/>
      <c r="P596" s="237"/>
      <c r="Q596" s="245">
        <v>45672</v>
      </c>
      <c r="R596" s="237" t="s">
        <v>309</v>
      </c>
      <c r="S596" s="331" t="s">
        <v>233</v>
      </c>
      <c r="T596" s="237">
        <v>0</v>
      </c>
      <c r="U596" s="237" t="s">
        <v>234</v>
      </c>
      <c r="V596" s="237" t="s">
        <v>652</v>
      </c>
      <c r="W596" s="244">
        <v>46003</v>
      </c>
      <c r="X596" s="237" t="s">
        <v>3429</v>
      </c>
      <c r="Y596" s="237" t="s">
        <v>588</v>
      </c>
      <c r="Z596" s="237" t="s">
        <v>228</v>
      </c>
      <c r="AA596" s="237" t="s">
        <v>3430</v>
      </c>
      <c r="AB596" s="237" t="s">
        <v>228</v>
      </c>
      <c r="AC596" s="237" t="s">
        <v>228</v>
      </c>
    </row>
    <row r="597" spans="1:29" ht="13.5" customHeight="1">
      <c r="A597" s="235">
        <v>595</v>
      </c>
      <c r="B597" s="235">
        <v>0</v>
      </c>
      <c r="C597" s="255" t="s">
        <v>3431</v>
      </c>
      <c r="D597" s="235" t="s">
        <v>3432</v>
      </c>
      <c r="E597" s="235">
        <v>55</v>
      </c>
      <c r="F597" s="235" t="s">
        <v>75</v>
      </c>
      <c r="G597" s="235" t="s">
        <v>3433</v>
      </c>
      <c r="H597" s="243" t="s">
        <v>188</v>
      </c>
      <c r="I597" s="243"/>
      <c r="K597" s="240"/>
      <c r="L597" s="243" t="s">
        <v>231</v>
      </c>
      <c r="M597" s="243" t="s">
        <v>231</v>
      </c>
      <c r="N597" s="237"/>
      <c r="O597" s="237"/>
      <c r="P597" s="237"/>
      <c r="Q597" s="245">
        <v>45672</v>
      </c>
      <c r="R597" s="237" t="s">
        <v>309</v>
      </c>
      <c r="S597" s="331" t="s">
        <v>233</v>
      </c>
      <c r="T597" s="237">
        <v>0</v>
      </c>
      <c r="U597" s="237" t="s">
        <v>234</v>
      </c>
      <c r="V597" s="237" t="s">
        <v>652</v>
      </c>
      <c r="W597" s="244">
        <v>46003</v>
      </c>
      <c r="X597" s="237" t="s">
        <v>3434</v>
      </c>
      <c r="Y597" s="237" t="s">
        <v>588</v>
      </c>
      <c r="Z597" s="237" t="s">
        <v>228</v>
      </c>
      <c r="AA597" s="237" t="s">
        <v>3435</v>
      </c>
      <c r="AB597" s="237" t="s">
        <v>228</v>
      </c>
      <c r="AC597" s="237" t="s">
        <v>228</v>
      </c>
    </row>
    <row r="598" spans="1:29" ht="13.5" customHeight="1">
      <c r="A598" s="235">
        <v>596</v>
      </c>
      <c r="B598" s="235">
        <v>0</v>
      </c>
      <c r="C598" s="255" t="s">
        <v>3436</v>
      </c>
      <c r="D598" s="235" t="s">
        <v>3437</v>
      </c>
      <c r="E598" s="235">
        <v>40</v>
      </c>
      <c r="F598" s="235" t="s">
        <v>75</v>
      </c>
      <c r="G598" s="235" t="s">
        <v>3438</v>
      </c>
      <c r="H598" s="243" t="s">
        <v>188</v>
      </c>
      <c r="I598" s="243"/>
      <c r="K598" s="240"/>
      <c r="L598" s="243" t="s">
        <v>231</v>
      </c>
      <c r="M598" s="243" t="s">
        <v>231</v>
      </c>
      <c r="N598" s="237"/>
      <c r="O598" s="237"/>
      <c r="P598" s="237"/>
      <c r="Q598" s="245">
        <v>45672</v>
      </c>
      <c r="R598" s="237" t="s">
        <v>309</v>
      </c>
      <c r="S598" s="331" t="s">
        <v>233</v>
      </c>
      <c r="T598" s="237">
        <v>0</v>
      </c>
      <c r="U598" s="237" t="s">
        <v>234</v>
      </c>
      <c r="V598" s="237" t="s">
        <v>652</v>
      </c>
      <c r="W598" s="244">
        <v>46003</v>
      </c>
      <c r="X598" s="237" t="s">
        <v>1522</v>
      </c>
      <c r="Y598" s="237" t="s">
        <v>588</v>
      </c>
      <c r="Z598" s="237" t="s">
        <v>228</v>
      </c>
      <c r="AA598" s="237" t="s">
        <v>3439</v>
      </c>
      <c r="AB598" s="237" t="s">
        <v>228</v>
      </c>
      <c r="AC598" s="237" t="s">
        <v>228</v>
      </c>
    </row>
    <row r="599" spans="1:29" ht="13.5" customHeight="1">
      <c r="A599" s="235">
        <v>597</v>
      </c>
      <c r="B599" s="235">
        <v>0</v>
      </c>
      <c r="C599" s="255" t="s">
        <v>3440</v>
      </c>
      <c r="D599" s="235" t="s">
        <v>3441</v>
      </c>
      <c r="E599" s="235">
        <v>49</v>
      </c>
      <c r="F599" s="235" t="s">
        <v>75</v>
      </c>
      <c r="G599" s="235" t="s">
        <v>3442</v>
      </c>
      <c r="H599" s="243" t="s">
        <v>188</v>
      </c>
      <c r="I599" s="243"/>
      <c r="K599" s="240"/>
      <c r="L599" s="243" t="s">
        <v>231</v>
      </c>
      <c r="M599" s="243" t="s">
        <v>231</v>
      </c>
      <c r="N599" s="237"/>
      <c r="O599" s="237"/>
      <c r="P599" s="237"/>
      <c r="Q599" s="245">
        <v>45672</v>
      </c>
      <c r="R599" s="237" t="s">
        <v>309</v>
      </c>
      <c r="S599" s="331" t="s">
        <v>233</v>
      </c>
      <c r="T599" s="237">
        <v>0</v>
      </c>
      <c r="U599" s="237" t="s">
        <v>234</v>
      </c>
      <c r="V599" s="237" t="s">
        <v>652</v>
      </c>
      <c r="W599" s="244">
        <v>46003</v>
      </c>
      <c r="X599" s="237" t="s">
        <v>3443</v>
      </c>
      <c r="Y599" s="237" t="s">
        <v>588</v>
      </c>
      <c r="Z599" s="237" t="s">
        <v>228</v>
      </c>
      <c r="AA599" s="237" t="s">
        <v>3444</v>
      </c>
      <c r="AB599" s="237" t="s">
        <v>228</v>
      </c>
      <c r="AC599" s="237" t="s">
        <v>228</v>
      </c>
    </row>
    <row r="600" spans="1:29" ht="13.5" customHeight="1">
      <c r="A600" s="235">
        <v>598</v>
      </c>
      <c r="B600" s="235">
        <v>0</v>
      </c>
      <c r="C600" s="255" t="s">
        <v>3445</v>
      </c>
      <c r="D600" s="235" t="s">
        <v>3446</v>
      </c>
      <c r="E600" s="235">
        <v>56</v>
      </c>
      <c r="F600" s="235" t="s">
        <v>75</v>
      </c>
      <c r="G600" s="235" t="s">
        <v>3447</v>
      </c>
      <c r="H600" s="243" t="s">
        <v>188</v>
      </c>
      <c r="I600" s="243"/>
      <c r="K600" s="240"/>
      <c r="L600" s="243" t="s">
        <v>231</v>
      </c>
      <c r="M600" s="243" t="s">
        <v>231</v>
      </c>
      <c r="N600" s="237"/>
      <c r="O600" s="237"/>
      <c r="P600" s="237"/>
      <c r="Q600" s="245">
        <v>45672</v>
      </c>
      <c r="R600" s="237" t="s">
        <v>309</v>
      </c>
      <c r="S600" s="331" t="s">
        <v>233</v>
      </c>
      <c r="T600" s="237">
        <v>0</v>
      </c>
      <c r="U600" s="237" t="s">
        <v>234</v>
      </c>
      <c r="V600" s="237" t="s">
        <v>652</v>
      </c>
      <c r="W600" s="244">
        <v>46003</v>
      </c>
      <c r="X600" s="237" t="s">
        <v>3448</v>
      </c>
      <c r="Y600" s="237" t="s">
        <v>588</v>
      </c>
      <c r="Z600" s="237" t="s">
        <v>228</v>
      </c>
      <c r="AA600" s="237" t="s">
        <v>3449</v>
      </c>
      <c r="AB600" s="237" t="s">
        <v>228</v>
      </c>
      <c r="AC600" s="237" t="s">
        <v>228</v>
      </c>
    </row>
    <row r="601" spans="1:29" ht="13.5" customHeight="1">
      <c r="A601" s="235">
        <v>599</v>
      </c>
      <c r="B601" s="235">
        <v>0</v>
      </c>
      <c r="C601" s="255" t="s">
        <v>3450</v>
      </c>
      <c r="D601" s="235" t="s">
        <v>3451</v>
      </c>
      <c r="E601" s="235">
        <v>30</v>
      </c>
      <c r="F601" s="235" t="s">
        <v>75</v>
      </c>
      <c r="G601" s="235" t="s">
        <v>3452</v>
      </c>
      <c r="H601" s="243" t="s">
        <v>188</v>
      </c>
      <c r="I601" s="243"/>
      <c r="K601" s="240"/>
      <c r="L601" s="243" t="s">
        <v>231</v>
      </c>
      <c r="M601" s="243" t="s">
        <v>231</v>
      </c>
      <c r="N601" s="237"/>
      <c r="O601" s="237"/>
      <c r="P601" s="237"/>
      <c r="Q601" s="245">
        <v>45672</v>
      </c>
      <c r="R601" s="237" t="s">
        <v>309</v>
      </c>
      <c r="S601" s="331" t="s">
        <v>233</v>
      </c>
      <c r="T601" s="237">
        <v>0</v>
      </c>
      <c r="U601" s="237" t="s">
        <v>234</v>
      </c>
      <c r="V601" s="237" t="s">
        <v>652</v>
      </c>
      <c r="W601" s="244">
        <v>46003</v>
      </c>
      <c r="X601" s="237" t="s">
        <v>3453</v>
      </c>
      <c r="Y601" s="237" t="s">
        <v>588</v>
      </c>
      <c r="Z601" s="237" t="s">
        <v>228</v>
      </c>
      <c r="AA601" s="237" t="s">
        <v>3454</v>
      </c>
      <c r="AB601" s="237" t="s">
        <v>228</v>
      </c>
      <c r="AC601" s="237" t="s">
        <v>228</v>
      </c>
    </row>
    <row r="602" spans="1:29" ht="13.5" customHeight="1">
      <c r="A602" s="235">
        <v>600</v>
      </c>
      <c r="B602" s="235">
        <v>0</v>
      </c>
      <c r="C602" s="255" t="s">
        <v>3455</v>
      </c>
      <c r="D602" s="235" t="s">
        <v>3456</v>
      </c>
      <c r="E602" s="235">
        <v>55</v>
      </c>
      <c r="F602" s="235" t="s">
        <v>60</v>
      </c>
      <c r="G602" s="235" t="s">
        <v>3457</v>
      </c>
      <c r="H602" s="243" t="s">
        <v>188</v>
      </c>
      <c r="I602" s="243"/>
      <c r="K602" s="240"/>
      <c r="L602" s="243" t="s">
        <v>231</v>
      </c>
      <c r="M602" s="243" t="s">
        <v>231</v>
      </c>
      <c r="N602" s="237"/>
      <c r="O602" s="237"/>
      <c r="P602" s="237"/>
      <c r="Q602" s="245">
        <v>45672</v>
      </c>
      <c r="R602" s="237" t="s">
        <v>309</v>
      </c>
      <c r="S602" s="331" t="s">
        <v>233</v>
      </c>
      <c r="T602" s="237">
        <v>0</v>
      </c>
      <c r="U602" s="237" t="s">
        <v>234</v>
      </c>
      <c r="V602" s="237" t="s">
        <v>652</v>
      </c>
      <c r="W602" s="244">
        <v>46003</v>
      </c>
      <c r="X602" s="237" t="s">
        <v>2842</v>
      </c>
      <c r="Y602" s="237" t="s">
        <v>588</v>
      </c>
      <c r="Z602" s="237" t="s">
        <v>228</v>
      </c>
      <c r="AA602" s="237" t="s">
        <v>3458</v>
      </c>
      <c r="AB602" s="237" t="s">
        <v>228</v>
      </c>
      <c r="AC602" s="237" t="s">
        <v>228</v>
      </c>
    </row>
    <row r="603" spans="1:29" ht="13.5" customHeight="1">
      <c r="A603" s="235">
        <v>601</v>
      </c>
      <c r="B603" s="235">
        <v>0</v>
      </c>
      <c r="C603" s="255" t="s">
        <v>3459</v>
      </c>
      <c r="D603" s="235" t="s">
        <v>3460</v>
      </c>
      <c r="E603" s="235">
        <v>53</v>
      </c>
      <c r="F603" s="235" t="s">
        <v>60</v>
      </c>
      <c r="G603" s="235" t="s">
        <v>3461</v>
      </c>
      <c r="H603" s="243" t="s">
        <v>188</v>
      </c>
      <c r="I603" s="243"/>
      <c r="K603" s="240"/>
      <c r="L603" s="243" t="s">
        <v>231</v>
      </c>
      <c r="M603" s="243" t="s">
        <v>231</v>
      </c>
      <c r="N603" s="237"/>
      <c r="O603" s="237"/>
      <c r="P603" s="237"/>
      <c r="Q603" s="245">
        <v>45672</v>
      </c>
      <c r="R603" s="237" t="s">
        <v>309</v>
      </c>
      <c r="S603" s="331" t="s">
        <v>233</v>
      </c>
      <c r="T603" s="237">
        <v>0</v>
      </c>
      <c r="U603" s="237" t="s">
        <v>234</v>
      </c>
      <c r="V603" s="237" t="s">
        <v>652</v>
      </c>
      <c r="W603" s="244">
        <v>46003</v>
      </c>
      <c r="X603" s="237" t="s">
        <v>3462</v>
      </c>
      <c r="Y603" s="237" t="s">
        <v>588</v>
      </c>
      <c r="Z603" s="237" t="s">
        <v>228</v>
      </c>
      <c r="AA603" s="237" t="s">
        <v>3463</v>
      </c>
      <c r="AB603" s="237" t="s">
        <v>228</v>
      </c>
      <c r="AC603" s="237" t="s">
        <v>228</v>
      </c>
    </row>
    <row r="604" spans="1:29" ht="13.5" customHeight="1">
      <c r="A604" s="235">
        <v>602</v>
      </c>
      <c r="B604" s="235">
        <v>0</v>
      </c>
      <c r="C604" s="255" t="s">
        <v>3464</v>
      </c>
      <c r="D604" s="235" t="s">
        <v>3465</v>
      </c>
      <c r="E604" s="235">
        <v>40</v>
      </c>
      <c r="F604" s="235" t="s">
        <v>75</v>
      </c>
      <c r="G604" s="235" t="s">
        <v>3466</v>
      </c>
      <c r="H604" s="243" t="s">
        <v>188</v>
      </c>
      <c r="I604" s="243"/>
      <c r="K604" s="240"/>
      <c r="L604" s="243" t="s">
        <v>231</v>
      </c>
      <c r="M604" s="243" t="s">
        <v>231</v>
      </c>
      <c r="N604" s="237"/>
      <c r="O604" s="237"/>
      <c r="P604" s="237"/>
      <c r="Q604" s="245">
        <v>45672</v>
      </c>
      <c r="R604" s="237" t="s">
        <v>309</v>
      </c>
      <c r="S604" s="331" t="s">
        <v>233</v>
      </c>
      <c r="T604" s="237">
        <v>0</v>
      </c>
      <c r="U604" s="237" t="s">
        <v>234</v>
      </c>
      <c r="V604" s="237" t="s">
        <v>652</v>
      </c>
      <c r="W604" s="244">
        <v>46003</v>
      </c>
      <c r="X604" s="237" t="s">
        <v>3467</v>
      </c>
      <c r="Y604" s="237" t="s">
        <v>588</v>
      </c>
      <c r="Z604" s="237" t="s">
        <v>228</v>
      </c>
      <c r="AA604" s="237" t="s">
        <v>3468</v>
      </c>
      <c r="AB604" s="237" t="s">
        <v>228</v>
      </c>
      <c r="AC604" s="237" t="s">
        <v>228</v>
      </c>
    </row>
    <row r="605" spans="1:29" ht="13.5" customHeight="1">
      <c r="A605" s="235">
        <v>603</v>
      </c>
      <c r="B605" s="235">
        <v>0</v>
      </c>
      <c r="C605" s="255" t="s">
        <v>3469</v>
      </c>
      <c r="D605" s="235" t="s">
        <v>3470</v>
      </c>
      <c r="E605" s="235">
        <v>39</v>
      </c>
      <c r="F605" s="235" t="s">
        <v>75</v>
      </c>
      <c r="G605" s="235" t="s">
        <v>3471</v>
      </c>
      <c r="H605" s="243" t="s">
        <v>188</v>
      </c>
      <c r="I605" s="243"/>
      <c r="K605" s="240"/>
      <c r="L605" s="243" t="s">
        <v>231</v>
      </c>
      <c r="M605" s="243" t="s">
        <v>231</v>
      </c>
      <c r="N605" s="237"/>
      <c r="O605" s="237"/>
      <c r="P605" s="237"/>
      <c r="Q605" s="245">
        <v>45672</v>
      </c>
      <c r="R605" s="237" t="s">
        <v>309</v>
      </c>
      <c r="S605" s="331" t="s">
        <v>233</v>
      </c>
      <c r="T605" s="237">
        <v>0</v>
      </c>
      <c r="U605" s="237" t="s">
        <v>234</v>
      </c>
      <c r="V605" s="237" t="s">
        <v>652</v>
      </c>
      <c r="W605" s="244">
        <v>46003</v>
      </c>
      <c r="X605" s="237" t="s">
        <v>3472</v>
      </c>
      <c r="Y605" s="237" t="s">
        <v>588</v>
      </c>
      <c r="Z605" s="237" t="s">
        <v>228</v>
      </c>
      <c r="AA605" s="237" t="s">
        <v>3473</v>
      </c>
      <c r="AB605" s="237" t="s">
        <v>228</v>
      </c>
      <c r="AC605" s="237" t="s">
        <v>228</v>
      </c>
    </row>
    <row r="606" spans="1:29" ht="13.5" customHeight="1">
      <c r="A606" s="235">
        <v>604</v>
      </c>
      <c r="B606" s="235">
        <v>0</v>
      </c>
      <c r="C606" s="255" t="s">
        <v>3474</v>
      </c>
      <c r="D606" s="235" t="s">
        <v>3475</v>
      </c>
      <c r="E606" s="235">
        <v>38</v>
      </c>
      <c r="F606" s="235" t="s">
        <v>60</v>
      </c>
      <c r="G606" s="235" t="s">
        <v>3476</v>
      </c>
      <c r="H606" s="243" t="s">
        <v>188</v>
      </c>
      <c r="I606" s="243"/>
      <c r="K606" s="240"/>
      <c r="L606" s="243" t="s">
        <v>231</v>
      </c>
      <c r="M606" s="243" t="s">
        <v>231</v>
      </c>
      <c r="N606" s="237"/>
      <c r="O606" s="237"/>
      <c r="P606" s="237"/>
      <c r="Q606" s="245">
        <v>45672</v>
      </c>
      <c r="R606" s="237" t="s">
        <v>309</v>
      </c>
      <c r="S606" s="331" t="s">
        <v>233</v>
      </c>
      <c r="T606" s="237">
        <v>0</v>
      </c>
      <c r="U606" s="237" t="s">
        <v>234</v>
      </c>
      <c r="V606" s="237" t="s">
        <v>652</v>
      </c>
      <c r="W606" s="244">
        <v>46003</v>
      </c>
      <c r="X606" s="237" t="s">
        <v>3477</v>
      </c>
      <c r="Y606" s="237" t="s">
        <v>588</v>
      </c>
      <c r="Z606" s="237" t="s">
        <v>228</v>
      </c>
      <c r="AA606" s="237" t="s">
        <v>3478</v>
      </c>
      <c r="AB606" s="237" t="s">
        <v>228</v>
      </c>
      <c r="AC606" s="237" t="s">
        <v>228</v>
      </c>
    </row>
    <row r="607" spans="1:29" ht="13.5" customHeight="1">
      <c r="A607" s="235">
        <v>605</v>
      </c>
      <c r="B607" s="235">
        <v>0</v>
      </c>
      <c r="C607" s="255" t="s">
        <v>3479</v>
      </c>
      <c r="D607" s="235" t="s">
        <v>3480</v>
      </c>
      <c r="E607" s="235">
        <v>36</v>
      </c>
      <c r="F607" s="235" t="s">
        <v>75</v>
      </c>
      <c r="G607" s="235" t="s">
        <v>3481</v>
      </c>
      <c r="H607" s="243" t="s">
        <v>188</v>
      </c>
      <c r="I607" s="243"/>
      <c r="K607" s="240"/>
      <c r="L607" s="243" t="s">
        <v>231</v>
      </c>
      <c r="M607" s="243" t="s">
        <v>231</v>
      </c>
      <c r="N607" s="237"/>
      <c r="O607" s="237"/>
      <c r="P607" s="237"/>
      <c r="Q607" s="245">
        <v>45672</v>
      </c>
      <c r="R607" s="237" t="s">
        <v>309</v>
      </c>
      <c r="S607" s="331" t="s">
        <v>233</v>
      </c>
      <c r="T607" s="237">
        <v>0</v>
      </c>
      <c r="U607" s="237" t="s">
        <v>234</v>
      </c>
      <c r="V607" s="237" t="s">
        <v>652</v>
      </c>
      <c r="W607" s="244">
        <v>46003</v>
      </c>
      <c r="X607" s="237" t="s">
        <v>3482</v>
      </c>
      <c r="Y607" s="237" t="s">
        <v>588</v>
      </c>
      <c r="Z607" s="237" t="s">
        <v>228</v>
      </c>
      <c r="AA607" s="237" t="s">
        <v>3483</v>
      </c>
      <c r="AB607" s="237" t="s">
        <v>228</v>
      </c>
      <c r="AC607" s="237" t="s">
        <v>228</v>
      </c>
    </row>
    <row r="608" spans="1:29" ht="13.5" customHeight="1">
      <c r="A608" s="235">
        <v>606</v>
      </c>
      <c r="B608" s="235">
        <v>0</v>
      </c>
      <c r="C608" s="255" t="s">
        <v>3484</v>
      </c>
      <c r="D608" s="235" t="s">
        <v>3485</v>
      </c>
      <c r="E608" s="235">
        <v>62</v>
      </c>
      <c r="F608" s="235" t="s">
        <v>75</v>
      </c>
      <c r="G608" s="235" t="s">
        <v>3486</v>
      </c>
      <c r="H608" s="243" t="s">
        <v>188</v>
      </c>
      <c r="I608" s="243"/>
      <c r="K608" s="240"/>
      <c r="L608" s="243" t="s">
        <v>231</v>
      </c>
      <c r="M608" s="243" t="s">
        <v>231</v>
      </c>
      <c r="N608" s="237"/>
      <c r="O608" s="237"/>
      <c r="P608" s="237"/>
      <c r="Q608" s="245">
        <v>45672</v>
      </c>
      <c r="R608" s="237" t="s">
        <v>309</v>
      </c>
      <c r="S608" s="331" t="s">
        <v>233</v>
      </c>
      <c r="T608" s="237">
        <v>0</v>
      </c>
      <c r="U608" s="237" t="s">
        <v>234</v>
      </c>
      <c r="V608" s="237" t="s">
        <v>652</v>
      </c>
      <c r="W608" s="244">
        <v>46003</v>
      </c>
      <c r="X608" s="237" t="s">
        <v>1621</v>
      </c>
      <c r="Y608" s="237" t="s">
        <v>588</v>
      </c>
      <c r="Z608" s="237" t="s">
        <v>228</v>
      </c>
      <c r="AA608" s="237" t="s">
        <v>3487</v>
      </c>
      <c r="AB608" s="237" t="s">
        <v>228</v>
      </c>
      <c r="AC608" s="237" t="s">
        <v>228</v>
      </c>
    </row>
    <row r="609" spans="1:29" ht="13.5" customHeight="1">
      <c r="A609" s="235">
        <v>607</v>
      </c>
      <c r="B609" s="235" t="s">
        <v>3488</v>
      </c>
      <c r="C609" s="255" t="s">
        <v>3489</v>
      </c>
      <c r="D609" s="235" t="s">
        <v>3490</v>
      </c>
      <c r="E609" s="235">
        <v>26</v>
      </c>
      <c r="F609" s="235" t="s">
        <v>75</v>
      </c>
      <c r="G609" s="235" t="s">
        <v>3491</v>
      </c>
      <c r="H609" s="243" t="s">
        <v>188</v>
      </c>
      <c r="I609" s="243"/>
      <c r="K609" s="240"/>
      <c r="L609" s="243" t="s">
        <v>231</v>
      </c>
      <c r="M609" s="246" t="s">
        <v>228</v>
      </c>
      <c r="N609" s="237"/>
      <c r="O609" s="237"/>
      <c r="P609" s="237"/>
      <c r="Q609" s="245">
        <v>45672</v>
      </c>
      <c r="R609" s="237" t="s">
        <v>309</v>
      </c>
      <c r="S609" s="331" t="s">
        <v>233</v>
      </c>
      <c r="T609" s="237" t="s">
        <v>228</v>
      </c>
      <c r="U609" s="237" t="s">
        <v>234</v>
      </c>
      <c r="V609" s="237" t="s">
        <v>228</v>
      </c>
      <c r="W609" s="244" t="s">
        <v>228</v>
      </c>
      <c r="X609" s="237" t="s">
        <v>228</v>
      </c>
      <c r="Y609" s="237" t="s">
        <v>228</v>
      </c>
      <c r="Z609" s="237" t="s">
        <v>228</v>
      </c>
      <c r="AA609" s="237" t="s">
        <v>3492</v>
      </c>
      <c r="AB609" s="237" t="s">
        <v>228</v>
      </c>
      <c r="AC609" s="237" t="s">
        <v>228</v>
      </c>
    </row>
    <row r="610" spans="1:29" ht="13.5" customHeight="1">
      <c r="A610" s="235">
        <v>608</v>
      </c>
      <c r="B610" s="235">
        <v>0</v>
      </c>
      <c r="C610" s="255" t="s">
        <v>3493</v>
      </c>
      <c r="D610" s="235" t="s">
        <v>3494</v>
      </c>
      <c r="E610" s="235">
        <v>65</v>
      </c>
      <c r="F610" s="235" t="s">
        <v>60</v>
      </c>
      <c r="G610" s="235" t="s">
        <v>3495</v>
      </c>
      <c r="H610" s="243" t="s">
        <v>188</v>
      </c>
      <c r="I610" s="243"/>
      <c r="K610" s="240"/>
      <c r="L610" s="243" t="s">
        <v>231</v>
      </c>
      <c r="M610" s="243" t="s">
        <v>231</v>
      </c>
      <c r="N610" s="237"/>
      <c r="O610" s="237"/>
      <c r="P610" s="237"/>
      <c r="Q610" s="245">
        <v>45673</v>
      </c>
      <c r="R610" s="237" t="s">
        <v>309</v>
      </c>
      <c r="S610" s="331" t="s">
        <v>233</v>
      </c>
      <c r="T610" s="237">
        <v>0</v>
      </c>
      <c r="U610" s="237" t="s">
        <v>234</v>
      </c>
      <c r="V610" s="237" t="s">
        <v>652</v>
      </c>
      <c r="W610" s="244">
        <v>46003</v>
      </c>
      <c r="X610" s="237" t="s">
        <v>3496</v>
      </c>
      <c r="Y610" s="237" t="s">
        <v>588</v>
      </c>
      <c r="Z610" s="237" t="s">
        <v>228</v>
      </c>
      <c r="AA610" s="237" t="s">
        <v>3497</v>
      </c>
      <c r="AB610" s="237" t="s">
        <v>228</v>
      </c>
      <c r="AC610" s="237" t="s">
        <v>228</v>
      </c>
    </row>
    <row r="611" spans="1:29" ht="13.5" customHeight="1">
      <c r="A611" s="235">
        <v>609</v>
      </c>
      <c r="B611" s="235">
        <v>0</v>
      </c>
      <c r="C611" s="255" t="s">
        <v>3498</v>
      </c>
      <c r="D611" s="235" t="s">
        <v>3499</v>
      </c>
      <c r="E611" s="235">
        <v>55</v>
      </c>
      <c r="F611" s="235" t="s">
        <v>60</v>
      </c>
      <c r="G611" s="235" t="s">
        <v>3500</v>
      </c>
      <c r="H611" s="243" t="s">
        <v>188</v>
      </c>
      <c r="I611" s="243"/>
      <c r="K611" s="240"/>
      <c r="L611" s="243" t="s">
        <v>231</v>
      </c>
      <c r="M611" s="243" t="s">
        <v>231</v>
      </c>
      <c r="N611" s="237"/>
      <c r="O611" s="237"/>
      <c r="P611" s="237"/>
      <c r="Q611" s="245">
        <v>45673</v>
      </c>
      <c r="R611" s="237" t="s">
        <v>309</v>
      </c>
      <c r="S611" s="331" t="s">
        <v>233</v>
      </c>
      <c r="T611" s="237">
        <v>0</v>
      </c>
      <c r="U611" s="237" t="s">
        <v>234</v>
      </c>
      <c r="V611" s="237" t="s">
        <v>652</v>
      </c>
      <c r="W611" s="244">
        <v>46003</v>
      </c>
      <c r="X611" s="237" t="s">
        <v>3501</v>
      </c>
      <c r="Y611" s="237" t="s">
        <v>588</v>
      </c>
      <c r="Z611" s="237" t="s">
        <v>228</v>
      </c>
      <c r="AA611" s="237" t="s">
        <v>3502</v>
      </c>
      <c r="AB611" s="237" t="s">
        <v>228</v>
      </c>
      <c r="AC611" s="237" t="s">
        <v>228</v>
      </c>
    </row>
    <row r="612" spans="1:29" ht="13.5" customHeight="1">
      <c r="A612" s="235">
        <v>610</v>
      </c>
      <c r="B612" s="235">
        <v>0</v>
      </c>
      <c r="C612" s="255" t="s">
        <v>3503</v>
      </c>
      <c r="D612" s="235" t="s">
        <v>3504</v>
      </c>
      <c r="E612" s="235">
        <v>69</v>
      </c>
      <c r="F612" s="235" t="s">
        <v>60</v>
      </c>
      <c r="G612" s="235" t="s">
        <v>3505</v>
      </c>
      <c r="H612" s="243" t="s">
        <v>188</v>
      </c>
      <c r="I612" s="243"/>
      <c r="K612" s="240"/>
      <c r="L612" s="243" t="s">
        <v>231</v>
      </c>
      <c r="M612" s="243" t="s">
        <v>231</v>
      </c>
      <c r="N612" s="237"/>
      <c r="O612" s="237"/>
      <c r="P612" s="237"/>
      <c r="Q612" s="245">
        <v>45673</v>
      </c>
      <c r="R612" s="237" t="s">
        <v>309</v>
      </c>
      <c r="S612" s="331" t="s">
        <v>233</v>
      </c>
      <c r="T612" s="237">
        <v>0</v>
      </c>
      <c r="U612" s="237" t="s">
        <v>234</v>
      </c>
      <c r="V612" s="237" t="s">
        <v>652</v>
      </c>
      <c r="W612" s="244">
        <v>46003</v>
      </c>
      <c r="X612" s="237" t="s">
        <v>3506</v>
      </c>
      <c r="Y612" s="237" t="s">
        <v>588</v>
      </c>
      <c r="Z612" s="237" t="s">
        <v>228</v>
      </c>
      <c r="AA612" s="237" t="s">
        <v>3507</v>
      </c>
      <c r="AB612" s="237" t="s">
        <v>228</v>
      </c>
      <c r="AC612" s="237" t="s">
        <v>228</v>
      </c>
    </row>
    <row r="613" spans="1:29" ht="13.5" customHeight="1">
      <c r="A613" s="235">
        <v>611</v>
      </c>
      <c r="B613" s="235">
        <v>0</v>
      </c>
      <c r="C613" s="255" t="s">
        <v>3508</v>
      </c>
      <c r="D613" s="235" t="s">
        <v>3509</v>
      </c>
      <c r="E613" s="235">
        <v>67</v>
      </c>
      <c r="F613" s="235" t="s">
        <v>75</v>
      </c>
      <c r="G613" s="235" t="s">
        <v>3510</v>
      </c>
      <c r="H613" s="243" t="s">
        <v>188</v>
      </c>
      <c r="I613" s="243"/>
      <c r="K613" s="240"/>
      <c r="L613" s="243" t="s">
        <v>231</v>
      </c>
      <c r="M613" s="243" t="s">
        <v>231</v>
      </c>
      <c r="N613" s="237"/>
      <c r="O613" s="237"/>
      <c r="P613" s="237"/>
      <c r="Q613" s="245">
        <v>45673</v>
      </c>
      <c r="R613" s="237" t="s">
        <v>309</v>
      </c>
      <c r="S613" s="331" t="s">
        <v>233</v>
      </c>
      <c r="T613" s="237">
        <v>0</v>
      </c>
      <c r="U613" s="237" t="s">
        <v>234</v>
      </c>
      <c r="V613" s="237" t="s">
        <v>652</v>
      </c>
      <c r="W613" s="244">
        <v>46003</v>
      </c>
      <c r="X613" s="237" t="s">
        <v>3511</v>
      </c>
      <c r="Y613" s="237" t="s">
        <v>588</v>
      </c>
      <c r="Z613" s="237" t="s">
        <v>228</v>
      </c>
      <c r="AA613" s="237" t="s">
        <v>3512</v>
      </c>
      <c r="AB613" s="237" t="s">
        <v>228</v>
      </c>
      <c r="AC613" s="237" t="s">
        <v>228</v>
      </c>
    </row>
    <row r="614" spans="1:29" ht="13.5" customHeight="1">
      <c r="A614" s="235">
        <v>612</v>
      </c>
      <c r="B614" s="235">
        <v>0</v>
      </c>
      <c r="C614" s="255" t="s">
        <v>3513</v>
      </c>
      <c r="D614" s="235" t="s">
        <v>3514</v>
      </c>
      <c r="E614" s="235">
        <v>52</v>
      </c>
      <c r="F614" s="235" t="s">
        <v>60</v>
      </c>
      <c r="G614" s="235" t="s">
        <v>3515</v>
      </c>
      <c r="H614" s="243" t="s">
        <v>188</v>
      </c>
      <c r="I614" s="243"/>
      <c r="K614" s="240"/>
      <c r="L614" s="243" t="s">
        <v>231</v>
      </c>
      <c r="M614" s="243" t="s">
        <v>231</v>
      </c>
      <c r="N614" s="237"/>
      <c r="O614" s="237"/>
      <c r="P614" s="237"/>
      <c r="Q614" s="245">
        <v>45673</v>
      </c>
      <c r="R614" s="237" t="s">
        <v>309</v>
      </c>
      <c r="S614" s="331" t="s">
        <v>233</v>
      </c>
      <c r="T614" s="237">
        <v>0</v>
      </c>
      <c r="U614" s="237" t="s">
        <v>234</v>
      </c>
      <c r="V614" s="237" t="s">
        <v>652</v>
      </c>
      <c r="W614" s="244">
        <v>46003</v>
      </c>
      <c r="X614" s="237" t="s">
        <v>3516</v>
      </c>
      <c r="Y614" s="237" t="s">
        <v>588</v>
      </c>
      <c r="Z614" s="237" t="s">
        <v>228</v>
      </c>
      <c r="AA614" s="237" t="s">
        <v>3517</v>
      </c>
      <c r="AB614" s="237" t="s">
        <v>228</v>
      </c>
      <c r="AC614" s="237" t="s">
        <v>228</v>
      </c>
    </row>
    <row r="615" spans="1:29" ht="13.5" customHeight="1">
      <c r="A615" s="235">
        <v>613</v>
      </c>
      <c r="B615" s="235">
        <v>0</v>
      </c>
      <c r="C615" s="255" t="s">
        <v>3518</v>
      </c>
      <c r="D615" s="235" t="s">
        <v>3519</v>
      </c>
      <c r="E615" s="235">
        <v>54</v>
      </c>
      <c r="F615" s="235" t="s">
        <v>60</v>
      </c>
      <c r="G615" s="235" t="s">
        <v>3520</v>
      </c>
      <c r="H615" s="243" t="s">
        <v>188</v>
      </c>
      <c r="I615" s="243"/>
      <c r="K615" s="240"/>
      <c r="L615" s="243" t="s">
        <v>231</v>
      </c>
      <c r="M615" s="243" t="s">
        <v>231</v>
      </c>
      <c r="N615" s="237"/>
      <c r="O615" s="237"/>
      <c r="P615" s="237"/>
      <c r="Q615" s="245">
        <v>45673</v>
      </c>
      <c r="R615" s="237" t="s">
        <v>309</v>
      </c>
      <c r="S615" s="331" t="s">
        <v>233</v>
      </c>
      <c r="T615" s="237">
        <v>0</v>
      </c>
      <c r="U615" s="237" t="s">
        <v>234</v>
      </c>
      <c r="V615" s="237" t="s">
        <v>652</v>
      </c>
      <c r="W615" s="244">
        <v>46003</v>
      </c>
      <c r="X615" s="237" t="s">
        <v>3521</v>
      </c>
      <c r="Y615" s="237" t="s">
        <v>588</v>
      </c>
      <c r="Z615" s="237" t="s">
        <v>228</v>
      </c>
      <c r="AA615" s="237" t="s">
        <v>3522</v>
      </c>
      <c r="AB615" s="237" t="s">
        <v>228</v>
      </c>
      <c r="AC615" s="237" t="s">
        <v>228</v>
      </c>
    </row>
    <row r="616" spans="1:29" ht="13.5" customHeight="1">
      <c r="A616" s="235">
        <v>614</v>
      </c>
      <c r="B616" s="235" t="s">
        <v>3523</v>
      </c>
      <c r="C616" s="255" t="s">
        <v>3524</v>
      </c>
      <c r="D616" s="235" t="s">
        <v>3525</v>
      </c>
      <c r="E616" s="235">
        <v>22</v>
      </c>
      <c r="F616" s="235" t="s">
        <v>60</v>
      </c>
      <c r="G616" s="235" t="s">
        <v>3526</v>
      </c>
      <c r="H616" s="243" t="s">
        <v>188</v>
      </c>
      <c r="I616" s="243"/>
      <c r="K616" s="240"/>
      <c r="L616" s="243" t="s">
        <v>231</v>
      </c>
      <c r="M616" s="246" t="s">
        <v>228</v>
      </c>
      <c r="N616" s="237"/>
      <c r="O616" s="237"/>
      <c r="P616" s="237"/>
      <c r="Q616" s="245">
        <v>45673</v>
      </c>
      <c r="R616" s="237" t="s">
        <v>309</v>
      </c>
      <c r="S616" s="331" t="s">
        <v>233</v>
      </c>
      <c r="T616" s="237">
        <v>0</v>
      </c>
      <c r="U616" s="237" t="s">
        <v>234</v>
      </c>
      <c r="V616" s="237" t="s">
        <v>228</v>
      </c>
      <c r="W616" s="244" t="s">
        <v>228</v>
      </c>
      <c r="X616" s="237" t="s">
        <v>228</v>
      </c>
      <c r="Y616" s="237" t="s">
        <v>228</v>
      </c>
      <c r="Z616" s="237" t="s">
        <v>228</v>
      </c>
      <c r="AA616" s="237" t="s">
        <v>3527</v>
      </c>
      <c r="AB616" s="237" t="s">
        <v>228</v>
      </c>
      <c r="AC616" s="237" t="s">
        <v>228</v>
      </c>
    </row>
    <row r="617" spans="1:29" ht="13.5" customHeight="1">
      <c r="A617" s="235">
        <v>615</v>
      </c>
      <c r="B617" s="235">
        <v>0</v>
      </c>
      <c r="C617" s="255" t="s">
        <v>3528</v>
      </c>
      <c r="D617" s="235" t="s">
        <v>3529</v>
      </c>
      <c r="E617" s="235">
        <v>56</v>
      </c>
      <c r="F617" s="235" t="s">
        <v>60</v>
      </c>
      <c r="G617" s="235" t="s">
        <v>3530</v>
      </c>
      <c r="H617" s="243" t="s">
        <v>188</v>
      </c>
      <c r="I617" s="243"/>
      <c r="K617" s="240"/>
      <c r="L617" s="243" t="s">
        <v>231</v>
      </c>
      <c r="M617" s="243" t="s">
        <v>231</v>
      </c>
      <c r="N617" s="237"/>
      <c r="O617" s="237"/>
      <c r="P617" s="237"/>
      <c r="Q617" s="245">
        <v>45673</v>
      </c>
      <c r="R617" s="237" t="s">
        <v>309</v>
      </c>
      <c r="S617" s="331" t="s">
        <v>233</v>
      </c>
      <c r="T617" s="237">
        <v>0</v>
      </c>
      <c r="U617" s="237" t="s">
        <v>234</v>
      </c>
      <c r="V617" s="237" t="s">
        <v>652</v>
      </c>
      <c r="W617" s="244">
        <v>46003</v>
      </c>
      <c r="X617" s="237" t="s">
        <v>3531</v>
      </c>
      <c r="Y617" s="237" t="s">
        <v>588</v>
      </c>
      <c r="Z617" s="237" t="s">
        <v>228</v>
      </c>
      <c r="AA617" s="237" t="s">
        <v>3532</v>
      </c>
      <c r="AB617" s="237" t="s">
        <v>228</v>
      </c>
      <c r="AC617" s="237" t="s">
        <v>228</v>
      </c>
    </row>
    <row r="618" spans="1:29" ht="13.5" customHeight="1">
      <c r="A618" s="235">
        <v>616</v>
      </c>
      <c r="B618" s="235">
        <v>0</v>
      </c>
      <c r="C618" s="255" t="s">
        <v>3533</v>
      </c>
      <c r="D618" s="235" t="s">
        <v>3534</v>
      </c>
      <c r="E618" s="235">
        <v>50</v>
      </c>
      <c r="F618" s="235" t="s">
        <v>60</v>
      </c>
      <c r="G618" s="235" t="s">
        <v>3535</v>
      </c>
      <c r="H618" s="243" t="s">
        <v>188</v>
      </c>
      <c r="I618" s="243"/>
      <c r="K618" s="240"/>
      <c r="L618" s="243" t="s">
        <v>231</v>
      </c>
      <c r="M618" s="243" t="s">
        <v>231</v>
      </c>
      <c r="N618" s="237"/>
      <c r="O618" s="237"/>
      <c r="P618" s="237"/>
      <c r="Q618" s="245">
        <v>45673</v>
      </c>
      <c r="R618" s="237" t="s">
        <v>309</v>
      </c>
      <c r="S618" s="331" t="s">
        <v>233</v>
      </c>
      <c r="T618" s="237">
        <v>0</v>
      </c>
      <c r="U618" s="237" t="s">
        <v>234</v>
      </c>
      <c r="V618" s="237" t="s">
        <v>652</v>
      </c>
      <c r="W618" s="244">
        <v>46003</v>
      </c>
      <c r="X618" s="237" t="s">
        <v>3536</v>
      </c>
      <c r="Y618" s="237" t="s">
        <v>588</v>
      </c>
      <c r="Z618" s="237" t="s">
        <v>228</v>
      </c>
      <c r="AA618" s="237" t="s">
        <v>3537</v>
      </c>
      <c r="AB618" s="237" t="s">
        <v>228</v>
      </c>
      <c r="AC618" s="237" t="s">
        <v>228</v>
      </c>
    </row>
    <row r="619" spans="1:29" ht="13.5" customHeight="1">
      <c r="A619" s="235">
        <v>617</v>
      </c>
      <c r="B619" s="235">
        <v>0</v>
      </c>
      <c r="C619" s="255" t="s">
        <v>3538</v>
      </c>
      <c r="D619" s="235" t="s">
        <v>3539</v>
      </c>
      <c r="E619" s="235">
        <v>53</v>
      </c>
      <c r="F619" s="235" t="s">
        <v>60</v>
      </c>
      <c r="G619" s="235" t="s">
        <v>3540</v>
      </c>
      <c r="H619" s="243" t="s">
        <v>188</v>
      </c>
      <c r="I619" s="243"/>
      <c r="K619" s="240"/>
      <c r="L619" s="243" t="s">
        <v>231</v>
      </c>
      <c r="M619" s="243" t="s">
        <v>231</v>
      </c>
      <c r="N619" s="237"/>
      <c r="O619" s="237"/>
      <c r="P619" s="237"/>
      <c r="Q619" s="245">
        <v>45673</v>
      </c>
      <c r="R619" s="237" t="s">
        <v>309</v>
      </c>
      <c r="S619" s="331" t="s">
        <v>233</v>
      </c>
      <c r="T619" s="237">
        <v>0</v>
      </c>
      <c r="U619" s="237" t="s">
        <v>234</v>
      </c>
      <c r="V619" s="237" t="s">
        <v>652</v>
      </c>
      <c r="W619" s="244">
        <v>46003</v>
      </c>
      <c r="X619" s="237" t="s">
        <v>3541</v>
      </c>
      <c r="Y619" s="237" t="s">
        <v>588</v>
      </c>
      <c r="Z619" s="237" t="s">
        <v>228</v>
      </c>
      <c r="AA619" s="237" t="s">
        <v>3542</v>
      </c>
      <c r="AB619" s="237" t="s">
        <v>228</v>
      </c>
      <c r="AC619" s="237" t="s">
        <v>228</v>
      </c>
    </row>
    <row r="620" spans="1:29" ht="13.5" customHeight="1">
      <c r="A620" s="235">
        <v>618</v>
      </c>
      <c r="B620" s="235">
        <v>0</v>
      </c>
      <c r="C620" s="255" t="s">
        <v>3543</v>
      </c>
      <c r="D620" s="235" t="s">
        <v>3544</v>
      </c>
      <c r="E620" s="235">
        <v>51</v>
      </c>
      <c r="F620" s="235" t="s">
        <v>75</v>
      </c>
      <c r="G620" s="235" t="s">
        <v>3545</v>
      </c>
      <c r="H620" s="243" t="s">
        <v>188</v>
      </c>
      <c r="I620" s="243"/>
      <c r="K620" s="240"/>
      <c r="L620" s="243" t="s">
        <v>231</v>
      </c>
      <c r="M620" s="243" t="s">
        <v>231</v>
      </c>
      <c r="N620" s="237"/>
      <c r="O620" s="237"/>
      <c r="P620" s="237"/>
      <c r="Q620" s="245">
        <v>45673</v>
      </c>
      <c r="R620" s="237" t="s">
        <v>309</v>
      </c>
      <c r="S620" s="331" t="s">
        <v>233</v>
      </c>
      <c r="T620" s="237">
        <v>0</v>
      </c>
      <c r="U620" s="237" t="s">
        <v>234</v>
      </c>
      <c r="V620" s="237" t="s">
        <v>652</v>
      </c>
      <c r="W620" s="244">
        <v>46003</v>
      </c>
      <c r="X620" s="237" t="s">
        <v>730</v>
      </c>
      <c r="Y620" s="237" t="s">
        <v>588</v>
      </c>
      <c r="Z620" s="237" t="s">
        <v>228</v>
      </c>
      <c r="AA620" s="237" t="s">
        <v>3546</v>
      </c>
      <c r="AB620" s="237" t="s">
        <v>228</v>
      </c>
      <c r="AC620" s="237" t="s">
        <v>228</v>
      </c>
    </row>
    <row r="621" spans="1:29" ht="13.5" customHeight="1">
      <c r="A621" s="235">
        <v>619</v>
      </c>
      <c r="B621" s="235">
        <v>0</v>
      </c>
      <c r="C621" s="255" t="s">
        <v>3547</v>
      </c>
      <c r="D621" s="235" t="s">
        <v>3548</v>
      </c>
      <c r="E621" s="235">
        <v>39</v>
      </c>
      <c r="F621" s="235" t="s">
        <v>60</v>
      </c>
      <c r="G621" s="235" t="s">
        <v>3549</v>
      </c>
      <c r="H621" s="243" t="s">
        <v>188</v>
      </c>
      <c r="I621" s="243"/>
      <c r="K621" s="240"/>
      <c r="L621" s="243" t="s">
        <v>231</v>
      </c>
      <c r="M621" s="243" t="s">
        <v>231</v>
      </c>
      <c r="N621" s="237"/>
      <c r="O621" s="237"/>
      <c r="P621" s="237"/>
      <c r="Q621" s="245">
        <v>45673</v>
      </c>
      <c r="R621" s="237" t="s">
        <v>309</v>
      </c>
      <c r="S621" s="331" t="s">
        <v>233</v>
      </c>
      <c r="T621" s="237">
        <v>0</v>
      </c>
      <c r="U621" s="237" t="s">
        <v>234</v>
      </c>
      <c r="V621" s="237" t="s">
        <v>652</v>
      </c>
      <c r="W621" s="244">
        <v>46003</v>
      </c>
      <c r="X621" s="237" t="s">
        <v>3550</v>
      </c>
      <c r="Y621" s="237" t="s">
        <v>588</v>
      </c>
      <c r="Z621" s="237" t="s">
        <v>228</v>
      </c>
      <c r="AA621" s="237" t="s">
        <v>3551</v>
      </c>
      <c r="AB621" s="237" t="s">
        <v>228</v>
      </c>
      <c r="AC621" s="237" t="s">
        <v>228</v>
      </c>
    </row>
    <row r="622" spans="1:29" ht="13.5" customHeight="1">
      <c r="A622" s="235">
        <v>620</v>
      </c>
      <c r="B622" s="235">
        <v>0</v>
      </c>
      <c r="C622" s="255" t="s">
        <v>3552</v>
      </c>
      <c r="D622" s="235" t="s">
        <v>3553</v>
      </c>
      <c r="E622" s="235">
        <v>73</v>
      </c>
      <c r="F622" s="235" t="s">
        <v>75</v>
      </c>
      <c r="G622" s="235" t="s">
        <v>3554</v>
      </c>
      <c r="H622" s="243" t="s">
        <v>188</v>
      </c>
      <c r="I622" s="243"/>
      <c r="K622" s="240"/>
      <c r="L622" s="243" t="s">
        <v>231</v>
      </c>
      <c r="M622" s="243" t="s">
        <v>231</v>
      </c>
      <c r="N622" s="237"/>
      <c r="O622" s="237"/>
      <c r="P622" s="237"/>
      <c r="Q622" s="245">
        <v>45673</v>
      </c>
      <c r="R622" s="237" t="s">
        <v>309</v>
      </c>
      <c r="S622" s="331" t="s">
        <v>233</v>
      </c>
      <c r="T622" s="237">
        <v>0</v>
      </c>
      <c r="U622" s="237" t="s">
        <v>234</v>
      </c>
      <c r="V622" s="237" t="s">
        <v>652</v>
      </c>
      <c r="W622" s="244">
        <v>46003</v>
      </c>
      <c r="X622" s="237" t="s">
        <v>3555</v>
      </c>
      <c r="Y622" s="237" t="s">
        <v>588</v>
      </c>
      <c r="Z622" s="237" t="s">
        <v>228</v>
      </c>
      <c r="AA622" s="237" t="s">
        <v>3556</v>
      </c>
      <c r="AB622" s="237" t="s">
        <v>228</v>
      </c>
      <c r="AC622" s="237" t="s">
        <v>228</v>
      </c>
    </row>
    <row r="623" spans="1:29" ht="13.5" customHeight="1">
      <c r="A623" s="235">
        <v>621</v>
      </c>
      <c r="B623" s="235">
        <v>0</v>
      </c>
      <c r="C623" s="255" t="s">
        <v>3557</v>
      </c>
      <c r="D623" s="235" t="s">
        <v>3558</v>
      </c>
      <c r="E623" s="235">
        <v>38</v>
      </c>
      <c r="F623" s="235" t="s">
        <v>60</v>
      </c>
      <c r="G623" s="235" t="s">
        <v>3559</v>
      </c>
      <c r="H623" s="243" t="s">
        <v>188</v>
      </c>
      <c r="I623" s="243"/>
      <c r="K623" s="240"/>
      <c r="L623" s="243" t="s">
        <v>231</v>
      </c>
      <c r="M623" s="243" t="s">
        <v>231</v>
      </c>
      <c r="N623" s="237"/>
      <c r="O623" s="237"/>
      <c r="P623" s="237"/>
      <c r="Q623" s="245">
        <v>45673</v>
      </c>
      <c r="R623" s="237" t="s">
        <v>309</v>
      </c>
      <c r="S623" s="331" t="s">
        <v>233</v>
      </c>
      <c r="T623" s="237">
        <v>0</v>
      </c>
      <c r="U623" s="237" t="s">
        <v>234</v>
      </c>
      <c r="V623" s="237" t="s">
        <v>652</v>
      </c>
      <c r="W623" s="244">
        <v>46003</v>
      </c>
      <c r="X623" s="237" t="s">
        <v>3560</v>
      </c>
      <c r="Y623" s="237" t="s">
        <v>588</v>
      </c>
      <c r="Z623" s="237" t="s">
        <v>228</v>
      </c>
      <c r="AA623" s="237" t="s">
        <v>3561</v>
      </c>
      <c r="AB623" s="237" t="s">
        <v>228</v>
      </c>
      <c r="AC623" s="237" t="s">
        <v>228</v>
      </c>
    </row>
    <row r="624" spans="1:29" ht="13.5" customHeight="1">
      <c r="A624" s="235">
        <v>622</v>
      </c>
      <c r="B624" s="235">
        <v>0</v>
      </c>
      <c r="C624" s="255" t="s">
        <v>3562</v>
      </c>
      <c r="D624" s="235" t="s">
        <v>3563</v>
      </c>
      <c r="E624" s="235">
        <v>43</v>
      </c>
      <c r="F624" s="235" t="s">
        <v>75</v>
      </c>
      <c r="G624" s="235" t="s">
        <v>3564</v>
      </c>
      <c r="H624" s="243" t="s">
        <v>188</v>
      </c>
      <c r="I624" s="243"/>
      <c r="K624" s="240"/>
      <c r="L624" s="243" t="s">
        <v>231</v>
      </c>
      <c r="M624" s="243" t="s">
        <v>231</v>
      </c>
      <c r="N624" s="237"/>
      <c r="O624" s="237"/>
      <c r="P624" s="237"/>
      <c r="Q624" s="245">
        <v>45673</v>
      </c>
      <c r="R624" s="237" t="s">
        <v>309</v>
      </c>
      <c r="S624" s="331" t="s">
        <v>233</v>
      </c>
      <c r="T624" s="237">
        <v>0</v>
      </c>
      <c r="U624" s="237" t="s">
        <v>234</v>
      </c>
      <c r="V624" s="237" t="s">
        <v>652</v>
      </c>
      <c r="W624" s="244">
        <v>46003</v>
      </c>
      <c r="X624" s="237" t="s">
        <v>3565</v>
      </c>
      <c r="Y624" s="237" t="s">
        <v>588</v>
      </c>
      <c r="Z624" s="237" t="s">
        <v>228</v>
      </c>
      <c r="AA624" s="237" t="s">
        <v>3566</v>
      </c>
      <c r="AB624" s="237" t="s">
        <v>228</v>
      </c>
      <c r="AC624" s="237" t="s">
        <v>228</v>
      </c>
    </row>
    <row r="625" spans="1:29" ht="13.5" customHeight="1">
      <c r="A625" s="235">
        <v>623</v>
      </c>
      <c r="B625" s="235">
        <v>0</v>
      </c>
      <c r="C625" s="255" t="s">
        <v>3567</v>
      </c>
      <c r="D625" s="235" t="s">
        <v>3568</v>
      </c>
      <c r="E625" s="235">
        <v>20</v>
      </c>
      <c r="F625" s="235" t="s">
        <v>75</v>
      </c>
      <c r="G625" s="235" t="s">
        <v>3569</v>
      </c>
      <c r="H625" s="243" t="s">
        <v>188</v>
      </c>
      <c r="I625" s="243"/>
      <c r="K625" s="240"/>
      <c r="L625" s="243" t="s">
        <v>231</v>
      </c>
      <c r="M625" s="243" t="s">
        <v>231</v>
      </c>
      <c r="N625" s="237"/>
      <c r="O625" s="237"/>
      <c r="P625" s="237"/>
      <c r="Q625" s="245">
        <v>45673</v>
      </c>
      <c r="R625" s="237" t="s">
        <v>309</v>
      </c>
      <c r="S625" s="331" t="s">
        <v>233</v>
      </c>
      <c r="T625" s="237">
        <v>0</v>
      </c>
      <c r="U625" s="237" t="s">
        <v>234</v>
      </c>
      <c r="V625" s="237" t="s">
        <v>652</v>
      </c>
      <c r="W625" s="244">
        <v>46003</v>
      </c>
      <c r="X625" s="237" t="s">
        <v>3570</v>
      </c>
      <c r="Y625" s="237" t="s">
        <v>588</v>
      </c>
      <c r="Z625" s="237" t="s">
        <v>228</v>
      </c>
      <c r="AA625" s="237" t="s">
        <v>3571</v>
      </c>
      <c r="AB625" s="237" t="s">
        <v>228</v>
      </c>
      <c r="AC625" s="237" t="s">
        <v>228</v>
      </c>
    </row>
    <row r="626" spans="1:29" ht="13.5" customHeight="1">
      <c r="A626" s="235">
        <v>624</v>
      </c>
      <c r="B626" s="235" t="s">
        <v>3572</v>
      </c>
      <c r="C626" s="255" t="s">
        <v>3573</v>
      </c>
      <c r="D626" s="235" t="s">
        <v>3574</v>
      </c>
      <c r="E626" s="235">
        <v>21</v>
      </c>
      <c r="F626" s="235" t="s">
        <v>60</v>
      </c>
      <c r="G626" s="235" t="s">
        <v>3575</v>
      </c>
      <c r="H626" s="243" t="s">
        <v>188</v>
      </c>
      <c r="I626" s="243"/>
      <c r="K626" s="240"/>
      <c r="L626" s="243" t="s">
        <v>231</v>
      </c>
      <c r="M626" s="246" t="s">
        <v>228</v>
      </c>
      <c r="N626" s="237"/>
      <c r="O626" s="237"/>
      <c r="P626" s="237"/>
      <c r="Q626" s="245">
        <v>45685</v>
      </c>
      <c r="R626" s="237" t="s">
        <v>309</v>
      </c>
      <c r="S626" s="331" t="s">
        <v>233</v>
      </c>
      <c r="T626" s="237">
        <v>0</v>
      </c>
      <c r="U626" s="237" t="s">
        <v>234</v>
      </c>
      <c r="V626" s="237" t="s">
        <v>228</v>
      </c>
      <c r="W626" s="244" t="s">
        <v>228</v>
      </c>
      <c r="X626" s="237" t="s">
        <v>228</v>
      </c>
      <c r="Y626" s="237" t="s">
        <v>228</v>
      </c>
      <c r="Z626" s="237" t="s">
        <v>228</v>
      </c>
      <c r="AA626" s="237" t="s">
        <v>3576</v>
      </c>
      <c r="AB626" s="237" t="s">
        <v>228</v>
      </c>
      <c r="AC626" s="237" t="s">
        <v>228</v>
      </c>
    </row>
    <row r="627" spans="1:29" ht="13.5" customHeight="1">
      <c r="A627" s="235">
        <v>625</v>
      </c>
      <c r="B627" s="235">
        <v>0</v>
      </c>
      <c r="C627" s="255" t="s">
        <v>3577</v>
      </c>
      <c r="D627" s="235" t="s">
        <v>3578</v>
      </c>
      <c r="E627" s="235">
        <v>56</v>
      </c>
      <c r="F627" s="235" t="s">
        <v>75</v>
      </c>
      <c r="G627" s="235" t="s">
        <v>3579</v>
      </c>
      <c r="H627" s="243" t="s">
        <v>188</v>
      </c>
      <c r="I627" s="243"/>
      <c r="K627" s="240"/>
      <c r="L627" s="243" t="s">
        <v>231</v>
      </c>
      <c r="M627" s="243" t="s">
        <v>231</v>
      </c>
      <c r="N627" s="237"/>
      <c r="O627" s="237"/>
      <c r="P627" s="237"/>
      <c r="Q627" s="245">
        <v>45685</v>
      </c>
      <c r="R627" s="237" t="s">
        <v>309</v>
      </c>
      <c r="S627" s="331" t="s">
        <v>233</v>
      </c>
      <c r="T627" s="237">
        <v>0</v>
      </c>
      <c r="U627" s="237" t="s">
        <v>234</v>
      </c>
      <c r="V627" s="237" t="s">
        <v>652</v>
      </c>
      <c r="W627" s="244">
        <v>46003</v>
      </c>
      <c r="X627" s="237" t="s">
        <v>3580</v>
      </c>
      <c r="Y627" s="237" t="s">
        <v>588</v>
      </c>
      <c r="Z627" s="237" t="s">
        <v>228</v>
      </c>
      <c r="AA627" s="237" t="s">
        <v>3581</v>
      </c>
      <c r="AB627" s="237" t="s">
        <v>228</v>
      </c>
      <c r="AC627" s="237" t="s">
        <v>228</v>
      </c>
    </row>
    <row r="628" spans="1:29" ht="13.5" customHeight="1">
      <c r="A628" s="235">
        <v>626</v>
      </c>
      <c r="B628" s="235">
        <v>0</v>
      </c>
      <c r="C628" s="255" t="s">
        <v>3582</v>
      </c>
      <c r="D628" s="235" t="s">
        <v>3583</v>
      </c>
      <c r="E628" s="235">
        <v>66</v>
      </c>
      <c r="F628" s="235" t="s">
        <v>60</v>
      </c>
      <c r="G628" s="235" t="s">
        <v>3584</v>
      </c>
      <c r="H628" s="243" t="s">
        <v>3</v>
      </c>
      <c r="I628" s="243"/>
      <c r="K628" s="240" t="s">
        <v>3585</v>
      </c>
      <c r="L628" s="72" t="s">
        <v>71</v>
      </c>
      <c r="M628" s="243" t="s">
        <v>231</v>
      </c>
      <c r="N628" s="237"/>
      <c r="O628" s="237"/>
      <c r="P628" s="237"/>
      <c r="Q628" s="245">
        <v>45889</v>
      </c>
      <c r="R628" s="237" t="s">
        <v>309</v>
      </c>
      <c r="S628" s="331" t="s">
        <v>233</v>
      </c>
      <c r="T628" s="237">
        <v>0</v>
      </c>
      <c r="U628" s="237" t="s">
        <v>234</v>
      </c>
      <c r="V628" s="237" t="s">
        <v>652</v>
      </c>
      <c r="W628" s="244">
        <v>46003</v>
      </c>
      <c r="X628" s="237" t="s">
        <v>3586</v>
      </c>
      <c r="Y628" s="237" t="s">
        <v>588</v>
      </c>
      <c r="Z628" s="237" t="s">
        <v>228</v>
      </c>
      <c r="AA628" s="237" t="s">
        <v>3587</v>
      </c>
      <c r="AB628" s="237" t="s">
        <v>228</v>
      </c>
      <c r="AC628" s="237" t="s">
        <v>228</v>
      </c>
    </row>
    <row r="629" spans="1:29" ht="13.5" customHeight="1">
      <c r="A629" s="235">
        <v>627</v>
      </c>
      <c r="B629" s="235">
        <v>0</v>
      </c>
      <c r="C629" s="255" t="s">
        <v>3588</v>
      </c>
      <c r="D629" s="235" t="s">
        <v>3589</v>
      </c>
      <c r="E629" s="235">
        <v>55</v>
      </c>
      <c r="F629" s="235" t="s">
        <v>75</v>
      </c>
      <c r="G629" s="235" t="s">
        <v>3590</v>
      </c>
      <c r="H629" s="243" t="s">
        <v>188</v>
      </c>
      <c r="I629" s="243"/>
      <c r="K629" s="240"/>
      <c r="L629" s="243" t="s">
        <v>231</v>
      </c>
      <c r="M629" s="243" t="s">
        <v>231</v>
      </c>
      <c r="N629" s="237"/>
      <c r="O629" s="237"/>
      <c r="P629" s="237"/>
      <c r="Q629" s="245">
        <v>45891</v>
      </c>
      <c r="R629" s="237" t="s">
        <v>309</v>
      </c>
      <c r="S629" s="331" t="s">
        <v>233</v>
      </c>
      <c r="T629" s="237" t="s">
        <v>228</v>
      </c>
      <c r="U629" s="237" t="s">
        <v>234</v>
      </c>
      <c r="V629" s="237" t="s">
        <v>228</v>
      </c>
      <c r="W629" s="244" t="s">
        <v>228</v>
      </c>
      <c r="X629" s="237" t="s">
        <v>228</v>
      </c>
      <c r="Y629" s="237" t="s">
        <v>228</v>
      </c>
      <c r="Z629" s="237" t="s">
        <v>228</v>
      </c>
      <c r="AA629" s="237" t="s">
        <v>3591</v>
      </c>
      <c r="AB629" s="237" t="s">
        <v>228</v>
      </c>
      <c r="AC629" s="237" t="s">
        <v>228</v>
      </c>
    </row>
    <row r="630" spans="1:29" ht="13.5" customHeight="1">
      <c r="A630" s="235">
        <v>628</v>
      </c>
      <c r="B630" s="235">
        <v>0</v>
      </c>
      <c r="C630" s="255" t="s">
        <v>3592</v>
      </c>
      <c r="D630" s="235" t="s">
        <v>3593</v>
      </c>
      <c r="E630" s="235">
        <v>56</v>
      </c>
      <c r="F630" s="235" t="s">
        <v>60</v>
      </c>
      <c r="G630" s="235" t="s">
        <v>3594</v>
      </c>
      <c r="H630" s="243" t="s">
        <v>188</v>
      </c>
      <c r="I630" s="243"/>
      <c r="K630" s="240"/>
      <c r="L630" s="243" t="s">
        <v>231</v>
      </c>
      <c r="M630" s="243" t="s">
        <v>231</v>
      </c>
      <c r="N630" s="237"/>
      <c r="O630" s="237"/>
      <c r="P630" s="237"/>
      <c r="Q630" s="245">
        <v>45891</v>
      </c>
      <c r="R630" s="237" t="s">
        <v>309</v>
      </c>
      <c r="S630" s="331" t="s">
        <v>233</v>
      </c>
      <c r="T630" s="237">
        <v>0</v>
      </c>
      <c r="U630" s="237" t="s">
        <v>234</v>
      </c>
      <c r="V630" s="237" t="s">
        <v>652</v>
      </c>
      <c r="W630" s="244">
        <v>46003</v>
      </c>
      <c r="X630" s="237" t="s">
        <v>3595</v>
      </c>
      <c r="Y630" s="237" t="s">
        <v>588</v>
      </c>
      <c r="Z630" s="237" t="s">
        <v>228</v>
      </c>
      <c r="AA630" s="237" t="s">
        <v>3596</v>
      </c>
      <c r="AB630" s="237" t="s">
        <v>228</v>
      </c>
      <c r="AC630" s="237" t="s">
        <v>228</v>
      </c>
    </row>
    <row r="631" spans="1:29" ht="13.5" customHeight="1">
      <c r="A631" s="235">
        <v>629</v>
      </c>
      <c r="B631" s="235">
        <v>0</v>
      </c>
      <c r="C631" s="255" t="s">
        <v>3597</v>
      </c>
      <c r="D631" s="235" t="s">
        <v>3598</v>
      </c>
      <c r="E631" s="235">
        <v>83</v>
      </c>
      <c r="F631" s="235" t="s">
        <v>75</v>
      </c>
      <c r="G631" s="235" t="s">
        <v>3599</v>
      </c>
      <c r="H631" s="243" t="s">
        <v>188</v>
      </c>
      <c r="I631" s="243"/>
      <c r="K631" s="240"/>
      <c r="L631" s="243" t="s">
        <v>231</v>
      </c>
      <c r="M631" s="243" t="s">
        <v>231</v>
      </c>
      <c r="N631" s="237"/>
      <c r="O631" s="237"/>
      <c r="P631" s="237"/>
      <c r="Q631" s="245">
        <v>45891</v>
      </c>
      <c r="R631" s="237" t="s">
        <v>309</v>
      </c>
      <c r="S631" s="331" t="s">
        <v>233</v>
      </c>
      <c r="T631" s="237" t="s">
        <v>228</v>
      </c>
      <c r="U631" s="237" t="s">
        <v>234</v>
      </c>
      <c r="V631" s="237" t="s">
        <v>228</v>
      </c>
      <c r="W631" s="244" t="s">
        <v>228</v>
      </c>
      <c r="X631" s="237" t="s">
        <v>228</v>
      </c>
      <c r="Y631" s="237" t="s">
        <v>228</v>
      </c>
      <c r="Z631" s="237" t="s">
        <v>228</v>
      </c>
      <c r="AA631" s="237" t="s">
        <v>3600</v>
      </c>
      <c r="AB631" s="237" t="s">
        <v>228</v>
      </c>
      <c r="AC631" s="237" t="s">
        <v>228</v>
      </c>
    </row>
    <row r="632" spans="1:29" ht="13.5" customHeight="1">
      <c r="A632" s="235">
        <v>630</v>
      </c>
      <c r="B632" s="235">
        <v>0</v>
      </c>
      <c r="C632" s="255" t="s">
        <v>3601</v>
      </c>
      <c r="D632" s="235" t="s">
        <v>3602</v>
      </c>
      <c r="E632" s="235">
        <v>66</v>
      </c>
      <c r="F632" s="235" t="s">
        <v>75</v>
      </c>
      <c r="H632" s="243" t="s">
        <v>27</v>
      </c>
      <c r="I632" s="243"/>
      <c r="J632" s="235" t="s">
        <v>3603</v>
      </c>
      <c r="K632" s="240"/>
      <c r="L632" s="243" t="s">
        <v>231</v>
      </c>
      <c r="M632" s="243" t="s">
        <v>231</v>
      </c>
      <c r="N632" s="237"/>
      <c r="O632" s="237"/>
      <c r="P632" s="237"/>
      <c r="Q632" s="245">
        <v>45933</v>
      </c>
      <c r="R632" s="237" t="s">
        <v>309</v>
      </c>
      <c r="S632" s="331" t="s">
        <v>233</v>
      </c>
      <c r="T632" s="237" t="s">
        <v>228</v>
      </c>
      <c r="U632" s="237" t="s">
        <v>234</v>
      </c>
      <c r="V632" s="237" t="s">
        <v>228</v>
      </c>
      <c r="W632" s="244" t="s">
        <v>228</v>
      </c>
      <c r="X632" s="237" t="s">
        <v>228</v>
      </c>
      <c r="Y632" s="237" t="s">
        <v>228</v>
      </c>
      <c r="Z632" s="237" t="s">
        <v>228</v>
      </c>
      <c r="AA632" s="237" t="s">
        <v>3604</v>
      </c>
      <c r="AB632" s="237" t="s">
        <v>228</v>
      </c>
      <c r="AC632" s="237" t="s">
        <v>228</v>
      </c>
    </row>
    <row r="633" spans="1:29" ht="13.5" customHeight="1">
      <c r="A633" s="235">
        <v>631</v>
      </c>
      <c r="B633" s="235">
        <v>0</v>
      </c>
      <c r="C633" s="255" t="s">
        <v>3605</v>
      </c>
      <c r="D633" s="235" t="s">
        <v>3606</v>
      </c>
      <c r="E633" s="235">
        <v>47</v>
      </c>
      <c r="F633" s="235" t="s">
        <v>60</v>
      </c>
      <c r="H633" s="243" t="s">
        <v>27</v>
      </c>
      <c r="I633" s="243"/>
      <c r="J633" s="235" t="s">
        <v>3603</v>
      </c>
      <c r="K633" s="240"/>
      <c r="L633" s="243" t="s">
        <v>231</v>
      </c>
      <c r="M633" s="243" t="s">
        <v>231</v>
      </c>
      <c r="N633" s="237"/>
      <c r="O633" s="237"/>
      <c r="P633" s="237"/>
      <c r="Q633" s="245">
        <v>45933</v>
      </c>
      <c r="R633" s="237" t="s">
        <v>309</v>
      </c>
      <c r="S633" s="331" t="s">
        <v>233</v>
      </c>
      <c r="T633" s="237" t="s">
        <v>228</v>
      </c>
      <c r="U633" s="237" t="s">
        <v>234</v>
      </c>
      <c r="V633" s="237" t="s">
        <v>228</v>
      </c>
      <c r="W633" s="244" t="s">
        <v>228</v>
      </c>
      <c r="X633" s="237" t="s">
        <v>228</v>
      </c>
      <c r="Y633" s="237" t="s">
        <v>228</v>
      </c>
      <c r="Z633" s="237" t="s">
        <v>228</v>
      </c>
      <c r="AA633" s="237" t="s">
        <v>3607</v>
      </c>
      <c r="AB633" s="237" t="s">
        <v>228</v>
      </c>
      <c r="AC633" s="237" t="s">
        <v>228</v>
      </c>
    </row>
    <row r="634" spans="1:29" ht="13.5" customHeight="1">
      <c r="A634" s="235">
        <v>632</v>
      </c>
      <c r="B634" s="235">
        <v>0</v>
      </c>
      <c r="C634" s="255" t="s">
        <v>3608</v>
      </c>
      <c r="D634" s="235" t="s">
        <v>3609</v>
      </c>
      <c r="E634" s="235">
        <v>39</v>
      </c>
      <c r="F634" s="235" t="s">
        <v>60</v>
      </c>
      <c r="H634" s="243" t="s">
        <v>27</v>
      </c>
      <c r="I634" s="243"/>
      <c r="J634" s="235" t="s">
        <v>3603</v>
      </c>
      <c r="K634" s="240"/>
      <c r="L634" s="243" t="s">
        <v>231</v>
      </c>
      <c r="M634" s="243" t="s">
        <v>231</v>
      </c>
      <c r="N634" s="237"/>
      <c r="O634" s="237"/>
      <c r="P634" s="237"/>
      <c r="Q634" s="245">
        <v>45933</v>
      </c>
      <c r="R634" s="237" t="s">
        <v>309</v>
      </c>
      <c r="S634" s="331" t="s">
        <v>233</v>
      </c>
      <c r="T634" s="237" t="s">
        <v>228</v>
      </c>
      <c r="U634" s="237" t="s">
        <v>234</v>
      </c>
      <c r="V634" s="237" t="s">
        <v>228</v>
      </c>
      <c r="W634" s="244" t="s">
        <v>228</v>
      </c>
      <c r="X634" s="237" t="s">
        <v>228</v>
      </c>
      <c r="Y634" s="237" t="s">
        <v>228</v>
      </c>
      <c r="Z634" s="237" t="s">
        <v>228</v>
      </c>
      <c r="AA634" s="237" t="s">
        <v>3610</v>
      </c>
      <c r="AB634" s="237" t="s">
        <v>228</v>
      </c>
      <c r="AC634" s="237" t="s">
        <v>228</v>
      </c>
    </row>
    <row r="635" spans="1:29" ht="13.5" customHeight="1">
      <c r="A635" s="235">
        <v>633</v>
      </c>
      <c r="B635" s="235">
        <v>0</v>
      </c>
      <c r="C635" s="255" t="s">
        <v>3611</v>
      </c>
      <c r="D635" s="235" t="s">
        <v>3612</v>
      </c>
      <c r="E635" s="235">
        <v>55</v>
      </c>
      <c r="F635" s="235" t="s">
        <v>60</v>
      </c>
      <c r="H635" s="243" t="s">
        <v>27</v>
      </c>
      <c r="I635" s="243"/>
      <c r="J635" s="235" t="s">
        <v>3603</v>
      </c>
      <c r="K635" s="240"/>
      <c r="L635" s="243" t="s">
        <v>231</v>
      </c>
      <c r="M635" s="243" t="s">
        <v>231</v>
      </c>
      <c r="N635" s="237"/>
      <c r="O635" s="237"/>
      <c r="P635" s="237"/>
      <c r="Q635" s="245">
        <v>45933</v>
      </c>
      <c r="R635" s="237" t="s">
        <v>309</v>
      </c>
      <c r="S635" s="331" t="s">
        <v>233</v>
      </c>
      <c r="T635" s="237" t="s">
        <v>228</v>
      </c>
      <c r="U635" s="237" t="s">
        <v>234</v>
      </c>
      <c r="V635" s="237" t="s">
        <v>228</v>
      </c>
      <c r="W635" s="244" t="s">
        <v>228</v>
      </c>
      <c r="X635" s="237" t="s">
        <v>228</v>
      </c>
      <c r="Y635" s="237" t="s">
        <v>228</v>
      </c>
      <c r="Z635" s="237" t="s">
        <v>228</v>
      </c>
      <c r="AA635" s="237" t="s">
        <v>3613</v>
      </c>
      <c r="AB635" s="237" t="s">
        <v>228</v>
      </c>
      <c r="AC635" s="237" t="s">
        <v>228</v>
      </c>
    </row>
    <row r="636" spans="1:29" ht="13.5" customHeight="1">
      <c r="A636" s="235">
        <v>634</v>
      </c>
      <c r="B636" s="235">
        <v>0</v>
      </c>
      <c r="C636" s="255" t="s">
        <v>3614</v>
      </c>
      <c r="D636" s="235" t="s">
        <v>3615</v>
      </c>
      <c r="E636" s="235">
        <v>41</v>
      </c>
      <c r="F636" s="235" t="s">
        <v>60</v>
      </c>
      <c r="H636" s="243" t="s">
        <v>188</v>
      </c>
      <c r="I636" s="243"/>
      <c r="J636" s="235" t="s">
        <v>3603</v>
      </c>
      <c r="K636" s="240" t="s">
        <v>32</v>
      </c>
      <c r="L636" s="243" t="s">
        <v>231</v>
      </c>
      <c r="M636" s="243" t="s">
        <v>231</v>
      </c>
      <c r="N636" s="237"/>
      <c r="O636" s="237"/>
      <c r="P636" s="237"/>
      <c r="Q636" s="245">
        <v>45933</v>
      </c>
      <c r="R636" s="237" t="s">
        <v>309</v>
      </c>
      <c r="S636" s="331" t="s">
        <v>233</v>
      </c>
      <c r="T636" s="237" t="s">
        <v>228</v>
      </c>
      <c r="U636" s="237" t="s">
        <v>234</v>
      </c>
      <c r="V636" s="237" t="s">
        <v>228</v>
      </c>
      <c r="W636" s="244" t="s">
        <v>228</v>
      </c>
      <c r="X636" s="237" t="s">
        <v>228</v>
      </c>
      <c r="Y636" s="237" t="s">
        <v>228</v>
      </c>
      <c r="Z636" s="237" t="s">
        <v>228</v>
      </c>
      <c r="AA636" s="237" t="s">
        <v>3616</v>
      </c>
      <c r="AB636" s="237" t="s">
        <v>228</v>
      </c>
      <c r="AC636" s="237" t="s">
        <v>228</v>
      </c>
    </row>
    <row r="637" spans="1:29" ht="13.5" customHeight="1">
      <c r="A637" s="235">
        <v>635</v>
      </c>
      <c r="B637" s="235">
        <v>0</v>
      </c>
      <c r="C637" s="255" t="s">
        <v>3617</v>
      </c>
      <c r="D637" s="235" t="s">
        <v>3618</v>
      </c>
      <c r="E637" s="235">
        <v>38</v>
      </c>
      <c r="F637" s="235" t="s">
        <v>60</v>
      </c>
      <c r="H637" s="243" t="s">
        <v>27</v>
      </c>
      <c r="I637" s="243"/>
      <c r="J637" s="235" t="s">
        <v>3603</v>
      </c>
      <c r="K637" s="240"/>
      <c r="L637" s="243" t="s">
        <v>231</v>
      </c>
      <c r="M637" s="243" t="s">
        <v>231</v>
      </c>
      <c r="N637" s="237"/>
      <c r="O637" s="237"/>
      <c r="P637" s="237"/>
      <c r="Q637" s="245">
        <v>45933</v>
      </c>
      <c r="R637" s="237" t="s">
        <v>309</v>
      </c>
      <c r="S637" s="331" t="s">
        <v>233</v>
      </c>
      <c r="T637" s="237" t="s">
        <v>228</v>
      </c>
      <c r="U637" s="237" t="s">
        <v>234</v>
      </c>
      <c r="V637" s="237" t="s">
        <v>228</v>
      </c>
      <c r="W637" s="244" t="s">
        <v>228</v>
      </c>
      <c r="X637" s="237" t="s">
        <v>228</v>
      </c>
      <c r="Y637" s="237" t="s">
        <v>228</v>
      </c>
      <c r="Z637" s="237" t="s">
        <v>228</v>
      </c>
      <c r="AA637" s="237" t="s">
        <v>3619</v>
      </c>
      <c r="AB637" s="237" t="s">
        <v>228</v>
      </c>
      <c r="AC637" s="237" t="s">
        <v>228</v>
      </c>
    </row>
    <row r="638" spans="1:29" ht="13.5" customHeight="1">
      <c r="A638" s="235">
        <v>636</v>
      </c>
      <c r="B638" s="235">
        <v>0</v>
      </c>
      <c r="C638" s="255" t="s">
        <v>3620</v>
      </c>
      <c r="D638" s="235" t="s">
        <v>3621</v>
      </c>
      <c r="E638" s="235">
        <v>46</v>
      </c>
      <c r="F638" s="235" t="s">
        <v>75</v>
      </c>
      <c r="H638" s="243" t="s">
        <v>27</v>
      </c>
      <c r="I638" s="243"/>
      <c r="J638" s="235" t="s">
        <v>3622</v>
      </c>
      <c r="K638" s="240"/>
      <c r="L638" s="243" t="s">
        <v>231</v>
      </c>
      <c r="M638" s="243" t="s">
        <v>231</v>
      </c>
      <c r="N638" s="237"/>
      <c r="O638" s="237"/>
      <c r="P638" s="237"/>
      <c r="Q638" s="245">
        <v>45934</v>
      </c>
      <c r="R638" s="237" t="s">
        <v>309</v>
      </c>
      <c r="S638" s="331" t="s">
        <v>233</v>
      </c>
      <c r="T638" s="237" t="s">
        <v>228</v>
      </c>
      <c r="U638" s="237" t="s">
        <v>234</v>
      </c>
      <c r="V638" s="237" t="s">
        <v>228</v>
      </c>
      <c r="W638" s="244" t="s">
        <v>228</v>
      </c>
      <c r="X638" s="237" t="s">
        <v>228</v>
      </c>
      <c r="Y638" s="237" t="s">
        <v>228</v>
      </c>
      <c r="Z638" s="237" t="s">
        <v>228</v>
      </c>
      <c r="AA638" s="237" t="s">
        <v>3623</v>
      </c>
      <c r="AB638" s="237" t="s">
        <v>228</v>
      </c>
      <c r="AC638" s="237" t="s">
        <v>228</v>
      </c>
    </row>
    <row r="639" spans="1:29" ht="13.5" customHeight="1">
      <c r="A639" s="235">
        <v>637</v>
      </c>
      <c r="B639" s="235">
        <v>0</v>
      </c>
      <c r="C639" s="255" t="s">
        <v>3624</v>
      </c>
      <c r="D639" s="235" t="s">
        <v>3625</v>
      </c>
      <c r="E639" s="235">
        <v>35</v>
      </c>
      <c r="F639" s="235" t="s">
        <v>60</v>
      </c>
      <c r="H639" s="243" t="s">
        <v>27</v>
      </c>
      <c r="I639" s="243"/>
      <c r="J639" s="235" t="s">
        <v>2250</v>
      </c>
      <c r="K639" s="240"/>
      <c r="L639" s="243" t="s">
        <v>231</v>
      </c>
      <c r="M639" s="243" t="s">
        <v>231</v>
      </c>
      <c r="N639" s="237"/>
      <c r="O639" s="237"/>
      <c r="P639" s="237"/>
      <c r="Q639" s="245">
        <v>45936</v>
      </c>
      <c r="R639" s="237" t="s">
        <v>309</v>
      </c>
      <c r="S639" s="331" t="s">
        <v>233</v>
      </c>
      <c r="T639" s="237" t="s">
        <v>228</v>
      </c>
      <c r="U639" s="237" t="s">
        <v>234</v>
      </c>
      <c r="V639" s="237" t="s">
        <v>228</v>
      </c>
      <c r="W639" s="244" t="s">
        <v>228</v>
      </c>
      <c r="X639" s="237" t="s">
        <v>228</v>
      </c>
      <c r="Y639" s="237" t="s">
        <v>228</v>
      </c>
      <c r="Z639" s="237" t="s">
        <v>228</v>
      </c>
      <c r="AA639" s="237" t="s">
        <v>3626</v>
      </c>
      <c r="AB639" s="237" t="s">
        <v>228</v>
      </c>
      <c r="AC639" s="237" t="s">
        <v>228</v>
      </c>
    </row>
    <row r="640" spans="1:29" ht="13.5" customHeight="1">
      <c r="A640" s="235">
        <v>638</v>
      </c>
      <c r="B640" s="235">
        <v>0</v>
      </c>
      <c r="C640" s="255" t="s">
        <v>3627</v>
      </c>
      <c r="D640" s="235" t="s">
        <v>3628</v>
      </c>
      <c r="E640" s="235">
        <v>44</v>
      </c>
      <c r="F640" s="235" t="s">
        <v>75</v>
      </c>
      <c r="G640" s="235" t="s">
        <v>3629</v>
      </c>
      <c r="H640" s="243" t="s">
        <v>188</v>
      </c>
      <c r="I640" s="243"/>
      <c r="K640" s="240"/>
      <c r="L640" s="243" t="s">
        <v>231</v>
      </c>
      <c r="M640" s="243" t="s">
        <v>231</v>
      </c>
      <c r="N640" s="237"/>
      <c r="O640" s="237"/>
      <c r="P640" s="237"/>
      <c r="Q640" s="245">
        <v>45936</v>
      </c>
      <c r="R640" s="237" t="s">
        <v>309</v>
      </c>
      <c r="S640" s="331" t="s">
        <v>233</v>
      </c>
      <c r="T640" s="237">
        <v>0</v>
      </c>
      <c r="U640" s="237" t="s">
        <v>234</v>
      </c>
      <c r="V640" s="237" t="s">
        <v>652</v>
      </c>
      <c r="W640" s="244">
        <v>46003</v>
      </c>
      <c r="X640" s="237" t="s">
        <v>3630</v>
      </c>
      <c r="Y640" s="237" t="s">
        <v>588</v>
      </c>
      <c r="Z640" s="237" t="s">
        <v>228</v>
      </c>
      <c r="AA640" s="237" t="s">
        <v>3631</v>
      </c>
      <c r="AB640" s="237" t="s">
        <v>228</v>
      </c>
      <c r="AC640" s="237" t="s">
        <v>228</v>
      </c>
    </row>
    <row r="641" spans="1:29" ht="13.5" customHeight="1">
      <c r="A641" s="235">
        <v>639</v>
      </c>
      <c r="B641" s="235">
        <v>0</v>
      </c>
      <c r="C641" s="255" t="s">
        <v>3632</v>
      </c>
      <c r="D641" s="235" t="s">
        <v>3633</v>
      </c>
      <c r="E641" s="235">
        <v>55</v>
      </c>
      <c r="F641" s="235" t="s">
        <v>60</v>
      </c>
      <c r="G641" s="235" t="s">
        <v>3634</v>
      </c>
      <c r="H641" s="243" t="s">
        <v>188</v>
      </c>
      <c r="I641" s="243"/>
      <c r="K641" s="240"/>
      <c r="L641" s="243" t="s">
        <v>231</v>
      </c>
      <c r="M641" s="243" t="s">
        <v>231</v>
      </c>
      <c r="N641" s="237"/>
      <c r="O641" s="237"/>
      <c r="P641" s="237"/>
      <c r="Q641" s="245">
        <v>45937</v>
      </c>
      <c r="R641" s="237" t="s">
        <v>309</v>
      </c>
      <c r="S641" s="331" t="s">
        <v>233</v>
      </c>
      <c r="T641" s="237">
        <v>0</v>
      </c>
      <c r="U641" s="237" t="s">
        <v>234</v>
      </c>
      <c r="V641" s="237" t="s">
        <v>652</v>
      </c>
      <c r="W641" s="244">
        <v>46003</v>
      </c>
      <c r="X641" s="237" t="s">
        <v>3635</v>
      </c>
      <c r="Y641" s="237" t="s">
        <v>588</v>
      </c>
      <c r="Z641" s="237" t="s">
        <v>228</v>
      </c>
      <c r="AA641" s="237" t="s">
        <v>3636</v>
      </c>
      <c r="AB641" s="237" t="s">
        <v>228</v>
      </c>
      <c r="AC641" s="237" t="s">
        <v>228</v>
      </c>
    </row>
    <row r="642" spans="1:29" ht="13.5" customHeight="1">
      <c r="A642" s="235">
        <v>640</v>
      </c>
      <c r="B642" s="235">
        <v>0</v>
      </c>
      <c r="C642" s="255" t="s">
        <v>3637</v>
      </c>
      <c r="D642" s="235" t="s">
        <v>3638</v>
      </c>
      <c r="E642" s="235">
        <v>38</v>
      </c>
      <c r="F642" s="235" t="s">
        <v>60</v>
      </c>
      <c r="G642" s="267" t="s">
        <v>3639</v>
      </c>
      <c r="H642" s="243" t="s">
        <v>27</v>
      </c>
      <c r="I642" s="243"/>
      <c r="J642" s="235" t="s">
        <v>3640</v>
      </c>
      <c r="K642" s="240"/>
      <c r="L642" s="243" t="s">
        <v>231</v>
      </c>
      <c r="M642" s="243" t="s">
        <v>231</v>
      </c>
      <c r="N642" s="237"/>
      <c r="O642" s="237"/>
      <c r="P642" s="237"/>
      <c r="Q642" s="245">
        <v>45938</v>
      </c>
      <c r="R642" s="237" t="s">
        <v>309</v>
      </c>
      <c r="S642" s="331" t="s">
        <v>233</v>
      </c>
      <c r="T642" s="237" t="s">
        <v>228</v>
      </c>
      <c r="U642" s="237" t="s">
        <v>234</v>
      </c>
      <c r="V642" s="237" t="s">
        <v>228</v>
      </c>
      <c r="W642" s="244" t="s">
        <v>228</v>
      </c>
      <c r="X642" s="237" t="s">
        <v>228</v>
      </c>
      <c r="Y642" s="237" t="s">
        <v>228</v>
      </c>
      <c r="Z642" s="237" t="s">
        <v>228</v>
      </c>
      <c r="AA642" s="237" t="s">
        <v>3641</v>
      </c>
      <c r="AB642" s="237" t="s">
        <v>228</v>
      </c>
      <c r="AC642" s="237" t="s">
        <v>228</v>
      </c>
    </row>
    <row r="643" spans="1:29" ht="13.5" customHeight="1">
      <c r="A643" s="235">
        <v>641</v>
      </c>
      <c r="B643" s="235">
        <v>0</v>
      </c>
      <c r="C643" s="255" t="s">
        <v>3642</v>
      </c>
      <c r="D643" s="235" t="s">
        <v>3643</v>
      </c>
      <c r="E643" s="235">
        <v>37</v>
      </c>
      <c r="F643" s="235" t="s">
        <v>75</v>
      </c>
      <c r="G643" s="235" t="s">
        <v>3644</v>
      </c>
      <c r="H643" s="243" t="s">
        <v>15</v>
      </c>
      <c r="I643" s="243" t="s">
        <v>3645</v>
      </c>
      <c r="K643" s="240" t="s">
        <v>97</v>
      </c>
      <c r="L643" s="243" t="s">
        <v>155</v>
      </c>
      <c r="M643" s="243" t="s">
        <v>184</v>
      </c>
      <c r="N643" s="237"/>
      <c r="O643" s="237"/>
      <c r="P643" s="237"/>
      <c r="Q643" s="245">
        <v>45941</v>
      </c>
      <c r="R643" s="237" t="s">
        <v>309</v>
      </c>
      <c r="S643" s="331" t="s">
        <v>233</v>
      </c>
      <c r="T643" s="237" t="s">
        <v>228</v>
      </c>
      <c r="U643" s="237" t="s">
        <v>234</v>
      </c>
      <c r="V643" s="237" t="s">
        <v>228</v>
      </c>
      <c r="W643" s="244" t="s">
        <v>228</v>
      </c>
      <c r="X643" s="237" t="s">
        <v>228</v>
      </c>
      <c r="Y643" s="237" t="s">
        <v>228</v>
      </c>
      <c r="Z643" s="237" t="s">
        <v>228</v>
      </c>
      <c r="AA643" s="237" t="s">
        <v>3646</v>
      </c>
      <c r="AB643" s="237" t="s">
        <v>228</v>
      </c>
      <c r="AC643" s="237" t="s">
        <v>228</v>
      </c>
    </row>
    <row r="644" spans="1:29" ht="13.5" customHeight="1">
      <c r="A644" s="235">
        <v>642</v>
      </c>
      <c r="B644" s="235">
        <v>0</v>
      </c>
      <c r="C644" s="255" t="s">
        <v>3648</v>
      </c>
      <c r="D644" s="235" t="s">
        <v>3649</v>
      </c>
      <c r="E644" s="235">
        <v>43</v>
      </c>
      <c r="F644" s="235" t="s">
        <v>60</v>
      </c>
      <c r="G644" s="235" t="s">
        <v>3650</v>
      </c>
      <c r="H644" s="243" t="s">
        <v>27</v>
      </c>
      <c r="I644" s="243"/>
      <c r="J644" s="235" t="s">
        <v>2250</v>
      </c>
      <c r="K644" s="240"/>
      <c r="L644" s="243" t="s">
        <v>231</v>
      </c>
      <c r="M644" s="243" t="s">
        <v>231</v>
      </c>
      <c r="N644" s="237"/>
      <c r="O644" s="237"/>
      <c r="P644" s="237"/>
      <c r="Q644" s="245">
        <v>45943</v>
      </c>
      <c r="R644" s="237" t="s">
        <v>309</v>
      </c>
      <c r="S644" s="331" t="s">
        <v>233</v>
      </c>
      <c r="T644" s="237">
        <v>0</v>
      </c>
      <c r="U644" s="237" t="s">
        <v>234</v>
      </c>
      <c r="V644" s="237" t="s">
        <v>228</v>
      </c>
      <c r="W644" s="244" t="s">
        <v>228</v>
      </c>
      <c r="X644" s="237" t="s">
        <v>228</v>
      </c>
      <c r="Y644" s="237" t="s">
        <v>228</v>
      </c>
      <c r="Z644" s="237" t="s">
        <v>228</v>
      </c>
      <c r="AA644" s="237" t="s">
        <v>3651</v>
      </c>
      <c r="AB644" s="237" t="s">
        <v>228</v>
      </c>
      <c r="AC644" s="237" t="s">
        <v>228</v>
      </c>
    </row>
    <row r="645" spans="1:29" ht="13.5" customHeight="1">
      <c r="A645" s="235">
        <v>643</v>
      </c>
      <c r="B645" s="235">
        <v>0</v>
      </c>
      <c r="C645" s="255" t="s">
        <v>3652</v>
      </c>
      <c r="D645" s="235" t="s">
        <v>3653</v>
      </c>
      <c r="E645" s="235">
        <v>27</v>
      </c>
      <c r="F645" s="235" t="s">
        <v>75</v>
      </c>
      <c r="G645" s="235" t="s">
        <v>3654</v>
      </c>
      <c r="H645" s="243" t="s">
        <v>15</v>
      </c>
      <c r="I645" s="243"/>
      <c r="K645" s="240" t="s">
        <v>3655</v>
      </c>
      <c r="L645" s="243" t="s">
        <v>136</v>
      </c>
      <c r="M645" s="243" t="s">
        <v>231</v>
      </c>
      <c r="N645" s="237"/>
      <c r="O645" s="237"/>
      <c r="P645" s="237"/>
      <c r="Q645" s="245">
        <v>45944</v>
      </c>
      <c r="R645" s="237" t="s">
        <v>309</v>
      </c>
      <c r="S645" s="331" t="s">
        <v>233</v>
      </c>
      <c r="T645" s="237" t="s">
        <v>228</v>
      </c>
      <c r="U645" s="237" t="s">
        <v>234</v>
      </c>
      <c r="V645" s="237" t="s">
        <v>228</v>
      </c>
      <c r="W645" s="244" t="s">
        <v>228</v>
      </c>
      <c r="X645" s="237" t="s">
        <v>228</v>
      </c>
      <c r="Y645" s="237" t="s">
        <v>228</v>
      </c>
      <c r="Z645" s="237" t="s">
        <v>228</v>
      </c>
      <c r="AA645" s="237" t="s">
        <v>3657</v>
      </c>
      <c r="AB645" s="237" t="s">
        <v>228</v>
      </c>
      <c r="AC645" s="237" t="s">
        <v>228</v>
      </c>
    </row>
    <row r="646" spans="1:29" ht="13.5" customHeight="1">
      <c r="A646" s="235">
        <v>644</v>
      </c>
      <c r="B646" s="235">
        <v>0</v>
      </c>
      <c r="C646" s="255" t="s">
        <v>3658</v>
      </c>
      <c r="D646" s="235" t="s">
        <v>3659</v>
      </c>
      <c r="E646" s="235">
        <v>58</v>
      </c>
      <c r="F646" s="235" t="s">
        <v>60</v>
      </c>
      <c r="G646" s="235" t="s">
        <v>3660</v>
      </c>
      <c r="H646" s="243" t="s">
        <v>188</v>
      </c>
      <c r="I646" s="243"/>
      <c r="J646" s="240" t="s">
        <v>3661</v>
      </c>
      <c r="K646" s="240"/>
      <c r="L646" s="243" t="s">
        <v>231</v>
      </c>
      <c r="M646" s="243" t="s">
        <v>231</v>
      </c>
      <c r="N646" s="237"/>
      <c r="O646" s="237"/>
      <c r="P646" s="237"/>
      <c r="Q646" s="245">
        <v>45945</v>
      </c>
      <c r="R646" s="237" t="s">
        <v>309</v>
      </c>
      <c r="S646" s="331" t="s">
        <v>233</v>
      </c>
      <c r="T646" s="237">
        <v>0</v>
      </c>
      <c r="U646" s="237" t="s">
        <v>234</v>
      </c>
      <c r="V646" s="237" t="s">
        <v>652</v>
      </c>
      <c r="W646" s="244">
        <v>46003</v>
      </c>
      <c r="X646" s="237" t="s">
        <v>3662</v>
      </c>
      <c r="Y646" s="237" t="s">
        <v>588</v>
      </c>
      <c r="Z646" s="237" t="s">
        <v>228</v>
      </c>
      <c r="AA646" s="237" t="s">
        <v>3663</v>
      </c>
      <c r="AB646" s="237" t="s">
        <v>228</v>
      </c>
      <c r="AC646" s="237" t="s">
        <v>228</v>
      </c>
    </row>
    <row r="647" spans="1:29" ht="13.5" customHeight="1">
      <c r="A647" s="235">
        <v>645</v>
      </c>
      <c r="B647" s="235">
        <v>0</v>
      </c>
      <c r="C647" s="255" t="s">
        <v>3664</v>
      </c>
      <c r="D647" s="235" t="s">
        <v>3665</v>
      </c>
      <c r="E647" s="235">
        <v>27</v>
      </c>
      <c r="F647" s="235" t="s">
        <v>60</v>
      </c>
      <c r="G647" s="235" t="s">
        <v>3666</v>
      </c>
      <c r="H647" s="243" t="s">
        <v>27</v>
      </c>
      <c r="I647" s="243"/>
      <c r="J647" s="235" t="s">
        <v>3667</v>
      </c>
      <c r="K647" s="240"/>
      <c r="L647" s="243" t="s">
        <v>231</v>
      </c>
      <c r="M647" s="243" t="s">
        <v>231</v>
      </c>
      <c r="N647" s="237"/>
      <c r="O647" s="237"/>
      <c r="P647" s="237"/>
      <c r="Q647" s="245">
        <v>45946</v>
      </c>
      <c r="R647" s="237" t="s">
        <v>309</v>
      </c>
      <c r="S647" s="331" t="s">
        <v>233</v>
      </c>
      <c r="T647" s="237" t="s">
        <v>228</v>
      </c>
      <c r="U647" s="237" t="s">
        <v>234</v>
      </c>
      <c r="V647" s="237" t="s">
        <v>228</v>
      </c>
      <c r="W647" s="244" t="s">
        <v>228</v>
      </c>
      <c r="X647" s="237" t="s">
        <v>228</v>
      </c>
      <c r="Y647" s="237" t="s">
        <v>228</v>
      </c>
      <c r="Z647" s="237" t="s">
        <v>228</v>
      </c>
      <c r="AA647" s="237" t="s">
        <v>3668</v>
      </c>
      <c r="AB647" s="237" t="s">
        <v>228</v>
      </c>
      <c r="AC647" s="237" t="s">
        <v>228</v>
      </c>
    </row>
    <row r="648" spans="1:29" ht="13.5" customHeight="1">
      <c r="A648" s="235">
        <v>646</v>
      </c>
      <c r="B648" s="235">
        <v>0</v>
      </c>
      <c r="C648" s="255" t="s">
        <v>3669</v>
      </c>
      <c r="D648" s="235" t="s">
        <v>3670</v>
      </c>
      <c r="E648" s="235">
        <v>73</v>
      </c>
      <c r="F648" s="235" t="s">
        <v>60</v>
      </c>
      <c r="G648" s="235" t="s">
        <v>3671</v>
      </c>
      <c r="H648" s="243" t="s">
        <v>27</v>
      </c>
      <c r="I648" s="243"/>
      <c r="J648" s="235" t="s">
        <v>433</v>
      </c>
      <c r="K648" s="240"/>
      <c r="L648" s="243" t="s">
        <v>231</v>
      </c>
      <c r="M648" s="243" t="s">
        <v>231</v>
      </c>
      <c r="N648" s="237"/>
      <c r="O648" s="237"/>
      <c r="P648" s="237"/>
      <c r="Q648" s="245">
        <v>45947</v>
      </c>
      <c r="R648" s="237" t="s">
        <v>309</v>
      </c>
      <c r="S648" s="331" t="s">
        <v>233</v>
      </c>
      <c r="T648" s="237">
        <v>0</v>
      </c>
      <c r="U648" s="237" t="s">
        <v>234</v>
      </c>
      <c r="V648" s="237" t="s">
        <v>228</v>
      </c>
      <c r="W648" s="244" t="s">
        <v>228</v>
      </c>
      <c r="X648" s="237" t="s">
        <v>228</v>
      </c>
      <c r="Y648" s="237" t="s">
        <v>228</v>
      </c>
      <c r="Z648" s="237" t="s">
        <v>228</v>
      </c>
      <c r="AA648" s="237" t="s">
        <v>3672</v>
      </c>
      <c r="AB648" s="237" t="s">
        <v>228</v>
      </c>
      <c r="AC648" s="237" t="s">
        <v>228</v>
      </c>
    </row>
    <row r="649" spans="1:29" ht="13.5" customHeight="1">
      <c r="A649" s="235">
        <v>647</v>
      </c>
      <c r="B649" s="235">
        <v>0</v>
      </c>
      <c r="C649" s="255" t="s">
        <v>3673</v>
      </c>
      <c r="D649" s="235" t="s">
        <v>3674</v>
      </c>
      <c r="E649" s="235">
        <v>62</v>
      </c>
      <c r="F649" s="235" t="s">
        <v>75</v>
      </c>
      <c r="G649" s="235" t="s">
        <v>3675</v>
      </c>
      <c r="H649" s="243" t="s">
        <v>188</v>
      </c>
      <c r="I649" s="243"/>
      <c r="J649" s="240" t="s">
        <v>3661</v>
      </c>
      <c r="K649" s="240"/>
      <c r="L649" s="243" t="s">
        <v>231</v>
      </c>
      <c r="M649" s="243" t="s">
        <v>231</v>
      </c>
      <c r="N649" s="237"/>
      <c r="O649" s="237"/>
      <c r="P649" s="237"/>
      <c r="Q649" s="245">
        <v>45952</v>
      </c>
      <c r="R649" s="237" t="s">
        <v>309</v>
      </c>
      <c r="S649" s="331" t="s">
        <v>233</v>
      </c>
      <c r="T649" s="237">
        <v>0</v>
      </c>
      <c r="U649" s="237" t="s">
        <v>234</v>
      </c>
      <c r="V649" s="237" t="s">
        <v>652</v>
      </c>
      <c r="W649" s="244">
        <v>46003</v>
      </c>
      <c r="X649" s="237" t="s">
        <v>3676</v>
      </c>
      <c r="Y649" s="237" t="s">
        <v>588</v>
      </c>
      <c r="Z649" s="237" t="s">
        <v>228</v>
      </c>
      <c r="AA649" s="237" t="s">
        <v>3677</v>
      </c>
      <c r="AB649" s="237" t="s">
        <v>228</v>
      </c>
      <c r="AC649" s="237" t="s">
        <v>228</v>
      </c>
    </row>
    <row r="650" spans="1:29" ht="13.5" customHeight="1">
      <c r="A650" s="235">
        <v>648</v>
      </c>
      <c r="B650" s="235">
        <v>0</v>
      </c>
      <c r="C650" s="255" t="s">
        <v>3678</v>
      </c>
      <c r="D650" s="235" t="s">
        <v>3679</v>
      </c>
      <c r="E650" s="235">
        <v>59</v>
      </c>
      <c r="F650" s="235" t="s">
        <v>60</v>
      </c>
      <c r="G650" s="235" t="s">
        <v>3680</v>
      </c>
      <c r="H650" s="243" t="s">
        <v>27</v>
      </c>
      <c r="I650" s="243"/>
      <c r="J650" s="235" t="s">
        <v>433</v>
      </c>
      <c r="K650" s="240"/>
      <c r="L650" s="243" t="s">
        <v>231</v>
      </c>
      <c r="M650" s="243" t="s">
        <v>231</v>
      </c>
      <c r="N650" s="237"/>
      <c r="O650" s="237"/>
      <c r="P650" s="237"/>
      <c r="Q650" s="245">
        <v>45954</v>
      </c>
      <c r="R650" s="237" t="s">
        <v>309</v>
      </c>
      <c r="S650" s="331" t="s">
        <v>233</v>
      </c>
      <c r="T650" s="237">
        <v>0</v>
      </c>
      <c r="U650" s="237" t="s">
        <v>234</v>
      </c>
      <c r="V650" s="237" t="s">
        <v>228</v>
      </c>
      <c r="W650" s="244" t="s">
        <v>228</v>
      </c>
      <c r="X650" s="237" t="s">
        <v>228</v>
      </c>
      <c r="Y650" s="237" t="s">
        <v>228</v>
      </c>
      <c r="Z650" s="237" t="s">
        <v>228</v>
      </c>
      <c r="AA650" s="237" t="s">
        <v>3681</v>
      </c>
      <c r="AB650" s="237" t="s">
        <v>228</v>
      </c>
      <c r="AC650" s="237" t="s">
        <v>228</v>
      </c>
    </row>
    <row r="651" spans="1:29" ht="13.5" customHeight="1">
      <c r="A651" s="235">
        <v>649</v>
      </c>
      <c r="B651" s="235">
        <v>0</v>
      </c>
      <c r="C651" s="255" t="s">
        <v>3682</v>
      </c>
      <c r="D651" s="235" t="s">
        <v>3683</v>
      </c>
      <c r="E651" s="235">
        <v>54</v>
      </c>
      <c r="F651" s="235" t="s">
        <v>60</v>
      </c>
      <c r="G651" s="235" t="s">
        <v>3684</v>
      </c>
      <c r="H651" s="243" t="s">
        <v>188</v>
      </c>
      <c r="I651" s="243"/>
      <c r="J651" s="240" t="s">
        <v>3661</v>
      </c>
      <c r="K651" s="240"/>
      <c r="L651" s="243" t="s">
        <v>231</v>
      </c>
      <c r="M651" s="243" t="s">
        <v>231</v>
      </c>
      <c r="N651" s="237"/>
      <c r="O651" s="237"/>
      <c r="P651" s="237"/>
      <c r="Q651" s="245">
        <v>45955</v>
      </c>
      <c r="R651" s="237" t="s">
        <v>309</v>
      </c>
      <c r="S651" s="331" t="s">
        <v>233</v>
      </c>
      <c r="T651" s="237">
        <v>0</v>
      </c>
      <c r="U651" s="237" t="s">
        <v>234</v>
      </c>
      <c r="V651" s="237" t="s">
        <v>652</v>
      </c>
      <c r="W651" s="244">
        <v>46003</v>
      </c>
      <c r="X651" s="237" t="s">
        <v>3685</v>
      </c>
      <c r="Y651" s="237" t="s">
        <v>588</v>
      </c>
      <c r="Z651" s="237" t="s">
        <v>228</v>
      </c>
      <c r="AA651" s="237" t="s">
        <v>3686</v>
      </c>
      <c r="AB651" s="237" t="s">
        <v>228</v>
      </c>
      <c r="AC651" s="237" t="s">
        <v>228</v>
      </c>
    </row>
    <row r="652" spans="1:29" ht="13.5" customHeight="1">
      <c r="A652" s="235">
        <v>650</v>
      </c>
      <c r="B652" s="235">
        <v>0</v>
      </c>
      <c r="C652" s="255" t="s">
        <v>3687</v>
      </c>
      <c r="D652" s="235" t="s">
        <v>3688</v>
      </c>
      <c r="E652" s="235">
        <v>65</v>
      </c>
      <c r="F652" s="235" t="s">
        <v>75</v>
      </c>
      <c r="G652" s="235" t="s">
        <v>3689</v>
      </c>
      <c r="H652" s="243" t="s">
        <v>3</v>
      </c>
      <c r="I652" s="243"/>
      <c r="J652" s="240" t="s">
        <v>886</v>
      </c>
      <c r="K652" s="240" t="s">
        <v>161</v>
      </c>
      <c r="L652" s="72" t="s">
        <v>28</v>
      </c>
      <c r="M652" s="243" t="s">
        <v>231</v>
      </c>
      <c r="N652" s="237"/>
      <c r="O652" s="237"/>
      <c r="P652" s="237"/>
      <c r="Q652" s="245">
        <v>45958</v>
      </c>
      <c r="R652" s="237" t="s">
        <v>309</v>
      </c>
      <c r="S652" s="331" t="s">
        <v>233</v>
      </c>
      <c r="T652" s="237">
        <v>0</v>
      </c>
      <c r="U652" s="237" t="s">
        <v>234</v>
      </c>
      <c r="V652" s="237" t="s">
        <v>652</v>
      </c>
      <c r="W652" s="244">
        <v>46003</v>
      </c>
      <c r="X652" s="237" t="s">
        <v>3691</v>
      </c>
      <c r="Y652" s="237" t="s">
        <v>588</v>
      </c>
      <c r="Z652" s="237" t="s">
        <v>228</v>
      </c>
      <c r="AA652" s="237" t="s">
        <v>3692</v>
      </c>
      <c r="AB652" s="237" t="s">
        <v>228</v>
      </c>
      <c r="AC652" s="237" t="s">
        <v>228</v>
      </c>
    </row>
    <row r="653" spans="1:29" ht="13.5" customHeight="1">
      <c r="A653" s="235">
        <v>651</v>
      </c>
      <c r="B653" s="235">
        <v>0</v>
      </c>
      <c r="C653" s="255" t="s">
        <v>3693</v>
      </c>
      <c r="D653" s="235" t="s">
        <v>3694</v>
      </c>
      <c r="E653" s="235">
        <v>72</v>
      </c>
      <c r="F653" s="235" t="s">
        <v>60</v>
      </c>
      <c r="G653" s="235" t="s">
        <v>3695</v>
      </c>
      <c r="H653" s="243" t="s">
        <v>3</v>
      </c>
      <c r="I653" s="243"/>
      <c r="J653" s="240" t="s">
        <v>886</v>
      </c>
      <c r="K653" s="240" t="s">
        <v>1038</v>
      </c>
      <c r="L653" s="243" t="s">
        <v>1642</v>
      </c>
      <c r="M653" s="243" t="s">
        <v>231</v>
      </c>
      <c r="N653" s="237"/>
      <c r="O653" s="237"/>
      <c r="P653" s="237"/>
      <c r="Q653" s="245">
        <v>45958</v>
      </c>
      <c r="R653" s="237" t="s">
        <v>309</v>
      </c>
      <c r="S653" s="331" t="s">
        <v>233</v>
      </c>
      <c r="T653" s="237">
        <v>0</v>
      </c>
      <c r="U653" s="237" t="s">
        <v>234</v>
      </c>
      <c r="V653" s="237" t="s">
        <v>652</v>
      </c>
      <c r="W653" s="244">
        <v>46003</v>
      </c>
      <c r="X653" s="237" t="s">
        <v>3696</v>
      </c>
      <c r="Y653" s="237" t="s">
        <v>588</v>
      </c>
      <c r="Z653" s="237" t="s">
        <v>228</v>
      </c>
      <c r="AA653" s="237" t="s">
        <v>3697</v>
      </c>
      <c r="AB653" s="237" t="s">
        <v>228</v>
      </c>
      <c r="AC653" s="237" t="s">
        <v>228</v>
      </c>
    </row>
    <row r="654" spans="1:29" ht="13.5" customHeight="1">
      <c r="A654" s="235">
        <v>652</v>
      </c>
      <c r="B654" s="235">
        <v>0</v>
      </c>
      <c r="C654" s="255" t="s">
        <v>3698</v>
      </c>
      <c r="D654" s="235" t="s">
        <v>3699</v>
      </c>
      <c r="E654" s="235">
        <v>46</v>
      </c>
      <c r="F654" s="235" t="s">
        <v>75</v>
      </c>
      <c r="G654" s="235" t="s">
        <v>3700</v>
      </c>
      <c r="H654" s="243" t="s">
        <v>3</v>
      </c>
      <c r="I654" s="240" t="s">
        <v>39</v>
      </c>
      <c r="K654" s="240"/>
      <c r="L654" s="72" t="s">
        <v>16</v>
      </c>
      <c r="M654" s="250" t="s">
        <v>3701</v>
      </c>
      <c r="N654" s="237"/>
      <c r="O654" s="237"/>
      <c r="P654" s="237"/>
      <c r="Q654" s="245">
        <v>45958</v>
      </c>
      <c r="R654" s="237" t="s">
        <v>309</v>
      </c>
      <c r="S654" s="331" t="s">
        <v>233</v>
      </c>
      <c r="T654" s="237" t="s">
        <v>228</v>
      </c>
      <c r="U654" s="237" t="s">
        <v>298</v>
      </c>
      <c r="V654" s="237" t="s">
        <v>228</v>
      </c>
      <c r="W654" s="244" t="s">
        <v>228</v>
      </c>
      <c r="X654" s="237" t="s">
        <v>228</v>
      </c>
      <c r="Y654" s="237" t="s">
        <v>228</v>
      </c>
      <c r="Z654" s="237" t="s">
        <v>228</v>
      </c>
      <c r="AA654" s="237" t="s">
        <v>3702</v>
      </c>
      <c r="AB654" s="237" t="s">
        <v>228</v>
      </c>
      <c r="AC654" s="237" t="s">
        <v>228</v>
      </c>
    </row>
    <row r="655" spans="1:29" ht="13.5" customHeight="1">
      <c r="A655" s="235">
        <v>653</v>
      </c>
      <c r="B655" s="235">
        <v>0</v>
      </c>
      <c r="C655" s="255" t="s">
        <v>3703</v>
      </c>
      <c r="D655" s="235" t="s">
        <v>3704</v>
      </c>
      <c r="E655" s="235">
        <v>39</v>
      </c>
      <c r="F655" s="235" t="s">
        <v>60</v>
      </c>
      <c r="G655" s="235" t="s">
        <v>3705</v>
      </c>
      <c r="H655" s="243" t="s">
        <v>27</v>
      </c>
      <c r="I655" s="243"/>
      <c r="J655" s="235" t="s">
        <v>433</v>
      </c>
      <c r="K655" s="240"/>
      <c r="L655" s="243" t="s">
        <v>231</v>
      </c>
      <c r="M655" s="243" t="s">
        <v>231</v>
      </c>
      <c r="N655" s="237"/>
      <c r="O655" s="237"/>
      <c r="P655" s="237"/>
      <c r="Q655" s="245">
        <v>45960</v>
      </c>
      <c r="R655" s="237" t="s">
        <v>309</v>
      </c>
      <c r="S655" s="331" t="s">
        <v>233</v>
      </c>
      <c r="T655" s="237">
        <v>0</v>
      </c>
      <c r="U655" s="237" t="s">
        <v>234</v>
      </c>
      <c r="V655" s="237" t="s">
        <v>228</v>
      </c>
      <c r="W655" s="244" t="s">
        <v>228</v>
      </c>
      <c r="X655" s="237" t="s">
        <v>228</v>
      </c>
      <c r="Y655" s="237" t="s">
        <v>228</v>
      </c>
      <c r="Z655" s="237" t="s">
        <v>228</v>
      </c>
      <c r="AA655" s="237" t="s">
        <v>3706</v>
      </c>
      <c r="AB655" s="237" t="s">
        <v>228</v>
      </c>
      <c r="AC655" s="237" t="s">
        <v>228</v>
      </c>
    </row>
    <row r="656" spans="1:29" ht="13.5" customHeight="1">
      <c r="A656" s="235">
        <v>654</v>
      </c>
      <c r="B656" s="235">
        <v>0</v>
      </c>
      <c r="C656" s="255" t="s">
        <v>3707</v>
      </c>
      <c r="D656" s="235" t="s">
        <v>3708</v>
      </c>
      <c r="E656" s="235">
        <v>71</v>
      </c>
      <c r="F656" s="235" t="s">
        <v>60</v>
      </c>
      <c r="G656" s="235" t="s">
        <v>3709</v>
      </c>
      <c r="H656" s="243" t="s">
        <v>27</v>
      </c>
      <c r="I656" s="243"/>
      <c r="J656" s="235" t="s">
        <v>433</v>
      </c>
      <c r="K656" s="240"/>
      <c r="L656" s="243" t="s">
        <v>231</v>
      </c>
      <c r="M656" s="243" t="s">
        <v>231</v>
      </c>
      <c r="N656" s="237"/>
      <c r="O656" s="237"/>
      <c r="P656" s="237"/>
      <c r="Q656" s="245">
        <v>45960</v>
      </c>
      <c r="R656" s="237" t="s">
        <v>309</v>
      </c>
      <c r="S656" s="331" t="s">
        <v>233</v>
      </c>
      <c r="T656" s="237">
        <v>0</v>
      </c>
      <c r="U656" s="237" t="s">
        <v>234</v>
      </c>
      <c r="V656" s="237" t="s">
        <v>228</v>
      </c>
      <c r="W656" s="244" t="s">
        <v>228</v>
      </c>
      <c r="X656" s="237" t="s">
        <v>228</v>
      </c>
      <c r="Y656" s="237" t="s">
        <v>228</v>
      </c>
      <c r="Z656" s="237" t="s">
        <v>228</v>
      </c>
      <c r="AA656" s="237" t="s">
        <v>3711</v>
      </c>
      <c r="AB656" s="237" t="s">
        <v>228</v>
      </c>
      <c r="AC656" s="237" t="s">
        <v>228</v>
      </c>
    </row>
    <row r="657" spans="1:29" ht="13.5" customHeight="1">
      <c r="A657" s="235">
        <v>655</v>
      </c>
      <c r="B657" s="235">
        <v>0</v>
      </c>
      <c r="C657" s="255" t="s">
        <v>3712</v>
      </c>
      <c r="D657" s="235" t="s">
        <v>3713</v>
      </c>
      <c r="E657" s="235">
        <v>77</v>
      </c>
      <c r="F657" s="235" t="s">
        <v>60</v>
      </c>
      <c r="G657" s="235" t="s">
        <v>3714</v>
      </c>
      <c r="H657" s="237" t="s">
        <v>188</v>
      </c>
      <c r="I657" s="237"/>
      <c r="K657" s="240"/>
      <c r="L657" s="237"/>
      <c r="M657" s="237"/>
      <c r="N657" s="237"/>
      <c r="O657" s="237"/>
      <c r="P657" s="237"/>
      <c r="Q657" s="245">
        <v>45962</v>
      </c>
      <c r="R657" s="237" t="s">
        <v>309</v>
      </c>
      <c r="S657" s="335" t="s">
        <v>3715</v>
      </c>
      <c r="T657" s="237" t="s">
        <v>228</v>
      </c>
      <c r="U657" s="237" t="s">
        <v>298</v>
      </c>
      <c r="V657" s="237" t="s">
        <v>228</v>
      </c>
      <c r="W657" s="244" t="s">
        <v>228</v>
      </c>
      <c r="X657" s="237" t="s">
        <v>228</v>
      </c>
      <c r="Y657" s="237" t="s">
        <v>228</v>
      </c>
      <c r="Z657" s="237" t="s">
        <v>228</v>
      </c>
      <c r="AA657" s="237" t="s">
        <v>3716</v>
      </c>
      <c r="AB657" s="237" t="s">
        <v>228</v>
      </c>
      <c r="AC657" s="237" t="s">
        <v>228</v>
      </c>
    </row>
    <row r="658" spans="1:29" ht="13.5" customHeight="1">
      <c r="A658" s="235">
        <v>656</v>
      </c>
      <c r="B658" s="235">
        <v>0</v>
      </c>
      <c r="C658" s="255" t="s">
        <v>3717</v>
      </c>
      <c r="D658" s="235" t="s">
        <v>3718</v>
      </c>
      <c r="E658" s="235">
        <v>72</v>
      </c>
      <c r="F658" s="235" t="s">
        <v>75</v>
      </c>
      <c r="G658" s="235" t="s">
        <v>3719</v>
      </c>
      <c r="H658" s="243" t="s">
        <v>3</v>
      </c>
      <c r="I658" s="240" t="s">
        <v>39</v>
      </c>
      <c r="K658" s="240"/>
      <c r="L658" s="72" t="s">
        <v>16</v>
      </c>
      <c r="M658" s="246" t="s">
        <v>228</v>
      </c>
      <c r="N658" s="237"/>
      <c r="O658" s="237"/>
      <c r="P658" s="237"/>
      <c r="Q658" s="245">
        <v>45890</v>
      </c>
      <c r="R658" s="237" t="s">
        <v>309</v>
      </c>
      <c r="S658" s="330" t="s">
        <v>233</v>
      </c>
      <c r="T658" s="237">
        <v>0</v>
      </c>
      <c r="U658" s="237" t="s">
        <v>298</v>
      </c>
      <c r="V658" s="237" t="s">
        <v>228</v>
      </c>
      <c r="W658" s="244" t="s">
        <v>228</v>
      </c>
      <c r="X658" s="237" t="s">
        <v>228</v>
      </c>
      <c r="Y658" s="237" t="s">
        <v>228</v>
      </c>
      <c r="Z658" s="237" t="s">
        <v>228</v>
      </c>
      <c r="AA658" s="237" t="s">
        <v>3721</v>
      </c>
      <c r="AB658" s="237" t="s">
        <v>228</v>
      </c>
      <c r="AC658" s="237" t="s">
        <v>228</v>
      </c>
    </row>
    <row r="659" spans="1:29" ht="13.5" customHeight="1">
      <c r="A659" s="235">
        <v>657</v>
      </c>
      <c r="B659" s="237"/>
      <c r="C659" s="255" t="s">
        <v>3722</v>
      </c>
      <c r="D659" s="237" t="s">
        <v>3723</v>
      </c>
      <c r="E659" s="237">
        <v>43</v>
      </c>
      <c r="F659" s="237" t="s">
        <v>60</v>
      </c>
      <c r="G659" s="237" t="s">
        <v>3724</v>
      </c>
      <c r="H659" s="243" t="s">
        <v>4</v>
      </c>
      <c r="I659" s="243"/>
      <c r="K659" s="240"/>
      <c r="L659" s="72" t="s">
        <v>11</v>
      </c>
      <c r="M659" s="246" t="s">
        <v>228</v>
      </c>
      <c r="N659" s="237"/>
      <c r="O659" s="237"/>
      <c r="P659" s="237"/>
      <c r="Q659" s="245">
        <v>45879</v>
      </c>
      <c r="R659" s="237" t="s">
        <v>309</v>
      </c>
      <c r="S659" s="331" t="s">
        <v>233</v>
      </c>
      <c r="T659" s="237" t="s">
        <v>228</v>
      </c>
      <c r="U659" s="237" t="s">
        <v>234</v>
      </c>
      <c r="V659" s="237" t="s">
        <v>652</v>
      </c>
      <c r="W659" s="244">
        <v>45986</v>
      </c>
      <c r="X659" s="237">
        <v>0</v>
      </c>
      <c r="Y659" s="237">
        <v>0</v>
      </c>
      <c r="Z659" s="237" t="s">
        <v>228</v>
      </c>
      <c r="AA659" s="237" t="s">
        <v>3725</v>
      </c>
      <c r="AB659" s="237" t="s">
        <v>228</v>
      </c>
      <c r="AC659" s="237" t="s">
        <v>228</v>
      </c>
    </row>
    <row r="660" spans="1:29" ht="13.5" customHeight="1">
      <c r="A660" s="235">
        <v>658</v>
      </c>
      <c r="B660" s="237"/>
      <c r="C660" s="255" t="s">
        <v>3726</v>
      </c>
      <c r="D660" s="237" t="s">
        <v>3727</v>
      </c>
      <c r="E660" s="237">
        <v>57</v>
      </c>
      <c r="F660" s="237" t="s">
        <v>60</v>
      </c>
      <c r="G660" s="237" t="s">
        <v>812</v>
      </c>
      <c r="H660" s="243" t="s">
        <v>188</v>
      </c>
      <c r="I660" s="243"/>
      <c r="K660" s="240"/>
      <c r="L660" s="243" t="s">
        <v>231</v>
      </c>
      <c r="M660" s="246" t="s">
        <v>228</v>
      </c>
      <c r="N660" s="237"/>
      <c r="O660" s="237"/>
      <c r="P660" s="237"/>
      <c r="Q660" s="245">
        <v>45692</v>
      </c>
      <c r="R660" s="237" t="s">
        <v>309</v>
      </c>
      <c r="S660" s="331" t="s">
        <v>233</v>
      </c>
      <c r="T660" s="237" t="s">
        <v>228</v>
      </c>
      <c r="U660" s="237" t="s">
        <v>234</v>
      </c>
      <c r="V660" s="237" t="s">
        <v>652</v>
      </c>
      <c r="W660" s="244">
        <v>45971</v>
      </c>
      <c r="X660" s="237" t="s">
        <v>3414</v>
      </c>
      <c r="Y660" s="237" t="s">
        <v>588</v>
      </c>
      <c r="Z660" s="237" t="s">
        <v>237</v>
      </c>
      <c r="AA660" s="237" t="s">
        <v>3728</v>
      </c>
      <c r="AB660" s="237" t="s">
        <v>228</v>
      </c>
      <c r="AC660" s="237" t="s">
        <v>228</v>
      </c>
    </row>
    <row r="661" spans="1:29" ht="13.5" customHeight="1">
      <c r="A661" s="235">
        <v>659</v>
      </c>
      <c r="B661" s="235">
        <v>0</v>
      </c>
      <c r="C661" s="255" t="s">
        <v>3729</v>
      </c>
      <c r="D661" s="235" t="s">
        <v>3730</v>
      </c>
      <c r="E661" s="235">
        <v>52</v>
      </c>
      <c r="F661" s="235" t="s">
        <v>75</v>
      </c>
      <c r="G661" s="235" t="s">
        <v>3731</v>
      </c>
      <c r="H661" s="264" t="s">
        <v>4</v>
      </c>
      <c r="I661" s="237"/>
      <c r="J661" s="240" t="s">
        <v>3732</v>
      </c>
      <c r="K661" s="240"/>
      <c r="L661" s="237" t="s">
        <v>20</v>
      </c>
      <c r="M661" s="237"/>
      <c r="N661" s="237"/>
      <c r="O661" s="237"/>
      <c r="P661" s="237"/>
      <c r="Q661" s="245">
        <v>45968</v>
      </c>
      <c r="R661" s="237" t="s">
        <v>309</v>
      </c>
      <c r="S661" s="331" t="s">
        <v>233</v>
      </c>
      <c r="T661" s="237">
        <v>0</v>
      </c>
      <c r="U661" s="237" t="s">
        <v>298</v>
      </c>
      <c r="V661" s="237" t="s">
        <v>228</v>
      </c>
      <c r="W661" s="244" t="s">
        <v>228</v>
      </c>
      <c r="X661" s="237" t="s">
        <v>228</v>
      </c>
      <c r="Y661" s="237" t="s">
        <v>228</v>
      </c>
      <c r="Z661" s="237" t="s">
        <v>237</v>
      </c>
      <c r="AA661" s="237" t="s">
        <v>3734</v>
      </c>
      <c r="AB661" s="237" t="s">
        <v>228</v>
      </c>
      <c r="AC661" s="237" t="s">
        <v>228</v>
      </c>
    </row>
    <row r="662" spans="1:29" ht="13.5" customHeight="1">
      <c r="A662" s="235">
        <v>660</v>
      </c>
      <c r="B662" s="259">
        <v>0</v>
      </c>
      <c r="C662" s="255" t="s">
        <v>3735</v>
      </c>
      <c r="D662" s="235" t="s">
        <v>3736</v>
      </c>
      <c r="E662" s="259">
        <v>73</v>
      </c>
      <c r="F662" s="259" t="s">
        <v>75</v>
      </c>
      <c r="G662" s="259" t="s">
        <v>3737</v>
      </c>
      <c r="H662" s="264" t="s">
        <v>5</v>
      </c>
      <c r="I662" s="258"/>
      <c r="J662" s="259" t="s">
        <v>433</v>
      </c>
      <c r="K662" s="240"/>
      <c r="L662" s="237" t="s">
        <v>20</v>
      </c>
      <c r="M662" s="237"/>
      <c r="N662" s="237"/>
      <c r="O662" s="237"/>
      <c r="P662" s="237"/>
      <c r="Q662" s="245">
        <v>45972</v>
      </c>
      <c r="R662" s="237" t="s">
        <v>309</v>
      </c>
      <c r="S662" s="331" t="s">
        <v>233</v>
      </c>
      <c r="T662" s="237">
        <v>0</v>
      </c>
      <c r="U662" s="237" t="s">
        <v>234</v>
      </c>
      <c r="V662" s="237" t="s">
        <v>228</v>
      </c>
      <c r="W662" s="244" t="s">
        <v>228</v>
      </c>
      <c r="X662" s="237" t="s">
        <v>228</v>
      </c>
      <c r="Y662" s="237" t="s">
        <v>228</v>
      </c>
      <c r="Z662" s="237" t="s">
        <v>228</v>
      </c>
      <c r="AA662" s="237" t="s">
        <v>3740</v>
      </c>
      <c r="AB662" s="237" t="s">
        <v>228</v>
      </c>
      <c r="AC662" s="237" t="s">
        <v>228</v>
      </c>
    </row>
    <row r="663" spans="1:29" ht="13.5" customHeight="1">
      <c r="A663" s="235">
        <v>661</v>
      </c>
      <c r="B663" s="235" t="s">
        <v>3741</v>
      </c>
      <c r="C663" s="255" t="s">
        <v>3742</v>
      </c>
      <c r="D663" s="235" t="s">
        <v>3743</v>
      </c>
      <c r="E663" s="235">
        <v>50</v>
      </c>
      <c r="F663" s="235" t="s">
        <v>60</v>
      </c>
      <c r="G663" s="235">
        <v>0</v>
      </c>
      <c r="H663" s="251" t="s">
        <v>15</v>
      </c>
      <c r="I663" s="237"/>
      <c r="K663" s="240"/>
      <c r="L663" s="237"/>
      <c r="M663" s="237" t="s">
        <v>3744</v>
      </c>
      <c r="N663" s="237"/>
      <c r="O663" s="237"/>
      <c r="P663" s="237"/>
      <c r="Q663" s="245">
        <v>45973</v>
      </c>
      <c r="R663" s="237" t="s">
        <v>309</v>
      </c>
      <c r="S663" s="331" t="s">
        <v>233</v>
      </c>
      <c r="T663" s="237">
        <v>0</v>
      </c>
      <c r="U663" s="237" t="s">
        <v>234</v>
      </c>
      <c r="V663" s="237" t="s">
        <v>228</v>
      </c>
      <c r="W663" s="244" t="s">
        <v>228</v>
      </c>
      <c r="X663" s="237" t="s">
        <v>228</v>
      </c>
      <c r="Y663" s="237" t="s">
        <v>228</v>
      </c>
      <c r="Z663" s="237" t="s">
        <v>228</v>
      </c>
      <c r="AA663" s="237" t="s">
        <v>3745</v>
      </c>
      <c r="AB663" s="237" t="s">
        <v>228</v>
      </c>
      <c r="AC663" s="237" t="s">
        <v>228</v>
      </c>
    </row>
    <row r="664" spans="1:29" ht="13.5" customHeight="1">
      <c r="A664" s="235">
        <v>662</v>
      </c>
      <c r="B664" s="235">
        <v>0</v>
      </c>
      <c r="C664" s="255" t="s">
        <v>3746</v>
      </c>
      <c r="D664" s="235" t="s">
        <v>3747</v>
      </c>
      <c r="E664" s="235">
        <v>66</v>
      </c>
      <c r="F664" s="235" t="s">
        <v>60</v>
      </c>
      <c r="G664" s="235" t="s">
        <v>3748</v>
      </c>
      <c r="H664" s="237" t="s">
        <v>188</v>
      </c>
      <c r="I664" s="237"/>
      <c r="K664" s="240"/>
      <c r="L664" s="237"/>
      <c r="M664" s="237"/>
      <c r="N664" s="237"/>
      <c r="O664" s="237"/>
      <c r="P664" s="237"/>
      <c r="Q664" s="245">
        <v>45974</v>
      </c>
      <c r="R664" s="237" t="s">
        <v>309</v>
      </c>
      <c r="S664" s="331" t="s">
        <v>233</v>
      </c>
      <c r="T664" s="237">
        <v>0</v>
      </c>
      <c r="U664" s="237" t="s">
        <v>298</v>
      </c>
      <c r="V664" s="237" t="s">
        <v>228</v>
      </c>
      <c r="W664" s="244" t="s">
        <v>228</v>
      </c>
      <c r="X664" s="237" t="s">
        <v>228</v>
      </c>
      <c r="Y664" s="237" t="s">
        <v>228</v>
      </c>
      <c r="Z664" s="237" t="s">
        <v>237</v>
      </c>
      <c r="AA664" s="237" t="s">
        <v>3749</v>
      </c>
      <c r="AB664" s="237" t="s">
        <v>228</v>
      </c>
      <c r="AC664" s="237" t="s">
        <v>228</v>
      </c>
    </row>
    <row r="665" spans="1:29" ht="13.5" customHeight="1">
      <c r="A665" s="235">
        <v>663</v>
      </c>
      <c r="B665" s="235">
        <v>0</v>
      </c>
      <c r="C665" s="255" t="s">
        <v>3750</v>
      </c>
      <c r="D665" s="235" t="s">
        <v>3751</v>
      </c>
      <c r="E665" s="235">
        <v>62</v>
      </c>
      <c r="F665" s="235" t="s">
        <v>60</v>
      </c>
      <c r="G665" s="235" t="s">
        <v>3752</v>
      </c>
      <c r="H665" s="237" t="s">
        <v>27</v>
      </c>
      <c r="I665" s="237"/>
      <c r="J665" s="235" t="s">
        <v>433</v>
      </c>
      <c r="K665" s="240"/>
      <c r="L665" s="237"/>
      <c r="M665" s="237"/>
      <c r="N665" s="237"/>
      <c r="O665" s="237"/>
      <c r="P665" s="237"/>
      <c r="Q665" s="245">
        <v>45978</v>
      </c>
      <c r="R665" s="237" t="s">
        <v>309</v>
      </c>
      <c r="S665" s="335" t="s">
        <v>3715</v>
      </c>
      <c r="T665" s="237">
        <v>0</v>
      </c>
      <c r="U665" s="237" t="s">
        <v>234</v>
      </c>
      <c r="V665" s="237" t="s">
        <v>228</v>
      </c>
      <c r="W665" s="244" t="s">
        <v>228</v>
      </c>
      <c r="X665" s="237" t="s">
        <v>228</v>
      </c>
      <c r="Y665" s="237" t="s">
        <v>228</v>
      </c>
      <c r="Z665" s="237" t="s">
        <v>228</v>
      </c>
      <c r="AA665" s="237" t="s">
        <v>3753</v>
      </c>
      <c r="AB665" s="237" t="s">
        <v>228</v>
      </c>
      <c r="AC665" s="237" t="s">
        <v>228</v>
      </c>
    </row>
    <row r="666" spans="1:29" ht="13.5" customHeight="1">
      <c r="A666" s="235">
        <v>664</v>
      </c>
      <c r="B666" s="259">
        <v>0</v>
      </c>
      <c r="C666" s="255" t="s">
        <v>3754</v>
      </c>
      <c r="D666" s="235" t="s">
        <v>3755</v>
      </c>
      <c r="E666" s="259">
        <v>53</v>
      </c>
      <c r="F666" s="259" t="s">
        <v>60</v>
      </c>
      <c r="G666" s="259" t="s">
        <v>3756</v>
      </c>
      <c r="H666" s="264" t="s">
        <v>5</v>
      </c>
      <c r="I666" s="258"/>
      <c r="J666" s="259" t="s">
        <v>433</v>
      </c>
      <c r="K666" s="240"/>
      <c r="L666" s="237" t="s">
        <v>20</v>
      </c>
      <c r="M666" s="237"/>
      <c r="N666" s="237"/>
      <c r="O666" s="237"/>
      <c r="P666" s="237"/>
      <c r="Q666" s="245">
        <v>45980</v>
      </c>
      <c r="R666" s="237" t="s">
        <v>309</v>
      </c>
      <c r="S666" s="341" t="s">
        <v>233</v>
      </c>
      <c r="T666" s="237">
        <v>0</v>
      </c>
      <c r="U666" s="237" t="s">
        <v>234</v>
      </c>
      <c r="V666" s="237" t="s">
        <v>228</v>
      </c>
      <c r="W666" s="244" t="s">
        <v>228</v>
      </c>
      <c r="X666" s="237" t="s">
        <v>228</v>
      </c>
      <c r="Y666" s="237" t="s">
        <v>228</v>
      </c>
      <c r="Z666" s="237" t="s">
        <v>228</v>
      </c>
      <c r="AA666" s="237" t="s">
        <v>3758</v>
      </c>
      <c r="AB666" s="237" t="s">
        <v>228</v>
      </c>
      <c r="AC666" s="237" t="s">
        <v>228</v>
      </c>
    </row>
    <row r="667" spans="1:29" ht="13.5" customHeight="1">
      <c r="A667" s="235">
        <v>665</v>
      </c>
      <c r="B667" s="235">
        <v>0</v>
      </c>
      <c r="C667" s="255" t="s">
        <v>3759</v>
      </c>
      <c r="D667" s="235" t="s">
        <v>3760</v>
      </c>
      <c r="E667" s="235">
        <v>55</v>
      </c>
      <c r="F667" s="235" t="s">
        <v>75</v>
      </c>
      <c r="G667" s="235" t="s">
        <v>3761</v>
      </c>
      <c r="H667" s="237" t="s">
        <v>188</v>
      </c>
      <c r="I667" s="237"/>
      <c r="K667" s="240"/>
      <c r="L667" s="237"/>
      <c r="M667" s="237"/>
      <c r="N667" s="237"/>
      <c r="O667" s="237"/>
      <c r="P667" s="237"/>
      <c r="Q667" s="527">
        <v>45981</v>
      </c>
      <c r="R667" s="337" t="s">
        <v>309</v>
      </c>
      <c r="S667" s="330" t="s">
        <v>3715</v>
      </c>
      <c r="T667" s="339">
        <v>0</v>
      </c>
      <c r="U667" s="237" t="s">
        <v>234</v>
      </c>
      <c r="V667" s="237" t="s">
        <v>228</v>
      </c>
      <c r="W667" s="244" t="s">
        <v>228</v>
      </c>
      <c r="X667" s="237" t="s">
        <v>228</v>
      </c>
      <c r="Y667" s="237" t="s">
        <v>228</v>
      </c>
      <c r="Z667" s="237" t="s">
        <v>228</v>
      </c>
      <c r="AA667" s="237" t="s">
        <v>3762</v>
      </c>
      <c r="AB667" s="237" t="s">
        <v>228</v>
      </c>
      <c r="AC667" s="237" t="s">
        <v>228</v>
      </c>
    </row>
    <row r="668" spans="1:29" ht="13.5" customHeight="1">
      <c r="A668" s="235">
        <v>666</v>
      </c>
      <c r="B668" s="235">
        <v>0</v>
      </c>
      <c r="C668" s="255" t="s">
        <v>3763</v>
      </c>
      <c r="D668" s="235" t="s">
        <v>3764</v>
      </c>
      <c r="E668" s="235">
        <v>43</v>
      </c>
      <c r="F668" s="235" t="s">
        <v>75</v>
      </c>
      <c r="G668" s="235" t="s">
        <v>3765</v>
      </c>
      <c r="H668" s="264" t="s">
        <v>3</v>
      </c>
      <c r="I668" s="237"/>
      <c r="J668" s="240" t="s">
        <v>3732</v>
      </c>
      <c r="K668" s="240"/>
      <c r="L668" s="237" t="s">
        <v>20</v>
      </c>
      <c r="M668" s="237" t="s">
        <v>3767</v>
      </c>
      <c r="N668" s="237"/>
      <c r="O668" s="237"/>
      <c r="P668" s="237"/>
      <c r="Q668" s="527">
        <v>45982</v>
      </c>
      <c r="R668" s="337" t="s">
        <v>309</v>
      </c>
      <c r="S668" s="330" t="s">
        <v>233</v>
      </c>
      <c r="T668" s="339">
        <v>0</v>
      </c>
      <c r="U668" s="237" t="s">
        <v>298</v>
      </c>
      <c r="V668" s="237" t="s">
        <v>228</v>
      </c>
      <c r="W668" s="244" t="s">
        <v>228</v>
      </c>
      <c r="X668" s="237" t="s">
        <v>228</v>
      </c>
      <c r="Y668" s="237" t="s">
        <v>228</v>
      </c>
      <c r="Z668" s="237" t="s">
        <v>237</v>
      </c>
      <c r="AA668" s="237" t="s">
        <v>3769</v>
      </c>
      <c r="AB668" s="237" t="s">
        <v>228</v>
      </c>
      <c r="AC668" s="237" t="s">
        <v>228</v>
      </c>
    </row>
    <row r="669" spans="1:29" ht="13.5" customHeight="1">
      <c r="A669" s="235">
        <v>667</v>
      </c>
      <c r="B669" s="235">
        <v>0</v>
      </c>
      <c r="C669" s="255" t="s">
        <v>3770</v>
      </c>
      <c r="D669" s="235" t="s">
        <v>3771</v>
      </c>
      <c r="E669" s="235">
        <v>33</v>
      </c>
      <c r="F669" s="235" t="s">
        <v>75</v>
      </c>
      <c r="G669" s="235" t="s">
        <v>3772</v>
      </c>
      <c r="H669" s="237" t="s">
        <v>188</v>
      </c>
      <c r="I669" s="237"/>
      <c r="K669" s="240"/>
      <c r="L669" s="237"/>
      <c r="M669" s="237"/>
      <c r="N669" s="237"/>
      <c r="O669" s="237"/>
      <c r="P669" s="237"/>
      <c r="Q669" s="527">
        <v>45983</v>
      </c>
      <c r="R669" s="337" t="s">
        <v>309</v>
      </c>
      <c r="S669" s="330" t="s">
        <v>3715</v>
      </c>
      <c r="T669" s="339">
        <v>0</v>
      </c>
      <c r="U669" s="237" t="s">
        <v>234</v>
      </c>
      <c r="V669" s="237" t="s">
        <v>228</v>
      </c>
      <c r="W669" s="244" t="s">
        <v>228</v>
      </c>
      <c r="X669" s="237" t="s">
        <v>228</v>
      </c>
      <c r="Y669" s="237" t="s">
        <v>228</v>
      </c>
      <c r="Z669" s="237" t="s">
        <v>228</v>
      </c>
      <c r="AA669" s="237" t="s">
        <v>3773</v>
      </c>
      <c r="AB669" s="237" t="s">
        <v>228</v>
      </c>
      <c r="AC669" s="237" t="s">
        <v>228</v>
      </c>
    </row>
    <row r="670" spans="1:29" ht="13.5" customHeight="1">
      <c r="A670" s="235">
        <v>668</v>
      </c>
      <c r="B670" s="235">
        <v>0</v>
      </c>
      <c r="C670" s="255" t="s">
        <v>3774</v>
      </c>
      <c r="D670" s="235" t="s">
        <v>3775</v>
      </c>
      <c r="E670" s="235">
        <v>76</v>
      </c>
      <c r="F670" s="235" t="s">
        <v>75</v>
      </c>
      <c r="G670" s="235" t="s">
        <v>3776</v>
      </c>
      <c r="H670" s="264" t="s">
        <v>3</v>
      </c>
      <c r="I670" s="237" t="s">
        <v>3026</v>
      </c>
      <c r="K670" s="240"/>
      <c r="L670" s="237" t="s">
        <v>20</v>
      </c>
      <c r="M670" s="237"/>
      <c r="N670" s="237"/>
      <c r="O670" s="237"/>
      <c r="P670" s="237"/>
      <c r="Q670" s="527">
        <v>45989</v>
      </c>
      <c r="R670" s="337" t="s">
        <v>309</v>
      </c>
      <c r="S670" s="330" t="s">
        <v>233</v>
      </c>
      <c r="T670" s="339">
        <v>0</v>
      </c>
      <c r="U670" s="237" t="s">
        <v>298</v>
      </c>
      <c r="V670" s="237" t="s">
        <v>228</v>
      </c>
      <c r="W670" s="244" t="s">
        <v>228</v>
      </c>
      <c r="X670" s="237" t="s">
        <v>228</v>
      </c>
      <c r="Y670" s="237" t="s">
        <v>228</v>
      </c>
      <c r="Z670" s="237" t="s">
        <v>237</v>
      </c>
      <c r="AA670" s="237" t="s">
        <v>3779</v>
      </c>
      <c r="AB670" s="237" t="s">
        <v>228</v>
      </c>
      <c r="AC670" s="237" t="s">
        <v>228</v>
      </c>
    </row>
    <row r="671" spans="1:29" ht="13.5" customHeight="1">
      <c r="A671" s="235">
        <v>669</v>
      </c>
      <c r="B671" s="235">
        <v>0</v>
      </c>
      <c r="C671" s="255" t="s">
        <v>3780</v>
      </c>
      <c r="D671" s="235" t="s">
        <v>3781</v>
      </c>
      <c r="E671" s="235">
        <v>57</v>
      </c>
      <c r="F671" s="235" t="s">
        <v>60</v>
      </c>
      <c r="G671" s="235" t="s">
        <v>3782</v>
      </c>
      <c r="H671" s="237" t="s">
        <v>188</v>
      </c>
      <c r="I671" s="237"/>
      <c r="K671" s="240"/>
      <c r="L671" s="237"/>
      <c r="M671" s="237"/>
      <c r="N671" s="237"/>
      <c r="O671" s="237"/>
      <c r="P671" s="237"/>
      <c r="Q671" s="527">
        <v>45990</v>
      </c>
      <c r="R671" s="337" t="s">
        <v>309</v>
      </c>
      <c r="S671" s="330" t="s">
        <v>233</v>
      </c>
      <c r="T671" s="339">
        <v>0</v>
      </c>
      <c r="U671" s="237" t="s">
        <v>298</v>
      </c>
      <c r="V671" s="237" t="s">
        <v>228</v>
      </c>
      <c r="W671" s="244" t="s">
        <v>228</v>
      </c>
      <c r="X671" s="237" t="s">
        <v>228</v>
      </c>
      <c r="Y671" s="237" t="s">
        <v>228</v>
      </c>
      <c r="Z671" s="237" t="s">
        <v>228</v>
      </c>
      <c r="AA671" s="237" t="s">
        <v>3783</v>
      </c>
      <c r="AB671" s="237" t="s">
        <v>228</v>
      </c>
      <c r="AC671" s="237" t="s">
        <v>228</v>
      </c>
    </row>
    <row r="672" spans="1:29" ht="13.5" customHeight="1">
      <c r="A672" s="235">
        <v>670</v>
      </c>
      <c r="B672" s="235">
        <v>0</v>
      </c>
      <c r="C672" s="255" t="s">
        <v>3784</v>
      </c>
      <c r="D672" s="235" t="s">
        <v>3785</v>
      </c>
      <c r="E672" s="235">
        <v>56</v>
      </c>
      <c r="F672" s="235" t="s">
        <v>75</v>
      </c>
      <c r="G672" s="235" t="s">
        <v>3786</v>
      </c>
      <c r="H672" s="237" t="s">
        <v>15</v>
      </c>
      <c r="I672" s="249" t="s">
        <v>48</v>
      </c>
      <c r="K672" s="240"/>
      <c r="L672" s="237" t="s">
        <v>162</v>
      </c>
      <c r="M672" s="237" t="s">
        <v>3787</v>
      </c>
      <c r="N672" s="237"/>
      <c r="O672" s="237"/>
      <c r="P672" s="237"/>
      <c r="Q672" s="527">
        <v>45990</v>
      </c>
      <c r="R672" s="337" t="s">
        <v>309</v>
      </c>
      <c r="S672" s="330" t="s">
        <v>233</v>
      </c>
      <c r="T672" s="339">
        <v>0</v>
      </c>
      <c r="U672" s="237" t="s">
        <v>298</v>
      </c>
      <c r="V672" s="237" t="s">
        <v>228</v>
      </c>
      <c r="W672" s="244" t="s">
        <v>228</v>
      </c>
      <c r="X672" s="237" t="s">
        <v>228</v>
      </c>
      <c r="Y672" s="237" t="s">
        <v>228</v>
      </c>
      <c r="Z672" s="237" t="s">
        <v>237</v>
      </c>
      <c r="AA672" s="237" t="s">
        <v>3788</v>
      </c>
      <c r="AB672" s="237" t="s">
        <v>228</v>
      </c>
      <c r="AC672" s="237" t="s">
        <v>228</v>
      </c>
    </row>
    <row r="673" spans="1:29" ht="13.5" customHeight="1">
      <c r="A673" s="235">
        <v>671</v>
      </c>
      <c r="B673" s="235">
        <v>0</v>
      </c>
      <c r="C673" s="255" t="s">
        <v>3789</v>
      </c>
      <c r="D673" s="235" t="s">
        <v>3790</v>
      </c>
      <c r="E673" s="235">
        <v>63</v>
      </c>
      <c r="F673" s="235" t="s">
        <v>75</v>
      </c>
      <c r="G673" s="235" t="s">
        <v>3791</v>
      </c>
      <c r="H673" s="237" t="s">
        <v>188</v>
      </c>
      <c r="I673" s="237"/>
      <c r="K673" s="240"/>
      <c r="L673" s="237"/>
      <c r="M673" s="237"/>
      <c r="N673" s="237"/>
      <c r="O673" s="237"/>
      <c r="P673" s="237"/>
      <c r="Q673" s="527">
        <v>45991</v>
      </c>
      <c r="R673" s="337" t="s">
        <v>309</v>
      </c>
      <c r="S673" s="330" t="s">
        <v>3715</v>
      </c>
      <c r="T673" s="339">
        <v>0</v>
      </c>
      <c r="U673" s="237" t="s">
        <v>298</v>
      </c>
      <c r="V673" s="237" t="s">
        <v>228</v>
      </c>
      <c r="W673" s="244" t="s">
        <v>228</v>
      </c>
      <c r="X673" s="237" t="s">
        <v>228</v>
      </c>
      <c r="Y673" s="237" t="s">
        <v>228</v>
      </c>
      <c r="Z673" s="237" t="s">
        <v>228</v>
      </c>
      <c r="AA673" s="237" t="s">
        <v>3792</v>
      </c>
      <c r="AB673" s="237" t="s">
        <v>228</v>
      </c>
      <c r="AC673" s="237" t="s">
        <v>228</v>
      </c>
    </row>
    <row r="674" spans="1:29" ht="13.5" customHeight="1">
      <c r="A674" s="235">
        <v>672</v>
      </c>
      <c r="B674" s="235">
        <v>0</v>
      </c>
      <c r="C674" s="243" t="s">
        <v>3793</v>
      </c>
      <c r="D674" s="235" t="s">
        <v>3794</v>
      </c>
      <c r="E674" s="235">
        <v>63</v>
      </c>
      <c r="F674" s="235" t="s">
        <v>75</v>
      </c>
      <c r="G674" s="235" t="s">
        <v>3795</v>
      </c>
      <c r="H674" s="268" t="s">
        <v>27</v>
      </c>
      <c r="I674" s="237"/>
      <c r="J674" s="235" t="s">
        <v>433</v>
      </c>
      <c r="K674" s="240"/>
      <c r="L674" s="237"/>
      <c r="M674" s="237"/>
      <c r="N674" s="237"/>
      <c r="O674" s="237"/>
      <c r="P674" s="237"/>
      <c r="Q674" s="527">
        <v>45992</v>
      </c>
      <c r="R674" s="337" t="s">
        <v>309</v>
      </c>
      <c r="S674" s="330" t="s">
        <v>3715</v>
      </c>
      <c r="T674" s="339">
        <v>0</v>
      </c>
      <c r="U674" s="237" t="s">
        <v>234</v>
      </c>
      <c r="V674" s="237" t="s">
        <v>228</v>
      </c>
      <c r="W674" s="244" t="s">
        <v>228</v>
      </c>
      <c r="X674" s="237" t="s">
        <v>228</v>
      </c>
      <c r="Y674" s="237" t="s">
        <v>228</v>
      </c>
      <c r="Z674" s="237" t="s">
        <v>228</v>
      </c>
      <c r="AA674" s="237" t="s">
        <v>3796</v>
      </c>
      <c r="AB674" s="237" t="s">
        <v>228</v>
      </c>
      <c r="AC674" s="237" t="s">
        <v>228</v>
      </c>
    </row>
    <row r="675" spans="1:29" ht="13.5" customHeight="1">
      <c r="A675" s="235">
        <v>673</v>
      </c>
      <c r="B675" s="237"/>
      <c r="C675" s="256" t="s">
        <v>3797</v>
      </c>
      <c r="D675" s="237" t="s">
        <v>3798</v>
      </c>
      <c r="E675" s="237">
        <v>27</v>
      </c>
      <c r="F675" s="237" t="s">
        <v>60</v>
      </c>
      <c r="G675" s="237" t="s">
        <v>3799</v>
      </c>
      <c r="H675" s="243" t="s">
        <v>188</v>
      </c>
      <c r="I675" s="243"/>
      <c r="K675" s="240"/>
      <c r="L675" s="243" t="s">
        <v>231</v>
      </c>
      <c r="M675" s="243" t="s">
        <v>231</v>
      </c>
      <c r="N675" s="237"/>
      <c r="O675" s="237"/>
      <c r="P675" s="237"/>
      <c r="Q675" s="527">
        <v>45895</v>
      </c>
      <c r="R675" s="337" t="s">
        <v>309</v>
      </c>
      <c r="S675" s="330" t="s">
        <v>233</v>
      </c>
      <c r="T675" s="339" t="s">
        <v>228</v>
      </c>
      <c r="U675" s="237" t="s">
        <v>234</v>
      </c>
      <c r="V675" s="237" t="s">
        <v>652</v>
      </c>
      <c r="W675" s="244">
        <v>45947</v>
      </c>
      <c r="X675" s="237" t="s">
        <v>3800</v>
      </c>
      <c r="Y675" s="237" t="s">
        <v>588</v>
      </c>
      <c r="Z675" s="237" t="s">
        <v>228</v>
      </c>
      <c r="AA675" s="237" t="s">
        <v>3801</v>
      </c>
      <c r="AB675" s="237" t="s">
        <v>228</v>
      </c>
      <c r="AC675" s="237" t="s">
        <v>228</v>
      </c>
    </row>
    <row r="676" spans="1:29" ht="13.5" customHeight="1">
      <c r="A676" s="235">
        <v>674</v>
      </c>
      <c r="B676" s="235">
        <v>0</v>
      </c>
      <c r="C676" s="243" t="s">
        <v>3802</v>
      </c>
      <c r="D676" s="235" t="s">
        <v>3803</v>
      </c>
      <c r="E676" s="235">
        <v>25</v>
      </c>
      <c r="F676" s="235" t="s">
        <v>75</v>
      </c>
      <c r="G676" s="235" t="s">
        <v>3804</v>
      </c>
      <c r="H676" s="268" t="s">
        <v>15</v>
      </c>
      <c r="I676" s="237"/>
      <c r="K676" s="240"/>
      <c r="L676" s="237" t="s">
        <v>3805</v>
      </c>
      <c r="M676" s="237"/>
      <c r="N676" s="237"/>
      <c r="O676" s="237"/>
      <c r="P676" s="237"/>
      <c r="Q676" s="527">
        <v>46002</v>
      </c>
      <c r="R676" s="337" t="s">
        <v>309</v>
      </c>
      <c r="S676" s="330" t="s">
        <v>233</v>
      </c>
      <c r="T676" s="339">
        <v>0</v>
      </c>
      <c r="U676" s="237" t="s">
        <v>298</v>
      </c>
      <c r="V676" s="237" t="s">
        <v>228</v>
      </c>
      <c r="W676" s="244" t="s">
        <v>228</v>
      </c>
      <c r="X676" s="237" t="s">
        <v>228</v>
      </c>
      <c r="Y676" s="237" t="s">
        <v>228</v>
      </c>
      <c r="Z676" s="237" t="s">
        <v>237</v>
      </c>
      <c r="AA676" s="237" t="s">
        <v>3806</v>
      </c>
      <c r="AB676" s="237" t="s">
        <v>228</v>
      </c>
      <c r="AC676" s="237" t="s">
        <v>228</v>
      </c>
    </row>
    <row r="677" spans="1:29" ht="13.5" customHeight="1">
      <c r="A677" s="235">
        <v>675</v>
      </c>
      <c r="B677" s="235">
        <v>0</v>
      </c>
      <c r="C677" s="243" t="s">
        <v>3807</v>
      </c>
      <c r="D677" s="235" t="s">
        <v>3808</v>
      </c>
      <c r="E677" s="235">
        <v>29</v>
      </c>
      <c r="F677" s="235" t="s">
        <v>60</v>
      </c>
      <c r="G677" s="235" t="s">
        <v>3809</v>
      </c>
      <c r="H677" s="268" t="s">
        <v>188</v>
      </c>
      <c r="I677" s="237"/>
      <c r="K677" s="240"/>
      <c r="L677" s="237"/>
      <c r="M677" s="237"/>
      <c r="N677" s="237"/>
      <c r="O677" s="237"/>
      <c r="P677" s="237"/>
      <c r="Q677" s="527">
        <v>46002</v>
      </c>
      <c r="R677" s="337" t="s">
        <v>309</v>
      </c>
      <c r="S677" s="330" t="s">
        <v>233</v>
      </c>
      <c r="T677" s="339">
        <v>0</v>
      </c>
      <c r="U677" s="237" t="s">
        <v>298</v>
      </c>
      <c r="V677" s="237" t="s">
        <v>228</v>
      </c>
      <c r="W677" s="244" t="s">
        <v>228</v>
      </c>
      <c r="X677" s="237" t="s">
        <v>228</v>
      </c>
      <c r="Y677" s="237" t="s">
        <v>228</v>
      </c>
      <c r="Z677" s="237" t="s">
        <v>237</v>
      </c>
      <c r="AA677" s="237" t="s">
        <v>3810</v>
      </c>
      <c r="AB677" s="237" t="s">
        <v>228</v>
      </c>
      <c r="AC677" s="237" t="s">
        <v>228</v>
      </c>
    </row>
    <row r="678" spans="1:29" ht="13.5" customHeight="1">
      <c r="A678" s="235">
        <v>676</v>
      </c>
      <c r="B678" s="235">
        <v>0</v>
      </c>
      <c r="C678" s="243" t="s">
        <v>3811</v>
      </c>
      <c r="D678" s="235" t="s">
        <v>3812</v>
      </c>
      <c r="E678" s="235">
        <v>60</v>
      </c>
      <c r="F678" s="235" t="s">
        <v>60</v>
      </c>
      <c r="G678" s="235">
        <v>0</v>
      </c>
      <c r="H678" s="268" t="s">
        <v>188</v>
      </c>
      <c r="I678" s="237"/>
      <c r="K678" s="240"/>
      <c r="L678" s="237"/>
      <c r="M678" s="237"/>
      <c r="N678" s="237"/>
      <c r="O678" s="237"/>
      <c r="P678" s="237"/>
      <c r="Q678" s="527">
        <v>46020</v>
      </c>
      <c r="R678" s="337" t="s">
        <v>309</v>
      </c>
      <c r="S678" s="330" t="s">
        <v>233</v>
      </c>
      <c r="T678" s="339">
        <v>0</v>
      </c>
      <c r="U678" s="237" t="s">
        <v>234</v>
      </c>
      <c r="V678" s="237" t="s">
        <v>228</v>
      </c>
      <c r="W678" s="244" t="s">
        <v>228</v>
      </c>
      <c r="X678" s="237" t="s">
        <v>228</v>
      </c>
      <c r="Y678" s="237" t="s">
        <v>228</v>
      </c>
      <c r="Z678" s="237" t="s">
        <v>228</v>
      </c>
      <c r="AA678" s="237" t="s">
        <v>3813</v>
      </c>
      <c r="AB678" s="237" t="s">
        <v>228</v>
      </c>
      <c r="AC678" s="237" t="s">
        <v>228</v>
      </c>
    </row>
    <row r="679" spans="1:29" ht="13.5" customHeight="1">
      <c r="A679" s="235">
        <v>677</v>
      </c>
      <c r="B679" s="235">
        <v>0</v>
      </c>
      <c r="C679" s="243" t="s">
        <v>3814</v>
      </c>
      <c r="D679" s="235" t="s">
        <v>3815</v>
      </c>
      <c r="E679" s="235">
        <v>64</v>
      </c>
      <c r="F679" s="235" t="s">
        <v>60</v>
      </c>
      <c r="G679" s="235" t="s">
        <v>3816</v>
      </c>
      <c r="H679" s="268" t="s">
        <v>188</v>
      </c>
      <c r="I679" s="237"/>
      <c r="K679" s="240"/>
      <c r="L679" s="237"/>
      <c r="M679" s="237"/>
      <c r="N679" s="237"/>
      <c r="O679" s="237"/>
      <c r="P679" s="237"/>
      <c r="Q679" s="527">
        <v>46020</v>
      </c>
      <c r="R679" s="337" t="s">
        <v>309</v>
      </c>
      <c r="S679" s="330" t="s">
        <v>233</v>
      </c>
      <c r="T679" s="339">
        <v>0</v>
      </c>
      <c r="U679" s="237" t="s">
        <v>234</v>
      </c>
      <c r="V679" s="237" t="s">
        <v>228</v>
      </c>
      <c r="W679" s="244" t="s">
        <v>228</v>
      </c>
      <c r="X679" s="237" t="s">
        <v>228</v>
      </c>
      <c r="Y679" s="237" t="s">
        <v>228</v>
      </c>
      <c r="Z679" s="237" t="s">
        <v>228</v>
      </c>
      <c r="AA679" s="237" t="s">
        <v>3817</v>
      </c>
      <c r="AB679" s="237" t="s">
        <v>228</v>
      </c>
      <c r="AC679" s="237" t="s">
        <v>228</v>
      </c>
    </row>
    <row r="680" spans="1:29" ht="13.5" customHeight="1">
      <c r="A680" s="235">
        <v>678</v>
      </c>
      <c r="B680" s="235">
        <v>0</v>
      </c>
      <c r="C680" s="243" t="s">
        <v>3818</v>
      </c>
      <c r="D680" s="235" t="s">
        <v>3819</v>
      </c>
      <c r="E680" s="235">
        <v>58</v>
      </c>
      <c r="F680" s="235" t="s">
        <v>75</v>
      </c>
      <c r="G680" s="235" t="s">
        <v>3820</v>
      </c>
      <c r="H680" s="268" t="s">
        <v>188</v>
      </c>
      <c r="I680" s="237"/>
      <c r="K680" s="240"/>
      <c r="L680" s="237"/>
      <c r="M680" s="237"/>
      <c r="N680" s="237"/>
      <c r="O680" s="237"/>
      <c r="P680" s="237"/>
      <c r="Q680" s="527">
        <v>46020</v>
      </c>
      <c r="R680" s="337" t="s">
        <v>309</v>
      </c>
      <c r="S680" s="330" t="s">
        <v>233</v>
      </c>
      <c r="T680" s="339">
        <v>0</v>
      </c>
      <c r="U680" s="237" t="s">
        <v>234</v>
      </c>
      <c r="V680" s="237" t="s">
        <v>228</v>
      </c>
      <c r="W680" s="244" t="s">
        <v>228</v>
      </c>
      <c r="X680" s="237" t="s">
        <v>228</v>
      </c>
      <c r="Y680" s="237" t="s">
        <v>228</v>
      </c>
      <c r="Z680" s="237" t="s">
        <v>228</v>
      </c>
      <c r="AA680" s="237" t="s">
        <v>3821</v>
      </c>
      <c r="AB680" s="237" t="s">
        <v>228</v>
      </c>
      <c r="AC680" s="237" t="s">
        <v>228</v>
      </c>
    </row>
    <row r="681" spans="1:29" ht="13.5" customHeight="1">
      <c r="A681" s="235">
        <v>679</v>
      </c>
      <c r="B681" s="235" t="s">
        <v>3822</v>
      </c>
      <c r="C681" s="243" t="s">
        <v>3823</v>
      </c>
      <c r="D681" s="235" t="s">
        <v>3824</v>
      </c>
      <c r="E681" s="235">
        <v>35</v>
      </c>
      <c r="F681" s="235" t="s">
        <v>75</v>
      </c>
      <c r="G681" s="235" t="s">
        <v>3825</v>
      </c>
      <c r="H681" s="237" t="s">
        <v>20</v>
      </c>
      <c r="I681" s="237"/>
      <c r="K681" s="240"/>
      <c r="L681" s="237"/>
      <c r="M681" s="237"/>
      <c r="N681" s="237"/>
      <c r="O681" s="237"/>
      <c r="P681" s="237"/>
      <c r="Q681" s="527">
        <v>45666</v>
      </c>
      <c r="R681" s="337" t="s">
        <v>309</v>
      </c>
      <c r="S681" s="330" t="s">
        <v>3715</v>
      </c>
      <c r="T681" s="339" t="s">
        <v>228</v>
      </c>
      <c r="U681" s="237" t="s">
        <v>234</v>
      </c>
      <c r="V681" s="237" t="s">
        <v>228</v>
      </c>
      <c r="W681" s="244" t="s">
        <v>228</v>
      </c>
      <c r="X681" s="237" t="s">
        <v>228</v>
      </c>
      <c r="Y681" s="237" t="s">
        <v>228</v>
      </c>
      <c r="Z681" s="237" t="s">
        <v>228</v>
      </c>
      <c r="AA681" s="237" t="s">
        <v>3826</v>
      </c>
      <c r="AB681" s="237" t="s">
        <v>228</v>
      </c>
      <c r="AC681" s="237" t="s">
        <v>228</v>
      </c>
    </row>
    <row r="682" spans="1:29" ht="13.5" customHeight="1">
      <c r="A682" s="235">
        <v>680</v>
      </c>
      <c r="B682" s="235">
        <v>0</v>
      </c>
      <c r="C682" s="243" t="s">
        <v>3827</v>
      </c>
      <c r="D682" s="235" t="s">
        <v>3828</v>
      </c>
      <c r="E682" s="235">
        <v>65</v>
      </c>
      <c r="F682" s="235" t="s">
        <v>60</v>
      </c>
      <c r="G682" s="235" t="s">
        <v>3829</v>
      </c>
      <c r="H682" s="237" t="s">
        <v>20</v>
      </c>
      <c r="I682" s="237"/>
      <c r="J682" s="240" t="s">
        <v>886</v>
      </c>
      <c r="K682" s="240"/>
      <c r="L682" s="237"/>
      <c r="M682" s="237"/>
      <c r="N682" s="237"/>
      <c r="O682" s="237"/>
      <c r="P682" s="237"/>
      <c r="Q682" s="527">
        <v>45667</v>
      </c>
      <c r="R682" s="337" t="s">
        <v>309</v>
      </c>
      <c r="S682" s="330" t="s">
        <v>3715</v>
      </c>
      <c r="T682" s="339">
        <v>8.6999999999999993</v>
      </c>
      <c r="U682" s="237" t="s">
        <v>234</v>
      </c>
      <c r="V682" s="237" t="s">
        <v>228</v>
      </c>
      <c r="W682" s="244" t="s">
        <v>228</v>
      </c>
      <c r="X682" s="237" t="s">
        <v>228</v>
      </c>
      <c r="Y682" s="237" t="s">
        <v>228</v>
      </c>
      <c r="Z682" s="237" t="s">
        <v>228</v>
      </c>
      <c r="AA682" s="237" t="s">
        <v>3831</v>
      </c>
      <c r="AB682" s="237" t="s">
        <v>228</v>
      </c>
      <c r="AC682" s="237" t="s">
        <v>228</v>
      </c>
    </row>
    <row r="683" spans="1:29" ht="13.5" customHeight="1">
      <c r="A683" s="235">
        <v>681</v>
      </c>
      <c r="B683" s="235" t="s">
        <v>3832</v>
      </c>
      <c r="C683" s="243" t="s">
        <v>3833</v>
      </c>
      <c r="D683" s="235" t="s">
        <v>3834</v>
      </c>
      <c r="E683" s="235">
        <v>32</v>
      </c>
      <c r="F683" s="235" t="s">
        <v>75</v>
      </c>
      <c r="G683" s="235" t="s">
        <v>3835</v>
      </c>
      <c r="H683" s="237" t="s">
        <v>20</v>
      </c>
      <c r="I683" s="237"/>
      <c r="J683" s="240"/>
      <c r="K683" s="240"/>
      <c r="L683" s="237"/>
      <c r="M683" s="237"/>
      <c r="N683" s="237"/>
      <c r="O683" s="237"/>
      <c r="P683" s="237"/>
      <c r="Q683" s="527">
        <v>45668</v>
      </c>
      <c r="R683" s="337" t="s">
        <v>309</v>
      </c>
      <c r="S683" s="330" t="s">
        <v>3715</v>
      </c>
      <c r="T683" s="339" t="s">
        <v>228</v>
      </c>
      <c r="U683" s="237" t="s">
        <v>234</v>
      </c>
      <c r="V683" s="237" t="s">
        <v>228</v>
      </c>
      <c r="W683" s="244" t="s">
        <v>228</v>
      </c>
      <c r="X683" s="237" t="s">
        <v>228</v>
      </c>
      <c r="Y683" s="237" t="s">
        <v>228</v>
      </c>
      <c r="Z683" s="237" t="s">
        <v>228</v>
      </c>
      <c r="AA683" s="237" t="s">
        <v>3838</v>
      </c>
      <c r="AB683" s="237" t="s">
        <v>228</v>
      </c>
      <c r="AC683" s="237" t="s">
        <v>228</v>
      </c>
    </row>
    <row r="684" spans="1:29" ht="13.5" customHeight="1">
      <c r="A684" s="235">
        <v>682</v>
      </c>
      <c r="B684" s="235" t="s">
        <v>3839</v>
      </c>
      <c r="C684" s="243" t="s">
        <v>3840</v>
      </c>
      <c r="D684" s="235" t="s">
        <v>3841</v>
      </c>
      <c r="E684" s="235">
        <v>82</v>
      </c>
      <c r="F684" s="235" t="s">
        <v>60</v>
      </c>
      <c r="G684" s="235" t="s">
        <v>3842</v>
      </c>
      <c r="H684" s="237" t="s">
        <v>15</v>
      </c>
      <c r="I684" s="237"/>
      <c r="J684" s="240" t="s">
        <v>886</v>
      </c>
      <c r="K684" s="240"/>
      <c r="L684" s="237"/>
      <c r="M684" s="237"/>
      <c r="N684" s="237"/>
      <c r="O684" s="237"/>
      <c r="P684" s="237"/>
      <c r="Q684" s="527">
        <v>45628</v>
      </c>
      <c r="R684" s="337" t="s">
        <v>309</v>
      </c>
      <c r="S684" s="330" t="s">
        <v>233</v>
      </c>
      <c r="T684" s="339" t="s">
        <v>228</v>
      </c>
      <c r="U684" s="237" t="s">
        <v>234</v>
      </c>
      <c r="V684" s="237" t="s">
        <v>473</v>
      </c>
      <c r="W684" s="244">
        <v>45768</v>
      </c>
      <c r="X684" s="237" t="s">
        <v>3844</v>
      </c>
      <c r="Y684" s="237" t="s">
        <v>237</v>
      </c>
      <c r="Z684" s="237" t="s">
        <v>228</v>
      </c>
      <c r="AA684" s="237" t="s">
        <v>3845</v>
      </c>
      <c r="AB684" s="237" t="s">
        <v>228</v>
      </c>
      <c r="AC684" s="237" t="s">
        <v>228</v>
      </c>
    </row>
    <row r="685" spans="1:29" ht="13.5" customHeight="1">
      <c r="A685" s="235">
        <v>683</v>
      </c>
      <c r="B685" s="235">
        <v>0</v>
      </c>
      <c r="C685" s="243" t="s">
        <v>3846</v>
      </c>
      <c r="D685" s="235" t="s">
        <v>3847</v>
      </c>
      <c r="E685" s="235">
        <v>46</v>
      </c>
      <c r="F685" s="235" t="s">
        <v>75</v>
      </c>
      <c r="G685" s="235" t="s">
        <v>3848</v>
      </c>
      <c r="H685" s="267" t="s">
        <v>188</v>
      </c>
      <c r="I685" s="237"/>
      <c r="K685" s="240"/>
      <c r="L685" s="237"/>
      <c r="M685" s="237"/>
      <c r="N685" s="237"/>
      <c r="O685" s="237"/>
      <c r="P685" s="237"/>
      <c r="Q685" s="527">
        <v>45677</v>
      </c>
      <c r="R685" s="337" t="s">
        <v>309</v>
      </c>
      <c r="S685" s="330" t="s">
        <v>233</v>
      </c>
      <c r="T685" s="339">
        <v>0</v>
      </c>
      <c r="U685" s="237" t="s">
        <v>298</v>
      </c>
      <c r="V685" s="237" t="s">
        <v>228</v>
      </c>
      <c r="W685" s="244" t="s">
        <v>228</v>
      </c>
      <c r="X685" s="237" t="s">
        <v>228</v>
      </c>
      <c r="Y685" s="237" t="s">
        <v>228</v>
      </c>
      <c r="Z685" s="237" t="s">
        <v>228</v>
      </c>
      <c r="AA685" s="237" t="s">
        <v>3849</v>
      </c>
      <c r="AB685" s="237" t="s">
        <v>237</v>
      </c>
      <c r="AC685" s="237" t="s">
        <v>353</v>
      </c>
    </row>
    <row r="686" spans="1:29" ht="13.5" customHeight="1">
      <c r="A686" s="235">
        <v>684</v>
      </c>
      <c r="B686" s="235">
        <v>0</v>
      </c>
      <c r="C686" s="243" t="s">
        <v>3850</v>
      </c>
      <c r="D686" s="235" t="s">
        <v>3851</v>
      </c>
      <c r="E686" s="235">
        <v>41</v>
      </c>
      <c r="F686" s="235" t="s">
        <v>60</v>
      </c>
      <c r="G686" s="235" t="s">
        <v>3852</v>
      </c>
      <c r="H686" s="267" t="s">
        <v>188</v>
      </c>
      <c r="I686" s="237"/>
      <c r="K686" s="240"/>
      <c r="L686" s="237"/>
      <c r="M686" s="237"/>
      <c r="N686" s="237"/>
      <c r="O686" s="237"/>
      <c r="P686" s="237"/>
      <c r="Q686" s="527">
        <v>45684</v>
      </c>
      <c r="R686" s="337" t="s">
        <v>309</v>
      </c>
      <c r="S686" s="330" t="s">
        <v>233</v>
      </c>
      <c r="T686" s="339">
        <v>0</v>
      </c>
      <c r="U686" s="237" t="s">
        <v>298</v>
      </c>
      <c r="V686" s="237" t="s">
        <v>228</v>
      </c>
      <c r="W686" s="244" t="s">
        <v>228</v>
      </c>
      <c r="X686" s="237" t="s">
        <v>228</v>
      </c>
      <c r="Y686" s="237" t="s">
        <v>228</v>
      </c>
      <c r="Z686" s="237" t="s">
        <v>228</v>
      </c>
      <c r="AA686" s="237" t="s">
        <v>3853</v>
      </c>
      <c r="AB686" s="237" t="s">
        <v>237</v>
      </c>
      <c r="AC686" s="237" t="s">
        <v>353</v>
      </c>
    </row>
    <row r="687" spans="1:29" ht="13.5" customHeight="1">
      <c r="A687" s="235">
        <v>685</v>
      </c>
      <c r="B687" s="235">
        <v>0</v>
      </c>
      <c r="C687" s="243" t="s">
        <v>3854</v>
      </c>
      <c r="D687" s="235" t="s">
        <v>3855</v>
      </c>
      <c r="E687" s="235">
        <v>36</v>
      </c>
      <c r="F687" s="235" t="s">
        <v>60</v>
      </c>
      <c r="G687" s="235" t="s">
        <v>3856</v>
      </c>
      <c r="H687" s="267" t="s">
        <v>188</v>
      </c>
      <c r="I687" s="237"/>
      <c r="K687" s="240"/>
      <c r="L687" s="237"/>
      <c r="M687" s="237"/>
      <c r="N687" s="237"/>
      <c r="O687" s="237"/>
      <c r="P687" s="237"/>
      <c r="Q687" s="527">
        <v>45684</v>
      </c>
      <c r="R687" s="337" t="s">
        <v>309</v>
      </c>
      <c r="S687" s="330" t="s">
        <v>233</v>
      </c>
      <c r="T687" s="339">
        <v>0</v>
      </c>
      <c r="U687" s="237" t="s">
        <v>298</v>
      </c>
      <c r="V687" s="237" t="s">
        <v>228</v>
      </c>
      <c r="W687" s="244" t="s">
        <v>228</v>
      </c>
      <c r="X687" s="237" t="s">
        <v>228</v>
      </c>
      <c r="Y687" s="237" t="s">
        <v>228</v>
      </c>
      <c r="Z687" s="237" t="s">
        <v>228</v>
      </c>
      <c r="AA687" s="237" t="s">
        <v>3857</v>
      </c>
      <c r="AB687" s="237" t="s">
        <v>237</v>
      </c>
      <c r="AC687" s="237" t="s">
        <v>353</v>
      </c>
    </row>
    <row r="688" spans="1:29" ht="13.5" customHeight="1">
      <c r="A688" s="235">
        <v>686</v>
      </c>
      <c r="B688" s="235">
        <v>0</v>
      </c>
      <c r="C688" s="243" t="s">
        <v>3858</v>
      </c>
      <c r="D688" s="235" t="s">
        <v>3859</v>
      </c>
      <c r="E688" s="235">
        <v>36</v>
      </c>
      <c r="F688" s="235" t="s">
        <v>60</v>
      </c>
      <c r="G688" s="235" t="s">
        <v>3860</v>
      </c>
      <c r="H688" s="267" t="s">
        <v>188</v>
      </c>
      <c r="I688" s="237"/>
      <c r="K688" s="240"/>
      <c r="L688" s="237"/>
      <c r="M688" s="237"/>
      <c r="N688" s="237"/>
      <c r="O688" s="237"/>
      <c r="P688" s="237"/>
      <c r="Q688" s="527">
        <v>45684</v>
      </c>
      <c r="R688" s="337" t="s">
        <v>309</v>
      </c>
      <c r="S688" s="330" t="s">
        <v>233</v>
      </c>
      <c r="T688" s="339">
        <v>0</v>
      </c>
      <c r="U688" s="237" t="s">
        <v>298</v>
      </c>
      <c r="V688" s="237" t="s">
        <v>228</v>
      </c>
      <c r="W688" s="244" t="s">
        <v>228</v>
      </c>
      <c r="X688" s="237" t="s">
        <v>228</v>
      </c>
      <c r="Y688" s="237" t="s">
        <v>228</v>
      </c>
      <c r="Z688" s="237" t="s">
        <v>228</v>
      </c>
      <c r="AA688" s="237" t="s">
        <v>3861</v>
      </c>
      <c r="AB688" s="237" t="s">
        <v>228</v>
      </c>
      <c r="AC688" s="237" t="s">
        <v>228</v>
      </c>
    </row>
    <row r="689" spans="1:29" ht="13.5" customHeight="1">
      <c r="A689" s="235">
        <v>687</v>
      </c>
      <c r="B689" s="235">
        <v>0</v>
      </c>
      <c r="C689" s="243" t="s">
        <v>3862</v>
      </c>
      <c r="D689" s="235" t="s">
        <v>3863</v>
      </c>
      <c r="E689" s="235">
        <v>39</v>
      </c>
      <c r="F689" s="235" t="s">
        <v>75</v>
      </c>
      <c r="G689" s="235" t="s">
        <v>3864</v>
      </c>
      <c r="H689" s="267" t="s">
        <v>188</v>
      </c>
      <c r="I689" s="237"/>
      <c r="K689" s="240"/>
      <c r="L689" s="237"/>
      <c r="M689" s="237"/>
      <c r="N689" s="237"/>
      <c r="O689" s="237"/>
      <c r="P689" s="237"/>
      <c r="Q689" s="527">
        <v>45689</v>
      </c>
      <c r="R689" s="337" t="s">
        <v>309</v>
      </c>
      <c r="S689" s="330" t="s">
        <v>233</v>
      </c>
      <c r="T689" s="339">
        <v>0</v>
      </c>
      <c r="U689" s="237" t="s">
        <v>234</v>
      </c>
      <c r="V689" s="237" t="s">
        <v>228</v>
      </c>
      <c r="W689" s="244" t="s">
        <v>228</v>
      </c>
      <c r="X689" s="237" t="s">
        <v>228</v>
      </c>
      <c r="Y689" s="237" t="s">
        <v>228</v>
      </c>
      <c r="Z689" s="237" t="s">
        <v>228</v>
      </c>
      <c r="AA689" s="237" t="s">
        <v>3865</v>
      </c>
      <c r="AB689" s="237" t="s">
        <v>228</v>
      </c>
      <c r="AC689" s="237" t="s">
        <v>228</v>
      </c>
    </row>
    <row r="690" spans="1:29" ht="13.5" customHeight="1">
      <c r="A690" s="235">
        <v>688</v>
      </c>
      <c r="B690" s="235">
        <v>0</v>
      </c>
      <c r="C690" s="243" t="s">
        <v>3866</v>
      </c>
      <c r="D690" s="235" t="s">
        <v>3867</v>
      </c>
      <c r="E690" s="235">
        <v>51</v>
      </c>
      <c r="F690" s="235" t="s">
        <v>60</v>
      </c>
      <c r="G690" s="235" t="s">
        <v>3868</v>
      </c>
      <c r="H690" s="267" t="s">
        <v>188</v>
      </c>
      <c r="I690" s="237"/>
      <c r="K690" s="240"/>
      <c r="L690" s="237"/>
      <c r="M690" s="237"/>
      <c r="N690" s="237"/>
      <c r="O690" s="237"/>
      <c r="P690" s="237"/>
      <c r="Q690" s="527">
        <v>45693</v>
      </c>
      <c r="R690" s="337" t="s">
        <v>309</v>
      </c>
      <c r="S690" s="330" t="s">
        <v>233</v>
      </c>
      <c r="T690" s="339" t="s">
        <v>228</v>
      </c>
      <c r="U690" s="237" t="s">
        <v>442</v>
      </c>
      <c r="V690" s="237" t="s">
        <v>228</v>
      </c>
      <c r="W690" s="244" t="s">
        <v>228</v>
      </c>
      <c r="X690" s="237" t="s">
        <v>228</v>
      </c>
      <c r="Y690" s="237" t="s">
        <v>228</v>
      </c>
      <c r="Z690" s="237" t="s">
        <v>228</v>
      </c>
      <c r="AA690" s="237" t="s">
        <v>3869</v>
      </c>
      <c r="AB690" s="237" t="s">
        <v>228</v>
      </c>
      <c r="AC690" s="237" t="s">
        <v>228</v>
      </c>
    </row>
    <row r="691" spans="1:29" ht="13.5" customHeight="1">
      <c r="A691" s="235">
        <v>689</v>
      </c>
      <c r="B691" s="235">
        <v>0</v>
      </c>
      <c r="C691" s="243" t="s">
        <v>3870</v>
      </c>
      <c r="D691" s="235" t="s">
        <v>3871</v>
      </c>
      <c r="E691" s="235">
        <v>68</v>
      </c>
      <c r="F691" s="235" t="s">
        <v>60</v>
      </c>
      <c r="G691" s="235" t="s">
        <v>3872</v>
      </c>
      <c r="H691" s="264" t="s">
        <v>3</v>
      </c>
      <c r="I691" s="237"/>
      <c r="K691" s="240"/>
      <c r="L691" s="237" t="s">
        <v>20</v>
      </c>
      <c r="M691" s="237"/>
      <c r="N691" s="237"/>
      <c r="O691" s="237"/>
      <c r="P691" s="237"/>
      <c r="Q691" s="527">
        <v>45698</v>
      </c>
      <c r="R691" s="337" t="s">
        <v>309</v>
      </c>
      <c r="S691" s="330" t="s">
        <v>233</v>
      </c>
      <c r="T691" s="339">
        <v>8.6</v>
      </c>
      <c r="U691" s="237" t="s">
        <v>442</v>
      </c>
      <c r="V691" s="237" t="s">
        <v>228</v>
      </c>
      <c r="W691" s="244" t="s">
        <v>228</v>
      </c>
      <c r="X691" s="237" t="s">
        <v>228</v>
      </c>
      <c r="Y691" s="237" t="s">
        <v>228</v>
      </c>
      <c r="Z691" s="237" t="s">
        <v>228</v>
      </c>
      <c r="AA691" s="237" t="s">
        <v>3875</v>
      </c>
      <c r="AB691" s="237" t="s">
        <v>228</v>
      </c>
      <c r="AC691" s="237" t="s">
        <v>228</v>
      </c>
    </row>
    <row r="692" spans="1:29" ht="13.5" customHeight="1">
      <c r="A692" s="235">
        <v>690</v>
      </c>
      <c r="B692" s="235">
        <v>0</v>
      </c>
      <c r="C692" s="243" t="s">
        <v>3876</v>
      </c>
      <c r="D692" s="235" t="s">
        <v>3877</v>
      </c>
      <c r="E692" s="235">
        <v>48</v>
      </c>
      <c r="F692" s="235" t="s">
        <v>60</v>
      </c>
      <c r="G692" s="235" t="s">
        <v>3878</v>
      </c>
      <c r="H692" s="237" t="s">
        <v>188</v>
      </c>
      <c r="I692" s="237"/>
      <c r="K692" s="240"/>
      <c r="L692" s="237"/>
      <c r="M692" s="237"/>
      <c r="N692" s="237"/>
      <c r="O692" s="237"/>
      <c r="P692" s="237"/>
      <c r="Q692" s="527">
        <v>45700</v>
      </c>
      <c r="R692" s="337" t="s">
        <v>309</v>
      </c>
      <c r="S692" s="330" t="s">
        <v>233</v>
      </c>
      <c r="T692" s="339">
        <v>8.6</v>
      </c>
      <c r="U692" s="237" t="s">
        <v>442</v>
      </c>
      <c r="V692" s="237" t="s">
        <v>228</v>
      </c>
      <c r="W692" s="244" t="s">
        <v>228</v>
      </c>
      <c r="X692" s="237" t="s">
        <v>228</v>
      </c>
      <c r="Y692" s="237" t="s">
        <v>228</v>
      </c>
      <c r="Z692" s="237" t="s">
        <v>228</v>
      </c>
      <c r="AA692" s="237" t="s">
        <v>3879</v>
      </c>
      <c r="AB692" s="237" t="s">
        <v>228</v>
      </c>
      <c r="AC692" s="237" t="s">
        <v>228</v>
      </c>
    </row>
    <row r="693" spans="1:29" ht="13.5" customHeight="1">
      <c r="A693" s="235">
        <v>691</v>
      </c>
      <c r="B693" s="235">
        <v>10</v>
      </c>
      <c r="C693" s="237" t="s">
        <v>3880</v>
      </c>
      <c r="D693" s="235" t="s">
        <v>3881</v>
      </c>
      <c r="E693" s="235" t="s">
        <v>246</v>
      </c>
      <c r="F693" s="235" t="s">
        <v>60</v>
      </c>
      <c r="G693" s="235" t="s">
        <v>3882</v>
      </c>
      <c r="H693" s="237" t="s">
        <v>24</v>
      </c>
      <c r="I693" s="237"/>
      <c r="K693" s="240"/>
      <c r="L693" s="237"/>
      <c r="M693" s="237"/>
      <c r="N693" s="237" t="s">
        <v>3883</v>
      </c>
      <c r="O693" s="237" t="s">
        <v>228</v>
      </c>
      <c r="P693" s="237" t="s">
        <v>231</v>
      </c>
      <c r="Q693" s="527">
        <v>44698</v>
      </c>
      <c r="R693" s="337" t="s">
        <v>232</v>
      </c>
      <c r="S693" s="330" t="s">
        <v>233</v>
      </c>
      <c r="T693" s="339" t="s">
        <v>228</v>
      </c>
      <c r="U693" s="237" t="s">
        <v>234</v>
      </c>
      <c r="V693" s="237" t="s">
        <v>235</v>
      </c>
      <c r="W693" s="244" t="s">
        <v>228</v>
      </c>
      <c r="X693" s="237" t="s">
        <v>3884</v>
      </c>
      <c r="Y693" s="237" t="s">
        <v>237</v>
      </c>
      <c r="Z693" s="237" t="s">
        <v>237</v>
      </c>
      <c r="AA693" s="237" t="s">
        <v>3885</v>
      </c>
      <c r="AB693" s="237" t="s">
        <v>228</v>
      </c>
      <c r="AC693" s="237" t="s">
        <v>228</v>
      </c>
    </row>
    <row r="694" spans="1:29" ht="14.25" customHeight="1">
      <c r="A694" s="235">
        <v>692</v>
      </c>
      <c r="B694" s="235">
        <v>12</v>
      </c>
      <c r="C694" s="237" t="s">
        <v>3886</v>
      </c>
      <c r="D694" s="235" t="s">
        <v>3887</v>
      </c>
      <c r="E694" s="235" t="s">
        <v>246</v>
      </c>
      <c r="F694" s="235" t="s">
        <v>60</v>
      </c>
      <c r="G694" s="235" t="s">
        <v>3888</v>
      </c>
      <c r="H694" s="255" t="s">
        <v>24</v>
      </c>
      <c r="I694" s="237"/>
      <c r="K694" s="240"/>
      <c r="L694" s="237"/>
      <c r="M694" s="237"/>
      <c r="N694" s="237" t="s">
        <v>3883</v>
      </c>
      <c r="O694" s="237" t="s">
        <v>228</v>
      </c>
      <c r="P694" s="237" t="s">
        <v>231</v>
      </c>
      <c r="Q694" s="527">
        <v>44698</v>
      </c>
      <c r="R694" s="337" t="s">
        <v>232</v>
      </c>
      <c r="S694" s="330" t="s">
        <v>233</v>
      </c>
      <c r="T694" s="339" t="s">
        <v>228</v>
      </c>
      <c r="U694" s="237" t="s">
        <v>234</v>
      </c>
      <c r="V694" s="237" t="s">
        <v>235</v>
      </c>
      <c r="W694" s="244" t="s">
        <v>228</v>
      </c>
      <c r="X694" s="237" t="s">
        <v>3889</v>
      </c>
      <c r="Y694" s="237" t="s">
        <v>237</v>
      </c>
      <c r="Z694" s="237" t="s">
        <v>237</v>
      </c>
      <c r="AA694" s="237" t="s">
        <v>3890</v>
      </c>
      <c r="AB694" s="237" t="s">
        <v>228</v>
      </c>
      <c r="AC694" s="237" t="s">
        <v>228</v>
      </c>
    </row>
    <row r="695" spans="1:29" ht="13.5" customHeight="1">
      <c r="A695" s="235">
        <v>693</v>
      </c>
      <c r="B695" s="235">
        <v>22</v>
      </c>
      <c r="C695" s="237" t="s">
        <v>3891</v>
      </c>
      <c r="D695" s="235" t="s">
        <v>3892</v>
      </c>
      <c r="E695" s="235">
        <v>61</v>
      </c>
      <c r="F695" s="235" t="s">
        <v>60</v>
      </c>
      <c r="G695" s="235" t="s">
        <v>3893</v>
      </c>
      <c r="H695" s="237" t="s">
        <v>20</v>
      </c>
      <c r="I695" s="237"/>
      <c r="K695" s="240"/>
      <c r="L695" s="237"/>
      <c r="M695" s="237"/>
      <c r="N695" s="237" t="s">
        <v>228</v>
      </c>
      <c r="O695" s="237" t="s">
        <v>228</v>
      </c>
      <c r="P695" s="237" t="s">
        <v>231</v>
      </c>
      <c r="Q695" s="527">
        <v>44744</v>
      </c>
      <c r="R695" s="337" t="s">
        <v>232</v>
      </c>
      <c r="S695" s="330" t="s">
        <v>233</v>
      </c>
      <c r="T695" s="339">
        <v>7.9</v>
      </c>
      <c r="U695" s="237" t="s">
        <v>234</v>
      </c>
      <c r="V695" s="237" t="s">
        <v>235</v>
      </c>
      <c r="W695" s="244" t="s">
        <v>228</v>
      </c>
      <c r="X695" s="237" t="s">
        <v>3896</v>
      </c>
      <c r="Y695" s="237" t="s">
        <v>237</v>
      </c>
      <c r="Z695" s="237" t="s">
        <v>237</v>
      </c>
      <c r="AA695" s="237" t="s">
        <v>3897</v>
      </c>
      <c r="AB695" s="237" t="s">
        <v>228</v>
      </c>
      <c r="AC695" s="237" t="s">
        <v>228</v>
      </c>
    </row>
    <row r="696" spans="1:29" ht="13.5" customHeight="1">
      <c r="A696" s="235">
        <v>694</v>
      </c>
      <c r="B696" s="235">
        <v>23</v>
      </c>
      <c r="C696" s="237" t="s">
        <v>3898</v>
      </c>
      <c r="D696" s="235" t="s">
        <v>3899</v>
      </c>
      <c r="E696" s="235">
        <v>66</v>
      </c>
      <c r="F696" s="235" t="s">
        <v>75</v>
      </c>
      <c r="G696" s="235" t="s">
        <v>3900</v>
      </c>
      <c r="H696" s="237" t="s">
        <v>20</v>
      </c>
      <c r="I696" s="237"/>
      <c r="K696" s="240"/>
      <c r="L696" s="237"/>
      <c r="M696" s="237"/>
      <c r="N696" s="237" t="s">
        <v>228</v>
      </c>
      <c r="O696" s="237" t="s">
        <v>228</v>
      </c>
      <c r="P696" s="237" t="s">
        <v>231</v>
      </c>
      <c r="Q696" s="527">
        <v>44724</v>
      </c>
      <c r="R696" s="337" t="s">
        <v>232</v>
      </c>
      <c r="S696" s="330" t="s">
        <v>233</v>
      </c>
      <c r="T696" s="339">
        <v>8.6</v>
      </c>
      <c r="U696" s="237" t="s">
        <v>234</v>
      </c>
      <c r="V696" s="237" t="s">
        <v>235</v>
      </c>
      <c r="W696" s="244" t="s">
        <v>228</v>
      </c>
      <c r="X696" s="237" t="s">
        <v>3901</v>
      </c>
      <c r="Y696" s="237" t="s">
        <v>237</v>
      </c>
      <c r="Z696" s="237" t="s">
        <v>237</v>
      </c>
      <c r="AA696" s="237" t="s">
        <v>3902</v>
      </c>
      <c r="AB696" s="237" t="s">
        <v>228</v>
      </c>
      <c r="AC696" s="237" t="s">
        <v>228</v>
      </c>
    </row>
    <row r="697" spans="1:29" ht="13.5" customHeight="1">
      <c r="A697" s="235">
        <v>695</v>
      </c>
      <c r="B697" s="235">
        <v>29</v>
      </c>
      <c r="C697" s="237" t="s">
        <v>3903</v>
      </c>
      <c r="D697" s="235" t="s">
        <v>3904</v>
      </c>
      <c r="E697" s="235">
        <v>61</v>
      </c>
      <c r="F697" s="235" t="s">
        <v>75</v>
      </c>
      <c r="G697" s="235" t="s">
        <v>3905</v>
      </c>
      <c r="H697" s="237" t="s">
        <v>20</v>
      </c>
      <c r="I697" s="237"/>
      <c r="K697" s="240"/>
      <c r="L697" s="237"/>
      <c r="M697" s="237"/>
      <c r="N697" s="237" t="s">
        <v>228</v>
      </c>
      <c r="O697" s="237" t="s">
        <v>228</v>
      </c>
      <c r="P697" s="237" t="s">
        <v>231</v>
      </c>
      <c r="Q697" s="527">
        <v>44789</v>
      </c>
      <c r="R697" s="337" t="s">
        <v>232</v>
      </c>
      <c r="S697" s="330" t="s">
        <v>233</v>
      </c>
      <c r="T697" s="339">
        <v>8.6999999999999993</v>
      </c>
      <c r="U697" s="237" t="s">
        <v>234</v>
      </c>
      <c r="V697" s="237" t="s">
        <v>235</v>
      </c>
      <c r="W697" s="244" t="s">
        <v>228</v>
      </c>
      <c r="X697" s="237" t="s">
        <v>3429</v>
      </c>
      <c r="Y697" s="237" t="s">
        <v>237</v>
      </c>
      <c r="Z697" s="237" t="s">
        <v>237</v>
      </c>
      <c r="AA697" s="237" t="s">
        <v>3907</v>
      </c>
      <c r="AB697" s="237" t="s">
        <v>228</v>
      </c>
      <c r="AC697" s="237" t="s">
        <v>228</v>
      </c>
    </row>
    <row r="698" spans="1:29" ht="13.5" customHeight="1">
      <c r="A698" s="235">
        <v>696</v>
      </c>
      <c r="B698" s="235">
        <v>31</v>
      </c>
      <c r="C698" s="237" t="s">
        <v>3908</v>
      </c>
      <c r="D698" s="235" t="s">
        <v>3909</v>
      </c>
      <c r="E698" s="235">
        <v>51</v>
      </c>
      <c r="F698" s="235" t="s">
        <v>75</v>
      </c>
      <c r="G698" s="235" t="s">
        <v>3910</v>
      </c>
      <c r="H698" s="237" t="s">
        <v>20</v>
      </c>
      <c r="I698" s="237"/>
      <c r="K698" s="240"/>
      <c r="L698" s="237"/>
      <c r="M698" s="237"/>
      <c r="N698" s="237" t="s">
        <v>3912</v>
      </c>
      <c r="O698" s="237" t="s">
        <v>228</v>
      </c>
      <c r="P698" s="237" t="s">
        <v>231</v>
      </c>
      <c r="Q698" s="527">
        <v>44791</v>
      </c>
      <c r="R698" s="337" t="s">
        <v>232</v>
      </c>
      <c r="S698" s="330" t="s">
        <v>233</v>
      </c>
      <c r="T698" s="339">
        <v>9</v>
      </c>
      <c r="U698" s="237" t="s">
        <v>234</v>
      </c>
      <c r="V698" s="237" t="s">
        <v>235</v>
      </c>
      <c r="W698" s="244" t="s">
        <v>228</v>
      </c>
      <c r="X698" s="237" t="s">
        <v>3913</v>
      </c>
      <c r="Y698" s="237" t="s">
        <v>237</v>
      </c>
      <c r="Z698" s="237" t="s">
        <v>237</v>
      </c>
      <c r="AA698" s="237" t="s">
        <v>3914</v>
      </c>
      <c r="AB698" s="237" t="s">
        <v>228</v>
      </c>
      <c r="AC698" s="237" t="s">
        <v>228</v>
      </c>
    </row>
    <row r="699" spans="1:29" ht="13.5" customHeight="1">
      <c r="A699" s="235">
        <v>697</v>
      </c>
      <c r="B699" s="235">
        <v>47</v>
      </c>
      <c r="C699" s="237" t="s">
        <v>3915</v>
      </c>
      <c r="D699" s="235" t="s">
        <v>3916</v>
      </c>
      <c r="E699" s="235">
        <v>53</v>
      </c>
      <c r="F699" s="235" t="s">
        <v>75</v>
      </c>
      <c r="G699" s="235" t="s">
        <v>3917</v>
      </c>
      <c r="H699" s="237" t="s">
        <v>20</v>
      </c>
      <c r="I699" s="237"/>
      <c r="J699" s="240" t="s">
        <v>886</v>
      </c>
      <c r="K699" s="240"/>
      <c r="L699" s="237"/>
      <c r="M699" s="237"/>
      <c r="N699" s="237" t="s">
        <v>3919</v>
      </c>
      <c r="O699" s="237" t="s">
        <v>228</v>
      </c>
      <c r="P699" s="237" t="s">
        <v>231</v>
      </c>
      <c r="Q699" s="527">
        <v>44883</v>
      </c>
      <c r="R699" s="337" t="s">
        <v>232</v>
      </c>
      <c r="S699" s="330" t="s">
        <v>233</v>
      </c>
      <c r="T699" s="339">
        <v>7.9</v>
      </c>
      <c r="U699" s="237" t="s">
        <v>234</v>
      </c>
      <c r="V699" s="237" t="s">
        <v>235</v>
      </c>
      <c r="W699" s="244" t="s">
        <v>228</v>
      </c>
      <c r="X699" s="237" t="s">
        <v>3920</v>
      </c>
      <c r="Y699" s="237" t="s">
        <v>237</v>
      </c>
      <c r="Z699" s="237" t="s">
        <v>228</v>
      </c>
      <c r="AA699" s="237" t="s">
        <v>3921</v>
      </c>
      <c r="AB699" s="237" t="s">
        <v>228</v>
      </c>
      <c r="AC699" s="237" t="s">
        <v>228</v>
      </c>
    </row>
    <row r="700" spans="1:29" ht="13.5" customHeight="1">
      <c r="A700" s="235">
        <v>698</v>
      </c>
      <c r="B700" s="235">
        <v>49</v>
      </c>
      <c r="C700" s="237" t="s">
        <v>3922</v>
      </c>
      <c r="D700" s="235" t="s">
        <v>3923</v>
      </c>
      <c r="E700" s="235">
        <v>60</v>
      </c>
      <c r="F700" s="235" t="s">
        <v>75</v>
      </c>
      <c r="G700" s="235" t="s">
        <v>3924</v>
      </c>
      <c r="H700" s="237" t="s">
        <v>20</v>
      </c>
      <c r="I700" s="237"/>
      <c r="K700" s="240"/>
      <c r="L700" s="237"/>
      <c r="M700" s="237"/>
      <c r="N700" s="237" t="s">
        <v>3926</v>
      </c>
      <c r="O700" s="237" t="s">
        <v>228</v>
      </c>
      <c r="P700" s="237" t="s">
        <v>231</v>
      </c>
      <c r="Q700" s="527">
        <v>44880</v>
      </c>
      <c r="R700" s="337" t="s">
        <v>232</v>
      </c>
      <c r="S700" s="330" t="s">
        <v>233</v>
      </c>
      <c r="T700" s="339">
        <v>8.6999999999999993</v>
      </c>
      <c r="U700" s="237" t="s">
        <v>234</v>
      </c>
      <c r="V700" s="237" t="s">
        <v>235</v>
      </c>
      <c r="W700" s="244" t="s">
        <v>228</v>
      </c>
      <c r="X700" s="237" t="s">
        <v>3927</v>
      </c>
      <c r="Y700" s="237" t="s">
        <v>237</v>
      </c>
      <c r="Z700" s="237" t="s">
        <v>228</v>
      </c>
      <c r="AA700" s="237" t="s">
        <v>3928</v>
      </c>
      <c r="AB700" s="237" t="s">
        <v>228</v>
      </c>
      <c r="AC700" s="237" t="s">
        <v>228</v>
      </c>
    </row>
    <row r="701" spans="1:29" ht="13.5" customHeight="1">
      <c r="A701" s="235">
        <v>699</v>
      </c>
      <c r="B701" s="235">
        <v>0</v>
      </c>
      <c r="C701" s="256" t="s">
        <v>3929</v>
      </c>
      <c r="D701" s="235" t="s">
        <v>3930</v>
      </c>
      <c r="E701" s="235">
        <v>38</v>
      </c>
      <c r="F701" s="235" t="s">
        <v>60</v>
      </c>
      <c r="G701" s="235" t="s">
        <v>3931</v>
      </c>
      <c r="H701" s="237" t="s">
        <v>188</v>
      </c>
      <c r="I701" s="237"/>
      <c r="J701" s="235" t="s">
        <v>3932</v>
      </c>
      <c r="K701" s="240"/>
      <c r="L701" s="237"/>
      <c r="M701" s="237"/>
      <c r="N701" s="237"/>
      <c r="O701" s="237"/>
      <c r="P701" s="237"/>
      <c r="Q701" s="527">
        <v>45700</v>
      </c>
      <c r="R701" s="337" t="s">
        <v>309</v>
      </c>
      <c r="S701" s="330" t="s">
        <v>233</v>
      </c>
      <c r="T701" s="339">
        <v>7.9</v>
      </c>
      <c r="U701" s="237" t="s">
        <v>442</v>
      </c>
      <c r="V701" s="237" t="s">
        <v>228</v>
      </c>
      <c r="W701" s="244" t="s">
        <v>228</v>
      </c>
      <c r="X701" s="237" t="s">
        <v>228</v>
      </c>
      <c r="Y701" s="237" t="s">
        <v>228</v>
      </c>
      <c r="Z701" s="237" t="s">
        <v>228</v>
      </c>
      <c r="AA701" s="237" t="s">
        <v>3933</v>
      </c>
      <c r="AB701" s="237" t="s">
        <v>228</v>
      </c>
      <c r="AC701" s="237" t="s">
        <v>228</v>
      </c>
    </row>
    <row r="702" spans="1:29" ht="13.5" customHeight="1">
      <c r="A702" s="235">
        <v>700</v>
      </c>
      <c r="B702" s="235">
        <v>100</v>
      </c>
      <c r="C702" s="255" t="s">
        <v>3934</v>
      </c>
      <c r="D702" s="235" t="s">
        <v>3935</v>
      </c>
      <c r="E702" s="235">
        <v>48</v>
      </c>
      <c r="F702" s="235" t="s">
        <v>75</v>
      </c>
      <c r="G702" s="235" t="s">
        <v>3936</v>
      </c>
      <c r="H702" s="269" t="s">
        <v>188</v>
      </c>
      <c r="I702" s="237"/>
      <c r="J702" s="235" t="s">
        <v>3932</v>
      </c>
      <c r="K702" s="240"/>
      <c r="L702" s="237"/>
      <c r="M702" s="237"/>
      <c r="N702" s="237" t="s">
        <v>3937</v>
      </c>
      <c r="O702" s="237" t="s">
        <v>228</v>
      </c>
      <c r="P702" s="237" t="s">
        <v>231</v>
      </c>
      <c r="Q702" s="527">
        <v>44949</v>
      </c>
      <c r="R702" s="337" t="s">
        <v>309</v>
      </c>
      <c r="S702" s="330" t="s">
        <v>233</v>
      </c>
      <c r="T702" s="339">
        <v>8.9</v>
      </c>
      <c r="U702" s="237" t="s">
        <v>234</v>
      </c>
      <c r="V702" s="237" t="s">
        <v>235</v>
      </c>
      <c r="W702" s="244" t="s">
        <v>228</v>
      </c>
      <c r="X702" s="237" t="s">
        <v>3938</v>
      </c>
      <c r="Y702" s="237" t="s">
        <v>237</v>
      </c>
      <c r="Z702" s="237" t="s">
        <v>237</v>
      </c>
      <c r="AA702" s="237" t="s">
        <v>3939</v>
      </c>
      <c r="AB702" s="237" t="s">
        <v>228</v>
      </c>
      <c r="AC702" s="237" t="s">
        <v>228</v>
      </c>
    </row>
    <row r="703" spans="1:29" ht="13.5" customHeight="1">
      <c r="A703" s="235">
        <v>701</v>
      </c>
      <c r="B703" s="235" t="s">
        <v>3940</v>
      </c>
      <c r="C703" s="237" t="s">
        <v>3941</v>
      </c>
      <c r="D703" s="235" t="s">
        <v>3942</v>
      </c>
      <c r="E703" s="235">
        <v>49</v>
      </c>
      <c r="F703" s="235" t="s">
        <v>75</v>
      </c>
      <c r="G703" s="235" t="s">
        <v>3943</v>
      </c>
      <c r="H703" s="237" t="s">
        <v>188</v>
      </c>
      <c r="I703" s="237"/>
      <c r="J703" s="235" t="s">
        <v>3932</v>
      </c>
      <c r="K703" s="240"/>
      <c r="L703" s="237"/>
      <c r="M703" s="237"/>
      <c r="N703" s="237"/>
      <c r="O703" s="237"/>
      <c r="P703" s="237"/>
      <c r="Q703" s="527">
        <v>45758</v>
      </c>
      <c r="R703" s="337" t="s">
        <v>309</v>
      </c>
      <c r="S703" s="330" t="s">
        <v>233</v>
      </c>
      <c r="T703" s="339" t="s">
        <v>228</v>
      </c>
      <c r="U703" s="237" t="s">
        <v>515</v>
      </c>
      <c r="V703" s="237" t="s">
        <v>473</v>
      </c>
      <c r="W703" s="244">
        <v>45832</v>
      </c>
      <c r="X703" s="237" t="s">
        <v>3944</v>
      </c>
      <c r="Y703" s="237" t="s">
        <v>237</v>
      </c>
      <c r="Z703" s="237" t="s">
        <v>228</v>
      </c>
      <c r="AA703" s="237" t="s">
        <v>3945</v>
      </c>
      <c r="AB703" s="237" t="s">
        <v>228</v>
      </c>
      <c r="AC703" s="237" t="s">
        <v>228</v>
      </c>
    </row>
    <row r="704" spans="1:29" ht="13.5" customHeight="1">
      <c r="A704" s="235">
        <v>702</v>
      </c>
      <c r="B704" s="235">
        <v>0</v>
      </c>
      <c r="C704" s="256" t="s">
        <v>3946</v>
      </c>
      <c r="D704" s="235" t="s">
        <v>3947</v>
      </c>
      <c r="E704" s="235">
        <v>61</v>
      </c>
      <c r="F704" s="235" t="s">
        <v>60</v>
      </c>
      <c r="G704" s="235" t="s">
        <v>3948</v>
      </c>
      <c r="H704" s="237" t="s">
        <v>188</v>
      </c>
      <c r="I704" s="237"/>
      <c r="J704" s="235" t="s">
        <v>3932</v>
      </c>
      <c r="K704" s="240"/>
      <c r="L704" s="237"/>
      <c r="M704" s="237"/>
      <c r="N704" s="237"/>
      <c r="O704" s="237"/>
      <c r="P704" s="237"/>
      <c r="Q704" s="527">
        <v>45784</v>
      </c>
      <c r="R704" s="337" t="s">
        <v>309</v>
      </c>
      <c r="S704" s="330" t="s">
        <v>233</v>
      </c>
      <c r="T704" s="339">
        <v>9.1999999999999993</v>
      </c>
      <c r="U704" s="237" t="s">
        <v>3949</v>
      </c>
      <c r="V704" s="237" t="s">
        <v>228</v>
      </c>
      <c r="W704" s="244" t="s">
        <v>228</v>
      </c>
      <c r="X704" s="237" t="s">
        <v>228</v>
      </c>
      <c r="Y704" s="237" t="s">
        <v>228</v>
      </c>
      <c r="Z704" s="237" t="s">
        <v>228</v>
      </c>
      <c r="AA704" s="237" t="s">
        <v>3950</v>
      </c>
      <c r="AB704" s="237" t="s">
        <v>237</v>
      </c>
      <c r="AC704" s="237" t="s">
        <v>353</v>
      </c>
    </row>
    <row r="705" spans="1:29" ht="13.5" customHeight="1">
      <c r="A705" s="235">
        <v>703</v>
      </c>
      <c r="B705" s="235">
        <v>241</v>
      </c>
      <c r="C705" s="256" t="s">
        <v>3951</v>
      </c>
      <c r="D705" s="235" t="s">
        <v>3952</v>
      </c>
      <c r="E705" s="235">
        <v>46</v>
      </c>
      <c r="F705" s="235" t="s">
        <v>75</v>
      </c>
      <c r="G705" s="235" t="s">
        <v>3953</v>
      </c>
      <c r="H705" s="237" t="s">
        <v>188</v>
      </c>
      <c r="I705" s="237"/>
      <c r="J705" s="235" t="s">
        <v>3932</v>
      </c>
      <c r="K705" s="240"/>
      <c r="L705" s="237"/>
      <c r="M705" s="237"/>
      <c r="N705" s="237"/>
      <c r="O705" s="237"/>
      <c r="P705" s="237"/>
      <c r="Q705" s="527">
        <v>45584</v>
      </c>
      <c r="R705" s="337" t="s">
        <v>309</v>
      </c>
      <c r="S705" s="330" t="s">
        <v>233</v>
      </c>
      <c r="T705" s="339">
        <v>8.8000000000000007</v>
      </c>
      <c r="U705" s="237" t="s">
        <v>298</v>
      </c>
      <c r="V705" s="237" t="s">
        <v>235</v>
      </c>
      <c r="W705" s="244">
        <v>45631</v>
      </c>
      <c r="X705" s="237" t="s">
        <v>3954</v>
      </c>
      <c r="Y705" s="237" t="s">
        <v>237</v>
      </c>
      <c r="Z705" s="237" t="s">
        <v>237</v>
      </c>
      <c r="AA705" s="237" t="s">
        <v>3955</v>
      </c>
      <c r="AB705" s="237" t="s">
        <v>237</v>
      </c>
      <c r="AC705" s="237" t="s">
        <v>353</v>
      </c>
    </row>
    <row r="706" spans="1:29" ht="13.5" customHeight="1">
      <c r="A706" s="235">
        <v>704</v>
      </c>
      <c r="B706" s="235">
        <v>244</v>
      </c>
      <c r="C706" s="256" t="s">
        <v>3956</v>
      </c>
      <c r="D706" s="235" t="s">
        <v>3957</v>
      </c>
      <c r="E706" s="235">
        <v>41</v>
      </c>
      <c r="F706" s="235" t="s">
        <v>60</v>
      </c>
      <c r="G706" s="235" t="s">
        <v>3958</v>
      </c>
      <c r="H706" s="237" t="s">
        <v>188</v>
      </c>
      <c r="I706" s="237"/>
      <c r="J706" s="235" t="s">
        <v>3932</v>
      </c>
      <c r="K706" s="240"/>
      <c r="L706" s="237"/>
      <c r="M706" s="237"/>
      <c r="N706" s="237"/>
      <c r="O706" s="237"/>
      <c r="P706" s="237"/>
      <c r="Q706" s="527">
        <v>45584</v>
      </c>
      <c r="R706" s="337" t="s">
        <v>309</v>
      </c>
      <c r="S706" s="330" t="s">
        <v>233</v>
      </c>
      <c r="T706" s="339">
        <v>8.4</v>
      </c>
      <c r="U706" s="237" t="s">
        <v>298</v>
      </c>
      <c r="V706" s="237" t="s">
        <v>235</v>
      </c>
      <c r="W706" s="244">
        <v>45631</v>
      </c>
      <c r="X706" s="237" t="s">
        <v>3959</v>
      </c>
      <c r="Y706" s="237" t="s">
        <v>237</v>
      </c>
      <c r="Z706" s="237" t="s">
        <v>237</v>
      </c>
      <c r="AA706" s="237" t="s">
        <v>3960</v>
      </c>
      <c r="AB706" s="237" t="s">
        <v>237</v>
      </c>
      <c r="AC706" s="237" t="s">
        <v>353</v>
      </c>
    </row>
    <row r="707" spans="1:29" ht="13.5" customHeight="1">
      <c r="A707" s="235">
        <v>705</v>
      </c>
      <c r="B707" s="235">
        <v>248</v>
      </c>
      <c r="C707" s="256" t="s">
        <v>3961</v>
      </c>
      <c r="D707" s="235" t="s">
        <v>3962</v>
      </c>
      <c r="E707" s="235">
        <v>65</v>
      </c>
      <c r="F707" s="235" t="s">
        <v>60</v>
      </c>
      <c r="G707" s="235" t="s">
        <v>3963</v>
      </c>
      <c r="H707" s="237" t="s">
        <v>188</v>
      </c>
      <c r="I707" s="237"/>
      <c r="J707" s="235" t="s">
        <v>3932</v>
      </c>
      <c r="K707" s="240"/>
      <c r="L707" s="237"/>
      <c r="M707" s="237"/>
      <c r="N707" s="237"/>
      <c r="O707" s="237"/>
      <c r="P707" s="237"/>
      <c r="Q707" s="527">
        <v>45585</v>
      </c>
      <c r="R707" s="337" t="s">
        <v>309</v>
      </c>
      <c r="S707" s="330" t="s">
        <v>233</v>
      </c>
      <c r="T707" s="339">
        <v>8.1</v>
      </c>
      <c r="U707" s="237" t="s">
        <v>298</v>
      </c>
      <c r="V707" s="237" t="s">
        <v>235</v>
      </c>
      <c r="W707" s="244">
        <v>45631</v>
      </c>
      <c r="X707" s="237" t="s">
        <v>3964</v>
      </c>
      <c r="Y707" s="237" t="s">
        <v>237</v>
      </c>
      <c r="Z707" s="237" t="s">
        <v>237</v>
      </c>
      <c r="AA707" s="237" t="s">
        <v>3965</v>
      </c>
      <c r="AB707" s="237" t="s">
        <v>228</v>
      </c>
      <c r="AC707" s="237" t="s">
        <v>228</v>
      </c>
    </row>
    <row r="708" spans="1:29" ht="13.5" customHeight="1">
      <c r="A708" s="235">
        <v>706</v>
      </c>
      <c r="B708" s="235">
        <v>299</v>
      </c>
      <c r="C708" s="256" t="s">
        <v>3966</v>
      </c>
      <c r="D708" s="235" t="s">
        <v>3967</v>
      </c>
      <c r="E708" s="235">
        <v>48</v>
      </c>
      <c r="F708" s="235" t="s">
        <v>75</v>
      </c>
      <c r="G708" s="235" t="s">
        <v>3968</v>
      </c>
      <c r="H708" s="237" t="s">
        <v>188</v>
      </c>
      <c r="I708" s="237"/>
      <c r="J708" s="235" t="s">
        <v>3932</v>
      </c>
      <c r="K708" s="240"/>
      <c r="L708" s="237"/>
      <c r="M708" s="237"/>
      <c r="N708" s="237"/>
      <c r="O708" s="237"/>
      <c r="P708" s="237"/>
      <c r="Q708" s="527">
        <v>45617</v>
      </c>
      <c r="R708" s="337" t="s">
        <v>309</v>
      </c>
      <c r="S708" s="330" t="s">
        <v>233</v>
      </c>
      <c r="T708" s="339">
        <v>8.9</v>
      </c>
      <c r="U708" s="237" t="s">
        <v>234</v>
      </c>
      <c r="V708" s="237" t="s">
        <v>235</v>
      </c>
      <c r="W708" s="244">
        <v>45677</v>
      </c>
      <c r="X708" s="237" t="s">
        <v>3969</v>
      </c>
      <c r="Y708" s="237" t="s">
        <v>237</v>
      </c>
      <c r="Z708" s="237" t="s">
        <v>237</v>
      </c>
      <c r="AA708" s="237" t="s">
        <v>3970</v>
      </c>
      <c r="AB708" s="237" t="s">
        <v>228</v>
      </c>
      <c r="AC708" s="237" t="s">
        <v>228</v>
      </c>
    </row>
    <row r="709" spans="1:29" ht="13.5" customHeight="1">
      <c r="A709" s="235">
        <v>707</v>
      </c>
      <c r="B709" s="235">
        <v>289</v>
      </c>
      <c r="C709" s="256" t="s">
        <v>3971</v>
      </c>
      <c r="D709" s="235" t="s">
        <v>3972</v>
      </c>
      <c r="E709" s="235">
        <v>45</v>
      </c>
      <c r="F709" s="235" t="s">
        <v>1099</v>
      </c>
      <c r="G709" s="235" t="s">
        <v>3973</v>
      </c>
      <c r="H709" s="237" t="s">
        <v>188</v>
      </c>
      <c r="I709" s="237"/>
      <c r="J709" s="235" t="s">
        <v>3932</v>
      </c>
      <c r="K709" s="240"/>
      <c r="L709" s="237"/>
      <c r="M709" s="237"/>
      <c r="N709" s="237"/>
      <c r="O709" s="237"/>
      <c r="P709" s="237"/>
      <c r="Q709" s="527">
        <v>45617</v>
      </c>
      <c r="R709" s="337" t="s">
        <v>309</v>
      </c>
      <c r="S709" s="330" t="s">
        <v>233</v>
      </c>
      <c r="T709" s="339">
        <v>8.3000000000000007</v>
      </c>
      <c r="U709" s="237" t="s">
        <v>3974</v>
      </c>
      <c r="V709" s="237" t="s">
        <v>235</v>
      </c>
      <c r="W709" s="244">
        <v>45666</v>
      </c>
      <c r="X709" s="237" t="s">
        <v>3975</v>
      </c>
      <c r="Y709" s="237" t="s">
        <v>237</v>
      </c>
      <c r="Z709" s="237" t="s">
        <v>228</v>
      </c>
      <c r="AA709" s="237" t="s">
        <v>3976</v>
      </c>
      <c r="AB709" s="237" t="s">
        <v>228</v>
      </c>
      <c r="AC709" s="237" t="s">
        <v>228</v>
      </c>
    </row>
    <row r="710" spans="1:29" ht="13.5" customHeight="1">
      <c r="A710" s="235">
        <v>708</v>
      </c>
      <c r="B710" s="235">
        <v>288</v>
      </c>
      <c r="C710" s="256" t="s">
        <v>3977</v>
      </c>
      <c r="D710" s="235" t="s">
        <v>3978</v>
      </c>
      <c r="E710" s="235">
        <v>43</v>
      </c>
      <c r="F710" s="235" t="s">
        <v>424</v>
      </c>
      <c r="G710" s="235" t="s">
        <v>3979</v>
      </c>
      <c r="H710" s="237" t="s">
        <v>188</v>
      </c>
      <c r="I710" s="237"/>
      <c r="J710" s="235" t="s">
        <v>3932</v>
      </c>
      <c r="K710" s="240"/>
      <c r="L710" s="237"/>
      <c r="M710" s="237"/>
      <c r="N710" s="237"/>
      <c r="O710" s="237"/>
      <c r="P710" s="237"/>
      <c r="Q710" s="527">
        <v>45617</v>
      </c>
      <c r="R710" s="337" t="s">
        <v>309</v>
      </c>
      <c r="S710" s="330" t="s">
        <v>233</v>
      </c>
      <c r="T710" s="339">
        <v>8.3000000000000007</v>
      </c>
      <c r="U710" s="237" t="s">
        <v>3974</v>
      </c>
      <c r="V710" s="237" t="s">
        <v>235</v>
      </c>
      <c r="W710" s="244">
        <v>45666</v>
      </c>
      <c r="X710" s="237" t="s">
        <v>3980</v>
      </c>
      <c r="Y710" s="237" t="s">
        <v>237</v>
      </c>
      <c r="Z710" s="237" t="s">
        <v>228</v>
      </c>
      <c r="AA710" s="237" t="s">
        <v>3981</v>
      </c>
      <c r="AB710" s="237" t="s">
        <v>237</v>
      </c>
      <c r="AC710" s="237" t="s">
        <v>353</v>
      </c>
    </row>
    <row r="711" spans="1:29" ht="13.5" customHeight="1">
      <c r="A711" s="235">
        <v>709</v>
      </c>
      <c r="B711" s="235">
        <v>245</v>
      </c>
      <c r="C711" s="256" t="s">
        <v>3982</v>
      </c>
      <c r="D711" s="235" t="s">
        <v>3983</v>
      </c>
      <c r="E711" s="235">
        <v>76</v>
      </c>
      <c r="F711" s="235" t="s">
        <v>60</v>
      </c>
      <c r="G711" s="235" t="s">
        <v>3984</v>
      </c>
      <c r="H711" s="237" t="s">
        <v>188</v>
      </c>
      <c r="I711" s="237"/>
      <c r="J711" s="235" t="s">
        <v>3932</v>
      </c>
      <c r="K711" s="240"/>
      <c r="L711" s="237"/>
      <c r="M711" s="237"/>
      <c r="N711" s="237"/>
      <c r="O711" s="237"/>
      <c r="P711" s="237"/>
      <c r="Q711" s="527">
        <v>45584</v>
      </c>
      <c r="R711" s="337" t="s">
        <v>309</v>
      </c>
      <c r="S711" s="330" t="s">
        <v>233</v>
      </c>
      <c r="T711" s="339">
        <v>8.4</v>
      </c>
      <c r="U711" s="237" t="s">
        <v>298</v>
      </c>
      <c r="V711" s="237" t="s">
        <v>235</v>
      </c>
      <c r="W711" s="244">
        <v>45631</v>
      </c>
      <c r="X711" s="237" t="s">
        <v>3985</v>
      </c>
      <c r="Y711" s="237" t="s">
        <v>237</v>
      </c>
      <c r="Z711" s="237" t="s">
        <v>228</v>
      </c>
      <c r="AA711" s="237" t="s">
        <v>3986</v>
      </c>
      <c r="AB711" s="237" t="s">
        <v>237</v>
      </c>
      <c r="AC711" s="237" t="s">
        <v>353</v>
      </c>
    </row>
    <row r="712" spans="1:29" ht="13.5" customHeight="1">
      <c r="A712" s="235">
        <v>710</v>
      </c>
      <c r="B712" s="235">
        <v>179</v>
      </c>
      <c r="C712" s="256" t="s">
        <v>3987</v>
      </c>
      <c r="D712" s="235" t="s">
        <v>3988</v>
      </c>
      <c r="E712" s="235">
        <v>39</v>
      </c>
      <c r="F712" s="235" t="s">
        <v>75</v>
      </c>
      <c r="G712" s="235" t="s">
        <v>3989</v>
      </c>
      <c r="H712" s="237" t="s">
        <v>188</v>
      </c>
      <c r="I712" s="270" t="s">
        <v>1937</v>
      </c>
      <c r="J712" s="235" t="s">
        <v>3932</v>
      </c>
      <c r="K712" s="240"/>
      <c r="L712" s="237"/>
      <c r="M712" s="237"/>
      <c r="N712" s="237" t="s">
        <v>3990</v>
      </c>
      <c r="O712" s="237" t="s">
        <v>228</v>
      </c>
      <c r="P712" s="237" t="s">
        <v>231</v>
      </c>
      <c r="Q712" s="527">
        <v>45288</v>
      </c>
      <c r="R712" s="337" t="s">
        <v>309</v>
      </c>
      <c r="S712" s="330" t="s">
        <v>233</v>
      </c>
      <c r="T712" s="339">
        <v>9.1</v>
      </c>
      <c r="U712" s="237" t="s">
        <v>298</v>
      </c>
      <c r="V712" s="237" t="s">
        <v>235</v>
      </c>
      <c r="W712" s="244">
        <v>45320</v>
      </c>
      <c r="X712" s="237" t="s">
        <v>1035</v>
      </c>
      <c r="Y712" s="237" t="s">
        <v>237</v>
      </c>
      <c r="Z712" s="237" t="s">
        <v>237</v>
      </c>
      <c r="AA712" s="237" t="s">
        <v>3991</v>
      </c>
      <c r="AB712" s="237" t="s">
        <v>228</v>
      </c>
      <c r="AC712" s="237" t="s">
        <v>228</v>
      </c>
    </row>
    <row r="713" spans="1:29" ht="13.5" customHeight="1">
      <c r="A713" s="235">
        <v>711</v>
      </c>
      <c r="B713" s="235">
        <v>0</v>
      </c>
      <c r="C713" s="256" t="s">
        <v>3992</v>
      </c>
      <c r="D713" s="235" t="s">
        <v>3993</v>
      </c>
      <c r="E713" s="235">
        <v>69</v>
      </c>
      <c r="F713" s="235" t="s">
        <v>75</v>
      </c>
      <c r="G713" s="235" t="s">
        <v>3994</v>
      </c>
      <c r="H713" s="264" t="s">
        <v>5</v>
      </c>
      <c r="I713" s="237"/>
      <c r="J713" s="235" t="s">
        <v>3932</v>
      </c>
      <c r="K713" s="240"/>
      <c r="L713" s="237" t="s">
        <v>20</v>
      </c>
      <c r="M713" s="237"/>
      <c r="N713" s="237"/>
      <c r="O713" s="237"/>
      <c r="P713" s="237"/>
      <c r="Q713" s="527">
        <v>45694</v>
      </c>
      <c r="R713" s="337" t="s">
        <v>309</v>
      </c>
      <c r="S713" s="330" t="s">
        <v>233</v>
      </c>
      <c r="T713" s="339">
        <v>8.6</v>
      </c>
      <c r="U713" s="237" t="s">
        <v>442</v>
      </c>
      <c r="V713" s="237" t="s">
        <v>228</v>
      </c>
      <c r="W713" s="244" t="s">
        <v>228</v>
      </c>
      <c r="X713" s="237" t="s">
        <v>228</v>
      </c>
      <c r="Y713" s="237" t="s">
        <v>228</v>
      </c>
      <c r="Z713" s="237" t="s">
        <v>228</v>
      </c>
      <c r="AA713" s="237" t="s">
        <v>3998</v>
      </c>
      <c r="AB713" s="237" t="s">
        <v>237</v>
      </c>
      <c r="AC713" s="237" t="s">
        <v>353</v>
      </c>
    </row>
    <row r="714" spans="1:29" ht="13.5" customHeight="1">
      <c r="A714" s="235">
        <v>712</v>
      </c>
      <c r="B714" s="235" t="s">
        <v>3999</v>
      </c>
      <c r="C714" s="256" t="s">
        <v>4000</v>
      </c>
      <c r="D714" s="235" t="s">
        <v>4001</v>
      </c>
      <c r="E714" s="235">
        <v>52</v>
      </c>
      <c r="F714" s="235" t="s">
        <v>75</v>
      </c>
      <c r="G714" s="235" t="s">
        <v>4002</v>
      </c>
      <c r="H714" s="264" t="s">
        <v>5</v>
      </c>
      <c r="I714" s="237"/>
      <c r="J714" s="235" t="s">
        <v>3932</v>
      </c>
      <c r="K714" s="240"/>
      <c r="L714" s="237" t="s">
        <v>20</v>
      </c>
      <c r="M714" s="237"/>
      <c r="N714" s="237"/>
      <c r="O714" s="237"/>
      <c r="P714" s="237"/>
      <c r="Q714" s="527">
        <v>45731</v>
      </c>
      <c r="R714" s="337" t="s">
        <v>309</v>
      </c>
      <c r="S714" s="330" t="s">
        <v>233</v>
      </c>
      <c r="T714" s="339" t="s">
        <v>228</v>
      </c>
      <c r="U714" s="237" t="s">
        <v>298</v>
      </c>
      <c r="V714" s="237" t="s">
        <v>473</v>
      </c>
      <c r="W714" s="244">
        <v>45747</v>
      </c>
      <c r="X714" s="237" t="s">
        <v>4005</v>
      </c>
      <c r="Y714" s="237" t="s">
        <v>237</v>
      </c>
      <c r="Z714" s="237" t="s">
        <v>237</v>
      </c>
      <c r="AA714" s="237" t="s">
        <v>3999</v>
      </c>
      <c r="AB714" s="237" t="s">
        <v>237</v>
      </c>
      <c r="AC714" s="237" t="s">
        <v>353</v>
      </c>
    </row>
    <row r="715" spans="1:29" ht="13.5" customHeight="1">
      <c r="A715" s="235">
        <v>713</v>
      </c>
      <c r="B715" s="235" t="s">
        <v>4007</v>
      </c>
      <c r="C715" s="256" t="s">
        <v>4008</v>
      </c>
      <c r="D715" s="235" t="s">
        <v>4009</v>
      </c>
      <c r="E715" s="235">
        <v>54</v>
      </c>
      <c r="F715" s="235" t="s">
        <v>424</v>
      </c>
      <c r="G715" s="235" t="s">
        <v>4010</v>
      </c>
      <c r="H715" s="237" t="s">
        <v>188</v>
      </c>
      <c r="I715" s="237"/>
      <c r="J715" s="235" t="s">
        <v>3932</v>
      </c>
      <c r="K715" s="240"/>
      <c r="L715" s="237"/>
      <c r="M715" s="237"/>
      <c r="N715" s="237"/>
      <c r="O715" s="237"/>
      <c r="P715" s="237"/>
      <c r="Q715" s="527">
        <v>45731</v>
      </c>
      <c r="R715" s="337" t="s">
        <v>309</v>
      </c>
      <c r="S715" s="330" t="s">
        <v>233</v>
      </c>
      <c r="T715" s="339" t="s">
        <v>228</v>
      </c>
      <c r="U715" s="237" t="s">
        <v>298</v>
      </c>
      <c r="V715" s="237" t="s">
        <v>473</v>
      </c>
      <c r="W715" s="244">
        <v>45747</v>
      </c>
      <c r="X715" s="237" t="s">
        <v>4011</v>
      </c>
      <c r="Y715" s="237" t="s">
        <v>237</v>
      </c>
      <c r="Z715" s="237" t="s">
        <v>237</v>
      </c>
      <c r="AA715" s="237" t="s">
        <v>4007</v>
      </c>
      <c r="AB715" s="237" t="s">
        <v>237</v>
      </c>
      <c r="AC715" s="237" t="s">
        <v>353</v>
      </c>
    </row>
    <row r="716" spans="1:29" ht="13.5" customHeight="1">
      <c r="A716" s="235">
        <v>714</v>
      </c>
      <c r="B716" s="235">
        <v>247</v>
      </c>
      <c r="C716" s="255" t="s">
        <v>4012</v>
      </c>
      <c r="D716" s="235" t="s">
        <v>4013</v>
      </c>
      <c r="E716" s="235">
        <v>75</v>
      </c>
      <c r="F716" s="235" t="s">
        <v>60</v>
      </c>
      <c r="G716" s="235" t="s">
        <v>4014</v>
      </c>
      <c r="H716" s="264" t="s">
        <v>5</v>
      </c>
      <c r="I716" s="237"/>
      <c r="J716" s="235" t="s">
        <v>3932</v>
      </c>
      <c r="K716" s="240"/>
      <c r="L716" s="237" t="s">
        <v>20</v>
      </c>
      <c r="M716" s="237"/>
      <c r="N716" s="237"/>
      <c r="O716" s="237"/>
      <c r="P716" s="237"/>
      <c r="Q716" s="527">
        <v>45584</v>
      </c>
      <c r="R716" s="337" t="s">
        <v>309</v>
      </c>
      <c r="S716" s="330" t="s">
        <v>233</v>
      </c>
      <c r="T716" s="339">
        <v>8.4</v>
      </c>
      <c r="U716" s="237" t="s">
        <v>298</v>
      </c>
      <c r="V716" s="237" t="s">
        <v>235</v>
      </c>
      <c r="W716" s="244">
        <v>45631</v>
      </c>
      <c r="X716" s="237" t="s">
        <v>4018</v>
      </c>
      <c r="Y716" s="237" t="s">
        <v>237</v>
      </c>
      <c r="Z716" s="237" t="s">
        <v>237</v>
      </c>
      <c r="AA716" s="237" t="s">
        <v>4019</v>
      </c>
      <c r="AB716" s="237" t="s">
        <v>237</v>
      </c>
      <c r="AC716" s="237" t="s">
        <v>353</v>
      </c>
    </row>
    <row r="717" spans="1:29" ht="13.5" customHeight="1">
      <c r="A717" s="235">
        <v>715</v>
      </c>
      <c r="B717" s="235">
        <v>278</v>
      </c>
      <c r="C717" s="256" t="s">
        <v>4020</v>
      </c>
      <c r="D717" s="235" t="s">
        <v>4021</v>
      </c>
      <c r="E717" s="235">
        <v>56</v>
      </c>
      <c r="F717" s="235" t="s">
        <v>1099</v>
      </c>
      <c r="G717" s="235" t="s">
        <v>4022</v>
      </c>
      <c r="H717" s="237" t="s">
        <v>188</v>
      </c>
      <c r="I717" s="237"/>
      <c r="J717" s="235" t="s">
        <v>3932</v>
      </c>
      <c r="K717" s="240"/>
      <c r="L717" s="237"/>
      <c r="M717" s="237"/>
      <c r="N717" s="237"/>
      <c r="O717" s="237"/>
      <c r="P717" s="237"/>
      <c r="Q717" s="527">
        <v>45611</v>
      </c>
      <c r="R717" s="337" t="s">
        <v>309</v>
      </c>
      <c r="S717" s="330" t="s">
        <v>233</v>
      </c>
      <c r="T717" s="339" t="s">
        <v>228</v>
      </c>
      <c r="U717" s="237" t="s">
        <v>298</v>
      </c>
      <c r="V717" s="237" t="s">
        <v>235</v>
      </c>
      <c r="W717" s="244">
        <v>45659</v>
      </c>
      <c r="X717" s="237" t="s">
        <v>4023</v>
      </c>
      <c r="Y717" s="237" t="s">
        <v>237</v>
      </c>
      <c r="Z717" s="237" t="s">
        <v>237</v>
      </c>
      <c r="AA717" s="237" t="s">
        <v>4024</v>
      </c>
      <c r="AB717" s="237" t="s">
        <v>228</v>
      </c>
      <c r="AC717" s="237" t="s">
        <v>228</v>
      </c>
    </row>
    <row r="718" spans="1:29" ht="13.5" customHeight="1">
      <c r="A718" s="235">
        <v>716</v>
      </c>
      <c r="B718" s="235">
        <v>292</v>
      </c>
      <c r="C718" s="256" t="s">
        <v>4025</v>
      </c>
      <c r="D718" s="235" t="s">
        <v>4026</v>
      </c>
      <c r="E718" s="235">
        <v>42</v>
      </c>
      <c r="F718" s="235" t="s">
        <v>424</v>
      </c>
      <c r="G718" s="235" t="s">
        <v>4027</v>
      </c>
      <c r="H718" s="237" t="s">
        <v>188</v>
      </c>
      <c r="I718" s="237"/>
      <c r="J718" s="235" t="s">
        <v>3932</v>
      </c>
      <c r="K718" s="240"/>
      <c r="L718" s="237"/>
      <c r="M718" s="237"/>
      <c r="N718" s="237"/>
      <c r="O718" s="237"/>
      <c r="P718" s="237"/>
      <c r="Q718" s="527">
        <v>45617</v>
      </c>
      <c r="R718" s="337" t="s">
        <v>309</v>
      </c>
      <c r="S718" s="330" t="s">
        <v>233</v>
      </c>
      <c r="T718" s="339">
        <v>8.3000000000000007</v>
      </c>
      <c r="U718" s="237" t="s">
        <v>234</v>
      </c>
      <c r="V718" s="237" t="s">
        <v>235</v>
      </c>
      <c r="W718" s="244">
        <v>45666</v>
      </c>
      <c r="X718" s="237" t="s">
        <v>4028</v>
      </c>
      <c r="Y718" s="237" t="s">
        <v>237</v>
      </c>
      <c r="Z718" s="237" t="s">
        <v>228</v>
      </c>
      <c r="AA718" s="237" t="s">
        <v>4029</v>
      </c>
      <c r="AB718" s="237" t="s">
        <v>228</v>
      </c>
      <c r="AC718" s="237" t="s">
        <v>228</v>
      </c>
    </row>
    <row r="719" spans="1:29" ht="13.5" customHeight="1">
      <c r="A719" s="235">
        <v>717</v>
      </c>
      <c r="B719" s="235">
        <v>295</v>
      </c>
      <c r="C719" s="256" t="s">
        <v>4030</v>
      </c>
      <c r="D719" s="235" t="s">
        <v>4031</v>
      </c>
      <c r="E719" s="235">
        <v>31</v>
      </c>
      <c r="F719" s="235" t="s">
        <v>60</v>
      </c>
      <c r="G719" s="235" t="s">
        <v>4032</v>
      </c>
      <c r="H719" s="237" t="s">
        <v>188</v>
      </c>
      <c r="I719" s="237"/>
      <c r="J719" s="235" t="s">
        <v>3932</v>
      </c>
      <c r="K719" s="240"/>
      <c r="L719" s="237"/>
      <c r="M719" s="237"/>
      <c r="N719" s="237"/>
      <c r="O719" s="237"/>
      <c r="P719" s="237"/>
      <c r="Q719" s="527">
        <v>45617</v>
      </c>
      <c r="R719" s="337" t="s">
        <v>309</v>
      </c>
      <c r="S719" s="330" t="s">
        <v>233</v>
      </c>
      <c r="T719" s="339">
        <v>8.3000000000000007</v>
      </c>
      <c r="U719" s="237" t="s">
        <v>234</v>
      </c>
      <c r="V719" s="237" t="s">
        <v>235</v>
      </c>
      <c r="W719" s="244">
        <v>45677</v>
      </c>
      <c r="X719" s="237" t="s">
        <v>4033</v>
      </c>
      <c r="Y719" s="237" t="s">
        <v>237</v>
      </c>
      <c r="Z719" s="237" t="s">
        <v>237</v>
      </c>
      <c r="AA719" s="237" t="s">
        <v>4034</v>
      </c>
      <c r="AB719" s="237" t="s">
        <v>237</v>
      </c>
      <c r="AC719" s="237" t="s">
        <v>353</v>
      </c>
    </row>
    <row r="720" spans="1:29" ht="13.5" customHeight="1">
      <c r="A720" s="235">
        <v>718</v>
      </c>
      <c r="B720" s="235">
        <v>200</v>
      </c>
      <c r="C720" s="256" t="s">
        <v>4035</v>
      </c>
      <c r="D720" s="235" t="s">
        <v>4036</v>
      </c>
      <c r="E720" s="235">
        <v>48</v>
      </c>
      <c r="F720" s="235" t="s">
        <v>75</v>
      </c>
      <c r="G720" s="235" t="s">
        <v>4037</v>
      </c>
      <c r="H720" s="237" t="s">
        <v>188</v>
      </c>
      <c r="I720" s="237"/>
      <c r="J720" s="235" t="s">
        <v>3932</v>
      </c>
      <c r="K720" s="240"/>
      <c r="L720" s="237"/>
      <c r="M720" s="237"/>
      <c r="N720" s="248" t="s">
        <v>4039</v>
      </c>
      <c r="O720" s="237" t="s">
        <v>228</v>
      </c>
      <c r="P720" s="237"/>
      <c r="Q720" s="527">
        <v>45418</v>
      </c>
      <c r="R720" s="337" t="s">
        <v>309</v>
      </c>
      <c r="S720" s="330" t="s">
        <v>233</v>
      </c>
      <c r="T720" s="339" t="s">
        <v>827</v>
      </c>
      <c r="U720" s="237" t="s">
        <v>298</v>
      </c>
      <c r="V720" s="237" t="s">
        <v>235</v>
      </c>
      <c r="W720" s="244">
        <v>45456</v>
      </c>
      <c r="X720" s="237" t="s">
        <v>4040</v>
      </c>
      <c r="Y720" s="237" t="s">
        <v>237</v>
      </c>
      <c r="Z720" s="237" t="s">
        <v>237</v>
      </c>
      <c r="AA720" s="237" t="s">
        <v>4041</v>
      </c>
      <c r="AB720" s="237" t="s">
        <v>228</v>
      </c>
      <c r="AC720" s="237" t="s">
        <v>228</v>
      </c>
    </row>
    <row r="721" spans="1:39" ht="13.5" customHeight="1">
      <c r="A721" s="235">
        <v>719</v>
      </c>
      <c r="B721" s="235">
        <v>0</v>
      </c>
      <c r="C721" s="243" t="s">
        <v>4042</v>
      </c>
      <c r="D721" s="235" t="s">
        <v>4043</v>
      </c>
      <c r="E721" s="235">
        <v>71</v>
      </c>
      <c r="F721" s="235" t="s">
        <v>60</v>
      </c>
      <c r="G721" s="235" t="s">
        <v>4044</v>
      </c>
      <c r="H721" s="264" t="s">
        <v>5</v>
      </c>
      <c r="I721" s="237"/>
      <c r="J721" s="235" t="s">
        <v>3932</v>
      </c>
      <c r="K721" s="240"/>
      <c r="L721" s="237" t="s">
        <v>20</v>
      </c>
      <c r="M721" s="237"/>
      <c r="N721" s="237"/>
      <c r="O721" s="237"/>
      <c r="P721" s="237"/>
      <c r="Q721" s="527">
        <v>45796</v>
      </c>
      <c r="R721" s="337" t="s">
        <v>309</v>
      </c>
      <c r="S721" s="330" t="s">
        <v>233</v>
      </c>
      <c r="T721" s="339" t="s">
        <v>228</v>
      </c>
      <c r="U721" s="237" t="s">
        <v>234</v>
      </c>
      <c r="V721" s="237" t="s">
        <v>228</v>
      </c>
      <c r="W721" s="244" t="s">
        <v>228</v>
      </c>
      <c r="X721" s="237" t="s">
        <v>228</v>
      </c>
      <c r="Y721" s="237" t="s">
        <v>228</v>
      </c>
      <c r="Z721" s="237" t="s">
        <v>228</v>
      </c>
      <c r="AA721" s="237" t="s">
        <v>4048</v>
      </c>
      <c r="AB721" s="237" t="s">
        <v>237</v>
      </c>
      <c r="AC721" s="237" t="s">
        <v>353</v>
      </c>
    </row>
    <row r="722" spans="1:39" ht="13.5" customHeight="1">
      <c r="A722" s="235">
        <v>720</v>
      </c>
      <c r="B722" s="235">
        <v>176</v>
      </c>
      <c r="C722" s="255" t="s">
        <v>4049</v>
      </c>
      <c r="D722" s="235" t="s">
        <v>4050</v>
      </c>
      <c r="E722" s="235">
        <v>73</v>
      </c>
      <c r="F722" s="235" t="s">
        <v>75</v>
      </c>
      <c r="G722" s="235" t="s">
        <v>4051</v>
      </c>
      <c r="H722" s="237" t="s">
        <v>5</v>
      </c>
      <c r="I722" s="237"/>
      <c r="J722" s="235" t="s">
        <v>3932</v>
      </c>
      <c r="K722" s="240"/>
      <c r="L722" s="72" t="s">
        <v>16</v>
      </c>
      <c r="M722" s="237"/>
      <c r="N722" s="237" t="s">
        <v>4052</v>
      </c>
      <c r="O722" s="237" t="s">
        <v>228</v>
      </c>
      <c r="P722" s="237" t="s">
        <v>231</v>
      </c>
      <c r="Q722" s="527">
        <v>45283</v>
      </c>
      <c r="R722" s="337" t="s">
        <v>309</v>
      </c>
      <c r="S722" s="330" t="s">
        <v>233</v>
      </c>
      <c r="T722" s="339">
        <v>9</v>
      </c>
      <c r="U722" s="237" t="s">
        <v>298</v>
      </c>
      <c r="V722" s="237" t="s">
        <v>235</v>
      </c>
      <c r="W722" s="244">
        <v>45320</v>
      </c>
      <c r="X722" s="237" t="s">
        <v>4053</v>
      </c>
      <c r="Y722" s="237" t="s">
        <v>237</v>
      </c>
      <c r="Z722" s="237" t="s">
        <v>237</v>
      </c>
      <c r="AA722" s="237" t="s">
        <v>4054</v>
      </c>
      <c r="AB722" s="237" t="s">
        <v>237</v>
      </c>
      <c r="AC722" s="237" t="s">
        <v>228</v>
      </c>
    </row>
    <row r="723" spans="1:39" ht="13.5" customHeight="1">
      <c r="A723" s="235">
        <v>721</v>
      </c>
      <c r="B723" s="235">
        <v>235</v>
      </c>
      <c r="C723" s="255" t="s">
        <v>4055</v>
      </c>
      <c r="D723" s="235" t="s">
        <v>4056</v>
      </c>
      <c r="E723" s="235">
        <v>61</v>
      </c>
      <c r="F723" s="235" t="s">
        <v>75</v>
      </c>
      <c r="G723" s="235" t="s">
        <v>4057</v>
      </c>
      <c r="H723" s="237" t="s">
        <v>27</v>
      </c>
      <c r="I723" s="237"/>
      <c r="J723" s="235" t="s">
        <v>4058</v>
      </c>
      <c r="K723" s="240"/>
      <c r="L723" s="237"/>
      <c r="M723" s="237"/>
      <c r="N723" s="237"/>
      <c r="O723" s="237"/>
      <c r="P723" s="237"/>
      <c r="Q723" s="527">
        <v>45576</v>
      </c>
      <c r="R723" s="337" t="s">
        <v>309</v>
      </c>
      <c r="S723" s="330" t="s">
        <v>233</v>
      </c>
      <c r="T723" s="339">
        <v>8.1</v>
      </c>
      <c r="U723" s="237" t="s">
        <v>298</v>
      </c>
      <c r="V723" s="237" t="s">
        <v>235</v>
      </c>
      <c r="W723" s="244">
        <v>45624</v>
      </c>
      <c r="X723" s="237" t="s">
        <v>4059</v>
      </c>
      <c r="Y723" s="237" t="s">
        <v>237</v>
      </c>
      <c r="Z723" s="237" t="s">
        <v>237</v>
      </c>
      <c r="AA723" s="237" t="s">
        <v>4060</v>
      </c>
      <c r="AB723" s="237" t="s">
        <v>228</v>
      </c>
      <c r="AC723" s="237" t="s">
        <v>874</v>
      </c>
    </row>
    <row r="724" spans="1:39" ht="13.5" customHeight="1">
      <c r="A724" s="235">
        <v>722</v>
      </c>
      <c r="B724" s="237"/>
      <c r="C724" s="237" t="s">
        <v>4061</v>
      </c>
      <c r="D724" s="243" t="s">
        <v>4062</v>
      </c>
      <c r="E724" s="237">
        <v>37</v>
      </c>
      <c r="F724" s="237" t="s">
        <v>75</v>
      </c>
      <c r="G724" s="267" t="s">
        <v>4063</v>
      </c>
      <c r="H724" s="237" t="s">
        <v>188</v>
      </c>
      <c r="I724" s="243"/>
      <c r="K724" s="240"/>
      <c r="L724" s="243" t="s">
        <v>231</v>
      </c>
      <c r="M724" s="243" t="s">
        <v>231</v>
      </c>
      <c r="N724" s="237"/>
      <c r="O724" s="237"/>
      <c r="P724" s="237"/>
      <c r="Q724" s="527">
        <v>45811</v>
      </c>
      <c r="R724" s="337" t="s">
        <v>309</v>
      </c>
      <c r="S724" s="330" t="s">
        <v>233</v>
      </c>
      <c r="T724" s="339"/>
      <c r="U724" s="237"/>
      <c r="V724" s="237"/>
      <c r="W724" s="244"/>
      <c r="X724" s="237"/>
      <c r="Y724" s="237"/>
      <c r="Z724" s="237" t="s">
        <v>228</v>
      </c>
      <c r="AA724" s="237"/>
      <c r="AB724" s="237" t="s">
        <v>228</v>
      </c>
      <c r="AC724" s="237" t="s">
        <v>228</v>
      </c>
    </row>
    <row r="725" spans="1:39" ht="13.5" customHeight="1">
      <c r="A725" s="235">
        <v>723</v>
      </c>
      <c r="B725" s="237"/>
      <c r="C725" s="237" t="s">
        <v>4064</v>
      </c>
      <c r="D725" s="243" t="s">
        <v>4065</v>
      </c>
      <c r="E725" s="237">
        <v>43</v>
      </c>
      <c r="F725" s="237" t="s">
        <v>60</v>
      </c>
      <c r="G725" s="267" t="s">
        <v>4066</v>
      </c>
      <c r="H725" s="237" t="s">
        <v>188</v>
      </c>
      <c r="I725" s="243"/>
      <c r="K725" s="240"/>
      <c r="L725" s="243" t="s">
        <v>231</v>
      </c>
      <c r="M725" s="243" t="s">
        <v>231</v>
      </c>
      <c r="N725" s="237"/>
      <c r="O725" s="237"/>
      <c r="P725" s="237"/>
      <c r="Q725" s="527">
        <v>45840</v>
      </c>
      <c r="R725" s="337" t="s">
        <v>309</v>
      </c>
      <c r="S725" s="330" t="s">
        <v>233</v>
      </c>
      <c r="T725" s="339"/>
      <c r="U725" s="237"/>
      <c r="V725" s="237"/>
      <c r="W725" s="244"/>
      <c r="X725" s="237"/>
      <c r="Y725" s="237"/>
      <c r="Z725" s="237" t="s">
        <v>228</v>
      </c>
      <c r="AA725" s="237"/>
      <c r="AB725" s="237" t="s">
        <v>228</v>
      </c>
      <c r="AC725" s="237" t="s">
        <v>228</v>
      </c>
    </row>
    <row r="726" spans="1:39" ht="13.5" customHeight="1">
      <c r="A726" s="235">
        <v>724</v>
      </c>
      <c r="B726" s="237"/>
      <c r="C726" s="237" t="s">
        <v>4067</v>
      </c>
      <c r="D726" s="243" t="s">
        <v>4068</v>
      </c>
      <c r="E726" s="255">
        <v>70</v>
      </c>
      <c r="F726" s="255" t="s">
        <v>60</v>
      </c>
      <c r="G726" s="255" t="s">
        <v>4069</v>
      </c>
      <c r="H726" s="237" t="s">
        <v>3</v>
      </c>
      <c r="I726" s="243"/>
      <c r="J726" s="235" t="s">
        <v>620</v>
      </c>
      <c r="K726" s="240" t="s">
        <v>123</v>
      </c>
      <c r="L726" s="243" t="s">
        <v>1642</v>
      </c>
      <c r="M726" s="243" t="s">
        <v>231</v>
      </c>
      <c r="N726" s="237"/>
      <c r="O726" s="237"/>
      <c r="P726" s="237"/>
      <c r="Q726" s="527">
        <v>45603</v>
      </c>
      <c r="R726" s="337" t="s">
        <v>309</v>
      </c>
      <c r="S726" s="330" t="s">
        <v>233</v>
      </c>
      <c r="T726" s="339" t="s">
        <v>228</v>
      </c>
      <c r="U726" s="237" t="s">
        <v>234</v>
      </c>
      <c r="V726" s="237" t="s">
        <v>235</v>
      </c>
      <c r="W726" s="244">
        <v>45659</v>
      </c>
      <c r="X726" s="237" t="s">
        <v>4070</v>
      </c>
      <c r="Y726" s="237" t="s">
        <v>237</v>
      </c>
      <c r="Z726" s="237" t="s">
        <v>237</v>
      </c>
      <c r="AA726" s="237" t="s">
        <v>4071</v>
      </c>
      <c r="AB726" s="237" t="s">
        <v>228</v>
      </c>
      <c r="AC726" s="237" t="s">
        <v>228</v>
      </c>
    </row>
    <row r="727" spans="1:39" s="259" customFormat="1" ht="13.5" customHeight="1">
      <c r="A727" s="235">
        <v>725</v>
      </c>
      <c r="B727" s="258"/>
      <c r="C727" s="258" t="s">
        <v>4072</v>
      </c>
      <c r="D727" s="257" t="s">
        <v>4073</v>
      </c>
      <c r="E727" s="258">
        <v>60</v>
      </c>
      <c r="F727" s="258" t="s">
        <v>60</v>
      </c>
      <c r="G727" s="263" t="s">
        <v>4074</v>
      </c>
      <c r="H727" s="257" t="s">
        <v>18</v>
      </c>
      <c r="I727" s="257" t="s">
        <v>4075</v>
      </c>
      <c r="K727" s="105" t="s">
        <v>90</v>
      </c>
      <c r="L727" s="257" t="s">
        <v>4396</v>
      </c>
      <c r="M727" s="257" t="s">
        <v>231</v>
      </c>
      <c r="N727" s="258"/>
      <c r="O727" s="258"/>
      <c r="P727" s="258"/>
      <c r="Q727" s="528">
        <v>45284</v>
      </c>
      <c r="R727" s="338" t="s">
        <v>309</v>
      </c>
      <c r="S727" s="336" t="s">
        <v>233</v>
      </c>
      <c r="T727" s="340">
        <v>0</v>
      </c>
      <c r="U727" s="258" t="s">
        <v>234</v>
      </c>
      <c r="V727" s="258" t="s">
        <v>652</v>
      </c>
      <c r="W727" s="260">
        <v>46049</v>
      </c>
      <c r="X727" s="258" t="s">
        <v>4077</v>
      </c>
      <c r="Y727" s="258" t="s">
        <v>588</v>
      </c>
      <c r="Z727" s="237" t="s">
        <v>228</v>
      </c>
      <c r="AA727" s="258" t="s">
        <v>4078</v>
      </c>
      <c r="AB727" s="258" t="s">
        <v>228</v>
      </c>
      <c r="AC727" s="258" t="s">
        <v>228</v>
      </c>
      <c r="AD727" s="299"/>
      <c r="AE727" s="299"/>
      <c r="AF727" s="299"/>
      <c r="AG727" s="299"/>
      <c r="AH727" s="299"/>
      <c r="AI727" s="299"/>
      <c r="AJ727" s="299"/>
      <c r="AK727" s="299"/>
      <c r="AL727" s="299"/>
      <c r="AM727" s="304"/>
    </row>
    <row r="728" spans="1:39" ht="13.5" customHeight="1">
      <c r="A728" s="235">
        <v>726</v>
      </c>
      <c r="B728" s="237"/>
      <c r="C728" s="237" t="s">
        <v>4080</v>
      </c>
      <c r="D728" s="243" t="s">
        <v>4081</v>
      </c>
      <c r="E728" s="237">
        <v>25</v>
      </c>
      <c r="F728" s="237" t="s">
        <v>75</v>
      </c>
      <c r="G728" s="271" t="s">
        <v>4082</v>
      </c>
      <c r="H728" s="237" t="s">
        <v>188</v>
      </c>
      <c r="I728" s="243"/>
      <c r="K728" s="240"/>
      <c r="L728" s="243" t="s">
        <v>231</v>
      </c>
      <c r="M728" s="243" t="s">
        <v>231</v>
      </c>
      <c r="N728" s="237"/>
      <c r="O728" s="237"/>
      <c r="P728" s="237"/>
      <c r="Q728" s="527">
        <v>45446</v>
      </c>
      <c r="R728" s="337" t="s">
        <v>309</v>
      </c>
      <c r="S728" s="330" t="s">
        <v>233</v>
      </c>
      <c r="T728" s="339">
        <v>0</v>
      </c>
      <c r="U728" s="237" t="s">
        <v>234</v>
      </c>
      <c r="V728" s="237" t="s">
        <v>652</v>
      </c>
      <c r="W728" s="244">
        <v>46049</v>
      </c>
      <c r="X728" s="237" t="s">
        <v>4083</v>
      </c>
      <c r="Y728" s="237" t="s">
        <v>588</v>
      </c>
      <c r="Z728" s="237" t="s">
        <v>228</v>
      </c>
      <c r="AA728" s="237" t="s">
        <v>4084</v>
      </c>
      <c r="AB728" s="237" t="s">
        <v>228</v>
      </c>
      <c r="AC728" s="237" t="s">
        <v>228</v>
      </c>
    </row>
    <row r="729" spans="1:39" ht="13.5" customHeight="1">
      <c r="A729" s="235">
        <v>727</v>
      </c>
      <c r="B729" s="237"/>
      <c r="C729" s="237" t="s">
        <v>4085</v>
      </c>
      <c r="D729" s="243" t="s">
        <v>4086</v>
      </c>
      <c r="E729" s="237">
        <v>21</v>
      </c>
      <c r="F729" s="237" t="s">
        <v>60</v>
      </c>
      <c r="G729" s="255" t="s">
        <v>4087</v>
      </c>
      <c r="H729" s="237" t="s">
        <v>188</v>
      </c>
      <c r="I729" s="243"/>
      <c r="K729" s="240"/>
      <c r="L729" s="243" t="s">
        <v>231</v>
      </c>
      <c r="M729" s="243" t="s">
        <v>231</v>
      </c>
      <c r="N729" s="237"/>
      <c r="O729" s="237"/>
      <c r="P729" s="237"/>
      <c r="Q729" s="527">
        <v>45456</v>
      </c>
      <c r="R729" s="337" t="s">
        <v>309</v>
      </c>
      <c r="S729" s="330" t="s">
        <v>233</v>
      </c>
      <c r="T729" s="339"/>
      <c r="U729" s="237"/>
      <c r="V729" s="237"/>
      <c r="W729" s="244"/>
      <c r="X729" s="237"/>
      <c r="Y729" s="237"/>
      <c r="Z729" s="237" t="s">
        <v>228</v>
      </c>
      <c r="AA729" s="237"/>
      <c r="AB729" s="237" t="s">
        <v>228</v>
      </c>
      <c r="AC729" s="237" t="s">
        <v>228</v>
      </c>
    </row>
    <row r="730" spans="1:39" ht="13.5" customHeight="1">
      <c r="A730" s="235">
        <v>728</v>
      </c>
      <c r="B730" s="237"/>
      <c r="C730" s="237" t="s">
        <v>4088</v>
      </c>
      <c r="D730" s="243" t="s">
        <v>4089</v>
      </c>
      <c r="E730" s="237">
        <v>22</v>
      </c>
      <c r="F730" s="237" t="s">
        <v>60</v>
      </c>
      <c r="G730" s="255" t="s">
        <v>4090</v>
      </c>
      <c r="H730" s="237" t="s">
        <v>188</v>
      </c>
      <c r="I730" s="243"/>
      <c r="K730" s="240"/>
      <c r="L730" s="243" t="s">
        <v>231</v>
      </c>
      <c r="M730" s="243" t="s">
        <v>231</v>
      </c>
      <c r="N730" s="237"/>
      <c r="O730" s="237"/>
      <c r="P730" s="237"/>
      <c r="Q730" s="527">
        <v>45456</v>
      </c>
      <c r="R730" s="337" t="s">
        <v>309</v>
      </c>
      <c r="S730" s="330" t="s">
        <v>233</v>
      </c>
      <c r="T730" s="339"/>
      <c r="U730" s="237"/>
      <c r="V730" s="237"/>
      <c r="W730" s="244"/>
      <c r="X730" s="237"/>
      <c r="Y730" s="237"/>
      <c r="Z730" s="237" t="s">
        <v>228</v>
      </c>
      <c r="AA730" s="237"/>
      <c r="AB730" s="237" t="s">
        <v>228</v>
      </c>
      <c r="AC730" s="237" t="s">
        <v>228</v>
      </c>
    </row>
    <row r="731" spans="1:39" ht="13.5" customHeight="1">
      <c r="A731" s="235">
        <v>729</v>
      </c>
      <c r="B731" s="237"/>
      <c r="C731" s="237" t="s">
        <v>4091</v>
      </c>
      <c r="D731" s="243" t="s">
        <v>4092</v>
      </c>
      <c r="E731" s="237">
        <v>18</v>
      </c>
      <c r="F731" s="237" t="s">
        <v>60</v>
      </c>
      <c r="G731" s="255" t="s">
        <v>4093</v>
      </c>
      <c r="H731" s="237" t="s">
        <v>188</v>
      </c>
      <c r="I731" s="243"/>
      <c r="K731" s="240"/>
      <c r="L731" s="243" t="s">
        <v>231</v>
      </c>
      <c r="M731" s="243" t="s">
        <v>231</v>
      </c>
      <c r="N731" s="237"/>
      <c r="O731" s="237"/>
      <c r="P731" s="237"/>
      <c r="Q731" s="527">
        <v>45456</v>
      </c>
      <c r="R731" s="337" t="s">
        <v>309</v>
      </c>
      <c r="S731" s="330" t="s">
        <v>233</v>
      </c>
      <c r="T731" s="339"/>
      <c r="U731" s="237"/>
      <c r="V731" s="237"/>
      <c r="W731" s="244"/>
      <c r="X731" s="237"/>
      <c r="Y731" s="237"/>
      <c r="Z731" s="237" t="s">
        <v>228</v>
      </c>
      <c r="AA731" s="237"/>
      <c r="AB731" s="237" t="s">
        <v>228</v>
      </c>
      <c r="AC731" s="237" t="s">
        <v>228</v>
      </c>
    </row>
    <row r="732" spans="1:39" ht="13.5" customHeight="1">
      <c r="A732" s="235">
        <v>730</v>
      </c>
      <c r="B732" s="237"/>
      <c r="C732" s="237" t="s">
        <v>4094</v>
      </c>
      <c r="D732" s="243" t="s">
        <v>4095</v>
      </c>
      <c r="E732" s="237">
        <v>23</v>
      </c>
      <c r="F732" s="237" t="s">
        <v>60</v>
      </c>
      <c r="G732" s="272" t="s">
        <v>4096</v>
      </c>
      <c r="H732" s="237" t="s">
        <v>188</v>
      </c>
      <c r="I732" s="243"/>
      <c r="K732" s="240"/>
      <c r="L732" s="243" t="s">
        <v>231</v>
      </c>
      <c r="M732" s="243" t="s">
        <v>231</v>
      </c>
      <c r="N732" s="237"/>
      <c r="O732" s="237"/>
      <c r="P732" s="237"/>
      <c r="Q732" s="527">
        <v>45456</v>
      </c>
      <c r="R732" s="337" t="s">
        <v>309</v>
      </c>
      <c r="S732" s="330" t="s">
        <v>233</v>
      </c>
      <c r="T732" s="339"/>
      <c r="U732" s="237"/>
      <c r="V732" s="237"/>
      <c r="W732" s="244"/>
      <c r="X732" s="237"/>
      <c r="Y732" s="237"/>
      <c r="Z732" s="237" t="s">
        <v>228</v>
      </c>
      <c r="AA732" s="237"/>
      <c r="AB732" s="237" t="s">
        <v>228</v>
      </c>
      <c r="AC732" s="237" t="s">
        <v>228</v>
      </c>
    </row>
    <row r="733" spans="1:39" ht="13.5" customHeight="1">
      <c r="A733" s="235">
        <v>731</v>
      </c>
      <c r="B733" s="237"/>
      <c r="C733" s="237" t="s">
        <v>4097</v>
      </c>
      <c r="D733" s="243" t="s">
        <v>4098</v>
      </c>
      <c r="E733" s="237">
        <v>24</v>
      </c>
      <c r="F733" s="237" t="s">
        <v>60</v>
      </c>
      <c r="G733" s="271" t="s">
        <v>4099</v>
      </c>
      <c r="H733" s="237" t="s">
        <v>188</v>
      </c>
      <c r="I733" s="243"/>
      <c r="K733" s="240"/>
      <c r="L733" s="243" t="s">
        <v>231</v>
      </c>
      <c r="M733" s="243" t="s">
        <v>231</v>
      </c>
      <c r="N733" s="237"/>
      <c r="O733" s="237"/>
      <c r="P733" s="237"/>
      <c r="Q733" s="527">
        <v>45456</v>
      </c>
      <c r="R733" s="337" t="s">
        <v>309</v>
      </c>
      <c r="S733" s="330" t="s">
        <v>233</v>
      </c>
      <c r="T733" s="339"/>
      <c r="U733" s="237"/>
      <c r="V733" s="237"/>
      <c r="W733" s="244"/>
      <c r="X733" s="237"/>
      <c r="Y733" s="237"/>
      <c r="Z733" s="237" t="s">
        <v>228</v>
      </c>
      <c r="AA733" s="237"/>
      <c r="AB733" s="237" t="s">
        <v>228</v>
      </c>
      <c r="AC733" s="237" t="s">
        <v>228</v>
      </c>
    </row>
    <row r="734" spans="1:39" ht="13.5" customHeight="1">
      <c r="A734" s="235">
        <v>732</v>
      </c>
      <c r="B734" s="237"/>
      <c r="C734" s="237" t="s">
        <v>4100</v>
      </c>
      <c r="D734" s="243" t="s">
        <v>4101</v>
      </c>
      <c r="E734" s="237">
        <v>18</v>
      </c>
      <c r="F734" s="237" t="s">
        <v>60</v>
      </c>
      <c r="G734" s="255" t="s">
        <v>4102</v>
      </c>
      <c r="H734" s="237" t="s">
        <v>188</v>
      </c>
      <c r="I734" s="243"/>
      <c r="K734" s="240"/>
      <c r="L734" s="243" t="s">
        <v>231</v>
      </c>
      <c r="M734" s="243" t="s">
        <v>231</v>
      </c>
      <c r="N734" s="237"/>
      <c r="O734" s="237"/>
      <c r="P734" s="237"/>
      <c r="Q734" s="527">
        <v>45456</v>
      </c>
      <c r="R734" s="337" t="s">
        <v>309</v>
      </c>
      <c r="S734" s="330" t="s">
        <v>233</v>
      </c>
      <c r="T734" s="339"/>
      <c r="U734" s="237"/>
      <c r="V734" s="237"/>
      <c r="W734" s="244"/>
      <c r="X734" s="237"/>
      <c r="Y734" s="237"/>
      <c r="Z734" s="237" t="s">
        <v>228</v>
      </c>
      <c r="AA734" s="237"/>
      <c r="AB734" s="237" t="s">
        <v>228</v>
      </c>
      <c r="AC734" s="237" t="s">
        <v>228</v>
      </c>
    </row>
    <row r="735" spans="1:39" ht="13.5" customHeight="1">
      <c r="A735" s="235">
        <v>733</v>
      </c>
      <c r="B735" s="237"/>
      <c r="C735" s="237" t="s">
        <v>4103</v>
      </c>
      <c r="D735" s="243" t="s">
        <v>4104</v>
      </c>
      <c r="E735" s="237">
        <v>18</v>
      </c>
      <c r="F735" s="237" t="s">
        <v>60</v>
      </c>
      <c r="G735" s="255" t="s">
        <v>4105</v>
      </c>
      <c r="H735" s="237" t="s">
        <v>188</v>
      </c>
      <c r="I735" s="243"/>
      <c r="K735" s="240"/>
      <c r="L735" s="243" t="s">
        <v>231</v>
      </c>
      <c r="M735" s="243" t="s">
        <v>231</v>
      </c>
      <c r="N735" s="237"/>
      <c r="O735" s="237"/>
      <c r="P735" s="237"/>
      <c r="Q735" s="527">
        <v>45456</v>
      </c>
      <c r="R735" s="337" t="s">
        <v>309</v>
      </c>
      <c r="S735" s="330" t="s">
        <v>233</v>
      </c>
      <c r="T735" s="339"/>
      <c r="U735" s="237"/>
      <c r="V735" s="237"/>
      <c r="W735" s="244"/>
      <c r="X735" s="237"/>
      <c r="Y735" s="237"/>
      <c r="Z735" s="237" t="s">
        <v>228</v>
      </c>
      <c r="AA735" s="237"/>
      <c r="AB735" s="237" t="s">
        <v>228</v>
      </c>
      <c r="AC735" s="237" t="s">
        <v>228</v>
      </c>
    </row>
    <row r="736" spans="1:39" ht="13.5" customHeight="1">
      <c r="A736" s="235">
        <v>734</v>
      </c>
      <c r="B736" s="237"/>
      <c r="C736" s="237" t="s">
        <v>4106</v>
      </c>
      <c r="D736" s="243" t="s">
        <v>4107</v>
      </c>
      <c r="E736" s="237">
        <v>23</v>
      </c>
      <c r="F736" s="237" t="s">
        <v>60</v>
      </c>
      <c r="G736" s="255" t="s">
        <v>4108</v>
      </c>
      <c r="H736" s="237" t="s">
        <v>188</v>
      </c>
      <c r="I736" s="243"/>
      <c r="K736" s="240"/>
      <c r="L736" s="243" t="s">
        <v>231</v>
      </c>
      <c r="M736" s="243" t="s">
        <v>231</v>
      </c>
      <c r="N736" s="237"/>
      <c r="O736" s="237"/>
      <c r="P736" s="237"/>
      <c r="Q736" s="527">
        <v>45456</v>
      </c>
      <c r="R736" s="337" t="s">
        <v>309</v>
      </c>
      <c r="S736" s="330" t="s">
        <v>233</v>
      </c>
      <c r="T736" s="339"/>
      <c r="U736" s="237"/>
      <c r="V736" s="237"/>
      <c r="W736" s="244"/>
      <c r="X736" s="237"/>
      <c r="Y736" s="237"/>
      <c r="Z736" s="237" t="s">
        <v>228</v>
      </c>
      <c r="AA736" s="237"/>
      <c r="AB736" s="237" t="s">
        <v>228</v>
      </c>
      <c r="AC736" s="237" t="s">
        <v>228</v>
      </c>
    </row>
    <row r="737" spans="1:29" ht="13.5" customHeight="1">
      <c r="A737" s="235">
        <v>735</v>
      </c>
      <c r="B737" s="237"/>
      <c r="C737" s="237" t="s">
        <v>4109</v>
      </c>
      <c r="D737" s="243" t="s">
        <v>4110</v>
      </c>
      <c r="E737" s="237">
        <v>18</v>
      </c>
      <c r="F737" s="237" t="s">
        <v>75</v>
      </c>
      <c r="G737" s="255" t="s">
        <v>4111</v>
      </c>
      <c r="H737" s="237" t="s">
        <v>188</v>
      </c>
      <c r="I737" s="243"/>
      <c r="K737" s="240"/>
      <c r="L737" s="243" t="s">
        <v>231</v>
      </c>
      <c r="M737" s="243" t="s">
        <v>231</v>
      </c>
      <c r="N737" s="237"/>
      <c r="O737" s="237"/>
      <c r="P737" s="237"/>
      <c r="Q737" s="527">
        <v>45460</v>
      </c>
      <c r="R737" s="337" t="s">
        <v>309</v>
      </c>
      <c r="S737" s="330" t="s">
        <v>233</v>
      </c>
      <c r="T737" s="339"/>
      <c r="U737" s="237"/>
      <c r="V737" s="237"/>
      <c r="W737" s="244"/>
      <c r="X737" s="237"/>
      <c r="Y737" s="237"/>
      <c r="Z737" s="237" t="s">
        <v>228</v>
      </c>
      <c r="AA737" s="237"/>
      <c r="AB737" s="237" t="s">
        <v>228</v>
      </c>
      <c r="AC737" s="237" t="s">
        <v>228</v>
      </c>
    </row>
    <row r="738" spans="1:29" ht="13.5" customHeight="1">
      <c r="A738" s="235">
        <v>736</v>
      </c>
      <c r="B738" s="237"/>
      <c r="C738" s="237" t="s">
        <v>4112</v>
      </c>
      <c r="D738" s="243" t="s">
        <v>4113</v>
      </c>
      <c r="E738" s="237">
        <v>29</v>
      </c>
      <c r="F738" s="237" t="s">
        <v>60</v>
      </c>
      <c r="G738" s="255" t="s">
        <v>4114</v>
      </c>
      <c r="H738" s="237" t="s">
        <v>188</v>
      </c>
      <c r="I738" s="243"/>
      <c r="K738" s="240"/>
      <c r="L738" s="243" t="s">
        <v>231</v>
      </c>
      <c r="M738" s="243" t="s">
        <v>231</v>
      </c>
      <c r="N738" s="237"/>
      <c r="O738" s="237"/>
      <c r="P738" s="237"/>
      <c r="Q738" s="527">
        <v>45461</v>
      </c>
      <c r="R738" s="337" t="s">
        <v>309</v>
      </c>
      <c r="S738" s="330" t="s">
        <v>233</v>
      </c>
      <c r="T738" s="339"/>
      <c r="U738" s="237"/>
      <c r="V738" s="237"/>
      <c r="W738" s="244"/>
      <c r="X738" s="237"/>
      <c r="Y738" s="237"/>
      <c r="Z738" s="237" t="s">
        <v>228</v>
      </c>
      <c r="AA738" s="237"/>
      <c r="AB738" s="237" t="s">
        <v>228</v>
      </c>
      <c r="AC738" s="237" t="s">
        <v>228</v>
      </c>
    </row>
    <row r="739" spans="1:29" ht="13.5" customHeight="1">
      <c r="A739" s="235">
        <v>737</v>
      </c>
      <c r="B739" s="237"/>
      <c r="C739" s="237" t="s">
        <v>4115</v>
      </c>
      <c r="D739" s="243" t="s">
        <v>4116</v>
      </c>
      <c r="E739" s="237">
        <v>27</v>
      </c>
      <c r="F739" s="237" t="s">
        <v>60</v>
      </c>
      <c r="G739" s="255" t="s">
        <v>4117</v>
      </c>
      <c r="H739" s="237" t="s">
        <v>188</v>
      </c>
      <c r="I739" s="243"/>
      <c r="K739" s="240"/>
      <c r="L739" s="243" t="s">
        <v>231</v>
      </c>
      <c r="M739" s="243" t="s">
        <v>231</v>
      </c>
      <c r="N739" s="237"/>
      <c r="O739" s="237"/>
      <c r="P739" s="237"/>
      <c r="Q739" s="527">
        <v>45461</v>
      </c>
      <c r="R739" s="337" t="s">
        <v>309</v>
      </c>
      <c r="S739" s="330" t="s">
        <v>233</v>
      </c>
      <c r="T739" s="339"/>
      <c r="U739" s="237"/>
      <c r="V739" s="237"/>
      <c r="W739" s="244"/>
      <c r="X739" s="237"/>
      <c r="Y739" s="237"/>
      <c r="Z739" s="237" t="s">
        <v>228</v>
      </c>
      <c r="AA739" s="237"/>
      <c r="AB739" s="237" t="s">
        <v>228</v>
      </c>
      <c r="AC739" s="237" t="s">
        <v>228</v>
      </c>
    </row>
    <row r="740" spans="1:29" ht="13.5" customHeight="1">
      <c r="A740" s="235">
        <v>738</v>
      </c>
      <c r="B740" s="237"/>
      <c r="C740" s="237" t="s">
        <v>4118</v>
      </c>
      <c r="D740" s="243" t="s">
        <v>4119</v>
      </c>
      <c r="E740" s="237">
        <v>24</v>
      </c>
      <c r="F740" s="237" t="s">
        <v>60</v>
      </c>
      <c r="G740" s="255" t="s">
        <v>4120</v>
      </c>
      <c r="H740" s="237" t="s">
        <v>188</v>
      </c>
      <c r="I740" s="243"/>
      <c r="K740" s="240"/>
      <c r="L740" s="243" t="s">
        <v>231</v>
      </c>
      <c r="M740" s="243" t="s">
        <v>231</v>
      </c>
      <c r="N740" s="237"/>
      <c r="O740" s="237"/>
      <c r="P740" s="237"/>
      <c r="Q740" s="527">
        <v>45461</v>
      </c>
      <c r="R740" s="337" t="s">
        <v>309</v>
      </c>
      <c r="S740" s="330" t="s">
        <v>233</v>
      </c>
      <c r="T740" s="339"/>
      <c r="U740" s="237"/>
      <c r="V740" s="237"/>
      <c r="W740" s="244"/>
      <c r="X740" s="237"/>
      <c r="Y740" s="237"/>
      <c r="Z740" s="237" t="s">
        <v>228</v>
      </c>
      <c r="AA740" s="237"/>
      <c r="AB740" s="237" t="s">
        <v>228</v>
      </c>
      <c r="AC740" s="237" t="s">
        <v>228</v>
      </c>
    </row>
    <row r="741" spans="1:29" ht="13.5" customHeight="1">
      <c r="A741" s="235">
        <v>739</v>
      </c>
      <c r="B741" s="237"/>
      <c r="C741" s="237" t="s">
        <v>4121</v>
      </c>
      <c r="D741" s="243" t="s">
        <v>4122</v>
      </c>
      <c r="E741" s="237">
        <v>25</v>
      </c>
      <c r="F741" s="237" t="s">
        <v>60</v>
      </c>
      <c r="G741" s="255" t="s">
        <v>4123</v>
      </c>
      <c r="H741" s="237" t="s">
        <v>188</v>
      </c>
      <c r="I741" s="243"/>
      <c r="K741" s="240"/>
      <c r="L741" s="243" t="s">
        <v>231</v>
      </c>
      <c r="M741" s="243" t="s">
        <v>231</v>
      </c>
      <c r="N741" s="237"/>
      <c r="O741" s="237"/>
      <c r="P741" s="237"/>
      <c r="Q741" s="527">
        <v>45461</v>
      </c>
      <c r="R741" s="337" t="s">
        <v>309</v>
      </c>
      <c r="S741" s="330" t="s">
        <v>233</v>
      </c>
      <c r="T741" s="339"/>
      <c r="U741" s="237"/>
      <c r="V741" s="237"/>
      <c r="W741" s="244"/>
      <c r="X741" s="237"/>
      <c r="Y741" s="237"/>
      <c r="Z741" s="237" t="s">
        <v>228</v>
      </c>
      <c r="AA741" s="237"/>
      <c r="AB741" s="237" t="s">
        <v>228</v>
      </c>
      <c r="AC741" s="237" t="s">
        <v>228</v>
      </c>
    </row>
    <row r="742" spans="1:29" ht="13.5" customHeight="1">
      <c r="A742" s="235">
        <v>740</v>
      </c>
      <c r="B742" s="237"/>
      <c r="C742" s="237" t="s">
        <v>4124</v>
      </c>
      <c r="D742" s="243" t="s">
        <v>4125</v>
      </c>
      <c r="E742" s="237">
        <v>25</v>
      </c>
      <c r="F742" s="237" t="s">
        <v>60</v>
      </c>
      <c r="G742" s="255" t="s">
        <v>4126</v>
      </c>
      <c r="H742" s="237" t="s">
        <v>188</v>
      </c>
      <c r="I742" s="243"/>
      <c r="K742" s="240"/>
      <c r="L742" s="243" t="s">
        <v>231</v>
      </c>
      <c r="M742" s="243" t="s">
        <v>231</v>
      </c>
      <c r="N742" s="237"/>
      <c r="O742" s="237"/>
      <c r="P742" s="237"/>
      <c r="Q742" s="527">
        <v>45462</v>
      </c>
      <c r="R742" s="337" t="s">
        <v>309</v>
      </c>
      <c r="S742" s="330" t="s">
        <v>233</v>
      </c>
      <c r="T742" s="339"/>
      <c r="U742" s="237"/>
      <c r="V742" s="237"/>
      <c r="W742" s="244"/>
      <c r="X742" s="237"/>
      <c r="Y742" s="237"/>
      <c r="Z742" s="237" t="s">
        <v>228</v>
      </c>
      <c r="AA742" s="237"/>
      <c r="AB742" s="237" t="s">
        <v>228</v>
      </c>
      <c r="AC742" s="237" t="s">
        <v>228</v>
      </c>
    </row>
    <row r="743" spans="1:29" ht="13.5" customHeight="1">
      <c r="A743" s="235">
        <v>741</v>
      </c>
      <c r="B743" s="237"/>
      <c r="C743" s="237" t="s">
        <v>4127</v>
      </c>
      <c r="D743" s="243" t="s">
        <v>4128</v>
      </c>
      <c r="E743" s="237">
        <v>25</v>
      </c>
      <c r="F743" s="237" t="s">
        <v>60</v>
      </c>
      <c r="G743" s="255" t="s">
        <v>4129</v>
      </c>
      <c r="H743" s="237" t="s">
        <v>188</v>
      </c>
      <c r="I743" s="243"/>
      <c r="K743" s="240"/>
      <c r="L743" s="243" t="s">
        <v>231</v>
      </c>
      <c r="M743" s="243" t="s">
        <v>231</v>
      </c>
      <c r="N743" s="237"/>
      <c r="O743" s="237"/>
      <c r="P743" s="237"/>
      <c r="Q743" s="527">
        <v>45462</v>
      </c>
      <c r="R743" s="337" t="s">
        <v>309</v>
      </c>
      <c r="S743" s="330" t="s">
        <v>233</v>
      </c>
      <c r="T743" s="339"/>
      <c r="U743" s="237"/>
      <c r="V743" s="237"/>
      <c r="W743" s="244"/>
      <c r="X743" s="237"/>
      <c r="Y743" s="237"/>
      <c r="Z743" s="237" t="s">
        <v>228</v>
      </c>
      <c r="AA743" s="237"/>
      <c r="AB743" s="237" t="s">
        <v>228</v>
      </c>
      <c r="AC743" s="237" t="s">
        <v>228</v>
      </c>
    </row>
    <row r="744" spans="1:29" ht="13.5" customHeight="1">
      <c r="A744" s="235">
        <v>742</v>
      </c>
      <c r="B744" s="237"/>
      <c r="C744" s="237" t="s">
        <v>4130</v>
      </c>
      <c r="D744" s="243" t="s">
        <v>4131</v>
      </c>
      <c r="E744" s="237">
        <v>25</v>
      </c>
      <c r="F744" s="237" t="s">
        <v>60</v>
      </c>
      <c r="G744" s="271" t="s">
        <v>4132</v>
      </c>
      <c r="H744" s="237" t="s">
        <v>188</v>
      </c>
      <c r="I744" s="243"/>
      <c r="K744" s="240"/>
      <c r="L744" s="243" t="s">
        <v>231</v>
      </c>
      <c r="M744" s="243" t="s">
        <v>231</v>
      </c>
      <c r="N744" s="237"/>
      <c r="O744" s="237"/>
      <c r="P744" s="237"/>
      <c r="Q744" s="527">
        <v>45462</v>
      </c>
      <c r="R744" s="337" t="s">
        <v>309</v>
      </c>
      <c r="S744" s="330" t="s">
        <v>233</v>
      </c>
      <c r="T744" s="339"/>
      <c r="U744" s="237"/>
      <c r="V744" s="237"/>
      <c r="W744" s="244"/>
      <c r="X744" s="237"/>
      <c r="Y744" s="237"/>
      <c r="Z744" s="237" t="s">
        <v>228</v>
      </c>
      <c r="AA744" s="237"/>
      <c r="AB744" s="237" t="s">
        <v>228</v>
      </c>
      <c r="AC744" s="237" t="s">
        <v>228</v>
      </c>
    </row>
    <row r="745" spans="1:29" ht="13.5" customHeight="1">
      <c r="A745" s="235">
        <v>743</v>
      </c>
      <c r="B745" s="237"/>
      <c r="C745" s="237" t="s">
        <v>4133</v>
      </c>
      <c r="D745" s="243" t="s">
        <v>4134</v>
      </c>
      <c r="E745" s="237">
        <v>25</v>
      </c>
      <c r="F745" s="237" t="s">
        <v>60</v>
      </c>
      <c r="G745" s="273" t="s">
        <v>4135</v>
      </c>
      <c r="H745" s="237" t="s">
        <v>188</v>
      </c>
      <c r="I745" s="243"/>
      <c r="K745" s="240"/>
      <c r="L745" s="243" t="s">
        <v>231</v>
      </c>
      <c r="M745" s="243" t="s">
        <v>231</v>
      </c>
      <c r="N745" s="237"/>
      <c r="O745" s="237"/>
      <c r="P745" s="237"/>
      <c r="Q745" s="527">
        <v>45462</v>
      </c>
      <c r="R745" s="337" t="s">
        <v>309</v>
      </c>
      <c r="S745" s="330" t="s">
        <v>233</v>
      </c>
      <c r="T745" s="339"/>
      <c r="U745" s="237"/>
      <c r="V745" s="237"/>
      <c r="W745" s="244"/>
      <c r="X745" s="237"/>
      <c r="Y745" s="237"/>
      <c r="Z745" s="237" t="s">
        <v>228</v>
      </c>
      <c r="AA745" s="237"/>
      <c r="AB745" s="237" t="s">
        <v>228</v>
      </c>
      <c r="AC745" s="237" t="s">
        <v>228</v>
      </c>
    </row>
    <row r="746" spans="1:29" ht="13.5" customHeight="1">
      <c r="A746" s="235">
        <v>744</v>
      </c>
      <c r="B746" s="237"/>
      <c r="C746" s="237" t="s">
        <v>4136</v>
      </c>
      <c r="D746" s="243" t="s">
        <v>4137</v>
      </c>
      <c r="E746" s="237">
        <v>29</v>
      </c>
      <c r="F746" s="237" t="s">
        <v>75</v>
      </c>
      <c r="G746" s="255" t="s">
        <v>4138</v>
      </c>
      <c r="H746" s="237" t="s">
        <v>188</v>
      </c>
      <c r="I746" s="243"/>
      <c r="K746" s="240"/>
      <c r="L746" s="243" t="s">
        <v>231</v>
      </c>
      <c r="M746" s="243" t="s">
        <v>231</v>
      </c>
      <c r="N746" s="237"/>
      <c r="O746" s="237"/>
      <c r="P746" s="237"/>
      <c r="Q746" s="527">
        <v>45463</v>
      </c>
      <c r="R746" s="337" t="s">
        <v>309</v>
      </c>
      <c r="S746" s="330" t="s">
        <v>233</v>
      </c>
      <c r="T746" s="339">
        <v>0</v>
      </c>
      <c r="U746" s="237" t="s">
        <v>234</v>
      </c>
      <c r="V746" s="237" t="s">
        <v>652</v>
      </c>
      <c r="W746" s="244">
        <v>46049</v>
      </c>
      <c r="X746" s="237" t="s">
        <v>4139</v>
      </c>
      <c r="Y746" s="237" t="s">
        <v>588</v>
      </c>
      <c r="Z746" s="237" t="s">
        <v>228</v>
      </c>
      <c r="AA746" s="237" t="s">
        <v>4140</v>
      </c>
      <c r="AB746" s="237" t="s">
        <v>228</v>
      </c>
      <c r="AC746" s="237" t="s">
        <v>228</v>
      </c>
    </row>
    <row r="747" spans="1:29" ht="13.5" customHeight="1">
      <c r="A747" s="235">
        <v>745</v>
      </c>
      <c r="B747" s="237"/>
      <c r="C747" s="237" t="s">
        <v>4141</v>
      </c>
      <c r="D747" s="243" t="s">
        <v>4142</v>
      </c>
      <c r="E747" s="237">
        <v>27</v>
      </c>
      <c r="F747" s="237" t="s">
        <v>75</v>
      </c>
      <c r="G747" s="271" t="s">
        <v>4143</v>
      </c>
      <c r="H747" s="237" t="s">
        <v>188</v>
      </c>
      <c r="I747" s="243"/>
      <c r="K747" s="240"/>
      <c r="L747" s="243" t="s">
        <v>231</v>
      </c>
      <c r="M747" s="243" t="s">
        <v>231</v>
      </c>
      <c r="N747" s="237"/>
      <c r="O747" s="237"/>
      <c r="P747" s="237"/>
      <c r="Q747" s="527">
        <v>45463</v>
      </c>
      <c r="R747" s="337" t="s">
        <v>309</v>
      </c>
      <c r="S747" s="330" t="s">
        <v>233</v>
      </c>
      <c r="T747" s="339">
        <v>0</v>
      </c>
      <c r="U747" s="237" t="s">
        <v>234</v>
      </c>
      <c r="V747" s="237" t="s">
        <v>652</v>
      </c>
      <c r="W747" s="244">
        <v>46049</v>
      </c>
      <c r="X747" s="237" t="s">
        <v>4144</v>
      </c>
      <c r="Y747" s="237" t="s">
        <v>588</v>
      </c>
      <c r="Z747" s="237" t="s">
        <v>228</v>
      </c>
      <c r="AA747" s="237" t="s">
        <v>4145</v>
      </c>
      <c r="AB747" s="237" t="s">
        <v>228</v>
      </c>
      <c r="AC747" s="237" t="s">
        <v>228</v>
      </c>
    </row>
    <row r="748" spans="1:29" ht="13.5" customHeight="1">
      <c r="A748" s="235">
        <v>746</v>
      </c>
      <c r="B748" s="237"/>
      <c r="C748" s="237" t="s">
        <v>4146</v>
      </c>
      <c r="D748" s="243" t="s">
        <v>4147</v>
      </c>
      <c r="E748" s="237">
        <v>28</v>
      </c>
      <c r="F748" s="237" t="s">
        <v>75</v>
      </c>
      <c r="G748" s="271" t="s">
        <v>4148</v>
      </c>
      <c r="H748" s="237" t="s">
        <v>188</v>
      </c>
      <c r="I748" s="243"/>
      <c r="K748" s="240"/>
      <c r="L748" s="243" t="s">
        <v>231</v>
      </c>
      <c r="M748" s="243" t="s">
        <v>231</v>
      </c>
      <c r="N748" s="237"/>
      <c r="O748" s="237"/>
      <c r="P748" s="237"/>
      <c r="Q748" s="527">
        <v>45463</v>
      </c>
      <c r="R748" s="337" t="s">
        <v>309</v>
      </c>
      <c r="S748" s="330" t="s">
        <v>233</v>
      </c>
      <c r="T748" s="339">
        <v>0</v>
      </c>
      <c r="U748" s="237" t="s">
        <v>234</v>
      </c>
      <c r="V748" s="237" t="s">
        <v>652</v>
      </c>
      <c r="W748" s="244">
        <v>46049</v>
      </c>
      <c r="X748" s="237" t="s">
        <v>4149</v>
      </c>
      <c r="Y748" s="237" t="s">
        <v>588</v>
      </c>
      <c r="Z748" s="237" t="s">
        <v>228</v>
      </c>
      <c r="AA748" s="237" t="s">
        <v>4150</v>
      </c>
      <c r="AB748" s="237" t="s">
        <v>228</v>
      </c>
      <c r="AC748" s="237" t="s">
        <v>228</v>
      </c>
    </row>
    <row r="749" spans="1:29" ht="13.5" customHeight="1">
      <c r="A749" s="235">
        <v>747</v>
      </c>
      <c r="B749" s="237"/>
      <c r="C749" s="237" t="s">
        <v>4151</v>
      </c>
      <c r="D749" s="243" t="s">
        <v>4152</v>
      </c>
      <c r="E749" s="237">
        <v>29</v>
      </c>
      <c r="F749" s="237" t="s">
        <v>75</v>
      </c>
      <c r="G749" s="255" t="s">
        <v>4153</v>
      </c>
      <c r="H749" s="237" t="s">
        <v>188</v>
      </c>
      <c r="I749" s="243"/>
      <c r="K749" s="240"/>
      <c r="L749" s="243" t="s">
        <v>231</v>
      </c>
      <c r="M749" s="243" t="s">
        <v>231</v>
      </c>
      <c r="N749" s="237"/>
      <c r="O749" s="237"/>
      <c r="P749" s="237"/>
      <c r="Q749" s="527">
        <v>45464</v>
      </c>
      <c r="R749" s="337" t="s">
        <v>309</v>
      </c>
      <c r="S749" s="330" t="s">
        <v>233</v>
      </c>
      <c r="T749" s="339">
        <v>0</v>
      </c>
      <c r="U749" s="237" t="s">
        <v>234</v>
      </c>
      <c r="V749" s="237" t="s">
        <v>652</v>
      </c>
      <c r="W749" s="244">
        <v>46049</v>
      </c>
      <c r="X749" s="237" t="s">
        <v>4154</v>
      </c>
      <c r="Y749" s="237" t="s">
        <v>588</v>
      </c>
      <c r="Z749" s="237" t="s">
        <v>228</v>
      </c>
      <c r="AA749" s="237" t="s">
        <v>4155</v>
      </c>
      <c r="AB749" s="237" t="s">
        <v>228</v>
      </c>
      <c r="AC749" s="237" t="s">
        <v>228</v>
      </c>
    </row>
    <row r="750" spans="1:29" ht="13.5" customHeight="1">
      <c r="A750" s="235">
        <v>748</v>
      </c>
      <c r="B750" s="237"/>
      <c r="C750" s="237" t="s">
        <v>4156</v>
      </c>
      <c r="D750" s="243" t="s">
        <v>4157</v>
      </c>
      <c r="E750" s="237">
        <v>29</v>
      </c>
      <c r="F750" s="237" t="s">
        <v>75</v>
      </c>
      <c r="G750" s="255" t="s">
        <v>4158</v>
      </c>
      <c r="H750" s="237" t="s">
        <v>188</v>
      </c>
      <c r="I750" s="243"/>
      <c r="K750" s="240"/>
      <c r="L750" s="243" t="s">
        <v>231</v>
      </c>
      <c r="M750" s="243" t="s">
        <v>231</v>
      </c>
      <c r="N750" s="237"/>
      <c r="O750" s="237"/>
      <c r="P750" s="237"/>
      <c r="Q750" s="527">
        <v>45464</v>
      </c>
      <c r="R750" s="337" t="s">
        <v>309</v>
      </c>
      <c r="S750" s="330" t="s">
        <v>233</v>
      </c>
      <c r="T750" s="339">
        <v>0</v>
      </c>
      <c r="U750" s="237" t="s">
        <v>234</v>
      </c>
      <c r="V750" s="237" t="s">
        <v>652</v>
      </c>
      <c r="W750" s="244">
        <v>46049</v>
      </c>
      <c r="X750" s="237" t="s">
        <v>3185</v>
      </c>
      <c r="Y750" s="237" t="s">
        <v>588</v>
      </c>
      <c r="Z750" s="237" t="s">
        <v>228</v>
      </c>
      <c r="AA750" s="237" t="s">
        <v>4159</v>
      </c>
      <c r="AB750" s="237" t="s">
        <v>228</v>
      </c>
      <c r="AC750" s="237" t="s">
        <v>228</v>
      </c>
    </row>
    <row r="751" spans="1:29" ht="13.5" customHeight="1">
      <c r="A751" s="235">
        <v>749</v>
      </c>
      <c r="B751" s="237"/>
      <c r="C751" s="237" t="s">
        <v>4160</v>
      </c>
      <c r="D751" s="243" t="s">
        <v>4161</v>
      </c>
      <c r="E751" s="237">
        <v>25</v>
      </c>
      <c r="F751" s="237" t="s">
        <v>75</v>
      </c>
      <c r="G751" s="273" t="s">
        <v>2952</v>
      </c>
      <c r="H751" s="237" t="s">
        <v>188</v>
      </c>
      <c r="I751" s="243"/>
      <c r="K751" s="240"/>
      <c r="L751" s="243" t="s">
        <v>231</v>
      </c>
      <c r="M751" s="243" t="s">
        <v>231</v>
      </c>
      <c r="N751" s="237"/>
      <c r="O751" s="237"/>
      <c r="P751" s="237"/>
      <c r="Q751" s="527">
        <v>45464</v>
      </c>
      <c r="R751" s="337" t="s">
        <v>309</v>
      </c>
      <c r="S751" s="330" t="s">
        <v>233</v>
      </c>
      <c r="T751" s="339">
        <v>0</v>
      </c>
      <c r="U751" s="237" t="s">
        <v>234</v>
      </c>
      <c r="V751" s="237" t="s">
        <v>652</v>
      </c>
      <c r="W751" s="244">
        <v>46049</v>
      </c>
      <c r="X751" s="237" t="s">
        <v>4162</v>
      </c>
      <c r="Y751" s="237" t="s">
        <v>588</v>
      </c>
      <c r="Z751" s="237" t="s">
        <v>228</v>
      </c>
      <c r="AA751" s="237" t="s">
        <v>4163</v>
      </c>
      <c r="AB751" s="237" t="s">
        <v>228</v>
      </c>
      <c r="AC751" s="237" t="s">
        <v>228</v>
      </c>
    </row>
    <row r="752" spans="1:29" ht="13.5" customHeight="1">
      <c r="A752" s="235">
        <v>750</v>
      </c>
      <c r="B752" s="237"/>
      <c r="C752" s="237" t="s">
        <v>4164</v>
      </c>
      <c r="D752" s="243" t="s">
        <v>4165</v>
      </c>
      <c r="E752" s="237">
        <v>25</v>
      </c>
      <c r="F752" s="237" t="s">
        <v>75</v>
      </c>
      <c r="G752" s="271" t="s">
        <v>4166</v>
      </c>
      <c r="H752" s="237" t="s">
        <v>188</v>
      </c>
      <c r="I752" s="243"/>
      <c r="K752" s="240"/>
      <c r="L752" s="243" t="s">
        <v>231</v>
      </c>
      <c r="M752" s="243" t="s">
        <v>231</v>
      </c>
      <c r="N752" s="237"/>
      <c r="O752" s="237"/>
      <c r="P752" s="237"/>
      <c r="Q752" s="527">
        <v>45464</v>
      </c>
      <c r="R752" s="337" t="s">
        <v>309</v>
      </c>
      <c r="S752" s="330" t="s">
        <v>233</v>
      </c>
      <c r="T752" s="339">
        <v>0</v>
      </c>
      <c r="U752" s="237" t="s">
        <v>234</v>
      </c>
      <c r="V752" s="237" t="s">
        <v>652</v>
      </c>
      <c r="W752" s="244">
        <v>46049</v>
      </c>
      <c r="X752" s="237" t="s">
        <v>4167</v>
      </c>
      <c r="Y752" s="237" t="s">
        <v>588</v>
      </c>
      <c r="Z752" s="237" t="s">
        <v>228</v>
      </c>
      <c r="AA752" s="237" t="s">
        <v>4168</v>
      </c>
      <c r="AB752" s="237" t="s">
        <v>228</v>
      </c>
      <c r="AC752" s="237" t="s">
        <v>228</v>
      </c>
    </row>
    <row r="753" spans="1:39" ht="13.5" customHeight="1">
      <c r="A753" s="235">
        <v>751</v>
      </c>
      <c r="B753" s="237"/>
      <c r="C753" s="237" t="s">
        <v>4169</v>
      </c>
      <c r="D753" s="243" t="s">
        <v>4170</v>
      </c>
      <c r="E753" s="237">
        <v>32</v>
      </c>
      <c r="F753" s="237" t="s">
        <v>60</v>
      </c>
      <c r="G753" s="271" t="s">
        <v>4171</v>
      </c>
      <c r="H753" s="237" t="s">
        <v>188</v>
      </c>
      <c r="I753" s="243"/>
      <c r="K753" s="240"/>
      <c r="L753" s="243" t="s">
        <v>231</v>
      </c>
      <c r="M753" s="243" t="s">
        <v>231</v>
      </c>
      <c r="N753" s="237"/>
      <c r="O753" s="237"/>
      <c r="P753" s="237"/>
      <c r="Q753" s="527">
        <v>45475</v>
      </c>
      <c r="R753" s="337" t="s">
        <v>309</v>
      </c>
      <c r="S753" s="330" t="s">
        <v>233</v>
      </c>
      <c r="T753" s="339">
        <v>0</v>
      </c>
      <c r="U753" s="237" t="s">
        <v>234</v>
      </c>
      <c r="V753" s="237" t="s">
        <v>652</v>
      </c>
      <c r="W753" s="244">
        <v>46049</v>
      </c>
      <c r="X753" s="237" t="s">
        <v>4172</v>
      </c>
      <c r="Y753" s="237" t="s">
        <v>588</v>
      </c>
      <c r="Z753" s="237" t="s">
        <v>228</v>
      </c>
      <c r="AA753" s="237" t="s">
        <v>4173</v>
      </c>
      <c r="AB753" s="237" t="s">
        <v>228</v>
      </c>
      <c r="AC753" s="237" t="s">
        <v>228</v>
      </c>
    </row>
    <row r="754" spans="1:39" ht="13.5" customHeight="1">
      <c r="A754" s="235">
        <v>752</v>
      </c>
      <c r="B754" s="237"/>
      <c r="C754" s="237" t="s">
        <v>4174</v>
      </c>
      <c r="D754" s="243" t="s">
        <v>4175</v>
      </c>
      <c r="E754" s="237">
        <v>35</v>
      </c>
      <c r="F754" s="237" t="s">
        <v>60</v>
      </c>
      <c r="G754" s="271" t="s">
        <v>4176</v>
      </c>
      <c r="H754" s="237" t="s">
        <v>188</v>
      </c>
      <c r="I754" s="243"/>
      <c r="K754" s="240"/>
      <c r="L754" s="243" t="s">
        <v>231</v>
      </c>
      <c r="M754" s="243" t="s">
        <v>231</v>
      </c>
      <c r="N754" s="237"/>
      <c r="O754" s="237"/>
      <c r="P754" s="237"/>
      <c r="Q754" s="527">
        <v>45475</v>
      </c>
      <c r="R754" s="337" t="s">
        <v>309</v>
      </c>
      <c r="S754" s="330" t="s">
        <v>233</v>
      </c>
      <c r="T754" s="339">
        <v>0</v>
      </c>
      <c r="U754" s="237" t="s">
        <v>234</v>
      </c>
      <c r="V754" s="237" t="s">
        <v>652</v>
      </c>
      <c r="W754" s="244">
        <v>46049</v>
      </c>
      <c r="X754" s="237" t="s">
        <v>4177</v>
      </c>
      <c r="Y754" s="237" t="s">
        <v>588</v>
      </c>
      <c r="Z754" s="237" t="s">
        <v>228</v>
      </c>
      <c r="AA754" s="237" t="s">
        <v>4178</v>
      </c>
      <c r="AB754" s="237" t="s">
        <v>228</v>
      </c>
      <c r="AC754" s="237" t="s">
        <v>228</v>
      </c>
    </row>
    <row r="755" spans="1:39" ht="13.5" customHeight="1">
      <c r="A755" s="235">
        <v>753</v>
      </c>
      <c r="B755" s="237"/>
      <c r="C755" s="237" t="s">
        <v>4179</v>
      </c>
      <c r="D755" s="243" t="s">
        <v>4180</v>
      </c>
      <c r="E755" s="237">
        <v>48</v>
      </c>
      <c r="F755" s="237" t="s">
        <v>75</v>
      </c>
      <c r="G755" s="255" t="s">
        <v>4181</v>
      </c>
      <c r="H755" s="237" t="s">
        <v>188</v>
      </c>
      <c r="I755" s="243"/>
      <c r="K755" s="240"/>
      <c r="L755" s="243" t="s">
        <v>231</v>
      </c>
      <c r="M755" s="243" t="s">
        <v>231</v>
      </c>
      <c r="N755" s="237"/>
      <c r="O755" s="237"/>
      <c r="P755" s="237"/>
      <c r="Q755" s="527">
        <v>45587</v>
      </c>
      <c r="R755" s="337" t="s">
        <v>309</v>
      </c>
      <c r="S755" s="330" t="s">
        <v>233</v>
      </c>
      <c r="T755" s="339">
        <v>0</v>
      </c>
      <c r="U755" s="237" t="s">
        <v>234</v>
      </c>
      <c r="V755" s="237" t="s">
        <v>652</v>
      </c>
      <c r="W755" s="244">
        <v>46049</v>
      </c>
      <c r="X755" s="237" t="s">
        <v>4182</v>
      </c>
      <c r="Y755" s="237" t="s">
        <v>588</v>
      </c>
      <c r="Z755" s="237" t="s">
        <v>228</v>
      </c>
      <c r="AA755" s="237" t="s">
        <v>4183</v>
      </c>
      <c r="AB755" s="237" t="s">
        <v>228</v>
      </c>
      <c r="AC755" s="237" t="s">
        <v>228</v>
      </c>
    </row>
    <row r="756" spans="1:39" ht="13.5" customHeight="1">
      <c r="A756" s="235">
        <v>754</v>
      </c>
      <c r="B756" s="237"/>
      <c r="C756" s="237" t="s">
        <v>4184</v>
      </c>
      <c r="D756" s="243" t="s">
        <v>4185</v>
      </c>
      <c r="E756" s="237">
        <v>46</v>
      </c>
      <c r="F756" s="237" t="s">
        <v>60</v>
      </c>
      <c r="G756" s="255" t="s">
        <v>4186</v>
      </c>
      <c r="H756" s="237" t="s">
        <v>188</v>
      </c>
      <c r="I756" s="243"/>
      <c r="K756" s="240"/>
      <c r="L756" s="243" t="s">
        <v>231</v>
      </c>
      <c r="M756" s="243" t="s">
        <v>231</v>
      </c>
      <c r="N756" s="237"/>
      <c r="O756" s="237"/>
      <c r="P756" s="237"/>
      <c r="Q756" s="527">
        <v>45516</v>
      </c>
      <c r="R756" s="337" t="s">
        <v>309</v>
      </c>
      <c r="S756" s="330" t="s">
        <v>233</v>
      </c>
      <c r="T756" s="339"/>
      <c r="U756" s="237"/>
      <c r="V756" s="237"/>
      <c r="W756" s="244"/>
      <c r="X756" s="237"/>
      <c r="Y756" s="237"/>
      <c r="Z756" s="237" t="s">
        <v>228</v>
      </c>
      <c r="AA756" s="237"/>
      <c r="AB756" s="237" t="s">
        <v>228</v>
      </c>
      <c r="AC756" s="237" t="s">
        <v>228</v>
      </c>
    </row>
    <row r="757" spans="1:39" ht="13.5" customHeight="1">
      <c r="A757" s="235">
        <v>755</v>
      </c>
      <c r="B757" s="237"/>
      <c r="C757" s="237" t="s">
        <v>4187</v>
      </c>
      <c r="D757" s="243" t="s">
        <v>4188</v>
      </c>
      <c r="E757" s="237">
        <v>48</v>
      </c>
      <c r="F757" s="237" t="s">
        <v>60</v>
      </c>
      <c r="G757" s="255" t="s">
        <v>4189</v>
      </c>
      <c r="H757" s="237" t="s">
        <v>188</v>
      </c>
      <c r="I757" s="243"/>
      <c r="K757" s="240"/>
      <c r="L757" s="243" t="s">
        <v>231</v>
      </c>
      <c r="M757" s="243" t="s">
        <v>231</v>
      </c>
      <c r="N757" s="237"/>
      <c r="O757" s="237"/>
      <c r="P757" s="237"/>
      <c r="Q757" s="527">
        <v>45587</v>
      </c>
      <c r="R757" s="337" t="s">
        <v>309</v>
      </c>
      <c r="S757" s="330" t="s">
        <v>233</v>
      </c>
      <c r="T757" s="339"/>
      <c r="U757" s="237"/>
      <c r="V757" s="237"/>
      <c r="W757" s="244"/>
      <c r="X757" s="237"/>
      <c r="Y757" s="237"/>
      <c r="Z757" s="237" t="s">
        <v>228</v>
      </c>
      <c r="AA757" s="237"/>
      <c r="AB757" s="237" t="s">
        <v>228</v>
      </c>
      <c r="AC757" s="237" t="s">
        <v>228</v>
      </c>
    </row>
    <row r="758" spans="1:39" s="274" customFormat="1" ht="13.5" customHeight="1">
      <c r="A758" s="235">
        <v>756</v>
      </c>
      <c r="B758" s="258"/>
      <c r="C758" s="258" t="s">
        <v>4190</v>
      </c>
      <c r="D758" s="257" t="s">
        <v>4191</v>
      </c>
      <c r="E758" s="258">
        <v>68</v>
      </c>
      <c r="F758" s="258" t="s">
        <v>75</v>
      </c>
      <c r="G758" s="263" t="s">
        <v>4192</v>
      </c>
      <c r="H758" s="258" t="s">
        <v>188</v>
      </c>
      <c r="I758" s="257"/>
      <c r="J758" s="259" t="s">
        <v>3932</v>
      </c>
      <c r="K758" s="265" t="s">
        <v>4397</v>
      </c>
      <c r="L758" s="257" t="s">
        <v>231</v>
      </c>
      <c r="M758" s="257" t="s">
        <v>231</v>
      </c>
      <c r="N758" s="258"/>
      <c r="O758" s="258"/>
      <c r="P758" s="258"/>
      <c r="Q758" s="528">
        <v>45524</v>
      </c>
      <c r="R758" s="338" t="s">
        <v>309</v>
      </c>
      <c r="S758" s="360" t="s">
        <v>233</v>
      </c>
      <c r="T758" s="340"/>
      <c r="U758" s="258"/>
      <c r="V758" s="258"/>
      <c r="W758" s="260"/>
      <c r="X758" s="258"/>
      <c r="Y758" s="258"/>
      <c r="Z758" s="237" t="s">
        <v>228</v>
      </c>
      <c r="AA758" s="258"/>
      <c r="AB758" s="258" t="s">
        <v>228</v>
      </c>
      <c r="AC758" s="258" t="s">
        <v>228</v>
      </c>
      <c r="AD758" s="300"/>
      <c r="AE758" s="300"/>
      <c r="AF758" s="300"/>
      <c r="AG758" s="300"/>
      <c r="AH758" s="300"/>
      <c r="AI758" s="300"/>
      <c r="AJ758" s="300"/>
      <c r="AK758" s="300"/>
      <c r="AL758" s="300"/>
      <c r="AM758" s="305"/>
    </row>
    <row r="759" spans="1:39" s="259" customFormat="1" ht="13.5" customHeight="1">
      <c r="A759" s="235">
        <v>757</v>
      </c>
      <c r="B759" s="258"/>
      <c r="C759" s="258" t="s">
        <v>4195</v>
      </c>
      <c r="D759" s="257" t="s">
        <v>4196</v>
      </c>
      <c r="E759" s="258">
        <v>41</v>
      </c>
      <c r="F759" s="258" t="s">
        <v>75</v>
      </c>
      <c r="G759" s="263" t="s">
        <v>4197</v>
      </c>
      <c r="H759" s="258" t="s">
        <v>5</v>
      </c>
      <c r="I759" s="257"/>
      <c r="K759" s="240" t="s">
        <v>1811</v>
      </c>
      <c r="L759" s="16" t="s">
        <v>13</v>
      </c>
      <c r="M759" s="257" t="s">
        <v>231</v>
      </c>
      <c r="N759" s="258"/>
      <c r="O759" s="258"/>
      <c r="P759" s="258"/>
      <c r="Q759" s="528">
        <v>45538</v>
      </c>
      <c r="R759" s="338" t="s">
        <v>309</v>
      </c>
      <c r="S759" s="336" t="s">
        <v>233</v>
      </c>
      <c r="T759" s="340"/>
      <c r="U759" s="258"/>
      <c r="V759" s="258"/>
      <c r="W759" s="260"/>
      <c r="X759" s="258"/>
      <c r="Y759" s="258"/>
      <c r="Z759" s="237" t="s">
        <v>228</v>
      </c>
      <c r="AA759" s="258"/>
      <c r="AB759" s="258" t="s">
        <v>228</v>
      </c>
      <c r="AC759" s="258" t="s">
        <v>228</v>
      </c>
      <c r="AD759" s="299"/>
      <c r="AE759" s="299"/>
      <c r="AF759" s="299"/>
      <c r="AG759" s="299"/>
      <c r="AH759" s="299"/>
      <c r="AI759" s="299"/>
      <c r="AJ759" s="299"/>
      <c r="AK759" s="299"/>
      <c r="AL759" s="299"/>
      <c r="AM759" s="304"/>
    </row>
    <row r="760" spans="1:39" ht="13.5" customHeight="1">
      <c r="A760" s="235">
        <v>758</v>
      </c>
      <c r="B760" s="237"/>
      <c r="C760" s="237" t="s">
        <v>4199</v>
      </c>
      <c r="D760" s="243" t="s">
        <v>4200</v>
      </c>
      <c r="E760" s="237">
        <v>51</v>
      </c>
      <c r="F760" s="237" t="s">
        <v>60</v>
      </c>
      <c r="G760" s="255" t="s">
        <v>4201</v>
      </c>
      <c r="H760" s="237" t="s">
        <v>188</v>
      </c>
      <c r="I760" s="243"/>
      <c r="K760" s="240"/>
      <c r="L760" s="243" t="s">
        <v>231</v>
      </c>
      <c r="M760" s="243" t="s">
        <v>231</v>
      </c>
      <c r="N760" s="237"/>
      <c r="O760" s="237"/>
      <c r="P760" s="237"/>
      <c r="Q760" s="527">
        <v>45531</v>
      </c>
      <c r="R760" s="337" t="s">
        <v>309</v>
      </c>
      <c r="S760" s="330" t="s">
        <v>233</v>
      </c>
      <c r="T760" s="339"/>
      <c r="U760" s="237"/>
      <c r="V760" s="237"/>
      <c r="W760" s="244"/>
      <c r="X760" s="237"/>
      <c r="Y760" s="237"/>
      <c r="Z760" s="237" t="s">
        <v>228</v>
      </c>
      <c r="AA760" s="237"/>
      <c r="AB760" s="237" t="s">
        <v>228</v>
      </c>
      <c r="AC760" s="237" t="s">
        <v>228</v>
      </c>
    </row>
    <row r="761" spans="1:39" ht="13.5" customHeight="1">
      <c r="A761" s="235">
        <v>759</v>
      </c>
      <c r="B761" s="237"/>
      <c r="C761" s="237" t="s">
        <v>4202</v>
      </c>
      <c r="D761" s="243" t="s">
        <v>4203</v>
      </c>
      <c r="E761" s="237">
        <v>43</v>
      </c>
      <c r="F761" s="237" t="s">
        <v>60</v>
      </c>
      <c r="G761" s="255" t="s">
        <v>4204</v>
      </c>
      <c r="H761" s="237" t="s">
        <v>188</v>
      </c>
      <c r="I761" s="243"/>
      <c r="K761" s="240"/>
      <c r="L761" s="243" t="s">
        <v>231</v>
      </c>
      <c r="M761" s="243" t="s">
        <v>231</v>
      </c>
      <c r="N761" s="237"/>
      <c r="O761" s="237"/>
      <c r="P761" s="237"/>
      <c r="Q761" s="527">
        <v>45551</v>
      </c>
      <c r="R761" s="337" t="s">
        <v>309</v>
      </c>
      <c r="S761" s="330" t="s">
        <v>233</v>
      </c>
      <c r="T761" s="339"/>
      <c r="U761" s="237"/>
      <c r="V761" s="237"/>
      <c r="W761" s="244"/>
      <c r="X761" s="237"/>
      <c r="Y761" s="237"/>
      <c r="Z761" s="237" t="s">
        <v>228</v>
      </c>
      <c r="AA761" s="237"/>
      <c r="AB761" s="237" t="s">
        <v>228</v>
      </c>
      <c r="AC761" s="237" t="s">
        <v>228</v>
      </c>
    </row>
    <row r="762" spans="1:39" ht="13.5" customHeight="1">
      <c r="A762" s="235">
        <v>760</v>
      </c>
      <c r="B762" s="237"/>
      <c r="C762" s="237" t="s">
        <v>4205</v>
      </c>
      <c r="D762" s="243" t="s">
        <v>4206</v>
      </c>
      <c r="E762" s="237">
        <v>22</v>
      </c>
      <c r="F762" s="237" t="s">
        <v>75</v>
      </c>
      <c r="G762" s="255" t="s">
        <v>4207</v>
      </c>
      <c r="H762" s="237" t="s">
        <v>188</v>
      </c>
      <c r="I762" s="243"/>
      <c r="K762" s="240"/>
      <c r="L762" s="243" t="s">
        <v>231</v>
      </c>
      <c r="M762" s="243" t="s">
        <v>231</v>
      </c>
      <c r="N762" s="237"/>
      <c r="O762" s="237"/>
      <c r="P762" s="237"/>
      <c r="Q762" s="527">
        <v>45554</v>
      </c>
      <c r="R762" s="337" t="s">
        <v>309</v>
      </c>
      <c r="S762" s="330" t="s">
        <v>233</v>
      </c>
      <c r="T762" s="339"/>
      <c r="U762" s="237"/>
      <c r="V762" s="237"/>
      <c r="W762" s="244"/>
      <c r="X762" s="237"/>
      <c r="Y762" s="237"/>
      <c r="Z762" s="237" t="s">
        <v>228</v>
      </c>
      <c r="AA762" s="237"/>
      <c r="AB762" s="237" t="s">
        <v>237</v>
      </c>
      <c r="AC762" s="237" t="s">
        <v>353</v>
      </c>
    </row>
    <row r="763" spans="1:39" s="274" customFormat="1" ht="13.5" customHeight="1">
      <c r="A763" s="235">
        <v>761</v>
      </c>
      <c r="B763" s="235">
        <v>246</v>
      </c>
      <c r="C763" s="256" t="s">
        <v>4208</v>
      </c>
      <c r="D763" s="235" t="s">
        <v>4209</v>
      </c>
      <c r="E763" s="235">
        <v>59</v>
      </c>
      <c r="F763" s="235" t="s">
        <v>60</v>
      </c>
      <c r="G763" s="235" t="s">
        <v>4210</v>
      </c>
      <c r="H763" s="237" t="s">
        <v>188</v>
      </c>
      <c r="I763" s="237"/>
      <c r="J763" s="235" t="s">
        <v>3932</v>
      </c>
      <c r="K763" s="237"/>
      <c r="L763" s="237"/>
      <c r="M763" s="237"/>
      <c r="N763" s="237"/>
      <c r="O763" s="237"/>
      <c r="P763" s="275"/>
      <c r="Q763" s="527">
        <v>45584</v>
      </c>
      <c r="R763" s="337" t="s">
        <v>309</v>
      </c>
      <c r="S763" s="330" t="s">
        <v>233</v>
      </c>
      <c r="T763" s="339">
        <v>7.9</v>
      </c>
      <c r="U763" s="237" t="s">
        <v>298</v>
      </c>
      <c r="V763" s="237" t="s">
        <v>235</v>
      </c>
      <c r="W763" s="244">
        <v>45631</v>
      </c>
      <c r="X763" s="237" t="s">
        <v>4211</v>
      </c>
      <c r="Y763" s="237" t="s">
        <v>237</v>
      </c>
      <c r="Z763" s="237" t="s">
        <v>237</v>
      </c>
      <c r="AA763" s="237" t="s">
        <v>4212</v>
      </c>
      <c r="AB763" s="237" t="s">
        <v>228</v>
      </c>
      <c r="AC763" s="275" t="s">
        <v>228</v>
      </c>
      <c r="AD763" s="300"/>
      <c r="AE763" s="300"/>
      <c r="AF763" s="300"/>
      <c r="AG763" s="300"/>
      <c r="AH763" s="300"/>
      <c r="AI763" s="300"/>
      <c r="AJ763" s="300"/>
      <c r="AK763" s="300"/>
      <c r="AL763" s="300"/>
      <c r="AM763" s="305"/>
    </row>
    <row r="764" spans="1:39" ht="13.5" customHeight="1">
      <c r="A764" s="235">
        <v>762</v>
      </c>
      <c r="B764" s="237"/>
      <c r="C764" s="237" t="s">
        <v>4213</v>
      </c>
      <c r="D764" s="243" t="s">
        <v>4214</v>
      </c>
      <c r="E764" s="237">
        <v>41</v>
      </c>
      <c r="F764" s="237" t="s">
        <v>60</v>
      </c>
      <c r="G764" s="237" t="s">
        <v>4215</v>
      </c>
      <c r="H764" s="237" t="s">
        <v>188</v>
      </c>
      <c r="I764" s="243"/>
      <c r="K764" s="240"/>
      <c r="L764" s="243" t="s">
        <v>231</v>
      </c>
      <c r="M764" s="243" t="s">
        <v>231</v>
      </c>
      <c r="N764" s="237"/>
      <c r="O764" s="237"/>
      <c r="P764" s="237"/>
      <c r="Q764" s="527">
        <v>44897</v>
      </c>
      <c r="R764" s="337" t="s">
        <v>309</v>
      </c>
      <c r="S764" s="330" t="s">
        <v>233</v>
      </c>
      <c r="T764" s="339"/>
      <c r="U764" s="237"/>
      <c r="V764" s="237"/>
      <c r="W764" s="244"/>
      <c r="X764" s="237"/>
      <c r="Y764" s="237"/>
      <c r="Z764" s="237" t="s">
        <v>228</v>
      </c>
      <c r="AA764" s="237"/>
      <c r="AB764" s="237" t="s">
        <v>228</v>
      </c>
      <c r="AC764" s="237" t="s">
        <v>228</v>
      </c>
    </row>
    <row r="765" spans="1:39" ht="13.5" customHeight="1">
      <c r="A765" s="235">
        <v>763</v>
      </c>
      <c r="B765" s="237"/>
      <c r="C765" s="237" t="s">
        <v>4216</v>
      </c>
      <c r="D765" s="243" t="s">
        <v>4217</v>
      </c>
      <c r="E765" s="237">
        <v>21</v>
      </c>
      <c r="F765" s="237" t="s">
        <v>60</v>
      </c>
      <c r="G765" s="237" t="s">
        <v>4218</v>
      </c>
      <c r="H765" s="237" t="s">
        <v>4</v>
      </c>
      <c r="I765" s="243"/>
      <c r="J765" s="240" t="s">
        <v>886</v>
      </c>
      <c r="K765" s="240" t="s">
        <v>4219</v>
      </c>
      <c r="L765" s="72" t="s">
        <v>13</v>
      </c>
      <c r="M765" s="243" t="s">
        <v>231</v>
      </c>
      <c r="N765" s="237"/>
      <c r="O765" s="237"/>
      <c r="P765" s="237"/>
      <c r="Q765" s="527">
        <v>44897</v>
      </c>
      <c r="R765" s="337" t="s">
        <v>309</v>
      </c>
      <c r="S765" s="330" t="s">
        <v>233</v>
      </c>
      <c r="T765" s="339"/>
      <c r="U765" s="237"/>
      <c r="V765" s="237"/>
      <c r="W765" s="244"/>
      <c r="X765" s="237"/>
      <c r="Y765" s="237"/>
      <c r="Z765" s="237" t="s">
        <v>228</v>
      </c>
      <c r="AA765" s="237"/>
      <c r="AB765" s="237" t="s">
        <v>228</v>
      </c>
      <c r="AC765" s="237" t="s">
        <v>228</v>
      </c>
    </row>
    <row r="766" spans="1:39" ht="13.5" customHeight="1">
      <c r="A766" s="235">
        <v>764</v>
      </c>
      <c r="B766" s="237"/>
      <c r="C766" s="237" t="s">
        <v>4220</v>
      </c>
      <c r="D766" s="243" t="s">
        <v>4221</v>
      </c>
      <c r="E766" s="237">
        <v>46</v>
      </c>
      <c r="F766" s="237" t="s">
        <v>60</v>
      </c>
      <c r="G766" s="237" t="s">
        <v>4222</v>
      </c>
      <c r="H766" s="237" t="s">
        <v>4</v>
      </c>
      <c r="I766" s="243"/>
      <c r="J766" s="240" t="s">
        <v>886</v>
      </c>
      <c r="K766" s="290" t="s">
        <v>4223</v>
      </c>
      <c r="L766" s="289" t="s">
        <v>20</v>
      </c>
      <c r="M766" s="243" t="s">
        <v>231</v>
      </c>
      <c r="N766" s="237"/>
      <c r="O766" s="237"/>
      <c r="P766" s="237"/>
      <c r="Q766" s="527">
        <v>44900</v>
      </c>
      <c r="R766" s="337" t="s">
        <v>309</v>
      </c>
      <c r="S766" s="330" t="s">
        <v>233</v>
      </c>
      <c r="T766" s="339"/>
      <c r="U766" s="237"/>
      <c r="V766" s="237"/>
      <c r="W766" s="244"/>
      <c r="X766" s="237"/>
      <c r="Y766" s="237"/>
      <c r="Z766" s="237" t="s">
        <v>228</v>
      </c>
      <c r="AA766" s="237"/>
      <c r="AB766" s="237" t="s">
        <v>228</v>
      </c>
      <c r="AC766" s="237" t="s">
        <v>228</v>
      </c>
    </row>
    <row r="767" spans="1:39" ht="13.5" customHeight="1">
      <c r="A767" s="235">
        <v>765</v>
      </c>
      <c r="B767" s="237"/>
      <c r="C767" s="237" t="s">
        <v>4224</v>
      </c>
      <c r="D767" s="243" t="s">
        <v>4225</v>
      </c>
      <c r="E767" s="237">
        <v>39</v>
      </c>
      <c r="F767" s="237" t="s">
        <v>60</v>
      </c>
      <c r="G767" s="237" t="s">
        <v>4226</v>
      </c>
      <c r="H767" s="237" t="s">
        <v>188</v>
      </c>
      <c r="I767" s="243"/>
      <c r="J767" s="240"/>
      <c r="K767" s="240"/>
      <c r="L767" s="243" t="s">
        <v>231</v>
      </c>
      <c r="M767" s="243" t="s">
        <v>231</v>
      </c>
      <c r="N767" s="237"/>
      <c r="O767" s="237"/>
      <c r="P767" s="237"/>
      <c r="Q767" s="527">
        <v>44900</v>
      </c>
      <c r="R767" s="337" t="s">
        <v>309</v>
      </c>
      <c r="S767" s="330" t="s">
        <v>233</v>
      </c>
      <c r="T767" s="339"/>
      <c r="U767" s="237"/>
      <c r="V767" s="237"/>
      <c r="W767" s="244"/>
      <c r="X767" s="237"/>
      <c r="Y767" s="237"/>
      <c r="Z767" s="237" t="s">
        <v>228</v>
      </c>
      <c r="AA767" s="237"/>
      <c r="AB767" s="237" t="s">
        <v>228</v>
      </c>
      <c r="AC767" s="237" t="s">
        <v>228</v>
      </c>
    </row>
    <row r="768" spans="1:39" ht="13.5" customHeight="1">
      <c r="A768" s="235">
        <v>766</v>
      </c>
      <c r="B768" s="237"/>
      <c r="C768" s="237" t="s">
        <v>4227</v>
      </c>
      <c r="D768" s="243" t="s">
        <v>4228</v>
      </c>
      <c r="E768" s="237">
        <v>28</v>
      </c>
      <c r="F768" s="237" t="s">
        <v>75</v>
      </c>
      <c r="G768" s="237" t="s">
        <v>4229</v>
      </c>
      <c r="H768" s="237" t="s">
        <v>188</v>
      </c>
      <c r="I768" s="243"/>
      <c r="J768" s="240"/>
      <c r="K768" s="240"/>
      <c r="L768" s="243" t="s">
        <v>231</v>
      </c>
      <c r="M768" s="243" t="s">
        <v>231</v>
      </c>
      <c r="N768" s="237"/>
      <c r="O768" s="237"/>
      <c r="P768" s="237"/>
      <c r="Q768" s="527">
        <v>44900</v>
      </c>
      <c r="R768" s="337" t="s">
        <v>309</v>
      </c>
      <c r="S768" s="330" t="s">
        <v>233</v>
      </c>
      <c r="T768" s="339"/>
      <c r="U768" s="237"/>
      <c r="V768" s="237"/>
      <c r="W768" s="244"/>
      <c r="X768" s="237"/>
      <c r="Y768" s="237"/>
      <c r="Z768" s="237" t="s">
        <v>228</v>
      </c>
      <c r="AA768" s="237"/>
      <c r="AB768" s="237" t="s">
        <v>228</v>
      </c>
      <c r="AC768" s="237" t="s">
        <v>228</v>
      </c>
    </row>
    <row r="769" spans="1:29" ht="13.5" customHeight="1">
      <c r="A769" s="235">
        <v>767</v>
      </c>
      <c r="B769" s="237"/>
      <c r="C769" s="237" t="s">
        <v>4230</v>
      </c>
      <c r="D769" s="243" t="s">
        <v>4231</v>
      </c>
      <c r="E769" s="237">
        <v>42</v>
      </c>
      <c r="F769" s="237" t="s">
        <v>60</v>
      </c>
      <c r="G769" s="237" t="s">
        <v>4232</v>
      </c>
      <c r="H769" s="237" t="s">
        <v>4398</v>
      </c>
      <c r="I769" s="264" t="s">
        <v>4399</v>
      </c>
      <c r="J769" s="240"/>
      <c r="K769" s="240"/>
      <c r="L769" s="243" t="s">
        <v>20</v>
      </c>
      <c r="M769" s="243" t="s">
        <v>231</v>
      </c>
      <c r="N769" s="237"/>
      <c r="O769" s="237"/>
      <c r="P769" s="237"/>
      <c r="Q769" s="527">
        <v>44900</v>
      </c>
      <c r="R769" s="337" t="s">
        <v>309</v>
      </c>
      <c r="S769" s="330" t="s">
        <v>233</v>
      </c>
      <c r="T769" s="339"/>
      <c r="U769" s="237"/>
      <c r="V769" s="237"/>
      <c r="W769" s="244"/>
      <c r="X769" s="237"/>
      <c r="Y769" s="237"/>
      <c r="Z769" s="237" t="s">
        <v>228</v>
      </c>
      <c r="AA769" s="237"/>
      <c r="AB769" s="237" t="s">
        <v>228</v>
      </c>
      <c r="AC769" s="237" t="s">
        <v>228</v>
      </c>
    </row>
    <row r="770" spans="1:29" ht="13.5" customHeight="1">
      <c r="A770" s="235">
        <v>768</v>
      </c>
      <c r="B770" s="237"/>
      <c r="C770" s="237" t="s">
        <v>4233</v>
      </c>
      <c r="D770" s="243" t="s">
        <v>4234</v>
      </c>
      <c r="E770" s="237">
        <v>50</v>
      </c>
      <c r="F770" s="237" t="s">
        <v>60</v>
      </c>
      <c r="G770" s="237" t="s">
        <v>4235</v>
      </c>
      <c r="H770" s="237" t="s">
        <v>4</v>
      </c>
      <c r="I770" s="237"/>
      <c r="J770" s="240" t="s">
        <v>886</v>
      </c>
      <c r="K770" s="240" t="s">
        <v>3068</v>
      </c>
      <c r="L770" s="72" t="s">
        <v>76</v>
      </c>
      <c r="M770" s="243" t="s">
        <v>231</v>
      </c>
      <c r="N770" s="237"/>
      <c r="O770" s="237"/>
      <c r="P770" s="237"/>
      <c r="Q770" s="527">
        <v>44901</v>
      </c>
      <c r="R770" s="337" t="s">
        <v>309</v>
      </c>
      <c r="S770" s="330" t="s">
        <v>233</v>
      </c>
      <c r="T770" s="339"/>
      <c r="U770" s="237"/>
      <c r="V770" s="237"/>
      <c r="W770" s="244"/>
      <c r="X770" s="237"/>
      <c r="Y770" s="237"/>
      <c r="Z770" s="237" t="s">
        <v>228</v>
      </c>
      <c r="AA770" s="237"/>
      <c r="AB770" s="237" t="s">
        <v>228</v>
      </c>
      <c r="AC770" s="237" t="s">
        <v>228</v>
      </c>
    </row>
    <row r="771" spans="1:29" ht="13.5" customHeight="1">
      <c r="A771" s="235">
        <v>769</v>
      </c>
      <c r="B771" s="237"/>
      <c r="C771" s="237" t="s">
        <v>4236</v>
      </c>
      <c r="D771" s="243" t="s">
        <v>4237</v>
      </c>
      <c r="E771" s="237">
        <v>53</v>
      </c>
      <c r="F771" s="237" t="s">
        <v>60</v>
      </c>
      <c r="G771" s="237" t="s">
        <v>4238</v>
      </c>
      <c r="H771" s="237" t="s">
        <v>4</v>
      </c>
      <c r="I771" s="237"/>
      <c r="J771" s="240"/>
      <c r="K771" s="240" t="s">
        <v>4239</v>
      </c>
      <c r="L771" s="72" t="s">
        <v>54</v>
      </c>
      <c r="M771" s="243" t="s">
        <v>231</v>
      </c>
      <c r="N771" s="237"/>
      <c r="O771" s="237"/>
      <c r="P771" s="237"/>
      <c r="Q771" s="527">
        <v>44903</v>
      </c>
      <c r="R771" s="337" t="s">
        <v>309</v>
      </c>
      <c r="S771" s="330" t="s">
        <v>233</v>
      </c>
      <c r="T771" s="339"/>
      <c r="U771" s="237"/>
      <c r="V771" s="237"/>
      <c r="W771" s="244"/>
      <c r="X771" s="237"/>
      <c r="Y771" s="237"/>
      <c r="Z771" s="237" t="s">
        <v>228</v>
      </c>
      <c r="AA771" s="237"/>
      <c r="AB771" s="237" t="s">
        <v>228</v>
      </c>
      <c r="AC771" s="237" t="s">
        <v>228</v>
      </c>
    </row>
    <row r="772" spans="1:29" ht="13.5" customHeight="1">
      <c r="A772" s="235">
        <v>770</v>
      </c>
      <c r="B772" s="237"/>
      <c r="C772" s="237" t="s">
        <v>4240</v>
      </c>
      <c r="D772" s="243" t="s">
        <v>4241</v>
      </c>
      <c r="E772" s="237">
        <v>53</v>
      </c>
      <c r="F772" s="237" t="s">
        <v>60</v>
      </c>
      <c r="G772" s="237" t="s">
        <v>4242</v>
      </c>
      <c r="H772" s="237" t="s">
        <v>4</v>
      </c>
      <c r="I772" s="237"/>
      <c r="J772" s="240" t="s">
        <v>886</v>
      </c>
      <c r="K772" s="240" t="s">
        <v>4243</v>
      </c>
      <c r="L772" s="72" t="s">
        <v>65</v>
      </c>
      <c r="M772" s="243" t="s">
        <v>231</v>
      </c>
      <c r="N772" s="237"/>
      <c r="O772" s="237"/>
      <c r="P772" s="237"/>
      <c r="Q772" s="527">
        <v>44903</v>
      </c>
      <c r="R772" s="337" t="s">
        <v>309</v>
      </c>
      <c r="S772" s="330" t="s">
        <v>233</v>
      </c>
      <c r="T772" s="339"/>
      <c r="U772" s="237"/>
      <c r="V772" s="237"/>
      <c r="W772" s="244"/>
      <c r="X772" s="237"/>
      <c r="Y772" s="237"/>
      <c r="Z772" s="237" t="s">
        <v>228</v>
      </c>
      <c r="AA772" s="237"/>
      <c r="AB772" s="237" t="s">
        <v>228</v>
      </c>
      <c r="AC772" s="237" t="s">
        <v>228</v>
      </c>
    </row>
    <row r="773" spans="1:29" ht="13.5" customHeight="1">
      <c r="A773" s="235">
        <v>771</v>
      </c>
      <c r="B773" s="237"/>
      <c r="C773" s="237" t="s">
        <v>4244</v>
      </c>
      <c r="D773" s="243" t="s">
        <v>4245</v>
      </c>
      <c r="E773" s="237">
        <v>35</v>
      </c>
      <c r="F773" s="237" t="s">
        <v>60</v>
      </c>
      <c r="G773" s="271" t="s">
        <v>4246</v>
      </c>
      <c r="H773" s="237" t="s">
        <v>188</v>
      </c>
      <c r="I773" s="237"/>
      <c r="K773" s="240"/>
      <c r="L773" s="243" t="s">
        <v>231</v>
      </c>
      <c r="M773" s="243" t="s">
        <v>231</v>
      </c>
      <c r="N773" s="237"/>
      <c r="O773" s="237"/>
      <c r="P773" s="237"/>
      <c r="Q773" s="527">
        <v>45131</v>
      </c>
      <c r="R773" s="337" t="s">
        <v>309</v>
      </c>
      <c r="S773" s="330" t="s">
        <v>233</v>
      </c>
      <c r="T773" s="339"/>
      <c r="U773" s="237"/>
      <c r="V773" s="237"/>
      <c r="W773" s="244"/>
      <c r="X773" s="237"/>
      <c r="Y773" s="237"/>
      <c r="Z773" s="237" t="s">
        <v>228</v>
      </c>
      <c r="AA773" s="237"/>
      <c r="AB773" s="237" t="s">
        <v>228</v>
      </c>
      <c r="AC773" s="237" t="s">
        <v>228</v>
      </c>
    </row>
    <row r="774" spans="1:29" ht="13.5" customHeight="1">
      <c r="A774" s="235">
        <v>772</v>
      </c>
      <c r="B774" s="237"/>
      <c r="C774" s="237" t="s">
        <v>4247</v>
      </c>
      <c r="D774" s="243" t="s">
        <v>4248</v>
      </c>
      <c r="E774" s="237">
        <v>29</v>
      </c>
      <c r="F774" s="237" t="s">
        <v>60</v>
      </c>
      <c r="G774" s="255" t="s">
        <v>4249</v>
      </c>
      <c r="H774" s="237" t="s">
        <v>188</v>
      </c>
      <c r="I774" s="237"/>
      <c r="K774" s="240"/>
      <c r="L774" s="243" t="s">
        <v>231</v>
      </c>
      <c r="M774" s="243" t="s">
        <v>231</v>
      </c>
      <c r="N774" s="237"/>
      <c r="O774" s="237"/>
      <c r="P774" s="237"/>
      <c r="Q774" s="527">
        <v>45462</v>
      </c>
      <c r="R774" s="337" t="s">
        <v>309</v>
      </c>
      <c r="S774" s="330" t="s">
        <v>233</v>
      </c>
      <c r="T774" s="339"/>
      <c r="U774" s="237"/>
      <c r="V774" s="237"/>
      <c r="W774" s="244"/>
      <c r="X774" s="237"/>
      <c r="Y774" s="237"/>
      <c r="Z774" s="237" t="s">
        <v>228</v>
      </c>
      <c r="AA774" s="237"/>
      <c r="AB774" s="237" t="s">
        <v>228</v>
      </c>
      <c r="AC774" s="237" t="s">
        <v>228</v>
      </c>
    </row>
    <row r="775" spans="1:29" ht="13.5" customHeight="1">
      <c r="A775" s="235">
        <v>773</v>
      </c>
      <c r="B775" s="237"/>
      <c r="C775" s="237" t="s">
        <v>4250</v>
      </c>
      <c r="D775" s="243" t="s">
        <v>4251</v>
      </c>
      <c r="E775" s="237">
        <v>48</v>
      </c>
      <c r="F775" s="237" t="s">
        <v>60</v>
      </c>
      <c r="G775" s="255" t="s">
        <v>4252</v>
      </c>
      <c r="H775" s="237" t="s">
        <v>188</v>
      </c>
      <c r="I775" s="237"/>
      <c r="K775" s="240"/>
      <c r="L775" s="243" t="s">
        <v>231</v>
      </c>
      <c r="M775" s="243" t="s">
        <v>231</v>
      </c>
      <c r="N775" s="237"/>
      <c r="O775" s="237"/>
      <c r="P775" s="237"/>
      <c r="Q775" s="527">
        <v>45617</v>
      </c>
      <c r="R775" s="337" t="s">
        <v>309</v>
      </c>
      <c r="S775" s="330" t="s">
        <v>233</v>
      </c>
      <c r="T775" s="339"/>
      <c r="U775" s="237"/>
      <c r="V775" s="237"/>
      <c r="W775" s="244"/>
      <c r="X775" s="237"/>
      <c r="Y775" s="237"/>
      <c r="Z775" s="237" t="s">
        <v>228</v>
      </c>
      <c r="AA775" s="237"/>
      <c r="AB775" s="237" t="s">
        <v>228</v>
      </c>
      <c r="AC775" s="237" t="s">
        <v>228</v>
      </c>
    </row>
    <row r="776" spans="1:29" ht="13.5" customHeight="1">
      <c r="A776" s="235">
        <v>774</v>
      </c>
      <c r="B776" s="237"/>
      <c r="C776" s="237" t="s">
        <v>4253</v>
      </c>
      <c r="D776" s="243" t="s">
        <v>4254</v>
      </c>
      <c r="E776" s="237">
        <v>46</v>
      </c>
      <c r="F776" s="237" t="s">
        <v>60</v>
      </c>
      <c r="G776" s="255" t="s">
        <v>4255</v>
      </c>
      <c r="H776" s="237" t="s">
        <v>188</v>
      </c>
      <c r="I776" s="237"/>
      <c r="K776" s="240"/>
      <c r="L776" s="243" t="s">
        <v>231</v>
      </c>
      <c r="M776" s="243" t="s">
        <v>231</v>
      </c>
      <c r="N776" s="237"/>
      <c r="O776" s="237"/>
      <c r="P776" s="237"/>
      <c r="Q776" s="527">
        <v>45640</v>
      </c>
      <c r="R776" s="337" t="s">
        <v>309</v>
      </c>
      <c r="S776" s="330" t="s">
        <v>233</v>
      </c>
      <c r="T776" s="339"/>
      <c r="U776" s="237"/>
      <c r="V776" s="237"/>
      <c r="W776" s="244"/>
      <c r="X776" s="237"/>
      <c r="Y776" s="237"/>
      <c r="Z776" s="237" t="s">
        <v>228</v>
      </c>
      <c r="AA776" s="237"/>
      <c r="AB776" s="237" t="s">
        <v>228</v>
      </c>
      <c r="AC776" s="237" t="s">
        <v>228</v>
      </c>
    </row>
    <row r="777" spans="1:29" ht="13.5" customHeight="1">
      <c r="A777" s="235">
        <v>775</v>
      </c>
      <c r="B777" s="237"/>
      <c r="C777" s="237" t="s">
        <v>4256</v>
      </c>
      <c r="D777" s="243" t="s">
        <v>4257</v>
      </c>
      <c r="E777" s="255">
        <v>37</v>
      </c>
      <c r="F777" s="255" t="s">
        <v>60</v>
      </c>
      <c r="G777" s="255" t="s">
        <v>4258</v>
      </c>
      <c r="H777" s="237" t="s">
        <v>188</v>
      </c>
      <c r="I777" s="237"/>
      <c r="K777" s="240"/>
      <c r="L777" s="243" t="s">
        <v>231</v>
      </c>
      <c r="M777" s="243" t="s">
        <v>231</v>
      </c>
      <c r="N777" s="237"/>
      <c r="O777" s="237"/>
      <c r="P777" s="237"/>
      <c r="Q777" s="245" t="s">
        <v>228</v>
      </c>
      <c r="R777" s="337" t="s">
        <v>309</v>
      </c>
      <c r="S777" s="330" t="s">
        <v>233</v>
      </c>
      <c r="T777" s="339"/>
      <c r="U777" s="237"/>
      <c r="V777" s="237"/>
      <c r="W777" s="244"/>
      <c r="X777" s="237"/>
      <c r="Y777" s="237"/>
      <c r="Z777" s="237" t="s">
        <v>228</v>
      </c>
      <c r="AA777" s="237"/>
      <c r="AB777" s="237" t="s">
        <v>228</v>
      </c>
      <c r="AC777" s="237" t="s">
        <v>228</v>
      </c>
    </row>
    <row r="778" spans="1:29" ht="13.5" customHeight="1">
      <c r="A778" s="235">
        <v>776</v>
      </c>
      <c r="B778" s="237"/>
      <c r="C778" s="237" t="s">
        <v>4259</v>
      </c>
      <c r="D778" s="243" t="s">
        <v>4260</v>
      </c>
      <c r="E778" s="237">
        <v>61</v>
      </c>
      <c r="F778" s="237" t="s">
        <v>75</v>
      </c>
      <c r="G778" s="255" t="s">
        <v>4261</v>
      </c>
      <c r="H778" s="264" t="s">
        <v>3</v>
      </c>
      <c r="I778" s="237"/>
      <c r="J778" s="240" t="s">
        <v>3732</v>
      </c>
      <c r="K778" s="240"/>
      <c r="L778" s="237" t="s">
        <v>20</v>
      </c>
      <c r="M778" s="237" t="s">
        <v>4286</v>
      </c>
      <c r="N778" s="237"/>
      <c r="O778" s="237"/>
      <c r="P778" s="237"/>
      <c r="Q778" s="527">
        <v>45964</v>
      </c>
      <c r="R778" s="337" t="s">
        <v>309</v>
      </c>
      <c r="S778" s="330" t="s">
        <v>233</v>
      </c>
      <c r="T778" s="339"/>
      <c r="U778" s="237" t="s">
        <v>234</v>
      </c>
      <c r="V778" s="237" t="s">
        <v>652</v>
      </c>
      <c r="W778" s="244">
        <v>46049</v>
      </c>
      <c r="X778" s="237" t="s">
        <v>4265</v>
      </c>
      <c r="Y778" s="237" t="s">
        <v>588</v>
      </c>
      <c r="Z778" s="237" t="s">
        <v>228</v>
      </c>
      <c r="AA778" s="237" t="s">
        <v>4266</v>
      </c>
      <c r="AB778" s="237" t="s">
        <v>228</v>
      </c>
      <c r="AC778" s="237" t="s">
        <v>228</v>
      </c>
    </row>
    <row r="779" spans="1:29" ht="13.5" customHeight="1">
      <c r="A779" s="235">
        <v>777</v>
      </c>
      <c r="B779" s="237"/>
      <c r="C779" s="237" t="s">
        <v>4267</v>
      </c>
      <c r="D779" s="243" t="s">
        <v>4268</v>
      </c>
      <c r="E779" s="237">
        <v>42</v>
      </c>
      <c r="F779" s="237" t="s">
        <v>75</v>
      </c>
      <c r="G779" s="255" t="s">
        <v>4269</v>
      </c>
      <c r="H779" s="264" t="s">
        <v>3</v>
      </c>
      <c r="I779" s="237"/>
      <c r="J779" s="240" t="s">
        <v>3732</v>
      </c>
      <c r="K779" s="240"/>
      <c r="L779" s="237" t="s">
        <v>20</v>
      </c>
      <c r="M779" s="237" t="s">
        <v>4286</v>
      </c>
      <c r="N779" s="237"/>
      <c r="O779" s="237"/>
      <c r="P779" s="237"/>
      <c r="Q779" s="527">
        <v>45964</v>
      </c>
      <c r="R779" s="337" t="s">
        <v>309</v>
      </c>
      <c r="S779" s="330" t="s">
        <v>233</v>
      </c>
      <c r="T779" s="339"/>
      <c r="U779" s="237" t="s">
        <v>234</v>
      </c>
      <c r="V779" s="237" t="s">
        <v>652</v>
      </c>
      <c r="W779" s="244">
        <v>46049</v>
      </c>
      <c r="X779" s="237" t="s">
        <v>4272</v>
      </c>
      <c r="Y779" s="237" t="s">
        <v>588</v>
      </c>
      <c r="Z779" s="237" t="s">
        <v>237</v>
      </c>
      <c r="AA779" s="237" t="s">
        <v>4273</v>
      </c>
      <c r="AB779" s="237" t="s">
        <v>228</v>
      </c>
      <c r="AC779" s="237" t="s">
        <v>228</v>
      </c>
    </row>
    <row r="780" spans="1:29" ht="13.5" customHeight="1">
      <c r="A780" s="235">
        <v>778</v>
      </c>
      <c r="B780" s="237"/>
      <c r="C780" s="237" t="s">
        <v>4274</v>
      </c>
      <c r="D780" s="243" t="s">
        <v>4275</v>
      </c>
      <c r="E780" s="237">
        <v>55</v>
      </c>
      <c r="F780" s="237" t="s">
        <v>75</v>
      </c>
      <c r="G780" s="255" t="s">
        <v>4276</v>
      </c>
      <c r="H780" s="264" t="s">
        <v>5</v>
      </c>
      <c r="I780" s="237"/>
      <c r="J780" s="240" t="s">
        <v>3732</v>
      </c>
      <c r="K780" s="240"/>
      <c r="L780" s="237" t="s">
        <v>20</v>
      </c>
      <c r="M780" s="237"/>
      <c r="N780" s="237"/>
      <c r="O780" s="237"/>
      <c r="P780" s="237"/>
      <c r="Q780" s="527">
        <v>45966</v>
      </c>
      <c r="R780" s="337" t="s">
        <v>309</v>
      </c>
      <c r="S780" s="330" t="s">
        <v>233</v>
      </c>
      <c r="T780" s="339"/>
      <c r="U780" s="237" t="s">
        <v>234</v>
      </c>
      <c r="V780" s="237" t="s">
        <v>652</v>
      </c>
      <c r="W780" s="244">
        <v>46049</v>
      </c>
      <c r="X780" s="237" t="s">
        <v>4280</v>
      </c>
      <c r="Y780" s="237" t="s">
        <v>588</v>
      </c>
      <c r="Z780" s="237" t="s">
        <v>228</v>
      </c>
      <c r="AA780" s="237" t="s">
        <v>4281</v>
      </c>
      <c r="AB780" s="237" t="s">
        <v>228</v>
      </c>
      <c r="AC780" s="237" t="s">
        <v>228</v>
      </c>
    </row>
    <row r="781" spans="1:29" ht="13.5" customHeight="1">
      <c r="A781" s="235">
        <v>779</v>
      </c>
      <c r="B781" s="237"/>
      <c r="C781" s="237" t="s">
        <v>4282</v>
      </c>
      <c r="D781" s="243" t="s">
        <v>4283</v>
      </c>
      <c r="E781" s="237">
        <v>60</v>
      </c>
      <c r="F781" s="237" t="s">
        <v>60</v>
      </c>
      <c r="G781" s="255" t="s">
        <v>4284</v>
      </c>
      <c r="H781" s="264" t="s">
        <v>3</v>
      </c>
      <c r="I781" s="237"/>
      <c r="J781" s="240" t="s">
        <v>3732</v>
      </c>
      <c r="K781" s="240"/>
      <c r="L781" s="237" t="s">
        <v>20</v>
      </c>
      <c r="M781" s="237" t="s">
        <v>4286</v>
      </c>
      <c r="N781" s="237"/>
      <c r="O781" s="237"/>
      <c r="P781" s="237"/>
      <c r="Q781" s="527">
        <v>45966</v>
      </c>
      <c r="R781" s="337" t="s">
        <v>309</v>
      </c>
      <c r="S781" s="330" t="s">
        <v>233</v>
      </c>
      <c r="T781" s="339"/>
      <c r="U781" s="237" t="s">
        <v>234</v>
      </c>
      <c r="V781" s="237" t="s">
        <v>652</v>
      </c>
      <c r="W781" s="244">
        <v>46049</v>
      </c>
      <c r="X781" s="237" t="s">
        <v>4287</v>
      </c>
      <c r="Y781" s="237" t="s">
        <v>588</v>
      </c>
      <c r="Z781" s="237" t="s">
        <v>237</v>
      </c>
      <c r="AA781" s="237" t="s">
        <v>4288</v>
      </c>
      <c r="AB781" s="237" t="s">
        <v>228</v>
      </c>
      <c r="AC781" s="237" t="s">
        <v>228</v>
      </c>
    </row>
    <row r="782" spans="1:29" ht="13.5" customHeight="1">
      <c r="A782" s="235">
        <v>780</v>
      </c>
      <c r="B782" s="237"/>
      <c r="C782" s="237" t="s">
        <v>4289</v>
      </c>
      <c r="D782" s="243" t="s">
        <v>4290</v>
      </c>
      <c r="E782" s="237">
        <v>75</v>
      </c>
      <c r="F782" s="237" t="s">
        <v>75</v>
      </c>
      <c r="G782" s="255" t="s">
        <v>4291</v>
      </c>
      <c r="H782" s="264" t="s">
        <v>3</v>
      </c>
      <c r="I782" s="237"/>
      <c r="J782" s="240" t="s">
        <v>886</v>
      </c>
      <c r="K782" s="240"/>
      <c r="L782" s="237" t="s">
        <v>20</v>
      </c>
      <c r="M782" s="237"/>
      <c r="N782" s="237"/>
      <c r="O782" s="237"/>
      <c r="P782" s="237"/>
      <c r="Q782" s="527">
        <v>45967</v>
      </c>
      <c r="R782" s="337" t="s">
        <v>309</v>
      </c>
      <c r="S782" s="330" t="s">
        <v>233</v>
      </c>
      <c r="T782" s="339"/>
      <c r="U782" s="237" t="s">
        <v>234</v>
      </c>
      <c r="V782" s="237" t="s">
        <v>652</v>
      </c>
      <c r="W782" s="244">
        <v>46049</v>
      </c>
      <c r="X782" s="237" t="s">
        <v>4293</v>
      </c>
      <c r="Y782" s="237" t="s">
        <v>588</v>
      </c>
      <c r="Z782" s="237" t="s">
        <v>237</v>
      </c>
      <c r="AA782" s="237" t="s">
        <v>4294</v>
      </c>
      <c r="AB782" s="237" t="s">
        <v>228</v>
      </c>
      <c r="AC782" s="237" t="s">
        <v>228</v>
      </c>
    </row>
    <row r="783" spans="1:29" ht="13.5" customHeight="1">
      <c r="A783" s="235">
        <v>781</v>
      </c>
      <c r="B783" s="237"/>
      <c r="C783" s="237" t="s">
        <v>4295</v>
      </c>
      <c r="D783" s="243" t="s">
        <v>4296</v>
      </c>
      <c r="E783" s="237">
        <v>61</v>
      </c>
      <c r="F783" s="237" t="s">
        <v>75</v>
      </c>
      <c r="G783" s="255" t="s">
        <v>4297</v>
      </c>
      <c r="H783" s="264" t="s">
        <v>3</v>
      </c>
      <c r="I783" s="237"/>
      <c r="J783" s="240" t="s">
        <v>886</v>
      </c>
      <c r="K783" s="240"/>
      <c r="L783" s="237" t="s">
        <v>20</v>
      </c>
      <c r="M783" s="237"/>
      <c r="N783" s="237"/>
      <c r="O783" s="237"/>
      <c r="P783" s="237"/>
      <c r="Q783" s="527">
        <v>45993</v>
      </c>
      <c r="R783" s="337" t="s">
        <v>309</v>
      </c>
      <c r="S783" s="330" t="s">
        <v>233</v>
      </c>
      <c r="T783" s="339"/>
      <c r="U783" s="237"/>
      <c r="V783" s="237"/>
      <c r="W783" s="244"/>
      <c r="X783" s="237"/>
      <c r="Y783" s="237"/>
      <c r="Z783" s="237" t="s">
        <v>228</v>
      </c>
      <c r="AA783" s="237"/>
      <c r="AB783" s="237" t="s">
        <v>228</v>
      </c>
      <c r="AC783" s="237" t="s">
        <v>228</v>
      </c>
    </row>
    <row r="784" spans="1:29" ht="13.5" customHeight="1">
      <c r="A784" s="235">
        <v>782</v>
      </c>
      <c r="B784" s="237"/>
      <c r="C784" s="237" t="s">
        <v>4298</v>
      </c>
      <c r="D784" s="243" t="s">
        <v>4299</v>
      </c>
      <c r="E784" s="237">
        <v>26</v>
      </c>
      <c r="F784" s="237" t="s">
        <v>60</v>
      </c>
      <c r="G784" s="237">
        <v>0</v>
      </c>
      <c r="H784" s="237" t="s">
        <v>27</v>
      </c>
      <c r="I784" s="237"/>
      <c r="J784" s="235" t="s">
        <v>433</v>
      </c>
      <c r="K784" s="240"/>
      <c r="L784" s="237"/>
      <c r="M784" s="237"/>
      <c r="N784" s="237"/>
      <c r="O784" s="237"/>
      <c r="P784" s="237"/>
      <c r="Q784" s="527">
        <v>46001</v>
      </c>
      <c r="R784" s="337" t="s">
        <v>309</v>
      </c>
      <c r="S784" s="330" t="s">
        <v>3715</v>
      </c>
      <c r="T784" s="339"/>
      <c r="U784" s="237"/>
      <c r="V784" s="237"/>
      <c r="W784" s="244"/>
      <c r="X784" s="237"/>
      <c r="Y784" s="237"/>
      <c r="Z784" s="237" t="s">
        <v>228</v>
      </c>
      <c r="AA784" s="237"/>
      <c r="AB784" s="237" t="s">
        <v>228</v>
      </c>
      <c r="AC784" s="237" t="s">
        <v>228</v>
      </c>
    </row>
    <row r="785" spans="1:39" ht="13.5" customHeight="1">
      <c r="A785" s="235">
        <v>783</v>
      </c>
      <c r="B785" s="237"/>
      <c r="C785" s="237" t="s">
        <v>4300</v>
      </c>
      <c r="D785" s="243" t="s">
        <v>4301</v>
      </c>
      <c r="E785" s="237">
        <v>62</v>
      </c>
      <c r="F785" s="237" t="s">
        <v>60</v>
      </c>
      <c r="G785" s="237">
        <v>0</v>
      </c>
      <c r="H785" s="237" t="s">
        <v>27</v>
      </c>
      <c r="I785" s="237"/>
      <c r="J785" s="235" t="s">
        <v>433</v>
      </c>
      <c r="K785" s="240"/>
      <c r="L785" s="237"/>
      <c r="M785" s="237"/>
      <c r="N785" s="237"/>
      <c r="O785" s="237"/>
      <c r="P785" s="237"/>
      <c r="Q785" s="527">
        <v>46002</v>
      </c>
      <c r="R785" s="337" t="s">
        <v>309</v>
      </c>
      <c r="S785" s="330" t="s">
        <v>3715</v>
      </c>
      <c r="T785" s="339"/>
      <c r="U785" s="237"/>
      <c r="V785" s="237"/>
      <c r="W785" s="244"/>
      <c r="X785" s="237"/>
      <c r="Y785" s="237"/>
      <c r="Z785" s="237" t="s">
        <v>228</v>
      </c>
      <c r="AA785" s="237"/>
      <c r="AB785" s="237" t="s">
        <v>228</v>
      </c>
      <c r="AC785" s="237" t="s">
        <v>228</v>
      </c>
    </row>
    <row r="786" spans="1:39" ht="13.5" customHeight="1">
      <c r="A786" s="235">
        <v>784</v>
      </c>
      <c r="B786" s="237"/>
      <c r="C786" s="237" t="s">
        <v>4302</v>
      </c>
      <c r="D786" s="243" t="s">
        <v>4303</v>
      </c>
      <c r="E786" s="237">
        <v>62</v>
      </c>
      <c r="F786" s="237" t="s">
        <v>60</v>
      </c>
      <c r="G786" s="276" t="s">
        <v>4304</v>
      </c>
      <c r="H786" s="237" t="s">
        <v>188</v>
      </c>
      <c r="I786" s="237"/>
      <c r="J786" s="240" t="s">
        <v>3661</v>
      </c>
      <c r="K786" s="240"/>
      <c r="L786" s="237"/>
      <c r="M786" s="237"/>
      <c r="N786" s="237"/>
      <c r="O786" s="237"/>
      <c r="P786" s="237"/>
      <c r="Q786" s="527">
        <v>46005</v>
      </c>
      <c r="R786" s="337" t="s">
        <v>309</v>
      </c>
      <c r="S786" s="330" t="s">
        <v>3715</v>
      </c>
      <c r="T786" s="339"/>
      <c r="U786" s="237"/>
      <c r="V786" s="237"/>
      <c r="W786" s="244"/>
      <c r="X786" s="237"/>
      <c r="Y786" s="237"/>
      <c r="Z786" s="237" t="s">
        <v>228</v>
      </c>
      <c r="AA786" s="237"/>
      <c r="AB786" s="237" t="s">
        <v>228</v>
      </c>
      <c r="AC786" s="237" t="s">
        <v>228</v>
      </c>
    </row>
    <row r="787" spans="1:39" ht="13.5" customHeight="1">
      <c r="A787" s="235">
        <v>785</v>
      </c>
      <c r="B787" s="237"/>
      <c r="C787" s="237" t="s">
        <v>4305</v>
      </c>
      <c r="D787" s="243" t="s">
        <v>4306</v>
      </c>
      <c r="E787" s="237">
        <v>59</v>
      </c>
      <c r="F787" s="237" t="s">
        <v>60</v>
      </c>
      <c r="G787" s="237">
        <v>0</v>
      </c>
      <c r="H787" s="237" t="s">
        <v>27</v>
      </c>
      <c r="I787" s="237"/>
      <c r="J787" s="235" t="s">
        <v>433</v>
      </c>
      <c r="K787" s="240"/>
      <c r="L787" s="237"/>
      <c r="M787" s="237"/>
      <c r="N787" s="237"/>
      <c r="O787" s="237"/>
      <c r="P787" s="237"/>
      <c r="Q787" s="527">
        <v>46006</v>
      </c>
      <c r="R787" s="337" t="s">
        <v>309</v>
      </c>
      <c r="S787" s="330" t="s">
        <v>3715</v>
      </c>
      <c r="T787" s="339"/>
      <c r="U787" s="237"/>
      <c r="V787" s="237"/>
      <c r="W787" s="244"/>
      <c r="X787" s="237"/>
      <c r="Y787" s="237"/>
      <c r="Z787" s="237" t="s">
        <v>228</v>
      </c>
      <c r="AA787" s="237"/>
      <c r="AB787" s="237" t="s">
        <v>228</v>
      </c>
      <c r="AC787" s="237" t="s">
        <v>228</v>
      </c>
    </row>
    <row r="788" spans="1:39" ht="13.5" customHeight="1">
      <c r="A788" s="235">
        <v>786</v>
      </c>
      <c r="B788" s="237"/>
      <c r="C788" s="237" t="s">
        <v>4307</v>
      </c>
      <c r="D788" s="243" t="s">
        <v>4308</v>
      </c>
      <c r="E788" s="237">
        <v>43</v>
      </c>
      <c r="F788" s="237" t="s">
        <v>75</v>
      </c>
      <c r="G788" s="276" t="s">
        <v>4309</v>
      </c>
      <c r="H788" s="264" t="s">
        <v>3</v>
      </c>
      <c r="I788" s="237"/>
      <c r="J788" s="240" t="s">
        <v>3732</v>
      </c>
      <c r="K788" s="240"/>
      <c r="L788" s="237" t="s">
        <v>20</v>
      </c>
      <c r="M788" s="237"/>
      <c r="N788" s="237"/>
      <c r="O788" s="237"/>
      <c r="P788" s="237"/>
      <c r="Q788" s="527">
        <v>46014</v>
      </c>
      <c r="R788" s="337" t="s">
        <v>309</v>
      </c>
      <c r="S788" s="330" t="s">
        <v>233</v>
      </c>
      <c r="T788" s="339"/>
      <c r="U788" s="237"/>
      <c r="V788" s="237"/>
      <c r="W788" s="244"/>
      <c r="X788" s="237"/>
      <c r="Y788" s="237"/>
      <c r="Z788" s="237" t="s">
        <v>228</v>
      </c>
      <c r="AA788" s="237"/>
      <c r="AB788" s="237" t="s">
        <v>228</v>
      </c>
      <c r="AC788" s="237" t="s">
        <v>228</v>
      </c>
    </row>
    <row r="789" spans="1:39" ht="13.5" customHeight="1">
      <c r="A789" s="235">
        <v>787</v>
      </c>
      <c r="B789" s="237"/>
      <c r="C789" s="237" t="s">
        <v>4312</v>
      </c>
      <c r="D789" s="243" t="s">
        <v>4313</v>
      </c>
      <c r="E789" s="237">
        <v>54</v>
      </c>
      <c r="F789" s="237" t="s">
        <v>60</v>
      </c>
      <c r="G789" s="255" t="s">
        <v>4314</v>
      </c>
      <c r="H789" s="237" t="s">
        <v>20</v>
      </c>
      <c r="I789" s="237"/>
      <c r="K789" s="240"/>
      <c r="L789" s="237"/>
      <c r="M789" s="237"/>
      <c r="N789" s="237"/>
      <c r="O789" s="237"/>
      <c r="P789" s="237"/>
      <c r="Q789" s="527">
        <v>45667</v>
      </c>
      <c r="R789" s="337" t="s">
        <v>309</v>
      </c>
      <c r="S789" s="330" t="s">
        <v>3715</v>
      </c>
      <c r="T789" s="339"/>
      <c r="U789" s="237"/>
      <c r="V789" s="237"/>
      <c r="W789" s="244"/>
      <c r="X789" s="237"/>
      <c r="Y789" s="237"/>
      <c r="Z789" s="237" t="s">
        <v>228</v>
      </c>
      <c r="AA789" s="237"/>
      <c r="AB789" s="237" t="s">
        <v>228</v>
      </c>
      <c r="AC789" s="237" t="s">
        <v>228</v>
      </c>
    </row>
    <row r="790" spans="1:39" ht="13.5" customHeight="1">
      <c r="A790" s="235">
        <v>788</v>
      </c>
      <c r="B790" s="237"/>
      <c r="C790" s="237" t="s">
        <v>4315</v>
      </c>
      <c r="D790" s="243" t="s">
        <v>4316</v>
      </c>
      <c r="E790" s="237">
        <v>57</v>
      </c>
      <c r="F790" s="237" t="s">
        <v>60</v>
      </c>
      <c r="G790" s="255" t="s">
        <v>4317</v>
      </c>
      <c r="H790" s="237" t="s">
        <v>20</v>
      </c>
      <c r="I790" s="237"/>
      <c r="K790" s="240"/>
      <c r="L790" s="237"/>
      <c r="M790" s="237"/>
      <c r="N790" s="237"/>
      <c r="O790" s="237"/>
      <c r="P790" s="237"/>
      <c r="Q790" s="527">
        <v>45667</v>
      </c>
      <c r="R790" s="337" t="s">
        <v>309</v>
      </c>
      <c r="S790" s="330" t="s">
        <v>3715</v>
      </c>
      <c r="T790" s="339"/>
      <c r="U790" s="237"/>
      <c r="V790" s="237"/>
      <c r="W790" s="244"/>
      <c r="X790" s="237"/>
      <c r="Y790" s="237"/>
      <c r="Z790" s="237" t="s">
        <v>228</v>
      </c>
      <c r="AA790" s="237"/>
      <c r="AB790" s="237" t="s">
        <v>228</v>
      </c>
      <c r="AC790" s="237" t="s">
        <v>228</v>
      </c>
    </row>
    <row r="791" spans="1:39" ht="13.5" customHeight="1">
      <c r="A791" s="235">
        <v>789</v>
      </c>
      <c r="B791" s="237"/>
      <c r="C791" s="237" t="s">
        <v>4318</v>
      </c>
      <c r="D791" s="243" t="s">
        <v>4319</v>
      </c>
      <c r="E791" s="237">
        <v>32</v>
      </c>
      <c r="F791" s="237" t="s">
        <v>75</v>
      </c>
      <c r="G791" s="255" t="s">
        <v>4320</v>
      </c>
      <c r="H791" s="237" t="s">
        <v>20</v>
      </c>
      <c r="I791" s="237"/>
      <c r="K791" s="240"/>
      <c r="L791" s="237"/>
      <c r="M791" s="237"/>
      <c r="N791" s="237"/>
      <c r="O791" s="237"/>
      <c r="P791" s="237"/>
      <c r="Q791" s="527">
        <v>45667</v>
      </c>
      <c r="R791" s="337" t="s">
        <v>309</v>
      </c>
      <c r="S791" s="330" t="s">
        <v>3715</v>
      </c>
      <c r="T791" s="339"/>
      <c r="U791" s="237"/>
      <c r="V791" s="237"/>
      <c r="W791" s="244"/>
      <c r="X791" s="237"/>
      <c r="Y791" s="237"/>
      <c r="Z791" s="237" t="s">
        <v>228</v>
      </c>
      <c r="AA791" s="237"/>
      <c r="AB791" s="237" t="s">
        <v>228</v>
      </c>
      <c r="AC791" s="237" t="s">
        <v>228</v>
      </c>
    </row>
    <row r="792" spans="1:39" ht="13.5" customHeight="1">
      <c r="A792" s="235">
        <v>790</v>
      </c>
      <c r="B792" s="278">
        <v>2026</v>
      </c>
      <c r="C792" s="268" t="s">
        <v>4321</v>
      </c>
      <c r="D792" s="235" t="s">
        <v>4322</v>
      </c>
      <c r="E792" s="240">
        <v>45</v>
      </c>
      <c r="F792" s="240" t="s">
        <v>60</v>
      </c>
      <c r="G792" s="235" t="s">
        <v>4323</v>
      </c>
      <c r="H792" s="237" t="s">
        <v>15</v>
      </c>
      <c r="I792" s="237"/>
      <c r="J792" s="240"/>
      <c r="L792" s="279"/>
      <c r="N792" s="277" t="s">
        <v>4326</v>
      </c>
      <c r="Q792" s="529">
        <v>46024</v>
      </c>
      <c r="R792" s="337" t="s">
        <v>309</v>
      </c>
      <c r="S792" s="330" t="s">
        <v>3715</v>
      </c>
      <c r="T792" s="302"/>
      <c r="Z792" s="237" t="s">
        <v>228</v>
      </c>
      <c r="AB792" s="237" t="s">
        <v>228</v>
      </c>
      <c r="AC792" s="237" t="s">
        <v>228</v>
      </c>
    </row>
    <row r="793" spans="1:39" ht="13.5" customHeight="1">
      <c r="A793" s="235">
        <v>791</v>
      </c>
      <c r="C793" s="268" t="s">
        <v>4327</v>
      </c>
      <c r="D793" s="235" t="s">
        <v>4328</v>
      </c>
      <c r="E793" s="240">
        <v>18</v>
      </c>
      <c r="F793" s="240" t="s">
        <v>60</v>
      </c>
      <c r="G793" s="235" t="s">
        <v>4329</v>
      </c>
      <c r="H793" s="268" t="s">
        <v>188</v>
      </c>
      <c r="I793" s="237"/>
      <c r="J793" s="240"/>
      <c r="L793" s="279"/>
      <c r="Q793" s="529">
        <v>46029</v>
      </c>
      <c r="R793" s="337" t="s">
        <v>309</v>
      </c>
      <c r="S793" s="330" t="s">
        <v>3715</v>
      </c>
      <c r="T793" s="302"/>
      <c r="Z793" s="237" t="s">
        <v>228</v>
      </c>
      <c r="AB793" s="237" t="s">
        <v>228</v>
      </c>
      <c r="AC793" s="237" t="s">
        <v>228</v>
      </c>
    </row>
    <row r="794" spans="1:39" ht="13.5" customHeight="1">
      <c r="A794" s="235">
        <v>792</v>
      </c>
      <c r="C794" s="268" t="s">
        <v>4330</v>
      </c>
      <c r="D794" s="235" t="s">
        <v>4331</v>
      </c>
      <c r="E794" s="240">
        <v>35</v>
      </c>
      <c r="F794" s="240" t="s">
        <v>60</v>
      </c>
      <c r="G794" s="235" t="s">
        <v>4332</v>
      </c>
      <c r="H794" s="268" t="s">
        <v>188</v>
      </c>
      <c r="I794" s="237"/>
      <c r="J794" s="240"/>
      <c r="L794" s="279"/>
      <c r="Q794" s="529">
        <v>46038</v>
      </c>
      <c r="R794" s="337" t="s">
        <v>309</v>
      </c>
      <c r="S794" s="330" t="s">
        <v>3715</v>
      </c>
      <c r="T794" s="302"/>
      <c r="Z794" s="237" t="s">
        <v>228</v>
      </c>
      <c r="AB794" s="237" t="s">
        <v>228</v>
      </c>
      <c r="AC794" s="237" t="s">
        <v>228</v>
      </c>
    </row>
    <row r="795" spans="1:39" ht="13.5" customHeight="1">
      <c r="A795" s="235">
        <v>793</v>
      </c>
      <c r="C795" s="268" t="s">
        <v>4333</v>
      </c>
      <c r="D795" s="235" t="s">
        <v>4334</v>
      </c>
      <c r="E795" s="240">
        <v>31</v>
      </c>
      <c r="F795" s="240" t="s">
        <v>60</v>
      </c>
      <c r="G795" s="235" t="s">
        <v>4335</v>
      </c>
      <c r="H795" s="268" t="s">
        <v>188</v>
      </c>
      <c r="I795" s="237"/>
      <c r="J795" s="240"/>
      <c r="L795" s="279"/>
      <c r="Q795" s="529">
        <v>46038</v>
      </c>
      <c r="R795" s="337" t="s">
        <v>309</v>
      </c>
      <c r="S795" s="330" t="s">
        <v>3715</v>
      </c>
      <c r="T795" s="302"/>
      <c r="Z795" s="237" t="s">
        <v>228</v>
      </c>
      <c r="AB795" s="237" t="s">
        <v>228</v>
      </c>
      <c r="AC795" s="237" t="s">
        <v>228</v>
      </c>
    </row>
    <row r="796" spans="1:39" ht="13.5" customHeight="1">
      <c r="A796" s="235">
        <v>794</v>
      </c>
      <c r="C796" s="268" t="s">
        <v>4336</v>
      </c>
      <c r="D796" s="235" t="s">
        <v>4337</v>
      </c>
      <c r="E796" s="240">
        <v>55</v>
      </c>
      <c r="F796" s="240" t="s">
        <v>60</v>
      </c>
      <c r="G796" s="235" t="s">
        <v>4338</v>
      </c>
      <c r="H796" s="268" t="s">
        <v>188</v>
      </c>
      <c r="I796" s="237"/>
      <c r="J796" s="240"/>
      <c r="L796" s="279"/>
      <c r="Q796" s="529">
        <v>46038</v>
      </c>
      <c r="R796" s="337" t="s">
        <v>309</v>
      </c>
      <c r="S796" s="330" t="s">
        <v>3715</v>
      </c>
      <c r="T796" s="302"/>
      <c r="Z796" s="237" t="s">
        <v>228</v>
      </c>
      <c r="AB796" s="237" t="s">
        <v>228</v>
      </c>
      <c r="AC796" s="237" t="s">
        <v>228</v>
      </c>
    </row>
    <row r="797" spans="1:39" ht="13.5" customHeight="1">
      <c r="A797" s="235">
        <v>795</v>
      </c>
      <c r="C797" s="268" t="s">
        <v>4339</v>
      </c>
      <c r="D797" s="235" t="s">
        <v>4340</v>
      </c>
      <c r="E797" s="240">
        <v>34</v>
      </c>
      <c r="F797" s="240" t="s">
        <v>60</v>
      </c>
      <c r="G797" s="235" t="s">
        <v>4341</v>
      </c>
      <c r="H797" s="268" t="s">
        <v>188</v>
      </c>
      <c r="I797" s="237"/>
      <c r="J797" s="240"/>
      <c r="L797" s="279"/>
      <c r="Q797" s="529">
        <v>46038</v>
      </c>
      <c r="R797" s="337" t="s">
        <v>309</v>
      </c>
      <c r="S797" s="330" t="s">
        <v>3715</v>
      </c>
      <c r="T797" s="302"/>
      <c r="Z797" s="237" t="s">
        <v>228</v>
      </c>
      <c r="AB797" s="237" t="s">
        <v>228</v>
      </c>
      <c r="AC797" s="237" t="s">
        <v>228</v>
      </c>
    </row>
    <row r="798" spans="1:39" ht="13.5" customHeight="1">
      <c r="A798" s="235">
        <v>796</v>
      </c>
      <c r="C798" s="268" t="s">
        <v>4342</v>
      </c>
      <c r="D798" s="235" t="s">
        <v>4343</v>
      </c>
      <c r="E798" s="240">
        <v>56</v>
      </c>
      <c r="F798" s="240" t="s">
        <v>60</v>
      </c>
      <c r="G798" s="235" t="s">
        <v>4344</v>
      </c>
      <c r="H798" s="268" t="s">
        <v>188</v>
      </c>
      <c r="I798" s="237"/>
      <c r="J798" s="240"/>
      <c r="L798" s="279"/>
      <c r="Q798" s="529">
        <v>46039</v>
      </c>
      <c r="R798" s="337" t="s">
        <v>309</v>
      </c>
      <c r="S798" s="330" t="s">
        <v>3715</v>
      </c>
      <c r="T798" s="302"/>
      <c r="Z798" s="237" t="s">
        <v>228</v>
      </c>
      <c r="AB798" s="237" t="s">
        <v>228</v>
      </c>
      <c r="AC798" s="237" t="s">
        <v>228</v>
      </c>
    </row>
    <row r="799" spans="1:39" s="306" customFormat="1" ht="13.5" customHeight="1">
      <c r="A799" s="235">
        <v>797</v>
      </c>
      <c r="C799" s="291" t="s">
        <v>4345</v>
      </c>
      <c r="D799" s="306" t="s">
        <v>4346</v>
      </c>
      <c r="E799" s="290">
        <v>76</v>
      </c>
      <c r="F799" s="290" t="s">
        <v>75</v>
      </c>
      <c r="G799" s="306" t="s">
        <v>4347</v>
      </c>
      <c r="H799" s="264" t="s">
        <v>4398</v>
      </c>
      <c r="I799" s="291" t="s">
        <v>4400</v>
      </c>
      <c r="J799" s="290"/>
      <c r="K799" s="291" t="s">
        <v>105</v>
      </c>
      <c r="L799" s="291" t="s">
        <v>105</v>
      </c>
      <c r="Q799" s="530">
        <v>46039</v>
      </c>
      <c r="R799" s="364" t="s">
        <v>309</v>
      </c>
      <c r="S799" s="365" t="s">
        <v>3715</v>
      </c>
      <c r="T799" s="310"/>
      <c r="Z799" s="237" t="s">
        <v>228</v>
      </c>
      <c r="AB799" s="264" t="s">
        <v>228</v>
      </c>
      <c r="AC799" s="264" t="s">
        <v>228</v>
      </c>
      <c r="AD799" s="309"/>
      <c r="AE799" s="309"/>
      <c r="AF799" s="309"/>
      <c r="AG799" s="309"/>
      <c r="AH799" s="309"/>
      <c r="AI799" s="309"/>
      <c r="AJ799" s="309"/>
      <c r="AK799" s="309"/>
      <c r="AL799" s="309"/>
      <c r="AM799" s="310"/>
    </row>
    <row r="800" spans="1:39" ht="13.5" customHeight="1">
      <c r="A800" s="235">
        <v>798</v>
      </c>
      <c r="C800" s="268" t="s">
        <v>4349</v>
      </c>
      <c r="D800" s="235" t="s">
        <v>4350</v>
      </c>
      <c r="E800" s="240">
        <v>58</v>
      </c>
      <c r="F800" s="240" t="s">
        <v>60</v>
      </c>
      <c r="G800" s="235" t="s">
        <v>4351</v>
      </c>
      <c r="H800" s="268" t="s">
        <v>188</v>
      </c>
      <c r="J800" s="240"/>
      <c r="L800" s="279"/>
      <c r="Q800" s="529">
        <v>46042</v>
      </c>
      <c r="R800" s="337" t="s">
        <v>309</v>
      </c>
      <c r="S800" s="330" t="s">
        <v>3715</v>
      </c>
      <c r="T800" s="302"/>
      <c r="Z800" s="237" t="s">
        <v>228</v>
      </c>
      <c r="AB800" s="237" t="s">
        <v>228</v>
      </c>
      <c r="AC800" s="237" t="s">
        <v>228</v>
      </c>
    </row>
    <row r="801" spans="1:29" ht="13.5" customHeight="1">
      <c r="A801" s="235">
        <v>799</v>
      </c>
      <c r="C801" s="268" t="s">
        <v>4352</v>
      </c>
      <c r="D801" s="235" t="s">
        <v>4353</v>
      </c>
      <c r="E801" s="240">
        <v>50</v>
      </c>
      <c r="F801" s="240" t="s">
        <v>75</v>
      </c>
      <c r="G801" s="235" t="s">
        <v>4354</v>
      </c>
      <c r="H801" s="268" t="s">
        <v>188</v>
      </c>
      <c r="J801" s="240"/>
      <c r="L801" s="279"/>
      <c r="Q801" s="529">
        <v>46042</v>
      </c>
      <c r="R801" s="337" t="s">
        <v>309</v>
      </c>
      <c r="S801" s="330" t="s">
        <v>3715</v>
      </c>
      <c r="T801" s="302"/>
      <c r="Z801" s="237" t="s">
        <v>228</v>
      </c>
      <c r="AB801" s="237" t="s">
        <v>228</v>
      </c>
      <c r="AC801" s="237" t="s">
        <v>228</v>
      </c>
    </row>
    <row r="802" spans="1:29" ht="13.5" customHeight="1">
      <c r="A802" s="235">
        <v>800</v>
      </c>
      <c r="C802" s="268" t="s">
        <v>4355</v>
      </c>
      <c r="D802" s="235" t="s">
        <v>4356</v>
      </c>
      <c r="E802" s="240">
        <v>40</v>
      </c>
      <c r="F802" s="240" t="s">
        <v>75</v>
      </c>
      <c r="G802" s="235" t="s">
        <v>4357</v>
      </c>
      <c r="H802" s="268" t="s">
        <v>188</v>
      </c>
      <c r="J802" s="240"/>
      <c r="L802" s="279"/>
      <c r="Q802" s="529">
        <v>46042</v>
      </c>
      <c r="R802" s="337" t="s">
        <v>309</v>
      </c>
      <c r="S802" s="330" t="s">
        <v>3715</v>
      </c>
      <c r="T802" s="302"/>
      <c r="Z802" s="237" t="s">
        <v>228</v>
      </c>
      <c r="AB802" s="237" t="s">
        <v>228</v>
      </c>
      <c r="AC802" s="237" t="s">
        <v>228</v>
      </c>
    </row>
    <row r="803" spans="1:29" ht="13.5" customHeight="1">
      <c r="A803" s="235">
        <v>801</v>
      </c>
      <c r="C803" s="268" t="s">
        <v>4358</v>
      </c>
      <c r="D803" s="235" t="s">
        <v>4359</v>
      </c>
      <c r="E803" s="240">
        <v>53</v>
      </c>
      <c r="F803" s="240" t="s">
        <v>75</v>
      </c>
      <c r="G803" s="235" t="s">
        <v>4360</v>
      </c>
      <c r="H803" s="268" t="s">
        <v>188</v>
      </c>
      <c r="J803" s="240"/>
      <c r="L803" s="279"/>
      <c r="Q803" s="529">
        <v>46042</v>
      </c>
      <c r="R803" s="337" t="s">
        <v>309</v>
      </c>
      <c r="S803" s="330" t="s">
        <v>3715</v>
      </c>
      <c r="T803" s="302"/>
      <c r="Z803" s="237" t="s">
        <v>228</v>
      </c>
      <c r="AB803" s="237" t="s">
        <v>228</v>
      </c>
      <c r="AC803" s="237" t="s">
        <v>228</v>
      </c>
    </row>
    <row r="804" spans="1:29" ht="13.5" customHeight="1">
      <c r="A804" s="235">
        <v>802</v>
      </c>
      <c r="C804" s="268" t="s">
        <v>4361</v>
      </c>
      <c r="D804" s="235" t="s">
        <v>4362</v>
      </c>
      <c r="E804" s="240">
        <v>43</v>
      </c>
      <c r="F804" s="240" t="s">
        <v>60</v>
      </c>
      <c r="G804" s="235" t="s">
        <v>4363</v>
      </c>
      <c r="H804" s="268" t="s">
        <v>188</v>
      </c>
      <c r="J804" s="240"/>
      <c r="L804" s="279"/>
      <c r="Q804" s="529">
        <v>46042</v>
      </c>
      <c r="R804" s="337" t="s">
        <v>309</v>
      </c>
      <c r="S804" s="330" t="s">
        <v>3715</v>
      </c>
      <c r="T804" s="302"/>
      <c r="Z804" s="237" t="s">
        <v>228</v>
      </c>
      <c r="AB804" s="237" t="s">
        <v>228</v>
      </c>
      <c r="AC804" s="237" t="s">
        <v>228</v>
      </c>
    </row>
    <row r="805" spans="1:29" ht="13.5" customHeight="1">
      <c r="A805" s="235">
        <v>803</v>
      </c>
      <c r="C805" s="268" t="s">
        <v>4364</v>
      </c>
      <c r="D805" s="235" t="s">
        <v>4365</v>
      </c>
      <c r="E805" s="240">
        <v>43</v>
      </c>
      <c r="F805" s="240" t="s">
        <v>60</v>
      </c>
      <c r="G805" s="235" t="s">
        <v>4366</v>
      </c>
      <c r="H805" s="268" t="s">
        <v>188</v>
      </c>
      <c r="J805" s="240"/>
      <c r="L805" s="279"/>
      <c r="Q805" s="529">
        <v>46042</v>
      </c>
      <c r="R805" s="337" t="s">
        <v>309</v>
      </c>
      <c r="S805" s="330" t="s">
        <v>3715</v>
      </c>
      <c r="T805" s="302"/>
      <c r="Z805" s="237" t="s">
        <v>228</v>
      </c>
      <c r="AB805" s="237" t="s">
        <v>228</v>
      </c>
      <c r="AC805" s="237" t="s">
        <v>228</v>
      </c>
    </row>
    <row r="806" spans="1:29" ht="13.5" customHeight="1">
      <c r="A806" s="235">
        <v>804</v>
      </c>
      <c r="C806" s="268" t="s">
        <v>4367</v>
      </c>
      <c r="D806" s="235" t="s">
        <v>4368</v>
      </c>
      <c r="E806" s="240">
        <v>25</v>
      </c>
      <c r="F806" s="240" t="s">
        <v>60</v>
      </c>
      <c r="G806" s="235" t="s">
        <v>4369</v>
      </c>
      <c r="H806" s="268" t="s">
        <v>188</v>
      </c>
      <c r="J806" s="240"/>
      <c r="L806" s="279"/>
      <c r="Q806" s="529">
        <v>46042</v>
      </c>
      <c r="R806" s="337" t="s">
        <v>309</v>
      </c>
      <c r="S806" s="330" t="s">
        <v>3715</v>
      </c>
      <c r="T806" s="302"/>
      <c r="Z806" s="237" t="s">
        <v>228</v>
      </c>
      <c r="AB806" s="237" t="s">
        <v>228</v>
      </c>
      <c r="AC806" s="237" t="s">
        <v>228</v>
      </c>
    </row>
    <row r="807" spans="1:29" ht="13.5" customHeight="1">
      <c r="A807" s="235">
        <v>805</v>
      </c>
      <c r="C807" s="268" t="s">
        <v>4370</v>
      </c>
      <c r="D807" s="235" t="s">
        <v>4371</v>
      </c>
      <c r="E807" s="240">
        <v>42</v>
      </c>
      <c r="F807" s="240" t="s">
        <v>60</v>
      </c>
      <c r="H807" s="268" t="s">
        <v>188</v>
      </c>
      <c r="J807" s="240"/>
      <c r="L807" s="279"/>
      <c r="Q807" s="529">
        <v>46043</v>
      </c>
      <c r="R807" s="337" t="s">
        <v>309</v>
      </c>
      <c r="S807" s="330" t="s">
        <v>3715</v>
      </c>
      <c r="T807" s="302"/>
      <c r="Z807" s="237" t="s">
        <v>228</v>
      </c>
      <c r="AB807" s="237" t="s">
        <v>228</v>
      </c>
      <c r="AC807" s="237" t="s">
        <v>228</v>
      </c>
    </row>
    <row r="808" spans="1:29" ht="13.5" customHeight="1">
      <c r="A808" s="235">
        <v>806</v>
      </c>
      <c r="C808" s="268" t="s">
        <v>4372</v>
      </c>
      <c r="D808" s="235" t="s">
        <v>4373</v>
      </c>
      <c r="E808" s="240">
        <v>70</v>
      </c>
      <c r="F808" s="240" t="s">
        <v>75</v>
      </c>
      <c r="G808" s="235" t="s">
        <v>4374</v>
      </c>
      <c r="H808" s="268" t="s">
        <v>188</v>
      </c>
      <c r="J808" s="240" t="s">
        <v>4375</v>
      </c>
      <c r="L808" s="279"/>
      <c r="Q808" s="529">
        <v>46044</v>
      </c>
      <c r="R808" s="337" t="s">
        <v>309</v>
      </c>
      <c r="S808" s="330" t="s">
        <v>3715</v>
      </c>
      <c r="T808" s="302"/>
      <c r="Z808" s="237" t="s">
        <v>228</v>
      </c>
      <c r="AB808" s="237" t="s">
        <v>228</v>
      </c>
      <c r="AC808" s="237" t="s">
        <v>228</v>
      </c>
    </row>
    <row r="809" spans="1:29" ht="13.5" customHeight="1">
      <c r="A809" s="235">
        <v>807</v>
      </c>
      <c r="C809" s="268" t="s">
        <v>4376</v>
      </c>
      <c r="D809" s="235" t="s">
        <v>4377</v>
      </c>
      <c r="E809" s="240">
        <v>75</v>
      </c>
      <c r="F809" s="240" t="s">
        <v>75</v>
      </c>
      <c r="H809" s="268" t="s">
        <v>3</v>
      </c>
      <c r="J809" s="240" t="s">
        <v>886</v>
      </c>
      <c r="K809" s="268" t="s">
        <v>119</v>
      </c>
      <c r="L809" s="72" t="s">
        <v>45</v>
      </c>
      <c r="Q809" s="529">
        <v>46052</v>
      </c>
      <c r="R809" s="337" t="s">
        <v>309</v>
      </c>
      <c r="S809" s="330" t="s">
        <v>3715</v>
      </c>
      <c r="T809" s="302"/>
      <c r="Z809" s="237" t="s">
        <v>228</v>
      </c>
      <c r="AB809" s="237" t="s">
        <v>228</v>
      </c>
      <c r="AC809" s="237" t="s">
        <v>228</v>
      </c>
    </row>
    <row r="810" spans="1:29" ht="13.5" customHeight="1">
      <c r="A810" s="235">
        <v>808</v>
      </c>
      <c r="C810" s="268" t="s">
        <v>4378</v>
      </c>
      <c r="D810" s="235" t="s">
        <v>4379</v>
      </c>
      <c r="E810" s="240">
        <v>37</v>
      </c>
      <c r="F810" s="240" t="s">
        <v>75</v>
      </c>
      <c r="H810" s="291" t="s">
        <v>3</v>
      </c>
      <c r="J810" s="240" t="s">
        <v>886</v>
      </c>
      <c r="L810" s="72" t="s">
        <v>16</v>
      </c>
      <c r="Q810" s="529">
        <v>46052</v>
      </c>
      <c r="R810" s="337" t="s">
        <v>309</v>
      </c>
      <c r="S810" s="330" t="s">
        <v>3715</v>
      </c>
      <c r="T810" s="302"/>
      <c r="Z810" s="237" t="s">
        <v>228</v>
      </c>
      <c r="AB810" s="237" t="s">
        <v>228</v>
      </c>
      <c r="AC810" s="237" t="s">
        <v>228</v>
      </c>
    </row>
    <row r="811" spans="1:29" ht="13.5" customHeight="1">
      <c r="A811" s="235">
        <v>809</v>
      </c>
      <c r="C811" s="268" t="s">
        <v>4380</v>
      </c>
      <c r="D811" s="235" t="s">
        <v>4381</v>
      </c>
      <c r="E811" s="240">
        <v>45</v>
      </c>
      <c r="F811" s="240" t="s">
        <v>75</v>
      </c>
      <c r="H811" s="268" t="s">
        <v>3</v>
      </c>
      <c r="J811" s="240" t="s">
        <v>886</v>
      </c>
      <c r="K811" s="268" t="s">
        <v>107</v>
      </c>
      <c r="L811" s="268" t="s">
        <v>59</v>
      </c>
      <c r="Q811" s="529">
        <v>46052</v>
      </c>
      <c r="R811" s="337" t="s">
        <v>309</v>
      </c>
      <c r="S811" s="330" t="s">
        <v>3715</v>
      </c>
      <c r="T811" s="302"/>
      <c r="Z811" s="237" t="s">
        <v>228</v>
      </c>
      <c r="AB811" s="237" t="s">
        <v>228</v>
      </c>
      <c r="AC811" s="237" t="s">
        <v>228</v>
      </c>
    </row>
    <row r="812" spans="1:29" ht="13.5" customHeight="1">
      <c r="A812" s="235">
        <v>810</v>
      </c>
      <c r="C812" s="268" t="s">
        <v>4382</v>
      </c>
      <c r="D812" s="235" t="s">
        <v>4383</v>
      </c>
      <c r="E812" s="240">
        <v>65</v>
      </c>
      <c r="F812" s="240" t="s">
        <v>75</v>
      </c>
      <c r="H812" s="268" t="s">
        <v>3</v>
      </c>
      <c r="J812" s="240" t="s">
        <v>886</v>
      </c>
      <c r="K812" s="268" t="s">
        <v>106</v>
      </c>
      <c r="L812" s="268" t="s">
        <v>59</v>
      </c>
      <c r="Q812" s="529">
        <v>46052</v>
      </c>
      <c r="R812" s="337" t="s">
        <v>309</v>
      </c>
      <c r="S812" s="330" t="s">
        <v>3715</v>
      </c>
      <c r="T812" s="302"/>
      <c r="Z812" s="237" t="s">
        <v>228</v>
      </c>
      <c r="AB812" s="237" t="s">
        <v>228</v>
      </c>
      <c r="AC812" s="237" t="s">
        <v>228</v>
      </c>
    </row>
    <row r="813" spans="1:29" ht="13.5" customHeight="1">
      <c r="Q813" s="529"/>
      <c r="R813" s="301"/>
      <c r="T813" s="302"/>
      <c r="AB813" s="237"/>
      <c r="AC813" s="237"/>
    </row>
    <row r="814" spans="1:29" ht="13.5" customHeight="1">
      <c r="S814" s="342"/>
      <c r="AB814" s="237"/>
      <c r="AC814" s="237"/>
    </row>
    <row r="815" spans="1:29" ht="13.5" customHeight="1">
      <c r="AB815" s="237"/>
      <c r="AC815" s="237"/>
    </row>
    <row r="816" spans="1:29" ht="13.5" customHeight="1">
      <c r="B816" s="237"/>
      <c r="C816" s="237"/>
      <c r="D816" s="255"/>
      <c r="E816" s="237"/>
      <c r="F816" s="237"/>
      <c r="G816" s="255"/>
      <c r="H816" s="237"/>
      <c r="I816" s="237"/>
      <c r="J816" s="237"/>
      <c r="K816" s="240"/>
      <c r="L816" s="237"/>
      <c r="M816" s="237"/>
      <c r="N816" s="237"/>
      <c r="O816" s="237"/>
      <c r="P816" s="237"/>
      <c r="Q816" s="245"/>
      <c r="R816" s="237"/>
      <c r="S816" s="237"/>
      <c r="T816" s="237"/>
      <c r="U816" s="237"/>
      <c r="V816" s="237"/>
      <c r="W816" s="237"/>
      <c r="X816" s="237"/>
      <c r="Y816" s="237"/>
      <c r="Z816" s="237"/>
      <c r="AA816" s="237"/>
      <c r="AB816" s="237"/>
      <c r="AC816" s="237"/>
    </row>
    <row r="817" spans="2:29" ht="13.5" customHeight="1">
      <c r="B817" s="237"/>
      <c r="C817" s="237"/>
      <c r="D817" s="255"/>
      <c r="E817" s="237"/>
      <c r="F817" s="237"/>
      <c r="G817" s="255"/>
      <c r="H817" s="237"/>
      <c r="I817" s="237"/>
      <c r="J817" s="237"/>
      <c r="K817" s="240"/>
      <c r="L817" s="237"/>
      <c r="M817" s="237"/>
      <c r="N817" s="237"/>
      <c r="O817" s="237"/>
      <c r="P817" s="237"/>
      <c r="Q817" s="245"/>
      <c r="R817" s="237"/>
      <c r="S817" s="237"/>
      <c r="T817" s="237"/>
      <c r="U817" s="237"/>
      <c r="V817" s="237"/>
      <c r="W817" s="237"/>
      <c r="X817" s="237"/>
      <c r="Y817" s="237"/>
      <c r="Z817" s="237"/>
      <c r="AA817" s="237"/>
      <c r="AB817" s="237"/>
      <c r="AC817" s="237"/>
    </row>
    <row r="818" spans="2:29" ht="13.5" customHeight="1">
      <c r="B818" s="237"/>
      <c r="C818" s="237"/>
      <c r="D818" s="255"/>
      <c r="E818" s="237"/>
      <c r="F818" s="237"/>
      <c r="G818" s="255"/>
      <c r="H818" s="237"/>
      <c r="I818" s="237"/>
      <c r="J818" s="237"/>
      <c r="K818" s="240"/>
      <c r="L818" s="237"/>
      <c r="M818" s="237"/>
      <c r="N818" s="237"/>
      <c r="O818" s="237"/>
      <c r="P818" s="237"/>
      <c r="Q818" s="245"/>
      <c r="R818" s="237"/>
      <c r="S818" s="237"/>
      <c r="T818" s="237"/>
      <c r="U818" s="237"/>
      <c r="V818" s="237"/>
      <c r="W818" s="237"/>
      <c r="X818" s="237"/>
      <c r="Y818" s="237"/>
      <c r="Z818" s="237"/>
      <c r="AA818" s="237"/>
      <c r="AB818" s="237"/>
      <c r="AC818" s="237"/>
    </row>
    <row r="819" spans="2:29" ht="13.5" customHeight="1">
      <c r="B819" s="237"/>
      <c r="C819" s="237"/>
      <c r="D819" s="255"/>
      <c r="E819" s="237"/>
      <c r="F819" s="237"/>
      <c r="G819" s="255"/>
      <c r="H819" s="237"/>
      <c r="I819" s="237"/>
      <c r="J819" s="237"/>
      <c r="K819" s="240"/>
      <c r="L819" s="237"/>
      <c r="M819" s="237"/>
      <c r="N819" s="237"/>
      <c r="O819" s="237"/>
      <c r="P819" s="237"/>
      <c r="Q819" s="245"/>
      <c r="R819" s="237"/>
      <c r="S819" s="237"/>
      <c r="T819" s="237"/>
      <c r="U819" s="237"/>
      <c r="V819" s="237"/>
      <c r="W819" s="237"/>
      <c r="X819" s="237"/>
      <c r="Y819" s="237"/>
      <c r="Z819" s="237"/>
      <c r="AA819" s="237"/>
      <c r="AB819" s="237"/>
      <c r="AC819" s="237"/>
    </row>
    <row r="820" spans="2:29" ht="13.5" customHeight="1">
      <c r="B820" s="237"/>
      <c r="C820" s="237"/>
      <c r="D820" s="255"/>
      <c r="E820" s="237"/>
      <c r="F820" s="237"/>
      <c r="G820" s="255"/>
      <c r="H820" s="237"/>
      <c r="I820" s="237"/>
      <c r="J820" s="237"/>
      <c r="K820" s="240"/>
      <c r="L820" s="237"/>
      <c r="M820" s="237"/>
      <c r="N820" s="237"/>
      <c r="O820" s="237"/>
      <c r="P820" s="237"/>
      <c r="Q820" s="245"/>
      <c r="R820" s="237"/>
      <c r="S820" s="237"/>
      <c r="T820" s="237"/>
      <c r="U820" s="237"/>
      <c r="V820" s="237"/>
      <c r="W820" s="237"/>
      <c r="X820" s="237"/>
      <c r="Y820" s="237"/>
      <c r="Z820" s="237"/>
      <c r="AA820" s="237"/>
      <c r="AB820" s="237"/>
      <c r="AC820" s="237"/>
    </row>
    <row r="821" spans="2:29" ht="13.5" customHeight="1">
      <c r="B821" s="237"/>
      <c r="C821" s="237"/>
      <c r="D821" s="255"/>
      <c r="E821" s="237"/>
      <c r="F821" s="237"/>
      <c r="G821" s="255"/>
      <c r="H821" s="237"/>
      <c r="I821" s="237"/>
      <c r="J821" s="237"/>
      <c r="K821" s="240"/>
      <c r="L821" s="237"/>
      <c r="M821" s="237"/>
      <c r="N821" s="237"/>
      <c r="O821" s="237"/>
      <c r="P821" s="237"/>
      <c r="Q821" s="245"/>
      <c r="R821" s="237"/>
      <c r="S821" s="237"/>
      <c r="T821" s="237"/>
      <c r="U821" s="237"/>
      <c r="V821" s="237"/>
      <c r="W821" s="237"/>
      <c r="X821" s="237"/>
      <c r="Y821" s="237"/>
      <c r="Z821" s="237"/>
      <c r="AA821" s="237"/>
      <c r="AB821" s="237"/>
      <c r="AC821" s="237"/>
    </row>
    <row r="822" spans="2:29" ht="13.5" customHeight="1">
      <c r="B822" s="237"/>
      <c r="C822" s="237"/>
      <c r="D822" s="255"/>
      <c r="E822" s="237"/>
      <c r="F822" s="237"/>
      <c r="G822" s="255"/>
      <c r="H822" s="237"/>
      <c r="I822" s="237"/>
      <c r="J822" s="237"/>
      <c r="K822" s="240"/>
      <c r="L822" s="237"/>
      <c r="M822" s="237"/>
      <c r="N822" s="237"/>
      <c r="O822" s="237"/>
      <c r="P822" s="237"/>
      <c r="Q822" s="245"/>
      <c r="R822" s="237"/>
      <c r="S822" s="237"/>
      <c r="T822" s="237"/>
      <c r="U822" s="237"/>
      <c r="V822" s="237"/>
      <c r="W822" s="237"/>
      <c r="X822" s="237"/>
      <c r="Y822" s="237"/>
      <c r="Z822" s="237"/>
      <c r="AA822" s="237"/>
      <c r="AB822" s="237"/>
      <c r="AC822" s="237"/>
    </row>
    <row r="823" spans="2:29" ht="13.5" customHeight="1">
      <c r="B823" s="237"/>
      <c r="C823" s="237"/>
      <c r="D823" s="255"/>
      <c r="E823" s="237"/>
      <c r="F823" s="237"/>
      <c r="G823" s="255"/>
      <c r="H823" s="237"/>
      <c r="I823" s="237"/>
      <c r="J823" s="237"/>
      <c r="K823" s="240"/>
      <c r="L823" s="237"/>
      <c r="M823" s="237"/>
      <c r="N823" s="237"/>
      <c r="O823" s="237"/>
      <c r="P823" s="237"/>
      <c r="Q823" s="245"/>
      <c r="R823" s="237"/>
      <c r="S823" s="237"/>
      <c r="T823" s="237"/>
      <c r="U823" s="237"/>
      <c r="V823" s="237"/>
      <c r="W823" s="237"/>
      <c r="X823" s="237"/>
      <c r="Y823" s="237"/>
      <c r="Z823" s="237"/>
      <c r="AA823" s="237"/>
      <c r="AB823" s="237"/>
      <c r="AC823" s="237"/>
    </row>
    <row r="824" spans="2:29" ht="13.5" customHeight="1">
      <c r="B824" s="237"/>
      <c r="C824" s="237"/>
      <c r="D824" s="255"/>
      <c r="E824" s="237"/>
      <c r="F824" s="237"/>
      <c r="G824" s="255"/>
      <c r="H824" s="237"/>
      <c r="I824" s="237"/>
      <c r="J824" s="237"/>
      <c r="K824" s="240"/>
      <c r="L824" s="237"/>
      <c r="M824" s="237"/>
      <c r="N824" s="237"/>
      <c r="O824" s="237"/>
      <c r="P824" s="237"/>
      <c r="Q824" s="245"/>
      <c r="R824" s="237"/>
      <c r="S824" s="237"/>
      <c r="T824" s="237"/>
      <c r="U824" s="237"/>
      <c r="V824" s="237"/>
      <c r="W824" s="237"/>
      <c r="X824" s="237"/>
      <c r="Y824" s="237"/>
      <c r="Z824" s="237"/>
      <c r="AA824" s="237"/>
      <c r="AB824" s="237"/>
      <c r="AC824" s="237"/>
    </row>
    <row r="825" spans="2:29" ht="13.5" customHeight="1">
      <c r="B825" s="237"/>
      <c r="C825" s="237"/>
      <c r="D825" s="255"/>
      <c r="E825" s="237"/>
      <c r="F825" s="237"/>
      <c r="G825" s="255"/>
      <c r="H825" s="237"/>
      <c r="I825" s="237"/>
      <c r="J825" s="237"/>
      <c r="K825" s="240"/>
      <c r="L825" s="237"/>
      <c r="M825" s="237"/>
      <c r="N825" s="237"/>
      <c r="O825" s="237"/>
      <c r="P825" s="237"/>
      <c r="Q825" s="245"/>
      <c r="R825" s="237"/>
      <c r="S825" s="237"/>
      <c r="T825" s="237"/>
      <c r="U825" s="237"/>
      <c r="V825" s="237"/>
      <c r="W825" s="237"/>
      <c r="X825" s="237"/>
      <c r="Y825" s="237"/>
      <c r="Z825" s="237"/>
      <c r="AA825" s="237"/>
      <c r="AB825" s="237"/>
      <c r="AC825" s="237"/>
    </row>
    <row r="826" spans="2:29" ht="13.5" customHeight="1">
      <c r="B826" s="237"/>
      <c r="C826" s="237"/>
      <c r="D826" s="255"/>
      <c r="E826" s="237"/>
      <c r="F826" s="237"/>
      <c r="G826" s="255"/>
      <c r="H826" s="237"/>
      <c r="I826" s="237"/>
      <c r="J826" s="237"/>
      <c r="K826" s="240"/>
      <c r="L826" s="237"/>
      <c r="M826" s="237"/>
      <c r="N826" s="237"/>
      <c r="O826" s="237"/>
      <c r="P826" s="237"/>
      <c r="Q826" s="245"/>
      <c r="R826" s="237"/>
      <c r="S826" s="237"/>
      <c r="T826" s="237"/>
      <c r="U826" s="237"/>
      <c r="V826" s="237"/>
      <c r="W826" s="237"/>
      <c r="X826" s="237"/>
      <c r="Y826" s="237"/>
      <c r="Z826" s="237"/>
      <c r="AA826" s="237"/>
      <c r="AB826" s="237"/>
      <c r="AC826" s="237"/>
    </row>
    <row r="827" spans="2:29" ht="13.5" customHeight="1">
      <c r="B827" s="237"/>
      <c r="C827" s="237"/>
      <c r="D827" s="255"/>
      <c r="E827" s="237"/>
      <c r="F827" s="237"/>
      <c r="G827" s="255"/>
      <c r="H827" s="237"/>
      <c r="I827" s="237"/>
      <c r="J827" s="237"/>
      <c r="K827" s="240"/>
      <c r="L827" s="237"/>
      <c r="M827" s="237"/>
      <c r="N827" s="237"/>
      <c r="O827" s="237"/>
      <c r="P827" s="237"/>
      <c r="Q827" s="245"/>
      <c r="R827" s="237"/>
      <c r="S827" s="237"/>
      <c r="T827" s="237"/>
      <c r="U827" s="237"/>
      <c r="V827" s="237"/>
      <c r="W827" s="237"/>
      <c r="X827" s="237"/>
      <c r="Y827" s="237"/>
      <c r="Z827" s="237"/>
      <c r="AA827" s="237"/>
      <c r="AB827" s="237"/>
      <c r="AC827" s="237"/>
    </row>
    <row r="828" spans="2:29" ht="13.5" customHeight="1">
      <c r="B828" s="237"/>
      <c r="C828" s="237"/>
      <c r="D828" s="255"/>
      <c r="E828" s="237"/>
      <c r="F828" s="237"/>
      <c r="G828" s="255"/>
      <c r="H828" s="237"/>
      <c r="I828" s="237"/>
      <c r="J828" s="237"/>
      <c r="K828" s="240"/>
      <c r="L828" s="237"/>
      <c r="M828" s="237"/>
      <c r="N828" s="237"/>
      <c r="O828" s="237"/>
      <c r="P828" s="237"/>
      <c r="Q828" s="245"/>
      <c r="R828" s="237"/>
      <c r="S828" s="237"/>
      <c r="T828" s="237"/>
      <c r="U828" s="237"/>
      <c r="V828" s="237"/>
      <c r="W828" s="237"/>
      <c r="X828" s="237"/>
      <c r="Y828" s="237"/>
      <c r="Z828" s="237"/>
      <c r="AA828" s="237"/>
      <c r="AB828" s="237"/>
      <c r="AC828" s="237"/>
    </row>
    <row r="829" spans="2:29" ht="13.5" customHeight="1">
      <c r="B829" s="237"/>
      <c r="C829" s="237"/>
      <c r="D829" s="255"/>
      <c r="E829" s="237"/>
      <c r="F829" s="237"/>
      <c r="G829" s="255"/>
      <c r="H829" s="237"/>
      <c r="I829" s="237"/>
      <c r="J829" s="237"/>
      <c r="K829" s="240"/>
      <c r="L829" s="237"/>
      <c r="M829" s="237"/>
      <c r="N829" s="237"/>
      <c r="O829" s="237"/>
      <c r="P829" s="237"/>
      <c r="Q829" s="245"/>
      <c r="R829" s="237"/>
      <c r="S829" s="237"/>
      <c r="T829" s="237"/>
      <c r="U829" s="237"/>
      <c r="V829" s="237"/>
      <c r="W829" s="237"/>
      <c r="X829" s="237"/>
      <c r="Y829" s="237"/>
      <c r="Z829" s="237"/>
      <c r="AA829" s="237"/>
      <c r="AB829" s="237"/>
      <c r="AC829" s="237"/>
    </row>
    <row r="830" spans="2:29" ht="13.5" customHeight="1">
      <c r="B830" s="237"/>
      <c r="C830" s="237"/>
      <c r="D830" s="255"/>
      <c r="E830" s="237"/>
      <c r="F830" s="237"/>
      <c r="G830" s="255"/>
      <c r="H830" s="237"/>
      <c r="I830" s="237"/>
      <c r="J830" s="237"/>
      <c r="K830" s="240"/>
      <c r="L830" s="237"/>
      <c r="M830" s="237"/>
      <c r="N830" s="237"/>
      <c r="O830" s="237"/>
      <c r="P830" s="237"/>
      <c r="Q830" s="245"/>
      <c r="R830" s="237"/>
      <c r="S830" s="237"/>
      <c r="T830" s="237"/>
      <c r="U830" s="237"/>
      <c r="V830" s="237"/>
      <c r="W830" s="237"/>
      <c r="X830" s="237"/>
      <c r="Y830" s="237"/>
      <c r="Z830" s="237"/>
      <c r="AA830" s="237"/>
      <c r="AB830" s="237"/>
      <c r="AC830" s="237"/>
    </row>
    <row r="831" spans="2:29" ht="13.5" customHeight="1">
      <c r="B831" s="237"/>
      <c r="C831" s="237"/>
      <c r="D831" s="255"/>
      <c r="E831" s="237"/>
      <c r="F831" s="237"/>
      <c r="G831" s="255"/>
      <c r="H831" s="237"/>
      <c r="I831" s="237"/>
      <c r="J831" s="237"/>
      <c r="K831" s="240"/>
      <c r="L831" s="237"/>
      <c r="M831" s="237"/>
      <c r="N831" s="237"/>
      <c r="O831" s="237"/>
      <c r="P831" s="237"/>
      <c r="Q831" s="245"/>
      <c r="R831" s="237"/>
      <c r="S831" s="237"/>
      <c r="T831" s="237"/>
      <c r="U831" s="237"/>
      <c r="V831" s="237"/>
      <c r="W831" s="237"/>
      <c r="X831" s="237"/>
      <c r="Y831" s="237"/>
      <c r="Z831" s="237"/>
      <c r="AA831" s="237"/>
      <c r="AB831" s="237"/>
      <c r="AC831" s="237"/>
    </row>
    <row r="832" spans="2:29" ht="13.5" customHeight="1">
      <c r="B832" s="237"/>
      <c r="C832" s="237"/>
      <c r="D832" s="255"/>
      <c r="E832" s="237"/>
      <c r="F832" s="237"/>
      <c r="G832" s="255"/>
      <c r="H832" s="237"/>
      <c r="I832" s="237"/>
      <c r="J832" s="237"/>
      <c r="K832" s="240"/>
      <c r="L832" s="237"/>
      <c r="M832" s="237"/>
      <c r="N832" s="237"/>
      <c r="O832" s="237"/>
      <c r="P832" s="237"/>
      <c r="Q832" s="245"/>
      <c r="R832" s="237"/>
      <c r="S832" s="237"/>
      <c r="T832" s="237"/>
      <c r="U832" s="237"/>
      <c r="V832" s="237"/>
      <c r="W832" s="237"/>
      <c r="X832" s="237"/>
      <c r="Y832" s="237"/>
      <c r="Z832" s="237"/>
      <c r="AA832" s="237"/>
      <c r="AB832" s="237"/>
      <c r="AC832" s="237"/>
    </row>
    <row r="833" spans="2:29" ht="13.5" customHeight="1">
      <c r="B833" s="237"/>
      <c r="C833" s="237"/>
      <c r="D833" s="255"/>
      <c r="E833" s="237"/>
      <c r="F833" s="237"/>
      <c r="G833" s="255"/>
      <c r="H833" s="237"/>
      <c r="I833" s="237"/>
      <c r="J833" s="237"/>
      <c r="K833" s="240"/>
      <c r="L833" s="237"/>
      <c r="M833" s="237"/>
      <c r="N833" s="237"/>
      <c r="O833" s="237"/>
      <c r="P833" s="237"/>
      <c r="Q833" s="245"/>
      <c r="R833" s="237"/>
      <c r="S833" s="237"/>
      <c r="T833" s="237"/>
      <c r="U833" s="237"/>
      <c r="V833" s="237"/>
      <c r="W833" s="237"/>
      <c r="X833" s="237"/>
      <c r="Y833" s="237"/>
      <c r="Z833" s="237"/>
      <c r="AA833" s="237"/>
      <c r="AB833" s="237"/>
      <c r="AC833" s="237"/>
    </row>
    <row r="834" spans="2:29" ht="13.5" customHeight="1">
      <c r="B834" s="237"/>
      <c r="C834" s="237"/>
      <c r="D834" s="255"/>
      <c r="E834" s="237"/>
      <c r="F834" s="237"/>
      <c r="G834" s="255"/>
      <c r="H834" s="237"/>
      <c r="I834" s="237"/>
      <c r="J834" s="237"/>
      <c r="K834" s="240"/>
      <c r="L834" s="237"/>
      <c r="M834" s="237"/>
      <c r="N834" s="237"/>
      <c r="O834" s="237"/>
      <c r="P834" s="237"/>
      <c r="Q834" s="245"/>
      <c r="R834" s="237"/>
      <c r="S834" s="237"/>
      <c r="T834" s="237"/>
      <c r="U834" s="237"/>
      <c r="V834" s="237"/>
      <c r="W834" s="237"/>
      <c r="X834" s="237"/>
      <c r="Y834" s="237"/>
      <c r="Z834" s="237"/>
      <c r="AA834" s="237"/>
      <c r="AB834" s="237"/>
      <c r="AC834" s="237"/>
    </row>
    <row r="835" spans="2:29" ht="13.5" customHeight="1">
      <c r="B835" s="237"/>
      <c r="C835" s="237"/>
      <c r="D835" s="255"/>
      <c r="E835" s="237"/>
      <c r="F835" s="237"/>
      <c r="G835" s="255"/>
      <c r="H835" s="237"/>
      <c r="I835" s="237"/>
      <c r="J835" s="237"/>
      <c r="K835" s="240"/>
      <c r="L835" s="237"/>
      <c r="M835" s="237"/>
      <c r="N835" s="237"/>
      <c r="O835" s="237"/>
      <c r="P835" s="237"/>
      <c r="Q835" s="245"/>
      <c r="R835" s="237"/>
      <c r="S835" s="237"/>
      <c r="T835" s="237"/>
      <c r="U835" s="237"/>
      <c r="V835" s="237"/>
      <c r="W835" s="237"/>
      <c r="X835" s="237"/>
      <c r="Y835" s="237"/>
      <c r="Z835" s="237"/>
      <c r="AA835" s="237"/>
      <c r="AB835" s="237"/>
      <c r="AC835" s="237"/>
    </row>
    <row r="836" spans="2:29" ht="13.5" customHeight="1">
      <c r="B836" s="237"/>
      <c r="C836" s="237"/>
      <c r="D836" s="255"/>
      <c r="E836" s="237"/>
      <c r="F836" s="237"/>
      <c r="G836" s="255"/>
      <c r="H836" s="237"/>
      <c r="I836" s="237"/>
      <c r="J836" s="237"/>
      <c r="K836" s="240"/>
      <c r="L836" s="237"/>
      <c r="M836" s="237"/>
      <c r="N836" s="237"/>
      <c r="O836" s="237"/>
      <c r="P836" s="237"/>
      <c r="Q836" s="245"/>
      <c r="R836" s="237"/>
      <c r="S836" s="237"/>
      <c r="T836" s="237"/>
      <c r="U836" s="237"/>
      <c r="V836" s="237"/>
      <c r="W836" s="237"/>
      <c r="X836" s="237"/>
      <c r="Y836" s="237"/>
      <c r="Z836" s="237"/>
      <c r="AA836" s="237"/>
      <c r="AB836" s="237"/>
      <c r="AC836" s="237"/>
    </row>
    <row r="837" spans="2:29" ht="13.5" customHeight="1">
      <c r="B837" s="237"/>
      <c r="C837" s="237"/>
      <c r="D837" s="255"/>
      <c r="E837" s="237"/>
      <c r="F837" s="237"/>
      <c r="G837" s="255"/>
      <c r="H837" s="237"/>
      <c r="I837" s="237"/>
      <c r="J837" s="237"/>
      <c r="K837" s="240"/>
      <c r="L837" s="237"/>
      <c r="M837" s="237"/>
      <c r="N837" s="237"/>
      <c r="O837" s="237"/>
      <c r="P837" s="237"/>
      <c r="Q837" s="245"/>
      <c r="R837" s="237"/>
      <c r="S837" s="237"/>
      <c r="T837" s="237"/>
      <c r="U837" s="237"/>
      <c r="V837" s="237"/>
      <c r="W837" s="237"/>
      <c r="X837" s="237"/>
      <c r="Y837" s="237"/>
      <c r="Z837" s="237"/>
      <c r="AA837" s="237"/>
      <c r="AB837" s="237"/>
      <c r="AC837" s="237"/>
    </row>
    <row r="838" spans="2:29" ht="13.5" customHeight="1">
      <c r="B838" s="237"/>
      <c r="C838" s="237"/>
      <c r="D838" s="255"/>
      <c r="E838" s="237"/>
      <c r="F838" s="237"/>
      <c r="G838" s="255"/>
      <c r="H838" s="237"/>
      <c r="I838" s="237"/>
      <c r="J838" s="237"/>
      <c r="K838" s="240"/>
      <c r="L838" s="237"/>
      <c r="M838" s="237"/>
      <c r="N838" s="237"/>
      <c r="O838" s="237"/>
      <c r="P838" s="237"/>
      <c r="Q838" s="245"/>
      <c r="R838" s="237"/>
      <c r="S838" s="237"/>
      <c r="T838" s="237"/>
      <c r="U838" s="237"/>
      <c r="V838" s="237"/>
      <c r="W838" s="237"/>
      <c r="X838" s="237"/>
      <c r="Y838" s="237"/>
      <c r="Z838" s="237"/>
      <c r="AA838" s="237"/>
      <c r="AB838" s="237"/>
      <c r="AC838" s="237"/>
    </row>
    <row r="839" spans="2:29" ht="13.5" customHeight="1">
      <c r="B839" s="237"/>
      <c r="C839" s="237"/>
      <c r="D839" s="255"/>
      <c r="E839" s="237"/>
      <c r="F839" s="237"/>
      <c r="G839" s="255"/>
      <c r="H839" s="237"/>
      <c r="I839" s="237"/>
      <c r="J839" s="237"/>
      <c r="K839" s="240"/>
      <c r="L839" s="237"/>
      <c r="M839" s="237"/>
      <c r="N839" s="237"/>
      <c r="O839" s="237"/>
      <c r="P839" s="237"/>
      <c r="Q839" s="245"/>
      <c r="R839" s="237"/>
      <c r="S839" s="237"/>
      <c r="T839" s="237"/>
      <c r="U839" s="237"/>
      <c r="V839" s="237"/>
      <c r="W839" s="237"/>
      <c r="X839" s="237"/>
      <c r="Y839" s="237"/>
      <c r="Z839" s="237"/>
      <c r="AA839" s="237"/>
      <c r="AB839" s="237"/>
      <c r="AC839" s="237"/>
    </row>
    <row r="840" spans="2:29" ht="13.5" customHeight="1">
      <c r="B840" s="237"/>
      <c r="C840" s="237"/>
      <c r="D840" s="255"/>
      <c r="E840" s="237"/>
      <c r="F840" s="237"/>
      <c r="G840" s="255"/>
      <c r="H840" s="237"/>
      <c r="I840" s="237"/>
      <c r="J840" s="237"/>
      <c r="K840" s="240"/>
      <c r="L840" s="237"/>
      <c r="M840" s="237"/>
      <c r="N840" s="237"/>
      <c r="O840" s="237"/>
      <c r="P840" s="237"/>
      <c r="Q840" s="245"/>
      <c r="R840" s="237"/>
      <c r="S840" s="237"/>
      <c r="T840" s="237"/>
      <c r="U840" s="237"/>
      <c r="V840" s="237"/>
      <c r="W840" s="237"/>
      <c r="X840" s="237"/>
      <c r="Y840" s="237"/>
      <c r="Z840" s="237"/>
      <c r="AA840" s="237"/>
      <c r="AB840" s="237"/>
      <c r="AC840" s="237"/>
    </row>
    <row r="841" spans="2:29" ht="13.5" customHeight="1">
      <c r="B841" s="237"/>
      <c r="C841" s="237"/>
      <c r="D841" s="255"/>
      <c r="E841" s="237"/>
      <c r="F841" s="237"/>
      <c r="G841" s="255"/>
      <c r="H841" s="237"/>
      <c r="I841" s="237"/>
      <c r="J841" s="237"/>
      <c r="K841" s="240"/>
      <c r="L841" s="237"/>
      <c r="M841" s="237"/>
      <c r="N841" s="237"/>
      <c r="O841" s="237"/>
      <c r="P841" s="237"/>
      <c r="Q841" s="245"/>
      <c r="R841" s="237"/>
      <c r="S841" s="237"/>
      <c r="T841" s="237"/>
      <c r="U841" s="237"/>
      <c r="V841" s="237"/>
      <c r="W841" s="237"/>
      <c r="X841" s="237"/>
      <c r="Y841" s="237"/>
      <c r="Z841" s="237"/>
      <c r="AA841" s="237"/>
      <c r="AB841" s="237"/>
      <c r="AC841" s="237"/>
    </row>
    <row r="842" spans="2:29" ht="13.5" customHeight="1">
      <c r="B842" s="237"/>
      <c r="C842" s="237"/>
      <c r="D842" s="255"/>
      <c r="E842" s="237"/>
      <c r="F842" s="237"/>
      <c r="G842" s="255"/>
      <c r="H842" s="237"/>
      <c r="I842" s="237"/>
      <c r="J842" s="237"/>
      <c r="K842" s="240"/>
      <c r="L842" s="237"/>
      <c r="M842" s="237"/>
      <c r="N842" s="237"/>
      <c r="O842" s="237"/>
      <c r="P842" s="237"/>
      <c r="Q842" s="245"/>
      <c r="R842" s="237"/>
      <c r="S842" s="237"/>
      <c r="T842" s="237"/>
      <c r="U842" s="237"/>
      <c r="V842" s="237"/>
      <c r="W842" s="237"/>
      <c r="X842" s="237"/>
      <c r="Y842" s="237"/>
      <c r="Z842" s="237"/>
      <c r="AA842" s="237"/>
      <c r="AB842" s="237"/>
      <c r="AC842" s="237"/>
    </row>
    <row r="843" spans="2:29" ht="13.5" customHeight="1">
      <c r="B843" s="237"/>
      <c r="C843" s="237"/>
      <c r="D843" s="255"/>
      <c r="E843" s="237"/>
      <c r="F843" s="237"/>
      <c r="G843" s="255"/>
      <c r="H843" s="237"/>
      <c r="I843" s="237"/>
      <c r="J843" s="237"/>
      <c r="K843" s="240"/>
      <c r="L843" s="237"/>
      <c r="M843" s="237"/>
      <c r="N843" s="237"/>
      <c r="O843" s="237"/>
      <c r="P843" s="237"/>
      <c r="Q843" s="245"/>
      <c r="R843" s="237"/>
      <c r="S843" s="237"/>
      <c r="T843" s="237"/>
      <c r="U843" s="237"/>
      <c r="V843" s="237"/>
      <c r="W843" s="237"/>
      <c r="X843" s="237"/>
      <c r="Y843" s="237"/>
      <c r="Z843" s="237"/>
      <c r="AA843" s="237"/>
      <c r="AB843" s="237"/>
      <c r="AC843" s="237"/>
    </row>
    <row r="844" spans="2:29" ht="13.5" customHeight="1">
      <c r="B844" s="237"/>
      <c r="C844" s="237"/>
      <c r="D844" s="255"/>
      <c r="E844" s="237"/>
      <c r="F844" s="237"/>
      <c r="G844" s="255"/>
      <c r="H844" s="237"/>
      <c r="I844" s="237"/>
      <c r="J844" s="237"/>
      <c r="K844" s="240"/>
      <c r="L844" s="237"/>
      <c r="M844" s="237"/>
      <c r="N844" s="237"/>
      <c r="O844" s="237"/>
      <c r="P844" s="237"/>
      <c r="Q844" s="245"/>
      <c r="R844" s="237"/>
      <c r="S844" s="237"/>
      <c r="T844" s="237"/>
      <c r="U844" s="237"/>
      <c r="V844" s="237"/>
      <c r="W844" s="237"/>
      <c r="X844" s="237"/>
      <c r="Y844" s="237"/>
      <c r="Z844" s="237"/>
      <c r="AA844" s="237"/>
      <c r="AB844" s="237"/>
      <c r="AC844" s="237"/>
    </row>
    <row r="845" spans="2:29" ht="13.5" customHeight="1">
      <c r="B845" s="237"/>
      <c r="C845" s="237"/>
      <c r="D845" s="255"/>
      <c r="E845" s="237"/>
      <c r="F845" s="237"/>
      <c r="G845" s="255"/>
      <c r="H845" s="237"/>
      <c r="I845" s="237"/>
      <c r="J845" s="237"/>
      <c r="K845" s="240"/>
      <c r="L845" s="237"/>
      <c r="M845" s="237"/>
      <c r="N845" s="237"/>
      <c r="O845" s="237"/>
      <c r="P845" s="237"/>
      <c r="Q845" s="245"/>
      <c r="R845" s="237"/>
      <c r="S845" s="237"/>
      <c r="T845" s="237"/>
      <c r="U845" s="237"/>
      <c r="V845" s="237"/>
      <c r="W845" s="237"/>
      <c r="X845" s="237"/>
      <c r="Y845" s="237"/>
      <c r="Z845" s="237"/>
      <c r="AA845" s="237"/>
      <c r="AB845" s="237"/>
      <c r="AC845" s="237"/>
    </row>
    <row r="846" spans="2:29" ht="13.5" customHeight="1">
      <c r="B846" s="237"/>
      <c r="C846" s="237"/>
      <c r="D846" s="255"/>
      <c r="E846" s="237"/>
      <c r="F846" s="237"/>
      <c r="G846" s="255"/>
      <c r="H846" s="237"/>
      <c r="I846" s="237"/>
      <c r="J846" s="237"/>
      <c r="K846" s="240"/>
      <c r="L846" s="237"/>
      <c r="M846" s="237"/>
      <c r="N846" s="237"/>
      <c r="O846" s="237"/>
      <c r="P846" s="237"/>
      <c r="Q846" s="245"/>
      <c r="R846" s="237"/>
      <c r="S846" s="237"/>
      <c r="T846" s="237"/>
      <c r="U846" s="237"/>
      <c r="V846" s="237"/>
      <c r="W846" s="237"/>
      <c r="X846" s="237"/>
      <c r="Y846" s="237"/>
      <c r="Z846" s="237"/>
      <c r="AA846" s="237"/>
      <c r="AB846" s="237"/>
      <c r="AC846" s="237"/>
    </row>
    <row r="847" spans="2:29" ht="13.5" customHeight="1">
      <c r="B847" s="237"/>
      <c r="C847" s="237"/>
      <c r="D847" s="255"/>
      <c r="E847" s="237"/>
      <c r="F847" s="237"/>
      <c r="G847" s="255"/>
      <c r="H847" s="237"/>
      <c r="I847" s="237"/>
      <c r="J847" s="237"/>
      <c r="K847" s="240"/>
      <c r="L847" s="237"/>
      <c r="M847" s="237"/>
      <c r="N847" s="237"/>
      <c r="O847" s="237"/>
      <c r="P847" s="237"/>
      <c r="Q847" s="245"/>
      <c r="R847" s="237"/>
      <c r="S847" s="237"/>
      <c r="T847" s="237"/>
      <c r="U847" s="237"/>
      <c r="V847" s="237"/>
      <c r="W847" s="237"/>
      <c r="X847" s="237"/>
      <c r="Y847" s="237"/>
      <c r="Z847" s="237"/>
      <c r="AA847" s="237"/>
      <c r="AB847" s="237"/>
      <c r="AC847" s="237"/>
    </row>
    <row r="848" spans="2:29" ht="13.5" customHeight="1">
      <c r="B848" s="237"/>
      <c r="C848" s="237"/>
      <c r="D848" s="255"/>
      <c r="E848" s="237"/>
      <c r="F848" s="237"/>
      <c r="G848" s="255"/>
      <c r="H848" s="237"/>
      <c r="I848" s="237"/>
      <c r="J848" s="237"/>
      <c r="K848" s="240"/>
      <c r="L848" s="237"/>
      <c r="M848" s="237"/>
      <c r="N848" s="237"/>
      <c r="O848" s="237"/>
      <c r="P848" s="237"/>
      <c r="Q848" s="245"/>
      <c r="R848" s="237"/>
      <c r="S848" s="237"/>
      <c r="T848" s="237"/>
      <c r="U848" s="237"/>
      <c r="V848" s="237"/>
      <c r="W848" s="237"/>
      <c r="X848" s="237"/>
      <c r="Y848" s="237"/>
      <c r="Z848" s="237"/>
      <c r="AA848" s="237"/>
      <c r="AB848" s="237"/>
      <c r="AC848" s="237"/>
    </row>
    <row r="849" spans="2:29" ht="13.5" customHeight="1">
      <c r="B849" s="237"/>
      <c r="C849" s="237"/>
      <c r="D849" s="255"/>
      <c r="E849" s="237"/>
      <c r="F849" s="237"/>
      <c r="G849" s="255"/>
      <c r="H849" s="237"/>
      <c r="I849" s="237"/>
      <c r="J849" s="237"/>
      <c r="K849" s="240"/>
      <c r="L849" s="237"/>
      <c r="M849" s="237"/>
      <c r="N849" s="237"/>
      <c r="O849" s="237"/>
      <c r="P849" s="237"/>
      <c r="Q849" s="245"/>
      <c r="R849" s="237"/>
      <c r="S849" s="237"/>
      <c r="T849" s="237"/>
      <c r="U849" s="237"/>
      <c r="V849" s="237"/>
      <c r="W849" s="237"/>
      <c r="X849" s="237"/>
      <c r="Y849" s="237"/>
      <c r="Z849" s="237"/>
      <c r="AA849" s="237"/>
      <c r="AB849" s="237"/>
      <c r="AC849" s="237"/>
    </row>
    <row r="850" spans="2:29" ht="13.5" customHeight="1">
      <c r="B850" s="237"/>
      <c r="C850" s="237"/>
      <c r="D850" s="255"/>
      <c r="E850" s="237"/>
      <c r="F850" s="237"/>
      <c r="G850" s="255"/>
      <c r="H850" s="237"/>
      <c r="I850" s="237"/>
      <c r="J850" s="237"/>
      <c r="K850" s="240"/>
      <c r="L850" s="237"/>
      <c r="M850" s="237"/>
      <c r="N850" s="237"/>
      <c r="O850" s="237"/>
      <c r="P850" s="237"/>
      <c r="Q850" s="245"/>
      <c r="R850" s="237"/>
      <c r="S850" s="237"/>
      <c r="T850" s="237"/>
      <c r="U850" s="237"/>
      <c r="V850" s="237"/>
      <c r="W850" s="237"/>
      <c r="X850" s="237"/>
      <c r="Y850" s="237"/>
      <c r="Z850" s="237"/>
      <c r="AA850" s="237"/>
      <c r="AB850" s="237"/>
      <c r="AC850" s="237"/>
    </row>
    <row r="851" spans="2:29" ht="13.5" customHeight="1">
      <c r="B851" s="237"/>
      <c r="C851" s="237"/>
      <c r="D851" s="255"/>
      <c r="E851" s="237"/>
      <c r="F851" s="237"/>
      <c r="G851" s="255"/>
      <c r="H851" s="237"/>
      <c r="I851" s="237"/>
      <c r="J851" s="237"/>
      <c r="K851" s="240"/>
      <c r="L851" s="237"/>
      <c r="M851" s="237"/>
      <c r="N851" s="237"/>
      <c r="O851" s="237"/>
      <c r="P851" s="237"/>
      <c r="Q851" s="245"/>
      <c r="R851" s="237"/>
      <c r="S851" s="237"/>
      <c r="T851" s="237"/>
      <c r="U851" s="237"/>
      <c r="V851" s="237"/>
      <c r="W851" s="237"/>
      <c r="X851" s="237"/>
      <c r="Y851" s="237"/>
      <c r="Z851" s="237"/>
      <c r="AA851" s="237"/>
      <c r="AB851" s="237"/>
      <c r="AC851" s="237"/>
    </row>
    <row r="852" spans="2:29" ht="13.5" customHeight="1">
      <c r="B852" s="237"/>
      <c r="C852" s="237"/>
      <c r="D852" s="255"/>
      <c r="E852" s="237"/>
      <c r="F852" s="237"/>
      <c r="G852" s="255"/>
      <c r="H852" s="237"/>
      <c r="I852" s="237"/>
      <c r="J852" s="237"/>
      <c r="K852" s="240"/>
      <c r="L852" s="237"/>
      <c r="M852" s="237"/>
      <c r="N852" s="237"/>
      <c r="O852" s="237"/>
      <c r="P852" s="237"/>
      <c r="Q852" s="245"/>
      <c r="R852" s="237"/>
      <c r="S852" s="237"/>
      <c r="T852" s="237"/>
      <c r="U852" s="237"/>
      <c r="V852" s="237"/>
      <c r="W852" s="237"/>
      <c r="X852" s="237"/>
      <c r="Y852" s="237"/>
      <c r="Z852" s="237"/>
      <c r="AA852" s="237"/>
      <c r="AB852" s="237"/>
      <c r="AC852" s="237"/>
    </row>
    <row r="853" spans="2:29" ht="13.5" customHeight="1">
      <c r="B853" s="237"/>
      <c r="C853" s="237"/>
      <c r="D853" s="255"/>
      <c r="E853" s="237"/>
      <c r="F853" s="237"/>
      <c r="G853" s="255"/>
      <c r="H853" s="237"/>
      <c r="I853" s="237"/>
      <c r="J853" s="237"/>
      <c r="K853" s="240"/>
      <c r="L853" s="237"/>
      <c r="M853" s="237"/>
      <c r="N853" s="237"/>
      <c r="O853" s="237"/>
      <c r="P853" s="237"/>
      <c r="Q853" s="245"/>
      <c r="R853" s="237"/>
      <c r="S853" s="237"/>
      <c r="T853" s="237"/>
      <c r="U853" s="237"/>
      <c r="V853" s="237"/>
      <c r="W853" s="237"/>
      <c r="X853" s="237"/>
      <c r="Y853" s="237"/>
      <c r="Z853" s="237"/>
      <c r="AA853" s="237"/>
      <c r="AB853" s="237"/>
      <c r="AC853" s="237"/>
    </row>
    <row r="854" spans="2:29" ht="13.5" customHeight="1">
      <c r="B854" s="237"/>
      <c r="C854" s="237"/>
      <c r="D854" s="255"/>
      <c r="E854" s="237"/>
      <c r="F854" s="237"/>
      <c r="G854" s="255"/>
      <c r="H854" s="237"/>
      <c r="I854" s="237"/>
      <c r="J854" s="237"/>
      <c r="K854" s="240"/>
      <c r="L854" s="237"/>
      <c r="M854" s="237"/>
      <c r="N854" s="237"/>
      <c r="O854" s="237"/>
      <c r="P854" s="237"/>
      <c r="Q854" s="245"/>
      <c r="R854" s="237"/>
      <c r="S854" s="237"/>
      <c r="T854" s="237"/>
      <c r="U854" s="237"/>
      <c r="V854" s="237"/>
      <c r="W854" s="237"/>
      <c r="X854" s="237"/>
      <c r="Y854" s="237"/>
      <c r="Z854" s="237"/>
      <c r="AA854" s="237"/>
      <c r="AB854" s="237"/>
      <c r="AC854" s="237"/>
    </row>
    <row r="855" spans="2:29" ht="13.5" customHeight="1">
      <c r="B855" s="237"/>
      <c r="C855" s="237"/>
      <c r="D855" s="255"/>
      <c r="E855" s="237"/>
      <c r="F855" s="237"/>
      <c r="G855" s="255"/>
      <c r="H855" s="237"/>
      <c r="I855" s="237"/>
      <c r="J855" s="237"/>
      <c r="K855" s="240"/>
      <c r="L855" s="237"/>
      <c r="M855" s="237"/>
      <c r="N855" s="237"/>
      <c r="O855" s="237"/>
      <c r="P855" s="237"/>
      <c r="Q855" s="245"/>
      <c r="R855" s="237"/>
      <c r="S855" s="237"/>
      <c r="T855" s="237"/>
      <c r="U855" s="237"/>
      <c r="V855" s="237"/>
      <c r="W855" s="237"/>
      <c r="X855" s="237"/>
      <c r="Y855" s="237"/>
      <c r="Z855" s="237"/>
      <c r="AA855" s="237"/>
      <c r="AB855" s="237"/>
      <c r="AC855" s="237"/>
    </row>
    <row r="856" spans="2:29" ht="13.5" customHeight="1">
      <c r="B856" s="237"/>
      <c r="C856" s="237"/>
      <c r="D856" s="255"/>
      <c r="E856" s="237"/>
      <c r="F856" s="237"/>
      <c r="G856" s="255"/>
      <c r="H856" s="237"/>
      <c r="I856" s="237"/>
      <c r="J856" s="237"/>
      <c r="K856" s="240"/>
      <c r="L856" s="237"/>
      <c r="M856" s="237"/>
      <c r="N856" s="237"/>
      <c r="O856" s="237"/>
      <c r="P856" s="237"/>
      <c r="Q856" s="245"/>
      <c r="R856" s="237"/>
      <c r="S856" s="237"/>
      <c r="T856" s="237"/>
      <c r="U856" s="237"/>
      <c r="V856" s="237"/>
      <c r="W856" s="237"/>
      <c r="X856" s="237"/>
      <c r="Y856" s="237"/>
      <c r="Z856" s="237"/>
      <c r="AA856" s="237"/>
      <c r="AB856" s="237"/>
      <c r="AC856" s="237"/>
    </row>
    <row r="857" spans="2:29" ht="13.5" customHeight="1">
      <c r="B857" s="237"/>
      <c r="C857" s="237"/>
      <c r="D857" s="255"/>
      <c r="E857" s="237"/>
      <c r="F857" s="237"/>
      <c r="G857" s="255"/>
      <c r="H857" s="237"/>
      <c r="I857" s="237"/>
      <c r="J857" s="237"/>
      <c r="K857" s="240"/>
      <c r="L857" s="237"/>
      <c r="M857" s="237"/>
      <c r="N857" s="237"/>
      <c r="O857" s="237"/>
      <c r="P857" s="237"/>
      <c r="Q857" s="245"/>
      <c r="R857" s="237"/>
      <c r="S857" s="237"/>
      <c r="T857" s="237"/>
      <c r="U857" s="237"/>
      <c r="V857" s="237"/>
      <c r="W857" s="237"/>
      <c r="X857" s="237"/>
      <c r="Y857" s="237"/>
      <c r="Z857" s="237"/>
      <c r="AA857" s="237"/>
      <c r="AB857" s="237"/>
      <c r="AC857" s="237"/>
    </row>
    <row r="858" spans="2:29" ht="13.5" customHeight="1">
      <c r="B858" s="237"/>
      <c r="C858" s="237"/>
      <c r="D858" s="255"/>
      <c r="E858" s="237"/>
      <c r="F858" s="237"/>
      <c r="G858" s="255"/>
      <c r="H858" s="237"/>
      <c r="I858" s="237"/>
      <c r="J858" s="237"/>
      <c r="K858" s="240"/>
      <c r="L858" s="237"/>
      <c r="M858" s="237"/>
      <c r="N858" s="237"/>
      <c r="O858" s="237"/>
      <c r="P858" s="237"/>
      <c r="Q858" s="245"/>
      <c r="R858" s="237"/>
      <c r="S858" s="237"/>
      <c r="T858" s="237"/>
      <c r="U858" s="237"/>
      <c r="V858" s="237"/>
      <c r="W858" s="237"/>
      <c r="X858" s="237"/>
      <c r="Y858" s="237"/>
      <c r="Z858" s="237"/>
      <c r="AA858" s="237"/>
      <c r="AB858" s="237"/>
      <c r="AC858" s="237"/>
    </row>
    <row r="859" spans="2:29" ht="13.5" customHeight="1">
      <c r="B859" s="237"/>
      <c r="C859" s="237"/>
      <c r="D859" s="255"/>
      <c r="E859" s="237"/>
      <c r="F859" s="237"/>
      <c r="G859" s="255"/>
      <c r="H859" s="237"/>
      <c r="I859" s="237"/>
      <c r="J859" s="237"/>
      <c r="K859" s="240"/>
      <c r="L859" s="237"/>
      <c r="M859" s="237"/>
      <c r="N859" s="237"/>
      <c r="O859" s="237"/>
      <c r="P859" s="237"/>
      <c r="Q859" s="245"/>
      <c r="R859" s="237"/>
      <c r="S859" s="237"/>
      <c r="T859" s="237"/>
      <c r="U859" s="237"/>
      <c r="V859" s="237"/>
      <c r="W859" s="237"/>
      <c r="X859" s="237"/>
      <c r="Y859" s="237"/>
      <c r="Z859" s="237"/>
      <c r="AA859" s="237"/>
      <c r="AB859" s="237"/>
      <c r="AC859" s="237"/>
    </row>
    <row r="860" spans="2:29" ht="13.5" customHeight="1">
      <c r="B860" s="237"/>
      <c r="C860" s="237"/>
      <c r="D860" s="255"/>
      <c r="E860" s="237"/>
      <c r="F860" s="237"/>
      <c r="G860" s="255"/>
      <c r="H860" s="237"/>
      <c r="I860" s="237"/>
      <c r="J860" s="237"/>
      <c r="K860" s="240"/>
      <c r="L860" s="237"/>
      <c r="M860" s="237"/>
      <c r="N860" s="237"/>
      <c r="O860" s="237"/>
      <c r="P860" s="237"/>
      <c r="Q860" s="245"/>
      <c r="R860" s="237"/>
      <c r="S860" s="237"/>
      <c r="T860" s="237"/>
      <c r="U860" s="237"/>
      <c r="V860" s="237"/>
      <c r="W860" s="237"/>
      <c r="X860" s="237"/>
      <c r="Y860" s="237"/>
      <c r="Z860" s="237"/>
      <c r="AA860" s="237"/>
      <c r="AB860" s="237"/>
      <c r="AC860" s="237"/>
    </row>
    <row r="861" spans="2:29" ht="13.5" customHeight="1">
      <c r="B861" s="237"/>
      <c r="C861" s="237"/>
      <c r="D861" s="255"/>
      <c r="E861" s="237"/>
      <c r="F861" s="237"/>
      <c r="G861" s="255"/>
      <c r="H861" s="237"/>
      <c r="I861" s="237"/>
      <c r="J861" s="237"/>
      <c r="K861" s="240"/>
      <c r="L861" s="237"/>
      <c r="M861" s="237"/>
      <c r="N861" s="237"/>
      <c r="O861" s="237"/>
      <c r="P861" s="237"/>
      <c r="Q861" s="245"/>
      <c r="R861" s="237"/>
      <c r="S861" s="237"/>
      <c r="T861" s="237"/>
      <c r="U861" s="237"/>
      <c r="V861" s="237"/>
      <c r="W861" s="237"/>
      <c r="X861" s="237"/>
      <c r="Y861" s="237"/>
      <c r="Z861" s="237"/>
      <c r="AA861" s="237"/>
      <c r="AB861" s="237"/>
      <c r="AC861" s="237"/>
    </row>
    <row r="862" spans="2:29" ht="13.5" customHeight="1">
      <c r="B862" s="237"/>
      <c r="C862" s="237"/>
      <c r="D862" s="255"/>
      <c r="E862" s="237"/>
      <c r="F862" s="237"/>
      <c r="G862" s="255"/>
      <c r="H862" s="237"/>
      <c r="I862" s="237"/>
      <c r="J862" s="237"/>
      <c r="K862" s="240"/>
      <c r="L862" s="237"/>
      <c r="M862" s="237"/>
      <c r="N862" s="237"/>
      <c r="O862" s="237"/>
      <c r="P862" s="237"/>
      <c r="Q862" s="245"/>
      <c r="R862" s="237"/>
      <c r="S862" s="237"/>
      <c r="T862" s="237"/>
      <c r="U862" s="237"/>
      <c r="V862" s="237"/>
      <c r="W862" s="237"/>
      <c r="X862" s="237"/>
      <c r="Y862" s="237"/>
      <c r="Z862" s="237"/>
      <c r="AA862" s="237"/>
      <c r="AB862" s="237"/>
      <c r="AC862" s="237"/>
    </row>
    <row r="863" spans="2:29" ht="13.5" customHeight="1">
      <c r="B863" s="237"/>
      <c r="C863" s="237"/>
      <c r="D863" s="255"/>
      <c r="E863" s="237"/>
      <c r="F863" s="237"/>
      <c r="G863" s="255"/>
      <c r="H863" s="237"/>
      <c r="I863" s="237"/>
      <c r="J863" s="237"/>
      <c r="K863" s="240"/>
      <c r="L863" s="237"/>
      <c r="M863" s="237"/>
      <c r="N863" s="237"/>
      <c r="O863" s="237"/>
      <c r="P863" s="237"/>
      <c r="Q863" s="245"/>
      <c r="R863" s="237"/>
      <c r="S863" s="237"/>
      <c r="T863" s="237"/>
      <c r="U863" s="237"/>
      <c r="V863" s="237"/>
      <c r="W863" s="237"/>
      <c r="X863" s="237"/>
      <c r="Y863" s="237"/>
      <c r="Z863" s="237"/>
      <c r="AA863" s="237"/>
      <c r="AB863" s="237"/>
      <c r="AC863" s="237"/>
    </row>
    <row r="864" spans="2:29" ht="13.5" customHeight="1">
      <c r="B864" s="237"/>
      <c r="C864" s="237"/>
      <c r="D864" s="255"/>
      <c r="E864" s="237"/>
      <c r="F864" s="237"/>
      <c r="G864" s="255"/>
      <c r="H864" s="237"/>
      <c r="I864" s="237"/>
      <c r="J864" s="237"/>
      <c r="K864" s="240"/>
      <c r="L864" s="237"/>
      <c r="M864" s="237"/>
      <c r="N864" s="237"/>
      <c r="O864" s="237"/>
      <c r="P864" s="237"/>
      <c r="Q864" s="245"/>
      <c r="R864" s="237"/>
      <c r="S864" s="237"/>
      <c r="T864" s="237"/>
      <c r="U864" s="237"/>
      <c r="V864" s="237"/>
      <c r="W864" s="237"/>
      <c r="X864" s="237"/>
      <c r="Y864" s="237"/>
      <c r="Z864" s="237"/>
      <c r="AA864" s="237"/>
      <c r="AB864" s="237"/>
      <c r="AC864" s="237"/>
    </row>
    <row r="865" spans="2:29" ht="13.5" customHeight="1">
      <c r="B865" s="237"/>
      <c r="C865" s="237"/>
      <c r="D865" s="255"/>
      <c r="E865" s="237"/>
      <c r="F865" s="237"/>
      <c r="G865" s="255"/>
      <c r="H865" s="237"/>
      <c r="I865" s="237"/>
      <c r="J865" s="237"/>
      <c r="K865" s="240"/>
      <c r="L865" s="237"/>
      <c r="M865" s="237"/>
      <c r="N865" s="237"/>
      <c r="O865" s="237"/>
      <c r="P865" s="237"/>
      <c r="Q865" s="245"/>
      <c r="R865" s="237"/>
      <c r="S865" s="237"/>
      <c r="T865" s="237"/>
      <c r="U865" s="237"/>
      <c r="V865" s="237"/>
      <c r="W865" s="237"/>
      <c r="X865" s="237"/>
      <c r="Y865" s="237"/>
      <c r="Z865" s="237"/>
      <c r="AA865" s="237"/>
      <c r="AB865" s="237"/>
      <c r="AC865" s="237"/>
    </row>
    <row r="866" spans="2:29" ht="13.5" customHeight="1">
      <c r="B866" s="237"/>
      <c r="C866" s="237"/>
      <c r="D866" s="255"/>
      <c r="E866" s="237"/>
      <c r="F866" s="237"/>
      <c r="G866" s="255"/>
      <c r="H866" s="237"/>
      <c r="I866" s="237"/>
      <c r="J866" s="237"/>
      <c r="K866" s="240"/>
      <c r="L866" s="237"/>
      <c r="M866" s="237"/>
      <c r="N866" s="237"/>
      <c r="O866" s="237"/>
      <c r="P866" s="237"/>
      <c r="Q866" s="245"/>
      <c r="R866" s="237"/>
      <c r="S866" s="237"/>
      <c r="T866" s="237"/>
      <c r="U866" s="237"/>
      <c r="V866" s="237"/>
      <c r="W866" s="237"/>
      <c r="X866" s="237"/>
      <c r="Y866" s="237"/>
      <c r="Z866" s="237"/>
      <c r="AA866" s="237"/>
      <c r="AB866" s="237"/>
      <c r="AC866" s="237"/>
    </row>
    <row r="867" spans="2:29" ht="13.5" customHeight="1">
      <c r="B867" s="237"/>
      <c r="C867" s="237"/>
      <c r="D867" s="255"/>
      <c r="E867" s="237"/>
      <c r="F867" s="237"/>
      <c r="G867" s="255"/>
      <c r="H867" s="237"/>
      <c r="I867" s="237"/>
      <c r="J867" s="237"/>
      <c r="K867" s="240"/>
      <c r="L867" s="237"/>
      <c r="M867" s="237"/>
      <c r="N867" s="237"/>
      <c r="O867" s="237"/>
      <c r="P867" s="237"/>
      <c r="Q867" s="245"/>
      <c r="R867" s="237"/>
      <c r="S867" s="237"/>
      <c r="T867" s="237"/>
      <c r="U867" s="237"/>
      <c r="V867" s="237"/>
      <c r="W867" s="237"/>
      <c r="X867" s="237"/>
      <c r="Y867" s="237"/>
      <c r="Z867" s="237"/>
      <c r="AA867" s="237"/>
      <c r="AB867" s="237"/>
      <c r="AC867" s="237"/>
    </row>
    <row r="868" spans="2:29" ht="13.5" customHeight="1">
      <c r="B868" s="237"/>
      <c r="C868" s="237"/>
      <c r="D868" s="255"/>
      <c r="E868" s="237"/>
      <c r="F868" s="237"/>
      <c r="G868" s="255"/>
      <c r="H868" s="237"/>
      <c r="I868" s="237"/>
      <c r="J868" s="237"/>
      <c r="K868" s="240"/>
      <c r="L868" s="237"/>
      <c r="M868" s="237"/>
      <c r="N868" s="237"/>
      <c r="O868" s="237"/>
      <c r="P868" s="237"/>
      <c r="Q868" s="245"/>
      <c r="R868" s="237"/>
      <c r="S868" s="237"/>
      <c r="T868" s="237"/>
      <c r="U868" s="237"/>
      <c r="V868" s="237"/>
      <c r="W868" s="237"/>
      <c r="X868" s="237"/>
      <c r="Y868" s="237"/>
      <c r="Z868" s="237"/>
      <c r="AA868" s="237"/>
      <c r="AB868" s="237"/>
      <c r="AC868" s="237"/>
    </row>
    <row r="869" spans="2:29" ht="13.5" customHeight="1">
      <c r="B869" s="237"/>
      <c r="C869" s="237"/>
      <c r="D869" s="255"/>
      <c r="E869" s="237"/>
      <c r="F869" s="237"/>
      <c r="G869" s="255"/>
      <c r="H869" s="237"/>
      <c r="I869" s="237"/>
      <c r="J869" s="237"/>
      <c r="K869" s="240"/>
      <c r="L869" s="237"/>
      <c r="M869" s="237"/>
      <c r="N869" s="237"/>
      <c r="O869" s="237"/>
      <c r="P869" s="237"/>
      <c r="Q869" s="245"/>
      <c r="R869" s="237"/>
      <c r="S869" s="237"/>
      <c r="T869" s="237"/>
      <c r="U869" s="237"/>
      <c r="V869" s="237"/>
      <c r="W869" s="237"/>
      <c r="X869" s="237"/>
      <c r="Y869" s="237"/>
      <c r="Z869" s="237"/>
      <c r="AA869" s="237"/>
      <c r="AB869" s="237"/>
      <c r="AC869" s="237"/>
    </row>
    <row r="870" spans="2:29" ht="13.5" customHeight="1">
      <c r="B870" s="237"/>
      <c r="C870" s="237"/>
      <c r="D870" s="255"/>
      <c r="E870" s="237"/>
      <c r="F870" s="237"/>
      <c r="G870" s="255"/>
      <c r="H870" s="237"/>
      <c r="I870" s="237"/>
      <c r="J870" s="237"/>
      <c r="K870" s="240"/>
      <c r="L870" s="237"/>
      <c r="M870" s="237"/>
      <c r="N870" s="237"/>
      <c r="O870" s="237"/>
      <c r="P870" s="237"/>
      <c r="Q870" s="245"/>
      <c r="R870" s="237"/>
      <c r="S870" s="237"/>
      <c r="T870" s="237"/>
      <c r="U870" s="237"/>
      <c r="V870" s="237"/>
      <c r="W870" s="237"/>
      <c r="X870" s="237"/>
      <c r="Y870" s="237"/>
      <c r="Z870" s="237"/>
      <c r="AA870" s="237"/>
      <c r="AB870" s="237"/>
      <c r="AC870" s="237"/>
    </row>
    <row r="871" spans="2:29" ht="13.5" customHeight="1">
      <c r="B871" s="237"/>
      <c r="C871" s="237"/>
      <c r="D871" s="255"/>
      <c r="E871" s="237"/>
      <c r="F871" s="237"/>
      <c r="G871" s="255"/>
      <c r="H871" s="237"/>
      <c r="I871" s="237"/>
      <c r="J871" s="237"/>
      <c r="K871" s="240"/>
      <c r="L871" s="237"/>
      <c r="M871" s="237"/>
      <c r="N871" s="237"/>
      <c r="O871" s="237"/>
      <c r="P871" s="237"/>
      <c r="Q871" s="245"/>
      <c r="R871" s="237"/>
      <c r="S871" s="237"/>
      <c r="T871" s="237"/>
      <c r="U871" s="237"/>
      <c r="V871" s="237"/>
      <c r="W871" s="237"/>
      <c r="X871" s="237"/>
      <c r="Y871" s="237"/>
      <c r="Z871" s="237"/>
      <c r="AA871" s="237"/>
      <c r="AB871" s="237"/>
      <c r="AC871" s="237"/>
    </row>
    <row r="872" spans="2:29" ht="13.5" customHeight="1">
      <c r="B872" s="237"/>
      <c r="C872" s="237"/>
      <c r="D872" s="255"/>
      <c r="E872" s="237"/>
      <c r="F872" s="237"/>
      <c r="G872" s="255"/>
      <c r="H872" s="237"/>
      <c r="I872" s="237"/>
      <c r="J872" s="237"/>
      <c r="K872" s="240"/>
      <c r="L872" s="237"/>
      <c r="M872" s="237"/>
      <c r="N872" s="237"/>
      <c r="O872" s="237"/>
      <c r="P872" s="237"/>
      <c r="Q872" s="245"/>
      <c r="R872" s="237"/>
      <c r="S872" s="237"/>
      <c r="T872" s="237"/>
      <c r="U872" s="237"/>
      <c r="V872" s="237"/>
      <c r="W872" s="237"/>
      <c r="X872" s="237"/>
      <c r="Y872" s="237"/>
      <c r="Z872" s="237"/>
      <c r="AA872" s="237"/>
      <c r="AB872" s="237"/>
      <c r="AC872" s="237"/>
    </row>
    <row r="873" spans="2:29" ht="13.5" customHeight="1">
      <c r="B873" s="237"/>
      <c r="C873" s="237"/>
      <c r="D873" s="255"/>
      <c r="E873" s="237"/>
      <c r="F873" s="237"/>
      <c r="G873" s="255"/>
      <c r="H873" s="237"/>
      <c r="I873" s="237"/>
      <c r="J873" s="237"/>
      <c r="K873" s="240"/>
      <c r="L873" s="237"/>
      <c r="M873" s="237"/>
      <c r="N873" s="237"/>
      <c r="O873" s="237"/>
      <c r="P873" s="237"/>
      <c r="Q873" s="245"/>
      <c r="R873" s="237"/>
      <c r="S873" s="237"/>
      <c r="T873" s="237"/>
      <c r="U873" s="237"/>
      <c r="V873" s="237"/>
      <c r="W873" s="237"/>
      <c r="X873" s="237"/>
      <c r="Y873" s="237"/>
      <c r="Z873" s="237"/>
      <c r="AA873" s="237"/>
      <c r="AB873" s="237"/>
      <c r="AC873" s="237"/>
    </row>
    <row r="874" spans="2:29" ht="13.5" customHeight="1">
      <c r="B874" s="237"/>
      <c r="C874" s="237"/>
      <c r="D874" s="255"/>
      <c r="E874" s="237"/>
      <c r="F874" s="237"/>
      <c r="G874" s="255"/>
      <c r="H874" s="237"/>
      <c r="I874" s="237"/>
      <c r="J874" s="237"/>
      <c r="K874" s="240"/>
      <c r="L874" s="237"/>
      <c r="M874" s="237"/>
      <c r="N874" s="237"/>
      <c r="O874" s="237"/>
      <c r="P874" s="237"/>
      <c r="Q874" s="245"/>
      <c r="R874" s="237"/>
      <c r="S874" s="237"/>
      <c r="T874" s="237"/>
      <c r="U874" s="237"/>
      <c r="V874" s="237"/>
      <c r="W874" s="237"/>
      <c r="X874" s="237"/>
      <c r="Y874" s="237"/>
      <c r="Z874" s="237"/>
      <c r="AA874" s="237"/>
      <c r="AB874" s="237"/>
      <c r="AC874" s="237"/>
    </row>
    <row r="875" spans="2:29" ht="13.5" customHeight="1">
      <c r="B875" s="237"/>
      <c r="C875" s="237"/>
      <c r="D875" s="255"/>
      <c r="E875" s="237"/>
      <c r="F875" s="237"/>
      <c r="G875" s="255"/>
      <c r="H875" s="237"/>
      <c r="I875" s="237"/>
      <c r="J875" s="237"/>
      <c r="K875" s="240"/>
      <c r="L875" s="237"/>
      <c r="M875" s="237"/>
      <c r="N875" s="237"/>
      <c r="O875" s="237"/>
      <c r="P875" s="237"/>
      <c r="Q875" s="245"/>
      <c r="R875" s="237"/>
      <c r="S875" s="237"/>
      <c r="T875" s="237"/>
      <c r="U875" s="237"/>
      <c r="V875" s="237"/>
      <c r="W875" s="237"/>
      <c r="X875" s="237"/>
      <c r="Y875" s="237"/>
      <c r="Z875" s="237"/>
      <c r="AA875" s="237"/>
      <c r="AB875" s="237"/>
      <c r="AC875" s="237"/>
    </row>
    <row r="876" spans="2:29" ht="13.5" customHeight="1">
      <c r="B876" s="237"/>
      <c r="C876" s="237"/>
      <c r="D876" s="255"/>
      <c r="E876" s="237"/>
      <c r="F876" s="237"/>
      <c r="G876" s="255"/>
      <c r="H876" s="237"/>
      <c r="I876" s="237"/>
      <c r="J876" s="237"/>
      <c r="K876" s="240"/>
      <c r="L876" s="237"/>
      <c r="M876" s="237"/>
      <c r="N876" s="237"/>
      <c r="O876" s="237"/>
      <c r="P876" s="237"/>
      <c r="Q876" s="245"/>
      <c r="R876" s="237"/>
      <c r="S876" s="237"/>
      <c r="T876" s="237"/>
      <c r="U876" s="237"/>
      <c r="V876" s="237"/>
      <c r="W876" s="237"/>
      <c r="X876" s="237"/>
      <c r="Y876" s="237"/>
      <c r="Z876" s="237"/>
      <c r="AA876" s="237"/>
      <c r="AB876" s="237"/>
      <c r="AC876" s="237"/>
    </row>
    <row r="877" spans="2:29" ht="13.5" customHeight="1">
      <c r="B877" s="237"/>
      <c r="C877" s="237"/>
      <c r="D877" s="255"/>
      <c r="E877" s="237"/>
      <c r="F877" s="237"/>
      <c r="G877" s="255"/>
      <c r="H877" s="237"/>
      <c r="I877" s="237"/>
      <c r="J877" s="237"/>
      <c r="K877" s="240"/>
      <c r="L877" s="237"/>
      <c r="M877" s="237"/>
      <c r="N877" s="237"/>
      <c r="O877" s="237"/>
      <c r="P877" s="237"/>
      <c r="Q877" s="245"/>
      <c r="R877" s="237"/>
      <c r="S877" s="237"/>
      <c r="T877" s="237"/>
      <c r="U877" s="237"/>
      <c r="V877" s="237"/>
      <c r="W877" s="237"/>
      <c r="X877" s="237"/>
      <c r="Y877" s="237"/>
      <c r="Z877" s="237"/>
      <c r="AA877" s="237"/>
      <c r="AB877" s="237"/>
      <c r="AC877" s="237"/>
    </row>
    <row r="878" spans="2:29" ht="13.5" customHeight="1">
      <c r="B878" s="237"/>
      <c r="C878" s="237"/>
      <c r="D878" s="255"/>
      <c r="E878" s="237"/>
      <c r="F878" s="237"/>
      <c r="G878" s="255"/>
      <c r="H878" s="237"/>
      <c r="I878" s="237"/>
      <c r="J878" s="237"/>
      <c r="K878" s="240"/>
      <c r="L878" s="237"/>
      <c r="M878" s="237"/>
      <c r="N878" s="237"/>
      <c r="O878" s="237"/>
      <c r="P878" s="237"/>
      <c r="Q878" s="245"/>
      <c r="R878" s="237"/>
      <c r="S878" s="237"/>
      <c r="T878" s="237"/>
      <c r="U878" s="237"/>
      <c r="V878" s="237"/>
      <c r="W878" s="237"/>
      <c r="X878" s="237"/>
      <c r="Y878" s="237"/>
      <c r="Z878" s="237"/>
      <c r="AA878" s="237"/>
      <c r="AB878" s="237"/>
      <c r="AC878" s="237"/>
    </row>
    <row r="879" spans="2:29" ht="13.5" customHeight="1">
      <c r="B879" s="237"/>
      <c r="C879" s="237"/>
      <c r="D879" s="255"/>
      <c r="E879" s="237"/>
      <c r="F879" s="237"/>
      <c r="G879" s="255"/>
      <c r="H879" s="237"/>
      <c r="I879" s="237"/>
      <c r="J879" s="237"/>
      <c r="K879" s="240"/>
      <c r="L879" s="237"/>
      <c r="M879" s="237"/>
      <c r="N879" s="237"/>
      <c r="O879" s="237"/>
      <c r="P879" s="237"/>
      <c r="Q879" s="245"/>
      <c r="R879" s="237"/>
      <c r="S879" s="237"/>
      <c r="T879" s="237"/>
      <c r="U879" s="237"/>
      <c r="V879" s="237"/>
      <c r="W879" s="237"/>
      <c r="X879" s="237"/>
      <c r="Y879" s="237"/>
      <c r="Z879" s="237"/>
      <c r="AA879" s="237"/>
      <c r="AB879" s="237"/>
      <c r="AC879" s="237"/>
    </row>
    <row r="880" spans="2:29" ht="13.5" customHeight="1">
      <c r="B880" s="237"/>
      <c r="C880" s="237"/>
      <c r="D880" s="255"/>
      <c r="E880" s="237"/>
      <c r="F880" s="237"/>
      <c r="G880" s="255"/>
      <c r="H880" s="237"/>
      <c r="I880" s="237"/>
      <c r="J880" s="237"/>
      <c r="K880" s="240"/>
      <c r="L880" s="237"/>
      <c r="M880" s="237"/>
      <c r="N880" s="237"/>
      <c r="O880" s="237"/>
      <c r="P880" s="237"/>
      <c r="Q880" s="245"/>
      <c r="R880" s="237"/>
      <c r="S880" s="237"/>
      <c r="T880" s="237"/>
      <c r="U880" s="237"/>
      <c r="V880" s="237"/>
      <c r="W880" s="237"/>
      <c r="X880" s="237"/>
      <c r="Y880" s="237"/>
      <c r="Z880" s="237"/>
      <c r="AA880" s="237"/>
      <c r="AB880" s="237"/>
      <c r="AC880" s="237"/>
    </row>
    <row r="881" spans="2:29" ht="13.5" customHeight="1">
      <c r="B881" s="237"/>
      <c r="C881" s="237"/>
      <c r="D881" s="255"/>
      <c r="E881" s="237"/>
      <c r="F881" s="237"/>
      <c r="G881" s="255"/>
      <c r="H881" s="237"/>
      <c r="I881" s="237"/>
      <c r="J881" s="237"/>
      <c r="K881" s="240"/>
      <c r="L881" s="237"/>
      <c r="M881" s="237"/>
      <c r="N881" s="237"/>
      <c r="O881" s="237"/>
      <c r="P881" s="237"/>
      <c r="Q881" s="245"/>
      <c r="R881" s="237"/>
      <c r="S881" s="237"/>
      <c r="T881" s="237"/>
      <c r="U881" s="237"/>
      <c r="V881" s="237"/>
      <c r="W881" s="237"/>
      <c r="X881" s="237"/>
      <c r="Y881" s="237"/>
      <c r="Z881" s="237"/>
      <c r="AA881" s="237"/>
      <c r="AB881" s="237"/>
      <c r="AC881" s="237"/>
    </row>
    <row r="882" spans="2:29" ht="13.5" customHeight="1">
      <c r="B882" s="237"/>
      <c r="C882" s="237"/>
      <c r="D882" s="255"/>
      <c r="E882" s="237"/>
      <c r="F882" s="237"/>
      <c r="G882" s="255"/>
      <c r="H882" s="237"/>
      <c r="I882" s="237"/>
      <c r="J882" s="237"/>
      <c r="K882" s="240"/>
      <c r="L882" s="237"/>
      <c r="M882" s="237"/>
      <c r="N882" s="237"/>
      <c r="O882" s="237"/>
      <c r="P882" s="237"/>
      <c r="Q882" s="245"/>
      <c r="R882" s="237"/>
      <c r="S882" s="237"/>
      <c r="T882" s="237"/>
      <c r="U882" s="237"/>
      <c r="V882" s="237"/>
      <c r="W882" s="237"/>
      <c r="X882" s="237"/>
      <c r="Y882" s="237"/>
      <c r="Z882" s="237"/>
      <c r="AA882" s="237"/>
      <c r="AB882" s="237"/>
      <c r="AC882" s="237"/>
    </row>
    <row r="883" spans="2:29" ht="13.5" customHeight="1">
      <c r="B883" s="237"/>
      <c r="C883" s="237"/>
      <c r="D883" s="255"/>
      <c r="E883" s="237"/>
      <c r="F883" s="237"/>
      <c r="G883" s="255"/>
      <c r="H883" s="237"/>
      <c r="I883" s="237"/>
      <c r="J883" s="237"/>
      <c r="K883" s="240"/>
      <c r="L883" s="237"/>
      <c r="M883" s="237"/>
      <c r="N883" s="237"/>
      <c r="O883" s="237"/>
      <c r="P883" s="237"/>
      <c r="Q883" s="245"/>
      <c r="R883" s="237"/>
      <c r="S883" s="237"/>
      <c r="T883" s="237"/>
      <c r="U883" s="237"/>
      <c r="V883" s="237"/>
      <c r="W883" s="237"/>
      <c r="X883" s="237"/>
      <c r="Y883" s="237"/>
      <c r="Z883" s="237"/>
      <c r="AA883" s="237"/>
      <c r="AB883" s="237"/>
      <c r="AC883" s="237"/>
    </row>
    <row r="884" spans="2:29" ht="13.5" customHeight="1">
      <c r="B884" s="237"/>
      <c r="C884" s="237"/>
      <c r="D884" s="255"/>
      <c r="E884" s="237"/>
      <c r="F884" s="237"/>
      <c r="G884" s="255"/>
      <c r="H884" s="237"/>
      <c r="I884" s="237"/>
      <c r="J884" s="237"/>
      <c r="K884" s="240"/>
      <c r="L884" s="237"/>
      <c r="M884" s="237"/>
      <c r="N884" s="237"/>
      <c r="O884" s="237"/>
      <c r="P884" s="237"/>
      <c r="Q884" s="245"/>
      <c r="R884" s="237"/>
      <c r="S884" s="237"/>
      <c r="T884" s="237"/>
      <c r="U884" s="237"/>
      <c r="V884" s="237"/>
      <c r="W884" s="237"/>
      <c r="X884" s="237"/>
      <c r="Y884" s="237"/>
      <c r="Z884" s="237"/>
      <c r="AA884" s="237"/>
      <c r="AB884" s="237"/>
      <c r="AC884" s="237"/>
    </row>
    <row r="885" spans="2:29" ht="13.5" customHeight="1">
      <c r="B885" s="237"/>
      <c r="C885" s="237"/>
      <c r="D885" s="255"/>
      <c r="E885" s="237"/>
      <c r="F885" s="237"/>
      <c r="G885" s="255"/>
      <c r="H885" s="237"/>
      <c r="I885" s="237"/>
      <c r="J885" s="237"/>
      <c r="K885" s="240"/>
      <c r="L885" s="237"/>
      <c r="M885" s="237"/>
      <c r="N885" s="237"/>
      <c r="O885" s="237"/>
      <c r="P885" s="237"/>
      <c r="Q885" s="245"/>
      <c r="R885" s="237"/>
      <c r="S885" s="237"/>
      <c r="T885" s="237"/>
      <c r="U885" s="237"/>
      <c r="V885" s="237"/>
      <c r="W885" s="237"/>
      <c r="X885" s="237"/>
      <c r="Y885" s="237"/>
      <c r="Z885" s="237"/>
      <c r="AA885" s="237"/>
      <c r="AB885" s="237"/>
      <c r="AC885" s="237"/>
    </row>
    <row r="886" spans="2:29" ht="13.5" customHeight="1">
      <c r="B886" s="237"/>
      <c r="C886" s="237"/>
      <c r="D886" s="255"/>
      <c r="E886" s="237"/>
      <c r="F886" s="237"/>
      <c r="G886" s="255"/>
      <c r="H886" s="237"/>
      <c r="I886" s="237"/>
      <c r="J886" s="237"/>
      <c r="K886" s="240"/>
      <c r="L886" s="237"/>
      <c r="M886" s="237"/>
      <c r="N886" s="237"/>
      <c r="O886" s="237"/>
      <c r="P886" s="237"/>
      <c r="Q886" s="245"/>
      <c r="R886" s="237"/>
      <c r="S886" s="237"/>
      <c r="T886" s="237"/>
      <c r="U886" s="237"/>
      <c r="V886" s="237"/>
      <c r="W886" s="237"/>
      <c r="X886" s="237"/>
      <c r="Y886" s="237"/>
      <c r="Z886" s="237"/>
      <c r="AA886" s="237"/>
      <c r="AB886" s="237"/>
      <c r="AC886" s="237"/>
    </row>
    <row r="887" spans="2:29" ht="13.5" customHeight="1">
      <c r="B887" s="237"/>
      <c r="C887" s="237"/>
      <c r="D887" s="255"/>
      <c r="E887" s="237"/>
      <c r="F887" s="237"/>
      <c r="G887" s="255"/>
      <c r="H887" s="237"/>
      <c r="I887" s="237"/>
      <c r="J887" s="237"/>
      <c r="K887" s="240"/>
      <c r="L887" s="237"/>
      <c r="M887" s="237"/>
      <c r="N887" s="237"/>
      <c r="O887" s="237"/>
      <c r="P887" s="237"/>
      <c r="Q887" s="245"/>
      <c r="R887" s="237"/>
      <c r="S887" s="237"/>
      <c r="T887" s="237"/>
      <c r="U887" s="237"/>
      <c r="V887" s="237"/>
      <c r="W887" s="237"/>
      <c r="X887" s="237"/>
      <c r="Y887" s="237"/>
      <c r="Z887" s="237"/>
      <c r="AA887" s="237"/>
      <c r="AB887" s="237"/>
      <c r="AC887" s="237"/>
    </row>
    <row r="888" spans="2:29" ht="13.5" customHeight="1">
      <c r="B888" s="237"/>
      <c r="C888" s="237"/>
      <c r="D888" s="255"/>
      <c r="E888" s="237"/>
      <c r="F888" s="237"/>
      <c r="G888" s="255"/>
      <c r="H888" s="237"/>
      <c r="I888" s="237"/>
      <c r="J888" s="237"/>
      <c r="K888" s="240"/>
      <c r="L888" s="237"/>
      <c r="M888" s="237"/>
      <c r="N888" s="237"/>
      <c r="O888" s="237"/>
      <c r="P888" s="237"/>
      <c r="Q888" s="245"/>
      <c r="R888" s="237"/>
      <c r="S888" s="237"/>
      <c r="T888" s="237"/>
      <c r="U888" s="237"/>
      <c r="V888" s="237"/>
      <c r="W888" s="237"/>
      <c r="X888" s="237"/>
      <c r="Y888" s="237"/>
      <c r="Z888" s="237"/>
      <c r="AA888" s="237"/>
      <c r="AB888" s="237"/>
      <c r="AC888" s="237"/>
    </row>
    <row r="889" spans="2:29" ht="13.5" customHeight="1">
      <c r="B889" s="237"/>
      <c r="C889" s="237"/>
      <c r="D889" s="255"/>
      <c r="E889" s="237"/>
      <c r="F889" s="237"/>
      <c r="G889" s="255"/>
      <c r="H889" s="237"/>
      <c r="I889" s="237"/>
      <c r="J889" s="237"/>
      <c r="K889" s="240"/>
      <c r="L889" s="237"/>
      <c r="M889" s="237"/>
      <c r="N889" s="237"/>
      <c r="O889" s="237"/>
      <c r="P889" s="237"/>
      <c r="Q889" s="245"/>
      <c r="R889" s="237"/>
      <c r="S889" s="237"/>
      <c r="T889" s="237"/>
      <c r="U889" s="237"/>
      <c r="V889" s="237"/>
      <c r="W889" s="237"/>
      <c r="X889" s="237"/>
      <c r="Y889" s="237"/>
      <c r="Z889" s="237"/>
      <c r="AA889" s="237"/>
      <c r="AB889" s="237"/>
      <c r="AC889" s="237"/>
    </row>
    <row r="890" spans="2:29" ht="13.5" customHeight="1">
      <c r="B890" s="237"/>
      <c r="C890" s="237"/>
      <c r="D890" s="255"/>
      <c r="E890" s="237"/>
      <c r="F890" s="237"/>
      <c r="G890" s="255"/>
      <c r="H890" s="237"/>
      <c r="I890" s="237"/>
      <c r="J890" s="237"/>
      <c r="K890" s="240"/>
      <c r="L890" s="237"/>
      <c r="M890" s="237"/>
      <c r="N890" s="237"/>
      <c r="O890" s="237"/>
      <c r="P890" s="237"/>
      <c r="Q890" s="245"/>
      <c r="R890" s="237"/>
      <c r="S890" s="237"/>
      <c r="T890" s="237"/>
      <c r="U890" s="237"/>
      <c r="V890" s="237"/>
      <c r="W890" s="237"/>
      <c r="X890" s="237"/>
      <c r="Y890" s="237"/>
      <c r="Z890" s="237"/>
      <c r="AA890" s="237"/>
      <c r="AB890" s="237"/>
      <c r="AC890" s="237"/>
    </row>
    <row r="891" spans="2:29" ht="13.5" customHeight="1">
      <c r="B891" s="237"/>
      <c r="C891" s="237"/>
      <c r="D891" s="255"/>
      <c r="E891" s="237"/>
      <c r="F891" s="237"/>
      <c r="G891" s="255"/>
      <c r="H891" s="237"/>
      <c r="I891" s="237"/>
      <c r="J891" s="237"/>
      <c r="K891" s="240"/>
      <c r="L891" s="237"/>
      <c r="M891" s="237"/>
      <c r="N891" s="237"/>
      <c r="O891" s="237"/>
      <c r="P891" s="237"/>
      <c r="Q891" s="245"/>
      <c r="R891" s="237"/>
      <c r="S891" s="237"/>
      <c r="T891" s="237"/>
      <c r="U891" s="237"/>
      <c r="V891" s="237"/>
      <c r="W891" s="237"/>
      <c r="X891" s="237"/>
      <c r="Y891" s="237"/>
      <c r="Z891" s="237"/>
      <c r="AA891" s="237"/>
      <c r="AB891" s="237"/>
      <c r="AC891" s="237"/>
    </row>
    <row r="892" spans="2:29" ht="13.5" customHeight="1">
      <c r="B892" s="237"/>
      <c r="C892" s="237"/>
      <c r="D892" s="255"/>
      <c r="E892" s="237"/>
      <c r="F892" s="237"/>
      <c r="G892" s="255"/>
      <c r="H892" s="237"/>
      <c r="I892" s="237"/>
      <c r="J892" s="237"/>
      <c r="K892" s="240"/>
      <c r="L892" s="237"/>
      <c r="M892" s="237"/>
      <c r="N892" s="237"/>
      <c r="O892" s="237"/>
      <c r="P892" s="237"/>
      <c r="Q892" s="245"/>
      <c r="R892" s="237"/>
      <c r="S892" s="237"/>
      <c r="T892" s="237"/>
      <c r="U892" s="237"/>
      <c r="V892" s="237"/>
      <c r="W892" s="237"/>
      <c r="X892" s="237"/>
      <c r="Y892" s="237"/>
      <c r="Z892" s="237"/>
      <c r="AA892" s="237"/>
      <c r="AB892" s="237"/>
      <c r="AC892" s="237"/>
    </row>
    <row r="893" spans="2:29" ht="13.5" customHeight="1">
      <c r="B893" s="237"/>
      <c r="C893" s="237"/>
      <c r="D893" s="255"/>
      <c r="E893" s="237"/>
      <c r="F893" s="237"/>
      <c r="G893" s="255"/>
      <c r="H893" s="237"/>
      <c r="I893" s="237"/>
      <c r="J893" s="237"/>
      <c r="K893" s="240"/>
      <c r="L893" s="237"/>
      <c r="M893" s="237"/>
      <c r="N893" s="237"/>
      <c r="O893" s="237"/>
      <c r="P893" s="237"/>
      <c r="Q893" s="245"/>
      <c r="R893" s="237"/>
      <c r="S893" s="237"/>
      <c r="T893" s="237"/>
      <c r="U893" s="237"/>
      <c r="V893" s="237"/>
      <c r="W893" s="237"/>
      <c r="X893" s="237"/>
      <c r="Y893" s="237"/>
      <c r="Z893" s="237"/>
      <c r="AA893" s="237"/>
      <c r="AB893" s="237"/>
      <c r="AC893" s="237"/>
    </row>
    <row r="894" spans="2:29" ht="13.5" customHeight="1">
      <c r="B894" s="237"/>
      <c r="C894" s="237"/>
      <c r="D894" s="255"/>
      <c r="E894" s="237"/>
      <c r="F894" s="237"/>
      <c r="G894" s="255"/>
      <c r="H894" s="237"/>
      <c r="I894" s="237"/>
      <c r="J894" s="237"/>
      <c r="K894" s="240"/>
      <c r="L894" s="237"/>
      <c r="M894" s="237"/>
      <c r="N894" s="237"/>
      <c r="O894" s="237"/>
      <c r="P894" s="237"/>
      <c r="Q894" s="245"/>
      <c r="R894" s="237"/>
      <c r="S894" s="237"/>
      <c r="T894" s="237"/>
      <c r="U894" s="237"/>
      <c r="V894" s="237"/>
      <c r="W894" s="237"/>
      <c r="X894" s="237"/>
      <c r="Y894" s="237"/>
      <c r="Z894" s="237"/>
      <c r="AA894" s="237"/>
      <c r="AB894" s="237"/>
      <c r="AC894" s="237"/>
    </row>
    <row r="895" spans="2:29" ht="13.5" customHeight="1">
      <c r="B895" s="237"/>
      <c r="C895" s="237"/>
      <c r="D895" s="255"/>
      <c r="E895" s="237"/>
      <c r="F895" s="237"/>
      <c r="G895" s="255"/>
      <c r="H895" s="237"/>
      <c r="I895" s="237"/>
      <c r="J895" s="237"/>
      <c r="K895" s="240"/>
      <c r="L895" s="237"/>
      <c r="M895" s="237"/>
      <c r="N895" s="237"/>
      <c r="O895" s="237"/>
      <c r="P895" s="237"/>
      <c r="Q895" s="245"/>
      <c r="R895" s="237"/>
      <c r="S895" s="237"/>
      <c r="T895" s="237"/>
      <c r="U895" s="237"/>
      <c r="V895" s="237"/>
      <c r="W895" s="237"/>
      <c r="X895" s="237"/>
      <c r="Y895" s="237"/>
      <c r="Z895" s="237"/>
      <c r="AA895" s="237"/>
      <c r="AB895" s="237"/>
      <c r="AC895" s="237"/>
    </row>
    <row r="896" spans="2:29" ht="13.5" customHeight="1">
      <c r="B896" s="237"/>
      <c r="C896" s="237"/>
      <c r="D896" s="255"/>
      <c r="E896" s="237"/>
      <c r="F896" s="237"/>
      <c r="G896" s="255"/>
      <c r="H896" s="237"/>
      <c r="I896" s="237"/>
      <c r="J896" s="237"/>
      <c r="K896" s="240"/>
      <c r="L896" s="237"/>
      <c r="M896" s="237"/>
      <c r="N896" s="237"/>
      <c r="O896" s="237"/>
      <c r="P896" s="237"/>
      <c r="Q896" s="245"/>
      <c r="R896" s="237"/>
      <c r="S896" s="237"/>
      <c r="T896" s="237"/>
      <c r="U896" s="237"/>
      <c r="V896" s="237"/>
      <c r="W896" s="237"/>
      <c r="X896" s="237"/>
      <c r="Y896" s="237"/>
      <c r="Z896" s="237"/>
      <c r="AA896" s="237"/>
      <c r="AB896" s="237"/>
      <c r="AC896" s="237"/>
    </row>
    <row r="897" spans="2:29" ht="13.5" customHeight="1">
      <c r="B897" s="237"/>
      <c r="C897" s="237"/>
      <c r="D897" s="255"/>
      <c r="E897" s="237"/>
      <c r="F897" s="237"/>
      <c r="G897" s="255"/>
      <c r="H897" s="237"/>
      <c r="I897" s="237"/>
      <c r="J897" s="237"/>
      <c r="K897" s="240"/>
      <c r="L897" s="237"/>
      <c r="M897" s="237"/>
      <c r="N897" s="237"/>
      <c r="O897" s="237"/>
      <c r="P897" s="237"/>
      <c r="Q897" s="245"/>
      <c r="R897" s="237"/>
      <c r="S897" s="237"/>
      <c r="T897" s="237"/>
      <c r="U897" s="237"/>
      <c r="V897" s="237"/>
      <c r="W897" s="237"/>
      <c r="X897" s="237"/>
      <c r="Y897" s="237"/>
      <c r="Z897" s="237"/>
      <c r="AA897" s="237"/>
      <c r="AB897" s="237"/>
      <c r="AC897" s="237"/>
    </row>
    <row r="898" spans="2:29" ht="13.5" customHeight="1">
      <c r="B898" s="237"/>
      <c r="C898" s="237"/>
      <c r="D898" s="255"/>
      <c r="E898" s="237"/>
      <c r="F898" s="237"/>
      <c r="G898" s="255"/>
      <c r="H898" s="237"/>
      <c r="I898" s="237"/>
      <c r="J898" s="237"/>
      <c r="K898" s="240"/>
      <c r="L898" s="237"/>
      <c r="M898" s="237"/>
      <c r="N898" s="237"/>
      <c r="O898" s="237"/>
      <c r="P898" s="237"/>
      <c r="Q898" s="245"/>
      <c r="R898" s="237"/>
      <c r="S898" s="237"/>
      <c r="T898" s="237"/>
      <c r="U898" s="237"/>
      <c r="V898" s="237"/>
      <c r="W898" s="237"/>
      <c r="X898" s="237"/>
      <c r="Y898" s="237"/>
      <c r="Z898" s="237"/>
      <c r="AA898" s="237"/>
      <c r="AB898" s="237"/>
      <c r="AC898" s="237"/>
    </row>
    <row r="899" spans="2:29" ht="13.5" customHeight="1">
      <c r="B899" s="237"/>
      <c r="C899" s="237"/>
      <c r="D899" s="255"/>
      <c r="E899" s="237"/>
      <c r="F899" s="237"/>
      <c r="G899" s="255"/>
      <c r="H899" s="237"/>
      <c r="I899" s="237"/>
      <c r="J899" s="237"/>
      <c r="K899" s="240"/>
      <c r="L899" s="237"/>
      <c r="M899" s="237"/>
      <c r="N899" s="237"/>
      <c r="O899" s="237"/>
      <c r="P899" s="237"/>
      <c r="Q899" s="245"/>
      <c r="R899" s="237"/>
      <c r="S899" s="237"/>
      <c r="T899" s="237"/>
      <c r="U899" s="237"/>
      <c r="V899" s="237"/>
      <c r="W899" s="237"/>
      <c r="X899" s="237"/>
      <c r="Y899" s="237"/>
      <c r="Z899" s="237"/>
      <c r="AA899" s="237"/>
      <c r="AB899" s="237"/>
      <c r="AC899" s="237"/>
    </row>
    <row r="900" spans="2:29" ht="13.5" customHeight="1">
      <c r="B900" s="237"/>
      <c r="C900" s="237"/>
      <c r="D900" s="255"/>
      <c r="E900" s="237"/>
      <c r="F900" s="237"/>
      <c r="G900" s="255"/>
      <c r="H900" s="237"/>
      <c r="I900" s="237"/>
      <c r="J900" s="237"/>
      <c r="K900" s="240"/>
      <c r="L900" s="237"/>
      <c r="M900" s="237"/>
      <c r="N900" s="237"/>
      <c r="O900" s="237"/>
      <c r="P900" s="237"/>
      <c r="Q900" s="245"/>
      <c r="R900" s="237"/>
      <c r="S900" s="237"/>
      <c r="T900" s="237"/>
      <c r="U900" s="237"/>
      <c r="V900" s="237"/>
      <c r="W900" s="237"/>
      <c r="X900" s="237"/>
      <c r="Y900" s="237"/>
      <c r="Z900" s="237"/>
      <c r="AA900" s="237"/>
      <c r="AB900" s="237"/>
      <c r="AC900" s="237"/>
    </row>
    <row r="901" spans="2:29" ht="13.5" customHeight="1">
      <c r="B901" s="237"/>
      <c r="C901" s="237"/>
      <c r="D901" s="255"/>
      <c r="E901" s="237"/>
      <c r="F901" s="237"/>
      <c r="G901" s="255"/>
      <c r="H901" s="237"/>
      <c r="I901" s="237"/>
      <c r="J901" s="237"/>
      <c r="K901" s="240"/>
      <c r="L901" s="237"/>
      <c r="M901" s="237"/>
      <c r="N901" s="237"/>
      <c r="O901" s="237"/>
      <c r="P901" s="237"/>
      <c r="Q901" s="245"/>
      <c r="R901" s="237"/>
      <c r="S901" s="237"/>
      <c r="T901" s="237"/>
      <c r="U901" s="237"/>
      <c r="V901" s="237"/>
      <c r="W901" s="237"/>
      <c r="X901" s="237"/>
      <c r="Y901" s="237"/>
      <c r="Z901" s="237"/>
      <c r="AA901" s="237"/>
      <c r="AB901" s="237"/>
      <c r="AC901" s="237"/>
    </row>
    <row r="902" spans="2:29" ht="13.5" customHeight="1">
      <c r="B902" s="237"/>
      <c r="C902" s="237"/>
      <c r="D902" s="255"/>
      <c r="E902" s="237"/>
      <c r="F902" s="237"/>
      <c r="G902" s="255"/>
      <c r="H902" s="237"/>
      <c r="I902" s="237"/>
      <c r="J902" s="237"/>
      <c r="K902" s="240"/>
      <c r="L902" s="237"/>
      <c r="M902" s="237"/>
      <c r="N902" s="237"/>
      <c r="O902" s="237"/>
      <c r="P902" s="237"/>
      <c r="Q902" s="245"/>
      <c r="R902" s="237"/>
      <c r="S902" s="237"/>
      <c r="T902" s="237"/>
      <c r="U902" s="237"/>
      <c r="V902" s="237"/>
      <c r="W902" s="237"/>
      <c r="X902" s="237"/>
      <c r="Y902" s="237"/>
      <c r="Z902" s="237"/>
      <c r="AA902" s="237"/>
      <c r="AB902" s="237"/>
      <c r="AC902" s="237"/>
    </row>
    <row r="903" spans="2:29" ht="13.5" customHeight="1">
      <c r="B903" s="237"/>
      <c r="C903" s="237"/>
      <c r="D903" s="255"/>
      <c r="E903" s="237"/>
      <c r="F903" s="237"/>
      <c r="G903" s="255"/>
      <c r="H903" s="237"/>
      <c r="I903" s="237"/>
      <c r="J903" s="237"/>
      <c r="K903" s="240"/>
      <c r="L903" s="237"/>
      <c r="M903" s="237"/>
      <c r="N903" s="237"/>
      <c r="O903" s="237"/>
      <c r="P903" s="237"/>
      <c r="Q903" s="245"/>
      <c r="R903" s="237"/>
      <c r="S903" s="237"/>
      <c r="T903" s="237"/>
      <c r="U903" s="237"/>
      <c r="V903" s="237"/>
      <c r="W903" s="237"/>
      <c r="X903" s="237"/>
      <c r="Y903" s="237"/>
      <c r="Z903" s="237"/>
      <c r="AA903" s="237"/>
      <c r="AB903" s="237"/>
      <c r="AC903" s="237"/>
    </row>
    <row r="904" spans="2:29" ht="13.5" customHeight="1">
      <c r="B904" s="237"/>
      <c r="C904" s="237"/>
      <c r="D904" s="255"/>
      <c r="E904" s="237"/>
      <c r="F904" s="237"/>
      <c r="G904" s="255"/>
      <c r="H904" s="237"/>
      <c r="I904" s="237"/>
      <c r="J904" s="237"/>
      <c r="K904" s="240"/>
      <c r="L904" s="237"/>
      <c r="M904" s="237"/>
      <c r="N904" s="237"/>
      <c r="O904" s="237"/>
      <c r="P904" s="237"/>
      <c r="Q904" s="245"/>
      <c r="R904" s="237"/>
      <c r="S904" s="237"/>
      <c r="T904" s="237"/>
      <c r="U904" s="237"/>
      <c r="V904" s="237"/>
      <c r="W904" s="237"/>
      <c r="X904" s="237"/>
      <c r="Y904" s="237"/>
      <c r="Z904" s="237"/>
      <c r="AA904" s="237"/>
      <c r="AB904" s="237"/>
      <c r="AC904" s="237"/>
    </row>
    <row r="905" spans="2:29" ht="13.5" customHeight="1">
      <c r="B905" s="237"/>
      <c r="C905" s="237"/>
      <c r="D905" s="255"/>
      <c r="E905" s="237"/>
      <c r="F905" s="237"/>
      <c r="G905" s="255"/>
      <c r="H905" s="237"/>
      <c r="I905" s="237"/>
      <c r="J905" s="237"/>
      <c r="K905" s="240"/>
      <c r="L905" s="237"/>
      <c r="M905" s="237"/>
      <c r="N905" s="237"/>
      <c r="O905" s="237"/>
      <c r="P905" s="237"/>
      <c r="Q905" s="245"/>
      <c r="R905" s="237"/>
      <c r="S905" s="237"/>
      <c r="T905" s="237"/>
      <c r="U905" s="237"/>
      <c r="V905" s="237"/>
      <c r="W905" s="237"/>
      <c r="X905" s="237"/>
      <c r="Y905" s="237"/>
      <c r="Z905" s="237"/>
      <c r="AA905" s="237"/>
      <c r="AB905" s="237"/>
      <c r="AC905" s="237"/>
    </row>
    <row r="906" spans="2:29" ht="13.5" customHeight="1">
      <c r="B906" s="237"/>
      <c r="C906" s="237"/>
      <c r="D906" s="255"/>
      <c r="E906" s="237"/>
      <c r="F906" s="237"/>
      <c r="G906" s="255"/>
      <c r="H906" s="237"/>
      <c r="I906" s="237"/>
      <c r="J906" s="237"/>
      <c r="K906" s="240"/>
      <c r="L906" s="237"/>
      <c r="M906" s="237"/>
      <c r="N906" s="237"/>
      <c r="O906" s="237"/>
      <c r="P906" s="237"/>
      <c r="Q906" s="245"/>
      <c r="R906" s="237"/>
      <c r="S906" s="237"/>
      <c r="T906" s="237"/>
      <c r="U906" s="237"/>
      <c r="V906" s="237"/>
      <c r="W906" s="237"/>
      <c r="X906" s="237"/>
      <c r="Y906" s="237"/>
      <c r="Z906" s="237"/>
      <c r="AA906" s="237"/>
      <c r="AB906" s="237"/>
      <c r="AC906" s="237"/>
    </row>
    <row r="907" spans="2:29" ht="13.5" customHeight="1">
      <c r="B907" s="237"/>
      <c r="C907" s="237"/>
      <c r="D907" s="255"/>
      <c r="E907" s="237"/>
      <c r="F907" s="237"/>
      <c r="G907" s="255"/>
      <c r="H907" s="237"/>
      <c r="I907" s="237"/>
      <c r="J907" s="237"/>
      <c r="K907" s="240"/>
      <c r="L907" s="237"/>
      <c r="M907" s="237"/>
      <c r="N907" s="237"/>
      <c r="O907" s="237"/>
      <c r="P907" s="237"/>
      <c r="Q907" s="245"/>
      <c r="R907" s="237"/>
      <c r="S907" s="237"/>
      <c r="T907" s="237"/>
      <c r="U907" s="237"/>
      <c r="V907" s="237"/>
      <c r="W907" s="237"/>
      <c r="X907" s="237"/>
      <c r="Y907" s="237"/>
      <c r="Z907" s="237"/>
      <c r="AA907" s="237"/>
      <c r="AB907" s="237"/>
      <c r="AC907" s="237"/>
    </row>
    <row r="908" spans="2:29" ht="13.5" customHeight="1">
      <c r="B908" s="237"/>
      <c r="C908" s="237"/>
      <c r="D908" s="255"/>
      <c r="E908" s="237"/>
      <c r="F908" s="237"/>
      <c r="G908" s="255"/>
      <c r="H908" s="237"/>
      <c r="I908" s="237"/>
      <c r="J908" s="237"/>
      <c r="K908" s="240"/>
      <c r="L908" s="237"/>
      <c r="M908" s="237"/>
      <c r="N908" s="237"/>
      <c r="O908" s="237"/>
      <c r="P908" s="237"/>
      <c r="Q908" s="245"/>
      <c r="R908" s="237"/>
      <c r="S908" s="237"/>
      <c r="T908" s="237"/>
      <c r="U908" s="237"/>
      <c r="V908" s="237"/>
      <c r="W908" s="237"/>
      <c r="X908" s="237"/>
      <c r="Y908" s="237"/>
      <c r="Z908" s="237"/>
      <c r="AA908" s="237"/>
      <c r="AB908" s="237"/>
      <c r="AC908" s="237"/>
    </row>
    <row r="909" spans="2:29" ht="13.5" customHeight="1">
      <c r="B909" s="237"/>
      <c r="C909" s="237"/>
      <c r="D909" s="255"/>
      <c r="E909" s="237"/>
      <c r="F909" s="237"/>
      <c r="G909" s="255"/>
      <c r="H909" s="237"/>
      <c r="I909" s="237"/>
      <c r="J909" s="237"/>
      <c r="K909" s="240"/>
      <c r="L909" s="237"/>
      <c r="M909" s="237"/>
      <c r="N909" s="237"/>
      <c r="O909" s="237"/>
      <c r="P909" s="237"/>
      <c r="Q909" s="245"/>
      <c r="R909" s="237"/>
      <c r="S909" s="237"/>
      <c r="T909" s="237"/>
      <c r="U909" s="237"/>
      <c r="V909" s="237"/>
      <c r="W909" s="237"/>
      <c r="X909" s="237"/>
      <c r="Y909" s="237"/>
      <c r="Z909" s="237"/>
      <c r="AA909" s="237"/>
      <c r="AB909" s="237"/>
      <c r="AC909" s="237"/>
    </row>
    <row r="910" spans="2:29" ht="13.5" customHeight="1">
      <c r="B910" s="237"/>
      <c r="C910" s="237"/>
      <c r="D910" s="255"/>
      <c r="E910" s="237"/>
      <c r="F910" s="237"/>
      <c r="G910" s="255"/>
      <c r="H910" s="237"/>
      <c r="I910" s="237"/>
      <c r="J910" s="237"/>
      <c r="K910" s="240"/>
      <c r="L910" s="237"/>
      <c r="M910" s="237"/>
      <c r="N910" s="237"/>
      <c r="O910" s="237"/>
      <c r="P910" s="237"/>
      <c r="Q910" s="245"/>
      <c r="R910" s="237"/>
      <c r="S910" s="237"/>
      <c r="T910" s="237"/>
      <c r="U910" s="237"/>
      <c r="V910" s="237"/>
      <c r="W910" s="237"/>
      <c r="X910" s="237"/>
      <c r="Y910" s="237"/>
      <c r="Z910" s="237"/>
      <c r="AA910" s="237"/>
      <c r="AB910" s="237"/>
      <c r="AC910" s="237"/>
    </row>
    <row r="911" spans="2:29" ht="13.5" customHeight="1">
      <c r="B911" s="237"/>
      <c r="C911" s="237"/>
      <c r="D911" s="255"/>
      <c r="E911" s="237"/>
      <c r="F911" s="237"/>
      <c r="G911" s="255"/>
      <c r="H911" s="237"/>
      <c r="I911" s="237"/>
      <c r="J911" s="237"/>
      <c r="K911" s="240"/>
      <c r="L911" s="237"/>
      <c r="M911" s="237"/>
      <c r="N911" s="237"/>
      <c r="O911" s="237"/>
      <c r="P911" s="237"/>
      <c r="Q911" s="245"/>
      <c r="R911" s="237"/>
      <c r="S911" s="237"/>
      <c r="T911" s="237"/>
      <c r="U911" s="237"/>
      <c r="V911" s="237"/>
      <c r="W911" s="237"/>
      <c r="X911" s="237"/>
      <c r="Y911" s="237"/>
      <c r="Z911" s="237"/>
      <c r="AA911" s="237"/>
      <c r="AB911" s="237"/>
      <c r="AC911" s="237"/>
    </row>
    <row r="912" spans="2:29" ht="13.5" customHeight="1">
      <c r="B912" s="237"/>
      <c r="C912" s="237"/>
      <c r="D912" s="255"/>
      <c r="E912" s="237"/>
      <c r="F912" s="237"/>
      <c r="G912" s="255"/>
      <c r="H912" s="237"/>
      <c r="I912" s="237"/>
      <c r="J912" s="237"/>
      <c r="K912" s="240"/>
      <c r="L912" s="237"/>
      <c r="M912" s="237"/>
      <c r="N912" s="237"/>
      <c r="O912" s="237"/>
      <c r="P912" s="237"/>
      <c r="Q912" s="245"/>
      <c r="R912" s="237"/>
      <c r="S912" s="237"/>
      <c r="T912" s="237"/>
      <c r="U912" s="237"/>
      <c r="V912" s="237"/>
      <c r="W912" s="237"/>
      <c r="X912" s="237"/>
      <c r="Y912" s="237"/>
      <c r="Z912" s="237"/>
      <c r="AA912" s="237"/>
      <c r="AB912" s="237"/>
      <c r="AC912" s="237"/>
    </row>
    <row r="913" spans="2:29" ht="13.5" customHeight="1">
      <c r="B913" s="237"/>
      <c r="C913" s="237"/>
      <c r="D913" s="255"/>
      <c r="E913" s="237"/>
      <c r="F913" s="237"/>
      <c r="G913" s="255"/>
      <c r="H913" s="237"/>
      <c r="I913" s="237"/>
      <c r="J913" s="237"/>
      <c r="K913" s="240"/>
      <c r="L913" s="237"/>
      <c r="M913" s="237"/>
      <c r="N913" s="237"/>
      <c r="O913" s="237"/>
      <c r="P913" s="237"/>
      <c r="Q913" s="245"/>
      <c r="R913" s="237"/>
      <c r="S913" s="237"/>
      <c r="T913" s="237"/>
      <c r="U913" s="237"/>
      <c r="V913" s="237"/>
      <c r="W913" s="237"/>
      <c r="X913" s="237"/>
      <c r="Y913" s="237"/>
      <c r="Z913" s="237"/>
      <c r="AA913" s="237"/>
      <c r="AB913" s="237"/>
      <c r="AC913" s="237"/>
    </row>
    <row r="914" spans="2:29" ht="13.5" customHeight="1">
      <c r="B914" s="237"/>
      <c r="C914" s="237"/>
      <c r="D914" s="255"/>
      <c r="E914" s="237"/>
      <c r="F914" s="237"/>
      <c r="G914" s="255"/>
      <c r="H914" s="237"/>
      <c r="I914" s="237"/>
      <c r="J914" s="237"/>
      <c r="K914" s="240"/>
      <c r="L914" s="237"/>
      <c r="M914" s="237"/>
      <c r="N914" s="237"/>
      <c r="O914" s="237"/>
      <c r="P914" s="237"/>
      <c r="Q914" s="245"/>
      <c r="R914" s="237"/>
      <c r="S914" s="237"/>
      <c r="T914" s="237"/>
      <c r="U914" s="237"/>
      <c r="V914" s="237"/>
      <c r="W914" s="237"/>
      <c r="X914" s="237"/>
      <c r="Y914" s="237"/>
      <c r="Z914" s="237"/>
      <c r="AA914" s="237"/>
      <c r="AB914" s="237"/>
      <c r="AC914" s="237"/>
    </row>
    <row r="915" spans="2:29" ht="13.5" customHeight="1">
      <c r="B915" s="237"/>
      <c r="C915" s="237"/>
      <c r="D915" s="255"/>
      <c r="E915" s="237"/>
      <c r="F915" s="237"/>
      <c r="G915" s="255"/>
      <c r="H915" s="237"/>
      <c r="I915" s="237"/>
      <c r="J915" s="237"/>
      <c r="K915" s="240"/>
      <c r="L915" s="237"/>
      <c r="M915" s="237"/>
      <c r="N915" s="237"/>
      <c r="O915" s="237"/>
      <c r="P915" s="237"/>
      <c r="Q915" s="245"/>
      <c r="R915" s="237"/>
      <c r="S915" s="237"/>
      <c r="T915" s="237"/>
      <c r="U915" s="237"/>
      <c r="V915" s="237"/>
      <c r="W915" s="237"/>
      <c r="X915" s="237"/>
      <c r="Y915" s="237"/>
      <c r="Z915" s="237"/>
      <c r="AA915" s="237"/>
      <c r="AB915" s="237"/>
      <c r="AC915" s="237"/>
    </row>
    <row r="916" spans="2:29" ht="13.5" customHeight="1">
      <c r="B916" s="237"/>
      <c r="C916" s="237"/>
      <c r="D916" s="255"/>
      <c r="E916" s="237"/>
      <c r="F916" s="237"/>
      <c r="G916" s="255"/>
      <c r="H916" s="237"/>
      <c r="I916" s="237"/>
      <c r="J916" s="237"/>
      <c r="K916" s="240"/>
      <c r="L916" s="237"/>
      <c r="M916" s="237"/>
      <c r="N916" s="237"/>
      <c r="O916" s="237"/>
      <c r="P916" s="237"/>
      <c r="Q916" s="245"/>
      <c r="R916" s="237"/>
      <c r="S916" s="237"/>
      <c r="T916" s="237"/>
      <c r="U916" s="237"/>
      <c r="V916" s="237"/>
      <c r="W916" s="237"/>
      <c r="X916" s="237"/>
      <c r="Y916" s="237"/>
      <c r="Z916" s="237"/>
      <c r="AA916" s="237"/>
      <c r="AB916" s="237"/>
      <c r="AC916" s="237"/>
    </row>
    <row r="917" spans="2:29" ht="13.5" customHeight="1">
      <c r="B917" s="237"/>
      <c r="C917" s="237"/>
      <c r="D917" s="255"/>
      <c r="E917" s="237"/>
      <c r="F917" s="237"/>
      <c r="G917" s="255"/>
      <c r="H917" s="237"/>
      <c r="I917" s="237"/>
      <c r="J917" s="237"/>
      <c r="K917" s="240"/>
      <c r="L917" s="237"/>
      <c r="M917" s="237"/>
      <c r="N917" s="237"/>
      <c r="O917" s="237"/>
      <c r="P917" s="237"/>
      <c r="Q917" s="245"/>
      <c r="R917" s="237"/>
      <c r="S917" s="237"/>
      <c r="T917" s="237"/>
      <c r="U917" s="237"/>
      <c r="V917" s="237"/>
      <c r="W917" s="237"/>
      <c r="X917" s="237"/>
      <c r="Y917" s="237"/>
      <c r="Z917" s="237"/>
      <c r="AA917" s="237"/>
      <c r="AB917" s="237"/>
      <c r="AC917" s="237"/>
    </row>
    <row r="918" spans="2:29" ht="13.5" customHeight="1">
      <c r="B918" s="237"/>
      <c r="C918" s="237"/>
      <c r="D918" s="255"/>
      <c r="E918" s="237"/>
      <c r="F918" s="237"/>
      <c r="G918" s="255"/>
      <c r="H918" s="237"/>
      <c r="I918" s="237"/>
      <c r="J918" s="237"/>
      <c r="K918" s="240"/>
      <c r="L918" s="237"/>
      <c r="M918" s="237"/>
      <c r="N918" s="237"/>
      <c r="O918" s="237"/>
      <c r="P918" s="237"/>
      <c r="Q918" s="245"/>
      <c r="R918" s="237"/>
      <c r="S918" s="237"/>
      <c r="T918" s="237"/>
      <c r="U918" s="237"/>
      <c r="V918" s="237"/>
      <c r="W918" s="237"/>
      <c r="X918" s="237"/>
      <c r="Y918" s="237"/>
      <c r="Z918" s="237"/>
      <c r="AA918" s="237"/>
      <c r="AB918" s="237"/>
      <c r="AC918" s="237"/>
    </row>
    <row r="919" spans="2:29" ht="13.5" customHeight="1">
      <c r="B919" s="237"/>
      <c r="C919" s="237"/>
      <c r="D919" s="255"/>
      <c r="E919" s="237"/>
      <c r="F919" s="237"/>
      <c r="G919" s="255"/>
      <c r="H919" s="237"/>
      <c r="I919" s="237"/>
      <c r="J919" s="237"/>
      <c r="K919" s="240"/>
      <c r="L919" s="237"/>
      <c r="M919" s="237"/>
      <c r="N919" s="237"/>
      <c r="O919" s="237"/>
      <c r="P919" s="237"/>
      <c r="Q919" s="245"/>
      <c r="R919" s="237"/>
      <c r="S919" s="237"/>
      <c r="T919" s="237"/>
      <c r="U919" s="237"/>
      <c r="V919" s="237"/>
      <c r="W919" s="237"/>
      <c r="X919" s="237"/>
      <c r="Y919" s="237"/>
      <c r="Z919" s="237"/>
      <c r="AA919" s="237"/>
      <c r="AB919" s="237"/>
      <c r="AC919" s="237"/>
    </row>
    <row r="920" spans="2:29" ht="13.5" customHeight="1">
      <c r="B920" s="237"/>
      <c r="C920" s="237"/>
      <c r="D920" s="255"/>
      <c r="E920" s="237"/>
      <c r="F920" s="237"/>
      <c r="G920" s="255"/>
      <c r="H920" s="237"/>
      <c r="I920" s="237"/>
      <c r="J920" s="237"/>
      <c r="K920" s="240"/>
      <c r="L920" s="237"/>
      <c r="M920" s="237"/>
      <c r="N920" s="237"/>
      <c r="O920" s="237"/>
      <c r="P920" s="237"/>
      <c r="Q920" s="245"/>
      <c r="R920" s="237"/>
      <c r="S920" s="237"/>
      <c r="T920" s="237"/>
      <c r="U920" s="237"/>
      <c r="V920" s="237"/>
      <c r="W920" s="237"/>
      <c r="X920" s="237"/>
      <c r="Y920" s="237"/>
      <c r="Z920" s="237"/>
      <c r="AA920" s="237"/>
      <c r="AB920" s="237"/>
      <c r="AC920" s="237"/>
    </row>
    <row r="921" spans="2:29" ht="13.5" customHeight="1">
      <c r="B921" s="237"/>
      <c r="C921" s="237"/>
      <c r="D921" s="255"/>
      <c r="E921" s="237"/>
      <c r="F921" s="237"/>
      <c r="G921" s="255"/>
      <c r="H921" s="237"/>
      <c r="I921" s="237"/>
      <c r="J921" s="237"/>
      <c r="K921" s="240"/>
      <c r="L921" s="237"/>
      <c r="M921" s="237"/>
      <c r="N921" s="237"/>
      <c r="O921" s="237"/>
      <c r="P921" s="237"/>
      <c r="Q921" s="245"/>
      <c r="R921" s="237"/>
      <c r="S921" s="237"/>
      <c r="T921" s="237"/>
      <c r="U921" s="237"/>
      <c r="V921" s="237"/>
      <c r="W921" s="237"/>
      <c r="X921" s="237"/>
      <c r="Y921" s="237"/>
      <c r="Z921" s="237"/>
      <c r="AA921" s="237"/>
      <c r="AB921" s="237"/>
      <c r="AC921" s="237"/>
    </row>
    <row r="922" spans="2:29" ht="13.5" customHeight="1">
      <c r="B922" s="237"/>
      <c r="C922" s="237"/>
      <c r="D922" s="255"/>
      <c r="E922" s="237"/>
      <c r="F922" s="237"/>
      <c r="G922" s="255"/>
      <c r="H922" s="237"/>
      <c r="I922" s="237"/>
      <c r="J922" s="237"/>
      <c r="K922" s="240"/>
      <c r="L922" s="237"/>
      <c r="M922" s="237"/>
      <c r="N922" s="237"/>
      <c r="O922" s="237"/>
      <c r="P922" s="237"/>
      <c r="Q922" s="245"/>
      <c r="R922" s="237"/>
      <c r="S922" s="237"/>
      <c r="T922" s="237"/>
      <c r="U922" s="237"/>
      <c r="V922" s="237"/>
      <c r="W922" s="237"/>
      <c r="X922" s="237"/>
      <c r="Y922" s="237"/>
      <c r="Z922" s="237"/>
      <c r="AA922" s="237"/>
      <c r="AB922" s="237"/>
      <c r="AC922" s="237"/>
    </row>
    <row r="923" spans="2:29" ht="13.5" customHeight="1">
      <c r="B923" s="237"/>
      <c r="C923" s="237"/>
      <c r="D923" s="255"/>
      <c r="E923" s="237"/>
      <c r="F923" s="237"/>
      <c r="G923" s="255"/>
      <c r="H923" s="237"/>
      <c r="I923" s="237"/>
      <c r="J923" s="237"/>
      <c r="K923" s="240"/>
      <c r="L923" s="237"/>
      <c r="M923" s="237"/>
      <c r="N923" s="237"/>
      <c r="O923" s="237"/>
      <c r="P923" s="237"/>
      <c r="Q923" s="245"/>
      <c r="R923" s="237"/>
      <c r="S923" s="237"/>
      <c r="T923" s="237"/>
      <c r="U923" s="237"/>
      <c r="V923" s="237"/>
      <c r="W923" s="237"/>
      <c r="X923" s="237"/>
      <c r="Y923" s="237"/>
      <c r="Z923" s="237"/>
      <c r="AA923" s="237"/>
      <c r="AB923" s="237"/>
      <c r="AC923" s="237"/>
    </row>
    <row r="924" spans="2:29" ht="13.5" customHeight="1">
      <c r="B924" s="237"/>
      <c r="C924" s="237"/>
      <c r="D924" s="255"/>
      <c r="E924" s="237"/>
      <c r="F924" s="237"/>
      <c r="G924" s="255"/>
      <c r="H924" s="237"/>
      <c r="I924" s="237"/>
      <c r="J924" s="237"/>
      <c r="K924" s="240"/>
      <c r="L924" s="237"/>
      <c r="M924" s="237"/>
      <c r="N924" s="237"/>
      <c r="O924" s="237"/>
      <c r="P924" s="237"/>
      <c r="Q924" s="245"/>
      <c r="R924" s="237"/>
      <c r="S924" s="237"/>
      <c r="T924" s="237"/>
      <c r="U924" s="237"/>
      <c r="V924" s="237"/>
      <c r="W924" s="237"/>
      <c r="X924" s="237"/>
      <c r="Y924" s="237"/>
      <c r="Z924" s="237"/>
      <c r="AA924" s="237"/>
      <c r="AB924" s="237"/>
      <c r="AC924" s="237"/>
    </row>
    <row r="925" spans="2:29" ht="13.5" customHeight="1">
      <c r="B925" s="237"/>
      <c r="C925" s="237"/>
      <c r="D925" s="255"/>
      <c r="E925" s="237"/>
      <c r="F925" s="237"/>
      <c r="G925" s="255"/>
      <c r="H925" s="237"/>
      <c r="I925" s="237"/>
      <c r="J925" s="237"/>
      <c r="K925" s="240"/>
      <c r="L925" s="237"/>
      <c r="M925" s="237"/>
      <c r="N925" s="237"/>
      <c r="O925" s="237"/>
      <c r="P925" s="237"/>
      <c r="Q925" s="245"/>
      <c r="R925" s="237"/>
      <c r="S925" s="237"/>
      <c r="T925" s="237"/>
      <c r="U925" s="237"/>
      <c r="V925" s="237"/>
      <c r="W925" s="237"/>
      <c r="X925" s="237"/>
      <c r="Y925" s="237"/>
      <c r="Z925" s="237"/>
      <c r="AA925" s="237"/>
      <c r="AB925" s="237"/>
      <c r="AC925" s="237"/>
    </row>
    <row r="926" spans="2:29" ht="13.5" customHeight="1">
      <c r="B926" s="237"/>
      <c r="C926" s="237"/>
      <c r="D926" s="255"/>
      <c r="E926" s="237"/>
      <c r="F926" s="237"/>
      <c r="G926" s="255"/>
      <c r="H926" s="237"/>
      <c r="I926" s="237"/>
      <c r="J926" s="237"/>
      <c r="K926" s="240"/>
      <c r="L926" s="237"/>
      <c r="M926" s="237"/>
      <c r="N926" s="237"/>
      <c r="O926" s="237"/>
      <c r="P926" s="237"/>
      <c r="Q926" s="245"/>
      <c r="R926" s="237"/>
      <c r="S926" s="237"/>
      <c r="T926" s="237"/>
      <c r="U926" s="237"/>
      <c r="V926" s="237"/>
      <c r="W926" s="237"/>
      <c r="X926" s="237"/>
      <c r="Y926" s="237"/>
      <c r="Z926" s="237"/>
      <c r="AA926" s="237"/>
      <c r="AB926" s="237"/>
      <c r="AC926" s="237"/>
    </row>
    <row r="927" spans="2:29" ht="13.5" customHeight="1">
      <c r="B927" s="237"/>
      <c r="C927" s="237"/>
      <c r="D927" s="255"/>
      <c r="E927" s="237"/>
      <c r="F927" s="237"/>
      <c r="G927" s="255"/>
      <c r="H927" s="237"/>
      <c r="I927" s="237"/>
      <c r="J927" s="237"/>
      <c r="K927" s="240"/>
      <c r="L927" s="237"/>
      <c r="M927" s="237"/>
      <c r="N927" s="237"/>
      <c r="O927" s="237"/>
      <c r="P927" s="237"/>
      <c r="Q927" s="245"/>
      <c r="R927" s="237"/>
      <c r="S927" s="237"/>
      <c r="T927" s="237"/>
      <c r="U927" s="237"/>
      <c r="V927" s="237"/>
      <c r="W927" s="237"/>
      <c r="X927" s="237"/>
      <c r="Y927" s="237"/>
      <c r="Z927" s="237"/>
      <c r="AA927" s="237"/>
      <c r="AB927" s="237"/>
      <c r="AC927" s="237"/>
    </row>
    <row r="928" spans="2:29" ht="13.5" customHeight="1">
      <c r="B928" s="237"/>
      <c r="C928" s="237"/>
      <c r="D928" s="255"/>
      <c r="E928" s="237"/>
      <c r="F928" s="237"/>
      <c r="G928" s="255"/>
      <c r="H928" s="237"/>
      <c r="I928" s="237"/>
      <c r="J928" s="237"/>
      <c r="K928" s="240"/>
      <c r="L928" s="237"/>
      <c r="M928" s="237"/>
      <c r="N928" s="237"/>
      <c r="O928" s="237"/>
      <c r="P928" s="237"/>
      <c r="Q928" s="245"/>
      <c r="R928" s="237"/>
      <c r="S928" s="237"/>
      <c r="T928" s="237"/>
      <c r="U928" s="237"/>
      <c r="V928" s="237"/>
      <c r="W928" s="237"/>
      <c r="X928" s="237"/>
      <c r="Y928" s="237"/>
      <c r="Z928" s="237"/>
      <c r="AA928" s="237"/>
      <c r="AB928" s="237"/>
      <c r="AC928" s="237"/>
    </row>
    <row r="929" spans="2:29" ht="13.5" customHeight="1">
      <c r="B929" s="237"/>
      <c r="C929" s="237"/>
      <c r="D929" s="255"/>
      <c r="E929" s="237"/>
      <c r="F929" s="237"/>
      <c r="G929" s="255"/>
      <c r="H929" s="237"/>
      <c r="I929" s="237"/>
      <c r="J929" s="237"/>
      <c r="K929" s="240"/>
      <c r="L929" s="237"/>
      <c r="M929" s="237"/>
      <c r="N929" s="237"/>
      <c r="O929" s="237"/>
      <c r="P929" s="237"/>
      <c r="Q929" s="245"/>
      <c r="R929" s="237"/>
      <c r="S929" s="237"/>
      <c r="T929" s="237"/>
      <c r="U929" s="237"/>
      <c r="V929" s="237"/>
      <c r="W929" s="237"/>
      <c r="X929" s="237"/>
      <c r="Y929" s="237"/>
      <c r="Z929" s="237"/>
      <c r="AA929" s="237"/>
      <c r="AB929" s="237"/>
      <c r="AC929" s="237"/>
    </row>
    <row r="930" spans="2:29" ht="13.5" customHeight="1">
      <c r="B930" s="237"/>
      <c r="C930" s="237"/>
      <c r="D930" s="255"/>
      <c r="E930" s="237"/>
      <c r="F930" s="237"/>
      <c r="G930" s="255"/>
      <c r="H930" s="237"/>
      <c r="I930" s="237"/>
      <c r="J930" s="237"/>
      <c r="K930" s="240"/>
      <c r="L930" s="237"/>
      <c r="M930" s="237"/>
      <c r="N930" s="237"/>
      <c r="O930" s="237"/>
      <c r="P930" s="237"/>
      <c r="Q930" s="245"/>
      <c r="R930" s="237"/>
      <c r="S930" s="237"/>
      <c r="T930" s="237"/>
      <c r="U930" s="237"/>
      <c r="V930" s="237"/>
      <c r="W930" s="237"/>
      <c r="X930" s="237"/>
      <c r="Y930" s="237"/>
      <c r="Z930" s="237"/>
      <c r="AA930" s="237"/>
      <c r="AB930" s="237"/>
      <c r="AC930" s="237"/>
    </row>
    <row r="931" spans="2:29" ht="13.5" customHeight="1">
      <c r="B931" s="237"/>
      <c r="C931" s="237"/>
      <c r="D931" s="255"/>
      <c r="E931" s="237"/>
      <c r="F931" s="237"/>
      <c r="G931" s="255"/>
      <c r="H931" s="237"/>
      <c r="I931" s="237"/>
      <c r="J931" s="237"/>
      <c r="K931" s="240"/>
      <c r="L931" s="237"/>
      <c r="M931" s="237"/>
      <c r="N931" s="237"/>
      <c r="O931" s="237"/>
      <c r="P931" s="237"/>
      <c r="Q931" s="245"/>
      <c r="R931" s="237"/>
      <c r="S931" s="237"/>
      <c r="T931" s="237"/>
      <c r="U931" s="237"/>
      <c r="V931" s="237"/>
      <c r="W931" s="237"/>
      <c r="X931" s="237"/>
      <c r="Y931" s="237"/>
      <c r="Z931" s="237"/>
      <c r="AA931" s="237"/>
      <c r="AB931" s="237"/>
      <c r="AC931" s="237"/>
    </row>
    <row r="932" spans="2:29" ht="13.5" customHeight="1">
      <c r="B932" s="237"/>
      <c r="C932" s="237"/>
      <c r="D932" s="255"/>
      <c r="E932" s="237"/>
      <c r="F932" s="237"/>
      <c r="G932" s="255"/>
      <c r="H932" s="237"/>
      <c r="I932" s="237"/>
      <c r="J932" s="237"/>
      <c r="K932" s="240"/>
      <c r="L932" s="237"/>
      <c r="M932" s="237"/>
      <c r="N932" s="237"/>
      <c r="O932" s="237"/>
      <c r="P932" s="237"/>
      <c r="Q932" s="245"/>
      <c r="R932" s="237"/>
      <c r="S932" s="237"/>
      <c r="T932" s="237"/>
      <c r="U932" s="237"/>
      <c r="V932" s="237"/>
      <c r="W932" s="237"/>
      <c r="X932" s="237"/>
      <c r="Y932" s="237"/>
      <c r="Z932" s="237"/>
      <c r="AA932" s="237"/>
      <c r="AB932" s="237"/>
      <c r="AC932" s="237"/>
    </row>
    <row r="933" spans="2:29" ht="13.5" customHeight="1">
      <c r="B933" s="237"/>
      <c r="C933" s="237"/>
      <c r="D933" s="255"/>
      <c r="E933" s="237"/>
      <c r="F933" s="237"/>
      <c r="G933" s="255"/>
      <c r="H933" s="237"/>
      <c r="I933" s="237"/>
      <c r="J933" s="237"/>
      <c r="K933" s="240"/>
      <c r="L933" s="237"/>
      <c r="M933" s="237"/>
      <c r="N933" s="237"/>
      <c r="O933" s="237"/>
      <c r="P933" s="237"/>
      <c r="Q933" s="245"/>
      <c r="R933" s="237"/>
      <c r="S933" s="237"/>
      <c r="T933" s="237"/>
      <c r="U933" s="237"/>
      <c r="V933" s="237"/>
      <c r="W933" s="237"/>
      <c r="X933" s="237"/>
      <c r="Y933" s="237"/>
      <c r="Z933" s="237"/>
      <c r="AA933" s="237"/>
      <c r="AB933" s="237"/>
      <c r="AC933" s="237"/>
    </row>
    <row r="934" spans="2:29" ht="13.5" customHeight="1">
      <c r="B934" s="237"/>
      <c r="C934" s="237"/>
      <c r="D934" s="255"/>
      <c r="E934" s="237"/>
      <c r="F934" s="237"/>
      <c r="G934" s="255"/>
      <c r="H934" s="237"/>
      <c r="I934" s="237"/>
      <c r="J934" s="237"/>
      <c r="K934" s="240"/>
      <c r="L934" s="237"/>
      <c r="M934" s="237"/>
      <c r="N934" s="237"/>
      <c r="O934" s="237"/>
      <c r="P934" s="237"/>
      <c r="Q934" s="245"/>
      <c r="R934" s="237"/>
      <c r="S934" s="237"/>
      <c r="T934" s="237"/>
      <c r="U934" s="237"/>
      <c r="V934" s="237"/>
      <c r="W934" s="237"/>
      <c r="X934" s="237"/>
      <c r="Y934" s="237"/>
      <c r="Z934" s="237"/>
      <c r="AA934" s="237"/>
      <c r="AB934" s="237"/>
      <c r="AC934" s="237"/>
    </row>
    <row r="935" spans="2:29" ht="13.5" customHeight="1">
      <c r="B935" s="237"/>
      <c r="C935" s="237"/>
      <c r="D935" s="255"/>
      <c r="E935" s="237"/>
      <c r="F935" s="237"/>
      <c r="G935" s="255"/>
      <c r="H935" s="237"/>
      <c r="I935" s="237"/>
      <c r="J935" s="237"/>
      <c r="K935" s="240"/>
      <c r="L935" s="237"/>
      <c r="M935" s="237"/>
      <c r="N935" s="237"/>
      <c r="O935" s="237"/>
      <c r="P935" s="237"/>
      <c r="Q935" s="245"/>
      <c r="R935" s="237"/>
      <c r="S935" s="237"/>
      <c r="T935" s="237"/>
      <c r="U935" s="237"/>
      <c r="V935" s="237"/>
      <c r="W935" s="237"/>
      <c r="X935" s="237"/>
      <c r="Y935" s="237"/>
      <c r="Z935" s="237"/>
      <c r="AA935" s="237"/>
      <c r="AB935" s="237"/>
      <c r="AC935" s="237"/>
    </row>
    <row r="936" spans="2:29" ht="13.5" customHeight="1">
      <c r="B936" s="237"/>
      <c r="C936" s="237"/>
      <c r="D936" s="255"/>
      <c r="E936" s="237"/>
      <c r="F936" s="237"/>
      <c r="G936" s="255"/>
      <c r="H936" s="237"/>
      <c r="I936" s="237"/>
      <c r="J936" s="237"/>
      <c r="K936" s="240"/>
      <c r="L936" s="237"/>
      <c r="M936" s="237"/>
      <c r="N936" s="237"/>
      <c r="O936" s="237"/>
      <c r="P936" s="237"/>
      <c r="Q936" s="245"/>
      <c r="R936" s="237"/>
      <c r="S936" s="237"/>
      <c r="T936" s="237"/>
      <c r="U936" s="237"/>
      <c r="V936" s="237"/>
      <c r="W936" s="237"/>
      <c r="X936" s="237"/>
      <c r="Y936" s="237"/>
      <c r="Z936" s="237"/>
      <c r="AA936" s="237"/>
      <c r="AB936" s="237"/>
      <c r="AC936" s="237"/>
    </row>
    <row r="937" spans="2:29" ht="13.5" customHeight="1">
      <c r="B937" s="237"/>
      <c r="C937" s="237"/>
      <c r="D937" s="255"/>
      <c r="E937" s="237"/>
      <c r="F937" s="237"/>
      <c r="G937" s="255"/>
      <c r="H937" s="237"/>
      <c r="I937" s="237"/>
      <c r="J937" s="237"/>
      <c r="K937" s="240"/>
      <c r="L937" s="237"/>
      <c r="M937" s="237"/>
      <c r="N937" s="237"/>
      <c r="O937" s="237"/>
      <c r="P937" s="237"/>
      <c r="Q937" s="245"/>
      <c r="R937" s="237"/>
      <c r="S937" s="237"/>
      <c r="T937" s="237"/>
      <c r="U937" s="237"/>
      <c r="V937" s="237"/>
      <c r="W937" s="237"/>
      <c r="X937" s="237"/>
      <c r="Y937" s="237"/>
      <c r="Z937" s="237"/>
      <c r="AA937" s="237"/>
      <c r="AB937" s="237"/>
      <c r="AC937" s="237"/>
    </row>
    <row r="938" spans="2:29" ht="13.5" customHeight="1">
      <c r="B938" s="237"/>
      <c r="C938" s="237"/>
      <c r="D938" s="255"/>
      <c r="E938" s="237"/>
      <c r="F938" s="237"/>
      <c r="G938" s="255"/>
      <c r="H938" s="237"/>
      <c r="I938" s="237"/>
      <c r="J938" s="237"/>
      <c r="K938" s="240"/>
      <c r="L938" s="237"/>
      <c r="M938" s="237"/>
      <c r="N938" s="237"/>
      <c r="O938" s="237"/>
      <c r="P938" s="237"/>
      <c r="Q938" s="245"/>
      <c r="R938" s="237"/>
      <c r="S938" s="237"/>
      <c r="T938" s="237"/>
      <c r="U938" s="237"/>
      <c r="V938" s="237"/>
      <c r="W938" s="237"/>
      <c r="X938" s="237"/>
      <c r="Y938" s="237"/>
      <c r="Z938" s="237"/>
      <c r="AA938" s="237"/>
      <c r="AB938" s="237"/>
      <c r="AC938" s="237"/>
    </row>
    <row r="939" spans="2:29" ht="13.5" customHeight="1">
      <c r="B939" s="237"/>
      <c r="C939" s="237"/>
      <c r="D939" s="255"/>
      <c r="E939" s="237"/>
      <c r="F939" s="237"/>
      <c r="G939" s="255"/>
      <c r="H939" s="237"/>
      <c r="I939" s="237"/>
      <c r="J939" s="237"/>
      <c r="K939" s="240"/>
      <c r="L939" s="237"/>
      <c r="M939" s="237"/>
      <c r="N939" s="237"/>
      <c r="O939" s="237"/>
      <c r="P939" s="237"/>
      <c r="Q939" s="245"/>
      <c r="R939" s="237"/>
      <c r="S939" s="237"/>
      <c r="T939" s="237"/>
      <c r="U939" s="237"/>
      <c r="V939" s="237"/>
      <c r="W939" s="237"/>
      <c r="X939" s="237"/>
      <c r="Y939" s="237"/>
      <c r="Z939" s="237"/>
      <c r="AA939" s="237"/>
      <c r="AB939" s="237"/>
      <c r="AC939" s="237"/>
    </row>
    <row r="940" spans="2:29" ht="13.5" customHeight="1">
      <c r="B940" s="237"/>
      <c r="C940" s="237"/>
      <c r="D940" s="255"/>
      <c r="E940" s="237"/>
      <c r="F940" s="237"/>
      <c r="G940" s="255"/>
      <c r="H940" s="237"/>
      <c r="I940" s="237"/>
      <c r="J940" s="237"/>
      <c r="K940" s="240"/>
      <c r="L940" s="237"/>
      <c r="M940" s="237"/>
      <c r="N940" s="237"/>
      <c r="O940" s="237"/>
      <c r="P940" s="237"/>
      <c r="Q940" s="245"/>
      <c r="R940" s="237"/>
      <c r="S940" s="237"/>
      <c r="T940" s="237"/>
      <c r="U940" s="237"/>
      <c r="V940" s="237"/>
      <c r="W940" s="237"/>
      <c r="X940" s="237"/>
      <c r="Y940" s="237"/>
      <c r="Z940" s="237"/>
      <c r="AA940" s="237"/>
      <c r="AB940" s="237"/>
      <c r="AC940" s="237"/>
    </row>
    <row r="941" spans="2:29" ht="13.5" customHeight="1">
      <c r="B941" s="237"/>
      <c r="C941" s="237"/>
      <c r="D941" s="255"/>
      <c r="E941" s="237"/>
      <c r="F941" s="237"/>
      <c r="G941" s="255"/>
      <c r="H941" s="237"/>
      <c r="I941" s="237"/>
      <c r="J941" s="237"/>
      <c r="K941" s="240"/>
      <c r="L941" s="237"/>
      <c r="M941" s="237"/>
      <c r="N941" s="237"/>
      <c r="O941" s="237"/>
      <c r="P941" s="237"/>
      <c r="Q941" s="245"/>
      <c r="R941" s="237"/>
      <c r="S941" s="237"/>
      <c r="T941" s="237"/>
      <c r="U941" s="237"/>
      <c r="V941" s="237"/>
      <c r="W941" s="237"/>
      <c r="X941" s="237"/>
      <c r="Y941" s="237"/>
      <c r="Z941" s="237"/>
      <c r="AA941" s="237"/>
      <c r="AB941" s="237"/>
      <c r="AC941" s="237"/>
    </row>
    <row r="942" spans="2:29" ht="13.5" customHeight="1">
      <c r="B942" s="237"/>
      <c r="C942" s="237"/>
      <c r="D942" s="255"/>
      <c r="E942" s="237"/>
      <c r="F942" s="237"/>
      <c r="G942" s="255"/>
      <c r="H942" s="237"/>
      <c r="I942" s="237"/>
      <c r="J942" s="237"/>
      <c r="K942" s="240"/>
      <c r="L942" s="237"/>
      <c r="M942" s="237"/>
      <c r="N942" s="237"/>
      <c r="O942" s="237"/>
      <c r="P942" s="237"/>
      <c r="Q942" s="245"/>
      <c r="R942" s="237"/>
      <c r="S942" s="237"/>
      <c r="T942" s="237"/>
      <c r="U942" s="237"/>
      <c r="V942" s="237"/>
      <c r="W942" s="237"/>
      <c r="X942" s="237"/>
      <c r="Y942" s="237"/>
      <c r="Z942" s="237"/>
      <c r="AA942" s="237"/>
      <c r="AB942" s="237"/>
      <c r="AC942" s="237"/>
    </row>
    <row r="943" spans="2:29" ht="13.5" customHeight="1">
      <c r="B943" s="237"/>
      <c r="C943" s="237"/>
      <c r="D943" s="255"/>
      <c r="E943" s="237"/>
      <c r="F943" s="237"/>
      <c r="G943" s="255"/>
      <c r="H943" s="237"/>
      <c r="I943" s="237"/>
      <c r="J943" s="237"/>
      <c r="K943" s="240"/>
      <c r="L943" s="237"/>
      <c r="M943" s="237"/>
      <c r="N943" s="237"/>
      <c r="O943" s="237"/>
      <c r="P943" s="237"/>
      <c r="Q943" s="245"/>
      <c r="R943" s="237"/>
      <c r="S943" s="237"/>
      <c r="T943" s="237"/>
      <c r="U943" s="237"/>
      <c r="V943" s="237"/>
      <c r="W943" s="237"/>
      <c r="X943" s="237"/>
      <c r="Y943" s="237"/>
      <c r="Z943" s="237"/>
      <c r="AA943" s="237"/>
      <c r="AB943" s="237"/>
      <c r="AC943" s="237"/>
    </row>
    <row r="944" spans="2:29" ht="13.5" customHeight="1">
      <c r="B944" s="237"/>
      <c r="C944" s="237"/>
      <c r="D944" s="255"/>
      <c r="E944" s="237"/>
      <c r="F944" s="237"/>
      <c r="G944" s="255"/>
      <c r="H944" s="237"/>
      <c r="I944" s="237"/>
      <c r="J944" s="237"/>
      <c r="K944" s="240"/>
      <c r="L944" s="237"/>
      <c r="M944" s="237"/>
      <c r="N944" s="237"/>
      <c r="O944" s="237"/>
      <c r="P944" s="237"/>
      <c r="Q944" s="245"/>
      <c r="R944" s="237"/>
      <c r="S944" s="237"/>
      <c r="T944" s="237"/>
      <c r="U944" s="237"/>
      <c r="V944" s="237"/>
      <c r="W944" s="237"/>
      <c r="X944" s="237"/>
      <c r="Y944" s="237"/>
      <c r="Z944" s="237"/>
      <c r="AA944" s="237"/>
      <c r="AB944" s="237"/>
      <c r="AC944" s="237"/>
    </row>
    <row r="945" spans="2:29" ht="13.5" customHeight="1">
      <c r="B945" s="237"/>
      <c r="C945" s="237"/>
      <c r="D945" s="255"/>
      <c r="E945" s="237"/>
      <c r="F945" s="237"/>
      <c r="G945" s="255"/>
      <c r="H945" s="237"/>
      <c r="I945" s="237"/>
      <c r="J945" s="237"/>
      <c r="K945" s="240"/>
      <c r="L945" s="237"/>
      <c r="M945" s="237"/>
      <c r="N945" s="237"/>
      <c r="O945" s="237"/>
      <c r="P945" s="237"/>
      <c r="Q945" s="245"/>
      <c r="R945" s="237"/>
      <c r="S945" s="237"/>
      <c r="T945" s="237"/>
      <c r="U945" s="237"/>
      <c r="V945" s="237"/>
      <c r="W945" s="237"/>
      <c r="X945" s="237"/>
      <c r="Y945" s="237"/>
      <c r="Z945" s="237"/>
      <c r="AA945" s="237"/>
      <c r="AB945" s="237"/>
      <c r="AC945" s="237"/>
    </row>
    <row r="946" spans="2:29" ht="13.5" customHeight="1">
      <c r="B946" s="237"/>
      <c r="C946" s="237"/>
      <c r="D946" s="255"/>
      <c r="E946" s="237"/>
      <c r="F946" s="237"/>
      <c r="G946" s="255"/>
      <c r="H946" s="237"/>
      <c r="I946" s="237"/>
      <c r="J946" s="237"/>
      <c r="K946" s="240"/>
      <c r="L946" s="237"/>
      <c r="M946" s="237"/>
      <c r="N946" s="237"/>
      <c r="O946" s="237"/>
      <c r="P946" s="237"/>
      <c r="Q946" s="245"/>
      <c r="R946" s="237"/>
      <c r="S946" s="237"/>
      <c r="T946" s="237"/>
      <c r="U946" s="237"/>
      <c r="V946" s="237"/>
      <c r="W946" s="237"/>
      <c r="X946" s="237"/>
      <c r="Y946" s="237"/>
      <c r="Z946" s="237"/>
      <c r="AA946" s="237"/>
      <c r="AB946" s="237"/>
      <c r="AC946" s="237"/>
    </row>
    <row r="947" spans="2:29" ht="13.5" customHeight="1">
      <c r="B947" s="237"/>
      <c r="C947" s="237"/>
      <c r="D947" s="255"/>
      <c r="E947" s="237"/>
      <c r="F947" s="237"/>
      <c r="G947" s="255"/>
      <c r="H947" s="237"/>
      <c r="I947" s="237"/>
      <c r="J947" s="237"/>
      <c r="K947" s="240"/>
      <c r="L947" s="237"/>
      <c r="M947" s="237"/>
      <c r="N947" s="237"/>
      <c r="O947" s="237"/>
      <c r="P947" s="237"/>
      <c r="Q947" s="245"/>
      <c r="R947" s="237"/>
      <c r="S947" s="237"/>
      <c r="T947" s="237"/>
      <c r="U947" s="237"/>
      <c r="V947" s="237"/>
      <c r="W947" s="237"/>
      <c r="X947" s="237"/>
      <c r="Y947" s="237"/>
      <c r="Z947" s="237"/>
      <c r="AA947" s="237"/>
      <c r="AB947" s="237"/>
      <c r="AC947" s="237"/>
    </row>
    <row r="948" spans="2:29" ht="13.5" customHeight="1">
      <c r="B948" s="237"/>
      <c r="C948" s="237"/>
      <c r="D948" s="255"/>
      <c r="E948" s="237"/>
      <c r="F948" s="237"/>
      <c r="G948" s="255"/>
      <c r="H948" s="237"/>
      <c r="I948" s="237"/>
      <c r="J948" s="237"/>
      <c r="K948" s="240"/>
      <c r="L948" s="237"/>
      <c r="M948" s="237"/>
      <c r="N948" s="237"/>
      <c r="O948" s="237"/>
      <c r="P948" s="237"/>
      <c r="Q948" s="245"/>
      <c r="R948" s="237"/>
      <c r="S948" s="237"/>
      <c r="T948" s="237"/>
      <c r="U948" s="237"/>
      <c r="V948" s="237"/>
      <c r="W948" s="237"/>
      <c r="X948" s="237"/>
      <c r="Y948" s="237"/>
      <c r="Z948" s="237"/>
      <c r="AA948" s="237"/>
      <c r="AB948" s="237"/>
      <c r="AC948" s="237"/>
    </row>
    <row r="949" spans="2:29" ht="13.5" customHeight="1">
      <c r="B949" s="237"/>
      <c r="C949" s="237"/>
      <c r="D949" s="255"/>
      <c r="E949" s="237"/>
      <c r="F949" s="237"/>
      <c r="G949" s="255"/>
      <c r="H949" s="237"/>
      <c r="I949" s="237"/>
      <c r="J949" s="237"/>
      <c r="K949" s="240"/>
      <c r="L949" s="237"/>
      <c r="M949" s="237"/>
      <c r="N949" s="237"/>
      <c r="O949" s="237"/>
      <c r="P949" s="237"/>
      <c r="Q949" s="245"/>
      <c r="R949" s="237"/>
      <c r="S949" s="237"/>
      <c r="T949" s="237"/>
      <c r="U949" s="237"/>
      <c r="V949" s="237"/>
      <c r="W949" s="237"/>
      <c r="X949" s="237"/>
      <c r="Y949" s="237"/>
      <c r="Z949" s="237"/>
      <c r="AA949" s="237"/>
      <c r="AB949" s="237"/>
      <c r="AC949" s="237"/>
    </row>
    <row r="950" spans="2:29" ht="13.5" customHeight="1">
      <c r="B950" s="237"/>
      <c r="C950" s="237"/>
      <c r="D950" s="255"/>
      <c r="E950" s="237"/>
      <c r="F950" s="237"/>
      <c r="G950" s="255"/>
      <c r="H950" s="237"/>
      <c r="I950" s="237"/>
      <c r="J950" s="237"/>
      <c r="K950" s="240"/>
      <c r="L950" s="237"/>
      <c r="M950" s="237"/>
      <c r="N950" s="237"/>
      <c r="O950" s="237"/>
      <c r="P950" s="237"/>
      <c r="Q950" s="245"/>
      <c r="R950" s="237"/>
      <c r="S950" s="237"/>
      <c r="T950" s="237"/>
      <c r="U950" s="237"/>
      <c r="V950" s="237"/>
      <c r="W950" s="237"/>
      <c r="X950" s="237"/>
      <c r="Y950" s="237"/>
      <c r="Z950" s="237"/>
      <c r="AA950" s="237"/>
      <c r="AB950" s="237"/>
      <c r="AC950" s="237"/>
    </row>
    <row r="951" spans="2:29" ht="13.5" customHeight="1">
      <c r="B951" s="237"/>
      <c r="C951" s="237"/>
      <c r="D951" s="255"/>
      <c r="E951" s="237"/>
      <c r="F951" s="237"/>
      <c r="G951" s="255"/>
      <c r="H951" s="237"/>
      <c r="I951" s="237"/>
      <c r="J951" s="237"/>
      <c r="K951" s="240"/>
      <c r="L951" s="237"/>
      <c r="M951" s="237"/>
      <c r="N951" s="237"/>
      <c r="O951" s="237"/>
      <c r="P951" s="237"/>
      <c r="Q951" s="245"/>
      <c r="R951" s="237"/>
      <c r="S951" s="237"/>
      <c r="T951" s="237"/>
      <c r="U951" s="237"/>
      <c r="V951" s="237"/>
      <c r="W951" s="237"/>
      <c r="X951" s="237"/>
      <c r="Y951" s="237"/>
      <c r="Z951" s="237"/>
      <c r="AA951" s="237"/>
      <c r="AB951" s="237"/>
      <c r="AC951" s="237"/>
    </row>
    <row r="952" spans="2:29" ht="13.5" customHeight="1">
      <c r="B952" s="237"/>
      <c r="C952" s="237"/>
      <c r="D952" s="255"/>
      <c r="E952" s="237"/>
      <c r="F952" s="237"/>
      <c r="G952" s="255"/>
      <c r="H952" s="237"/>
      <c r="I952" s="237"/>
      <c r="J952" s="237"/>
      <c r="K952" s="240"/>
      <c r="L952" s="237"/>
      <c r="M952" s="237"/>
      <c r="N952" s="237"/>
      <c r="O952" s="237"/>
      <c r="P952" s="237"/>
      <c r="Q952" s="245"/>
      <c r="R952" s="237"/>
      <c r="S952" s="237"/>
      <c r="T952" s="237"/>
      <c r="U952" s="237"/>
      <c r="V952" s="237"/>
      <c r="W952" s="237"/>
      <c r="X952" s="237"/>
      <c r="Y952" s="237"/>
      <c r="Z952" s="237"/>
      <c r="AA952" s="237"/>
      <c r="AB952" s="237"/>
      <c r="AC952" s="237"/>
    </row>
    <row r="953" spans="2:29" ht="13.5" customHeight="1">
      <c r="B953" s="237"/>
      <c r="C953" s="237"/>
      <c r="D953" s="255"/>
      <c r="E953" s="237"/>
      <c r="F953" s="237"/>
      <c r="G953" s="255"/>
      <c r="H953" s="237"/>
      <c r="I953" s="237"/>
      <c r="J953" s="237"/>
      <c r="K953" s="240"/>
      <c r="L953" s="237"/>
      <c r="M953" s="237"/>
      <c r="N953" s="237"/>
      <c r="O953" s="237"/>
      <c r="P953" s="237"/>
      <c r="Q953" s="245"/>
      <c r="R953" s="237"/>
      <c r="S953" s="237"/>
      <c r="T953" s="237"/>
      <c r="U953" s="237"/>
      <c r="V953" s="237"/>
      <c r="W953" s="237"/>
      <c r="X953" s="237"/>
      <c r="Y953" s="237"/>
      <c r="Z953" s="237"/>
      <c r="AA953" s="237"/>
      <c r="AB953" s="237"/>
      <c r="AC953" s="237"/>
    </row>
    <row r="954" spans="2:29" ht="13.5" customHeight="1">
      <c r="B954" s="237"/>
      <c r="C954" s="237"/>
      <c r="D954" s="255"/>
      <c r="E954" s="237"/>
      <c r="F954" s="237"/>
      <c r="G954" s="255"/>
      <c r="H954" s="237"/>
      <c r="I954" s="237"/>
      <c r="J954" s="237"/>
      <c r="K954" s="240"/>
      <c r="L954" s="237"/>
      <c r="M954" s="237"/>
      <c r="N954" s="237"/>
      <c r="O954" s="237"/>
      <c r="P954" s="237"/>
      <c r="Q954" s="245"/>
      <c r="R954" s="237"/>
      <c r="S954" s="237"/>
      <c r="T954" s="237"/>
      <c r="U954" s="237"/>
      <c r="V954" s="237"/>
      <c r="W954" s="237"/>
      <c r="X954" s="237"/>
      <c r="Y954" s="237"/>
      <c r="Z954" s="237"/>
      <c r="AA954" s="237"/>
      <c r="AB954" s="237"/>
      <c r="AC954" s="237"/>
    </row>
    <row r="955" spans="2:29" ht="13.5" customHeight="1">
      <c r="B955" s="237"/>
      <c r="C955" s="237"/>
      <c r="D955" s="255"/>
      <c r="E955" s="237"/>
      <c r="F955" s="237"/>
      <c r="G955" s="255"/>
      <c r="H955" s="237"/>
      <c r="I955" s="237"/>
      <c r="J955" s="237"/>
      <c r="K955" s="240"/>
      <c r="L955" s="237"/>
      <c r="M955" s="237"/>
      <c r="N955" s="237"/>
      <c r="O955" s="237"/>
      <c r="P955" s="237"/>
      <c r="Q955" s="245"/>
      <c r="R955" s="237"/>
      <c r="S955" s="237"/>
      <c r="T955" s="237"/>
      <c r="U955" s="237"/>
      <c r="V955" s="237"/>
      <c r="W955" s="237"/>
      <c r="X955" s="237"/>
      <c r="Y955" s="237"/>
      <c r="Z955" s="237"/>
      <c r="AA955" s="237"/>
      <c r="AB955" s="237"/>
      <c r="AC955" s="237"/>
    </row>
    <row r="956" spans="2:29" ht="13.5" customHeight="1">
      <c r="B956" s="237"/>
      <c r="C956" s="237"/>
      <c r="D956" s="255"/>
      <c r="E956" s="237"/>
      <c r="F956" s="237"/>
      <c r="G956" s="255"/>
      <c r="H956" s="237"/>
      <c r="I956" s="237"/>
      <c r="J956" s="237"/>
      <c r="K956" s="240"/>
      <c r="L956" s="237"/>
      <c r="M956" s="237"/>
      <c r="N956" s="237"/>
      <c r="O956" s="237"/>
      <c r="P956" s="237"/>
      <c r="Q956" s="245"/>
      <c r="R956" s="237"/>
      <c r="S956" s="237"/>
      <c r="T956" s="237"/>
      <c r="U956" s="237"/>
      <c r="V956" s="237"/>
      <c r="W956" s="237"/>
      <c r="X956" s="237"/>
      <c r="Y956" s="237"/>
      <c r="Z956" s="237"/>
      <c r="AA956" s="237"/>
      <c r="AB956" s="237"/>
      <c r="AC956" s="237"/>
    </row>
    <row r="957" spans="2:29" ht="13.5" customHeight="1">
      <c r="B957" s="237"/>
      <c r="C957" s="237"/>
      <c r="D957" s="255"/>
      <c r="E957" s="237"/>
      <c r="F957" s="237"/>
      <c r="G957" s="255"/>
      <c r="H957" s="237"/>
      <c r="I957" s="237"/>
      <c r="J957" s="237"/>
      <c r="K957" s="240"/>
      <c r="L957" s="237"/>
      <c r="M957" s="237"/>
      <c r="N957" s="237"/>
      <c r="O957" s="237"/>
      <c r="P957" s="237"/>
      <c r="Q957" s="245"/>
      <c r="R957" s="237"/>
      <c r="S957" s="237"/>
      <c r="T957" s="237"/>
      <c r="U957" s="237"/>
      <c r="V957" s="237"/>
      <c r="W957" s="237"/>
      <c r="X957" s="237"/>
      <c r="Y957" s="237"/>
      <c r="Z957" s="237"/>
      <c r="AA957" s="237"/>
      <c r="AB957" s="237"/>
      <c r="AC957" s="237"/>
    </row>
    <row r="958" spans="2:29" ht="13.5" customHeight="1">
      <c r="B958" s="237"/>
      <c r="C958" s="237"/>
      <c r="D958" s="255"/>
      <c r="E958" s="237"/>
      <c r="F958" s="237"/>
      <c r="G958" s="255"/>
      <c r="H958" s="237"/>
      <c r="I958" s="237"/>
      <c r="J958" s="237"/>
      <c r="K958" s="240"/>
      <c r="L958" s="237"/>
      <c r="M958" s="237"/>
      <c r="N958" s="237"/>
      <c r="O958" s="237"/>
      <c r="P958" s="237"/>
      <c r="Q958" s="245"/>
      <c r="R958" s="237"/>
      <c r="S958" s="237"/>
      <c r="T958" s="237"/>
      <c r="U958" s="237"/>
      <c r="V958" s="237"/>
      <c r="W958" s="237"/>
      <c r="X958" s="237"/>
      <c r="Y958" s="237"/>
      <c r="Z958" s="237"/>
      <c r="AA958" s="237"/>
      <c r="AB958" s="237"/>
      <c r="AC958" s="237"/>
    </row>
    <row r="959" spans="2:29" ht="13.5" customHeight="1">
      <c r="B959" s="237"/>
      <c r="C959" s="237"/>
      <c r="D959" s="255"/>
      <c r="E959" s="237"/>
      <c r="F959" s="237"/>
      <c r="G959" s="255"/>
      <c r="H959" s="237"/>
      <c r="I959" s="237"/>
      <c r="J959" s="237"/>
      <c r="K959" s="240"/>
      <c r="L959" s="237"/>
      <c r="M959" s="237"/>
      <c r="N959" s="237"/>
      <c r="O959" s="237"/>
      <c r="P959" s="237"/>
      <c r="Q959" s="245"/>
      <c r="R959" s="237"/>
      <c r="S959" s="237"/>
      <c r="T959" s="237"/>
      <c r="U959" s="237"/>
      <c r="V959" s="237"/>
      <c r="W959" s="237"/>
      <c r="X959" s="237"/>
      <c r="Y959" s="237"/>
      <c r="Z959" s="237"/>
      <c r="AA959" s="237"/>
      <c r="AB959" s="237"/>
      <c r="AC959" s="237"/>
    </row>
    <row r="960" spans="2:29" ht="13.5" customHeight="1">
      <c r="B960" s="237"/>
      <c r="C960" s="237"/>
      <c r="D960" s="255"/>
      <c r="E960" s="237"/>
      <c r="F960" s="237"/>
      <c r="G960" s="255"/>
      <c r="H960" s="237"/>
      <c r="I960" s="237"/>
      <c r="J960" s="237"/>
      <c r="K960" s="240"/>
      <c r="L960" s="237"/>
      <c r="M960" s="237"/>
      <c r="N960" s="237"/>
      <c r="O960" s="237"/>
      <c r="P960" s="237"/>
      <c r="Q960" s="245"/>
      <c r="R960" s="237"/>
      <c r="S960" s="237"/>
      <c r="T960" s="237"/>
      <c r="U960" s="237"/>
      <c r="V960" s="237"/>
      <c r="W960" s="237"/>
      <c r="X960" s="237"/>
      <c r="Y960" s="237"/>
      <c r="Z960" s="237"/>
      <c r="AA960" s="237"/>
      <c r="AB960" s="237"/>
      <c r="AC960" s="237"/>
    </row>
    <row r="961" spans="2:29" ht="13.5" customHeight="1">
      <c r="B961" s="237"/>
      <c r="C961" s="237"/>
      <c r="D961" s="255"/>
      <c r="E961" s="237"/>
      <c r="F961" s="237"/>
      <c r="G961" s="255"/>
      <c r="H961" s="237"/>
      <c r="I961" s="237"/>
      <c r="J961" s="237"/>
      <c r="K961" s="240"/>
      <c r="L961" s="237"/>
      <c r="M961" s="237"/>
      <c r="N961" s="237"/>
      <c r="O961" s="237"/>
      <c r="P961" s="237"/>
      <c r="Q961" s="245"/>
      <c r="R961" s="237"/>
      <c r="S961" s="237"/>
      <c r="T961" s="237"/>
      <c r="U961" s="237"/>
      <c r="V961" s="237"/>
      <c r="W961" s="237"/>
      <c r="X961" s="237"/>
      <c r="Y961" s="237"/>
      <c r="Z961" s="237"/>
      <c r="AA961" s="237"/>
      <c r="AB961" s="237"/>
      <c r="AC961" s="237"/>
    </row>
    <row r="962" spans="2:29" ht="13.5" customHeight="1">
      <c r="B962" s="237"/>
      <c r="C962" s="237"/>
      <c r="D962" s="255"/>
      <c r="E962" s="237"/>
      <c r="F962" s="237"/>
      <c r="G962" s="255"/>
      <c r="H962" s="237"/>
      <c r="I962" s="237"/>
      <c r="J962" s="237"/>
      <c r="K962" s="240"/>
      <c r="L962" s="237"/>
      <c r="M962" s="237"/>
      <c r="N962" s="237"/>
      <c r="O962" s="237"/>
      <c r="P962" s="237"/>
      <c r="Q962" s="245"/>
      <c r="R962" s="237"/>
      <c r="S962" s="237"/>
      <c r="T962" s="237"/>
      <c r="U962" s="237"/>
      <c r="V962" s="237"/>
      <c r="W962" s="237"/>
      <c r="X962" s="237"/>
      <c r="Y962" s="237"/>
      <c r="Z962" s="237"/>
      <c r="AA962" s="237"/>
      <c r="AB962" s="237"/>
      <c r="AC962" s="237"/>
    </row>
    <row r="963" spans="2:29" ht="13.5" customHeight="1">
      <c r="B963" s="237"/>
      <c r="C963" s="237"/>
      <c r="D963" s="255"/>
      <c r="E963" s="237"/>
      <c r="F963" s="237"/>
      <c r="G963" s="255"/>
      <c r="H963" s="237"/>
      <c r="I963" s="237"/>
      <c r="J963" s="237"/>
      <c r="K963" s="240"/>
      <c r="L963" s="237"/>
      <c r="M963" s="237"/>
      <c r="N963" s="237"/>
      <c r="O963" s="237"/>
      <c r="P963" s="237"/>
      <c r="Q963" s="245"/>
      <c r="R963" s="237"/>
      <c r="S963" s="237"/>
      <c r="T963" s="237"/>
      <c r="U963" s="237"/>
      <c r="V963" s="237"/>
      <c r="W963" s="237"/>
      <c r="X963" s="237"/>
      <c r="Y963" s="237"/>
      <c r="Z963" s="237"/>
      <c r="AA963" s="237"/>
      <c r="AB963" s="237"/>
      <c r="AC963" s="237"/>
    </row>
    <row r="964" spans="2:29" ht="13.5" customHeight="1">
      <c r="B964" s="237"/>
      <c r="C964" s="237"/>
      <c r="D964" s="255"/>
      <c r="E964" s="237"/>
      <c r="F964" s="237"/>
      <c r="G964" s="255"/>
      <c r="H964" s="237"/>
      <c r="I964" s="237"/>
      <c r="J964" s="237"/>
      <c r="K964" s="240"/>
      <c r="L964" s="237"/>
      <c r="M964" s="237"/>
      <c r="N964" s="237"/>
      <c r="O964" s="237"/>
      <c r="P964" s="237"/>
      <c r="Q964" s="245"/>
      <c r="R964" s="237"/>
      <c r="S964" s="237"/>
      <c r="T964" s="237"/>
      <c r="U964" s="237"/>
      <c r="V964" s="237"/>
      <c r="W964" s="237"/>
      <c r="X964" s="237"/>
      <c r="Y964" s="237"/>
      <c r="Z964" s="237"/>
      <c r="AA964" s="237"/>
      <c r="AB964" s="237"/>
      <c r="AC964" s="237"/>
    </row>
    <row r="965" spans="2:29" ht="13.5" customHeight="1">
      <c r="B965" s="237"/>
      <c r="C965" s="237"/>
      <c r="D965" s="255"/>
      <c r="E965" s="237"/>
      <c r="F965" s="237"/>
      <c r="G965" s="255"/>
      <c r="H965" s="237"/>
      <c r="I965" s="237"/>
      <c r="J965" s="237"/>
      <c r="K965" s="240"/>
      <c r="L965" s="237"/>
      <c r="M965" s="237"/>
      <c r="N965" s="237"/>
      <c r="O965" s="237"/>
      <c r="P965" s="237"/>
      <c r="Q965" s="245"/>
      <c r="R965" s="237"/>
      <c r="S965" s="237"/>
      <c r="T965" s="237"/>
      <c r="U965" s="237"/>
      <c r="V965" s="237"/>
      <c r="W965" s="237"/>
      <c r="X965" s="237"/>
      <c r="Y965" s="237"/>
      <c r="Z965" s="237"/>
      <c r="AA965" s="237"/>
      <c r="AB965" s="237"/>
      <c r="AC965" s="237"/>
    </row>
    <row r="966" spans="2:29" ht="13.5" customHeight="1">
      <c r="B966" s="237"/>
      <c r="C966" s="237"/>
      <c r="D966" s="255"/>
      <c r="E966" s="237"/>
      <c r="F966" s="237"/>
      <c r="G966" s="255"/>
      <c r="H966" s="237"/>
      <c r="I966" s="237"/>
      <c r="J966" s="237"/>
      <c r="K966" s="240"/>
      <c r="L966" s="237"/>
      <c r="M966" s="237"/>
      <c r="N966" s="237"/>
      <c r="O966" s="237"/>
      <c r="P966" s="237"/>
      <c r="Q966" s="245"/>
      <c r="R966" s="237"/>
      <c r="S966" s="237"/>
      <c r="T966" s="237"/>
      <c r="U966" s="237"/>
      <c r="V966" s="237"/>
      <c r="W966" s="237"/>
      <c r="X966" s="237"/>
      <c r="Y966" s="237"/>
      <c r="Z966" s="237"/>
      <c r="AA966" s="237"/>
      <c r="AB966" s="237"/>
      <c r="AC966" s="237"/>
    </row>
    <row r="967" spans="2:29" ht="13.5" customHeight="1">
      <c r="B967" s="237"/>
      <c r="C967" s="237"/>
      <c r="D967" s="255"/>
      <c r="E967" s="237"/>
      <c r="F967" s="237"/>
      <c r="G967" s="255"/>
      <c r="H967" s="237"/>
      <c r="I967" s="237"/>
      <c r="J967" s="237"/>
      <c r="K967" s="240"/>
      <c r="L967" s="237"/>
      <c r="M967" s="237"/>
      <c r="N967" s="237"/>
      <c r="O967" s="237"/>
      <c r="P967" s="237"/>
      <c r="Q967" s="245"/>
      <c r="R967" s="237"/>
      <c r="S967" s="237"/>
      <c r="T967" s="237"/>
      <c r="U967" s="237"/>
      <c r="V967" s="237"/>
      <c r="W967" s="237"/>
      <c r="X967" s="237"/>
      <c r="Y967" s="237"/>
      <c r="Z967" s="237"/>
      <c r="AA967" s="237"/>
      <c r="AB967" s="237"/>
      <c r="AC967" s="237"/>
    </row>
    <row r="968" spans="2:29" ht="13.5" customHeight="1">
      <c r="B968" s="237"/>
      <c r="C968" s="237"/>
      <c r="D968" s="255"/>
      <c r="E968" s="237"/>
      <c r="F968" s="237"/>
      <c r="G968" s="255"/>
      <c r="H968" s="237"/>
      <c r="I968" s="237"/>
      <c r="J968" s="237"/>
      <c r="K968" s="240"/>
      <c r="L968" s="237"/>
      <c r="M968" s="237"/>
      <c r="N968" s="237"/>
      <c r="O968" s="237"/>
      <c r="P968" s="237"/>
      <c r="Q968" s="245"/>
      <c r="R968" s="237"/>
      <c r="S968" s="237"/>
      <c r="T968" s="237"/>
      <c r="U968" s="237"/>
      <c r="V968" s="237"/>
      <c r="W968" s="237"/>
      <c r="X968" s="237"/>
      <c r="Y968" s="237"/>
      <c r="Z968" s="237"/>
      <c r="AA968" s="237"/>
      <c r="AB968" s="237"/>
      <c r="AC968" s="237"/>
    </row>
    <row r="969" spans="2:29" ht="13.5" customHeight="1">
      <c r="B969" s="237"/>
      <c r="C969" s="237"/>
      <c r="D969" s="255"/>
      <c r="E969" s="237"/>
      <c r="F969" s="237"/>
      <c r="G969" s="255"/>
      <c r="H969" s="237"/>
      <c r="I969" s="237"/>
      <c r="J969" s="237"/>
      <c r="K969" s="240"/>
      <c r="L969" s="237"/>
      <c r="M969" s="237"/>
      <c r="N969" s="237"/>
      <c r="O969" s="237"/>
      <c r="P969" s="237"/>
      <c r="Q969" s="245"/>
      <c r="R969" s="237"/>
      <c r="S969" s="237"/>
      <c r="T969" s="237"/>
      <c r="U969" s="237"/>
      <c r="V969" s="237"/>
      <c r="W969" s="237"/>
      <c r="X969" s="237"/>
      <c r="Y969" s="237"/>
      <c r="Z969" s="237"/>
      <c r="AA969" s="237"/>
      <c r="AB969" s="237"/>
      <c r="AC969" s="237"/>
    </row>
    <row r="970" spans="2:29" ht="13.5" customHeight="1">
      <c r="B970" s="237"/>
      <c r="C970" s="237"/>
      <c r="D970" s="255"/>
      <c r="E970" s="237"/>
      <c r="F970" s="237"/>
      <c r="G970" s="255"/>
      <c r="H970" s="237"/>
      <c r="I970" s="237"/>
      <c r="J970" s="237"/>
      <c r="K970" s="240"/>
      <c r="L970" s="237"/>
      <c r="M970" s="237"/>
      <c r="N970" s="237"/>
      <c r="O970" s="237"/>
      <c r="P970" s="237"/>
      <c r="Q970" s="245"/>
      <c r="R970" s="237"/>
      <c r="S970" s="237"/>
      <c r="T970" s="237"/>
      <c r="U970" s="237"/>
      <c r="V970" s="237"/>
      <c r="W970" s="237"/>
      <c r="X970" s="237"/>
      <c r="Y970" s="237"/>
      <c r="Z970" s="237"/>
      <c r="AA970" s="237"/>
      <c r="AB970" s="237"/>
      <c r="AC970" s="237"/>
    </row>
    <row r="971" spans="2:29" ht="13.5" customHeight="1">
      <c r="B971" s="237"/>
      <c r="C971" s="237"/>
      <c r="D971" s="255"/>
      <c r="E971" s="237"/>
      <c r="F971" s="237"/>
      <c r="G971" s="255"/>
      <c r="H971" s="237"/>
      <c r="I971" s="237"/>
      <c r="J971" s="237"/>
      <c r="K971" s="240"/>
      <c r="L971" s="237"/>
      <c r="M971" s="237"/>
      <c r="N971" s="237"/>
      <c r="O971" s="237"/>
      <c r="P971" s="237"/>
      <c r="Q971" s="245"/>
      <c r="R971" s="237"/>
      <c r="S971" s="237"/>
      <c r="T971" s="237"/>
      <c r="U971" s="237"/>
      <c r="V971" s="237"/>
      <c r="W971" s="237"/>
      <c r="X971" s="237"/>
      <c r="Y971" s="237"/>
      <c r="Z971" s="237"/>
      <c r="AA971" s="237"/>
      <c r="AB971" s="237"/>
      <c r="AC971" s="237"/>
    </row>
    <row r="972" spans="2:29" ht="13.5" customHeight="1">
      <c r="B972" s="237"/>
      <c r="C972" s="237"/>
      <c r="D972" s="255"/>
      <c r="E972" s="237"/>
      <c r="F972" s="237"/>
      <c r="G972" s="255"/>
      <c r="H972" s="237"/>
      <c r="I972" s="237"/>
      <c r="J972" s="237"/>
      <c r="K972" s="240"/>
      <c r="L972" s="237"/>
      <c r="M972" s="237"/>
      <c r="N972" s="237"/>
      <c r="O972" s="237"/>
      <c r="P972" s="237"/>
      <c r="Q972" s="245"/>
      <c r="R972" s="237"/>
      <c r="S972" s="237"/>
      <c r="T972" s="237"/>
      <c r="U972" s="237"/>
      <c r="V972" s="237"/>
      <c r="W972" s="237"/>
      <c r="X972" s="237"/>
      <c r="Y972" s="237"/>
      <c r="Z972" s="237"/>
      <c r="AA972" s="237"/>
      <c r="AB972" s="237"/>
      <c r="AC972" s="237"/>
    </row>
    <row r="973" spans="2:29" ht="13.5" customHeight="1">
      <c r="B973" s="237"/>
      <c r="C973" s="237"/>
      <c r="D973" s="255"/>
      <c r="E973" s="237"/>
      <c r="F973" s="237"/>
      <c r="G973" s="255"/>
      <c r="H973" s="237"/>
      <c r="I973" s="237"/>
      <c r="J973" s="237"/>
      <c r="K973" s="240"/>
      <c r="L973" s="237"/>
      <c r="M973" s="237"/>
      <c r="N973" s="237"/>
      <c r="O973" s="237"/>
      <c r="P973" s="237"/>
      <c r="Q973" s="245"/>
      <c r="R973" s="237"/>
      <c r="S973" s="237"/>
      <c r="T973" s="237"/>
      <c r="U973" s="237"/>
      <c r="V973" s="237"/>
      <c r="W973" s="237"/>
      <c r="X973" s="237"/>
      <c r="Y973" s="237"/>
      <c r="Z973" s="237"/>
      <c r="AA973" s="237"/>
      <c r="AB973" s="237"/>
      <c r="AC973" s="237"/>
    </row>
    <row r="974" spans="2:29" ht="13.5" customHeight="1">
      <c r="B974" s="237"/>
      <c r="C974" s="237"/>
      <c r="D974" s="255"/>
      <c r="E974" s="237"/>
      <c r="F974" s="237"/>
      <c r="G974" s="255"/>
      <c r="H974" s="237"/>
      <c r="I974" s="237"/>
      <c r="J974" s="237"/>
      <c r="K974" s="240"/>
      <c r="L974" s="237"/>
      <c r="M974" s="237"/>
      <c r="N974" s="237"/>
      <c r="O974" s="237"/>
      <c r="P974" s="237"/>
      <c r="Q974" s="245"/>
      <c r="R974" s="237"/>
      <c r="S974" s="237"/>
      <c r="T974" s="237"/>
      <c r="U974" s="237"/>
      <c r="V974" s="237"/>
      <c r="W974" s="237"/>
      <c r="X974" s="237"/>
      <c r="Y974" s="237"/>
      <c r="Z974" s="237"/>
      <c r="AA974" s="237"/>
      <c r="AB974" s="237"/>
      <c r="AC974" s="237"/>
    </row>
    <row r="975" spans="2:29" ht="13.5" customHeight="1">
      <c r="B975" s="237"/>
      <c r="C975" s="237"/>
      <c r="D975" s="255"/>
      <c r="E975" s="237"/>
      <c r="F975" s="237"/>
      <c r="G975" s="255"/>
      <c r="H975" s="237"/>
      <c r="I975" s="237"/>
      <c r="J975" s="237"/>
      <c r="K975" s="240"/>
      <c r="L975" s="237"/>
      <c r="M975" s="237"/>
      <c r="N975" s="237"/>
      <c r="O975" s="237"/>
      <c r="P975" s="237"/>
      <c r="Q975" s="245"/>
      <c r="R975" s="237"/>
      <c r="S975" s="237"/>
      <c r="T975" s="237"/>
      <c r="U975" s="237"/>
      <c r="V975" s="237"/>
      <c r="W975" s="237"/>
      <c r="X975" s="237"/>
      <c r="Y975" s="237"/>
      <c r="Z975" s="237"/>
      <c r="AA975" s="237"/>
      <c r="AB975" s="237"/>
      <c r="AC975" s="237"/>
    </row>
    <row r="976" spans="2:29" ht="13.5" customHeight="1">
      <c r="B976" s="237"/>
      <c r="C976" s="237"/>
      <c r="D976" s="255"/>
      <c r="E976" s="237"/>
      <c r="F976" s="237"/>
      <c r="G976" s="255"/>
      <c r="H976" s="237"/>
      <c r="I976" s="237"/>
      <c r="J976" s="237"/>
      <c r="K976" s="240"/>
      <c r="L976" s="237"/>
      <c r="M976" s="237"/>
      <c r="N976" s="237"/>
      <c r="O976" s="237"/>
      <c r="P976" s="237"/>
      <c r="Q976" s="245"/>
      <c r="R976" s="237"/>
      <c r="S976" s="237"/>
      <c r="T976" s="237"/>
      <c r="U976" s="237"/>
      <c r="V976" s="237"/>
      <c r="W976" s="237"/>
      <c r="X976" s="237"/>
      <c r="Y976" s="237"/>
      <c r="Z976" s="237"/>
      <c r="AA976" s="237"/>
      <c r="AB976" s="237"/>
      <c r="AC976" s="237"/>
    </row>
    <row r="977" spans="2:29" ht="13.5" customHeight="1">
      <c r="B977" s="237"/>
      <c r="C977" s="237"/>
      <c r="D977" s="255"/>
      <c r="E977" s="237"/>
      <c r="F977" s="237"/>
      <c r="G977" s="255"/>
      <c r="H977" s="237"/>
      <c r="I977" s="237"/>
      <c r="J977" s="237"/>
      <c r="K977" s="240"/>
      <c r="L977" s="237"/>
      <c r="M977" s="237"/>
      <c r="N977" s="237"/>
      <c r="O977" s="237"/>
      <c r="P977" s="237"/>
      <c r="Q977" s="245"/>
      <c r="R977" s="237"/>
      <c r="S977" s="237"/>
      <c r="T977" s="237"/>
      <c r="U977" s="237"/>
      <c r="V977" s="237"/>
      <c r="W977" s="237"/>
      <c r="X977" s="237"/>
      <c r="Y977" s="237"/>
      <c r="Z977" s="237"/>
      <c r="AA977" s="237"/>
      <c r="AB977" s="237"/>
      <c r="AC977" s="237"/>
    </row>
    <row r="978" spans="2:29" ht="13.5" customHeight="1">
      <c r="B978" s="237"/>
      <c r="C978" s="237"/>
      <c r="D978" s="255"/>
      <c r="E978" s="237"/>
      <c r="F978" s="237"/>
      <c r="G978" s="255"/>
      <c r="H978" s="237"/>
      <c r="I978" s="237"/>
      <c r="J978" s="237"/>
      <c r="K978" s="240"/>
      <c r="L978" s="237"/>
      <c r="M978" s="237"/>
      <c r="N978" s="237"/>
      <c r="O978" s="237"/>
      <c r="P978" s="237"/>
      <c r="Q978" s="245"/>
      <c r="R978" s="237"/>
      <c r="S978" s="237"/>
      <c r="T978" s="237"/>
      <c r="U978" s="237"/>
      <c r="V978" s="237"/>
      <c r="W978" s="237"/>
      <c r="X978" s="237"/>
      <c r="Y978" s="237"/>
      <c r="Z978" s="237"/>
      <c r="AA978" s="237"/>
      <c r="AB978" s="237"/>
      <c r="AC978" s="237"/>
    </row>
    <row r="979" spans="2:29" ht="13.5" customHeight="1">
      <c r="B979" s="237"/>
      <c r="C979" s="237"/>
      <c r="D979" s="255"/>
      <c r="E979" s="237"/>
      <c r="F979" s="237"/>
      <c r="G979" s="255"/>
      <c r="H979" s="237"/>
      <c r="I979" s="237"/>
      <c r="J979" s="237"/>
      <c r="K979" s="240"/>
      <c r="L979" s="237"/>
      <c r="M979" s="237"/>
      <c r="N979" s="237"/>
      <c r="O979" s="237"/>
      <c r="P979" s="237"/>
      <c r="Q979" s="245"/>
      <c r="R979" s="237"/>
      <c r="S979" s="237"/>
      <c r="T979" s="237"/>
      <c r="U979" s="237"/>
      <c r="V979" s="237"/>
      <c r="W979" s="237"/>
      <c r="X979" s="237"/>
      <c r="Y979" s="237"/>
      <c r="Z979" s="237"/>
      <c r="AA979" s="237"/>
      <c r="AB979" s="237"/>
      <c r="AC979" s="237"/>
    </row>
    <row r="980" spans="2:29" ht="13.5" customHeight="1">
      <c r="B980" s="237"/>
      <c r="C980" s="237"/>
      <c r="D980" s="255"/>
      <c r="E980" s="237"/>
      <c r="F980" s="237"/>
      <c r="G980" s="255"/>
      <c r="H980" s="237"/>
      <c r="I980" s="237"/>
      <c r="J980" s="237"/>
      <c r="K980" s="240"/>
      <c r="L980" s="237"/>
      <c r="M980" s="237"/>
      <c r="N980" s="237"/>
      <c r="O980" s="237"/>
      <c r="P980" s="237"/>
      <c r="Q980" s="245"/>
      <c r="R980" s="237"/>
      <c r="S980" s="237"/>
      <c r="T980" s="237"/>
      <c r="U980" s="237"/>
      <c r="V980" s="237"/>
      <c r="W980" s="237"/>
      <c r="X980" s="237"/>
      <c r="Y980" s="237"/>
      <c r="Z980" s="237"/>
      <c r="AA980" s="237"/>
      <c r="AB980" s="237"/>
      <c r="AC980" s="237"/>
    </row>
    <row r="981" spans="2:29" ht="13.5" customHeight="1">
      <c r="B981" s="237"/>
      <c r="C981" s="237"/>
      <c r="D981" s="255"/>
      <c r="E981" s="237"/>
      <c r="F981" s="237"/>
      <c r="G981" s="255"/>
      <c r="H981" s="237"/>
      <c r="I981" s="237"/>
      <c r="J981" s="237"/>
      <c r="K981" s="240"/>
      <c r="L981" s="237"/>
      <c r="M981" s="237"/>
      <c r="N981" s="237"/>
      <c r="O981" s="237"/>
      <c r="P981" s="237"/>
      <c r="Q981" s="245"/>
      <c r="R981" s="237"/>
      <c r="S981" s="237"/>
      <c r="T981" s="237"/>
      <c r="U981" s="237"/>
      <c r="V981" s="237"/>
      <c r="W981" s="237"/>
      <c r="X981" s="237"/>
      <c r="Y981" s="237"/>
      <c r="Z981" s="237"/>
      <c r="AA981" s="237"/>
      <c r="AB981" s="237"/>
      <c r="AC981" s="237"/>
    </row>
    <row r="982" spans="2:29" ht="13.5" customHeight="1">
      <c r="B982" s="237"/>
      <c r="C982" s="237"/>
      <c r="D982" s="255"/>
      <c r="E982" s="237"/>
      <c r="F982" s="237"/>
      <c r="G982" s="255"/>
      <c r="H982" s="237"/>
      <c r="I982" s="237"/>
      <c r="J982" s="237"/>
      <c r="K982" s="240"/>
      <c r="L982" s="237"/>
      <c r="M982" s="237"/>
      <c r="N982" s="237"/>
      <c r="O982" s="237"/>
      <c r="P982" s="237"/>
      <c r="Q982" s="245"/>
      <c r="R982" s="237"/>
      <c r="S982" s="237"/>
      <c r="T982" s="237"/>
      <c r="U982" s="237"/>
      <c r="V982" s="237"/>
      <c r="W982" s="237"/>
      <c r="X982" s="237"/>
      <c r="Y982" s="237"/>
      <c r="Z982" s="237"/>
      <c r="AA982" s="237"/>
      <c r="AB982" s="237"/>
      <c r="AC982" s="237"/>
    </row>
    <row r="983" spans="2:29" ht="13.5" customHeight="1">
      <c r="B983" s="237"/>
      <c r="C983" s="237"/>
      <c r="D983" s="255"/>
      <c r="E983" s="237"/>
      <c r="F983" s="237"/>
      <c r="G983" s="255"/>
      <c r="H983" s="237"/>
      <c r="I983" s="237"/>
      <c r="J983" s="237"/>
      <c r="K983" s="240"/>
      <c r="L983" s="237"/>
      <c r="M983" s="237"/>
      <c r="N983" s="237"/>
      <c r="O983" s="237"/>
      <c r="P983" s="237"/>
      <c r="Q983" s="245"/>
      <c r="R983" s="237"/>
      <c r="S983" s="237"/>
      <c r="T983" s="237"/>
      <c r="U983" s="237"/>
      <c r="V983" s="237"/>
      <c r="W983" s="237"/>
      <c r="X983" s="237"/>
      <c r="Y983" s="237"/>
      <c r="Z983" s="237"/>
      <c r="AA983" s="237"/>
      <c r="AB983" s="237"/>
      <c r="AC983" s="237"/>
    </row>
    <row r="984" spans="2:29" ht="13.5" customHeight="1">
      <c r="B984" s="237"/>
      <c r="C984" s="237"/>
      <c r="D984" s="255"/>
      <c r="E984" s="237"/>
      <c r="F984" s="237"/>
      <c r="G984" s="255"/>
      <c r="H984" s="237"/>
      <c r="I984" s="237"/>
      <c r="J984" s="237"/>
      <c r="K984" s="240"/>
      <c r="L984" s="237"/>
      <c r="M984" s="237"/>
      <c r="N984" s="237"/>
      <c r="O984" s="237"/>
      <c r="P984" s="237"/>
      <c r="Q984" s="245"/>
      <c r="R984" s="237"/>
      <c r="S984" s="237"/>
      <c r="T984" s="237"/>
      <c r="U984" s="237"/>
      <c r="V984" s="237"/>
      <c r="W984" s="237"/>
      <c r="X984" s="237"/>
      <c r="Y984" s="237"/>
      <c r="Z984" s="237"/>
      <c r="AA984" s="237"/>
      <c r="AB984" s="237"/>
      <c r="AC984" s="237"/>
    </row>
    <row r="985" spans="2:29" ht="13.5" customHeight="1">
      <c r="B985" s="237"/>
      <c r="C985" s="237"/>
      <c r="D985" s="255"/>
      <c r="E985" s="237"/>
      <c r="F985" s="237"/>
      <c r="G985" s="255"/>
      <c r="H985" s="237"/>
      <c r="I985" s="237"/>
      <c r="J985" s="237"/>
      <c r="K985" s="240"/>
      <c r="L985" s="237"/>
      <c r="M985" s="237"/>
      <c r="N985" s="237"/>
      <c r="O985" s="237"/>
      <c r="P985" s="237"/>
      <c r="Q985" s="245"/>
      <c r="R985" s="237"/>
      <c r="S985" s="237"/>
      <c r="T985" s="237"/>
      <c r="U985" s="237"/>
      <c r="V985" s="237"/>
      <c r="W985" s="237"/>
      <c r="X985" s="237"/>
      <c r="Y985" s="237"/>
      <c r="Z985" s="237"/>
      <c r="AA985" s="237"/>
      <c r="AB985" s="237"/>
      <c r="AC985" s="237"/>
    </row>
    <row r="986" spans="2:29" ht="13.5" customHeight="1">
      <c r="B986" s="237"/>
      <c r="C986" s="237"/>
      <c r="D986" s="255"/>
      <c r="E986" s="237"/>
      <c r="F986" s="237"/>
      <c r="G986" s="255"/>
      <c r="H986" s="237"/>
      <c r="I986" s="237"/>
      <c r="J986" s="237"/>
      <c r="K986" s="240"/>
      <c r="L986" s="237"/>
      <c r="M986" s="237"/>
      <c r="N986" s="237"/>
      <c r="O986" s="237"/>
      <c r="P986" s="237"/>
      <c r="Q986" s="245"/>
      <c r="R986" s="237"/>
      <c r="S986" s="237"/>
      <c r="T986" s="237"/>
      <c r="U986" s="237"/>
      <c r="V986" s="237"/>
      <c r="W986" s="237"/>
      <c r="X986" s="237"/>
      <c r="Y986" s="237"/>
      <c r="Z986" s="237"/>
      <c r="AA986" s="237"/>
      <c r="AB986" s="237"/>
      <c r="AC986" s="237"/>
    </row>
    <row r="987" spans="2:29" ht="13.5" customHeight="1">
      <c r="B987" s="237"/>
      <c r="C987" s="237"/>
      <c r="D987" s="255"/>
      <c r="E987" s="237"/>
      <c r="F987" s="237"/>
      <c r="G987" s="255"/>
      <c r="H987" s="237"/>
      <c r="I987" s="237"/>
      <c r="J987" s="237"/>
      <c r="K987" s="240"/>
      <c r="L987" s="237"/>
      <c r="M987" s="237"/>
      <c r="N987" s="237"/>
      <c r="O987" s="237"/>
      <c r="P987" s="237"/>
      <c r="Q987" s="245"/>
      <c r="R987" s="237"/>
      <c r="S987" s="237"/>
      <c r="T987" s="237"/>
      <c r="U987" s="237"/>
      <c r="V987" s="237"/>
      <c r="W987" s="237"/>
      <c r="X987" s="237"/>
      <c r="Y987" s="237"/>
      <c r="Z987" s="237"/>
      <c r="AA987" s="237"/>
      <c r="AB987" s="237"/>
      <c r="AC987" s="237"/>
    </row>
    <row r="988" spans="2:29" ht="13.5" customHeight="1">
      <c r="B988" s="237"/>
      <c r="C988" s="237"/>
      <c r="D988" s="255"/>
      <c r="E988" s="237"/>
      <c r="F988" s="237"/>
      <c r="G988" s="255"/>
      <c r="H988" s="237"/>
      <c r="I988" s="237"/>
      <c r="J988" s="237"/>
      <c r="K988" s="240"/>
      <c r="L988" s="237"/>
      <c r="M988" s="237"/>
      <c r="N988" s="237"/>
      <c r="O988" s="237"/>
      <c r="P988" s="237"/>
      <c r="Q988" s="245"/>
      <c r="R988" s="237"/>
      <c r="S988" s="237"/>
      <c r="T988" s="237"/>
      <c r="U988" s="237"/>
      <c r="V988" s="237"/>
      <c r="W988" s="237"/>
      <c r="X988" s="237"/>
      <c r="Y988" s="237"/>
      <c r="Z988" s="237"/>
      <c r="AA988" s="237"/>
      <c r="AB988" s="237"/>
      <c r="AC988" s="237"/>
    </row>
    <row r="989" spans="2:29" ht="13.5" customHeight="1">
      <c r="B989" s="237"/>
      <c r="C989" s="237"/>
      <c r="D989" s="255"/>
      <c r="E989" s="237"/>
      <c r="F989" s="237"/>
      <c r="G989" s="255"/>
      <c r="H989" s="237"/>
      <c r="I989" s="237"/>
      <c r="J989" s="237"/>
      <c r="K989" s="240"/>
      <c r="L989" s="237"/>
      <c r="M989" s="237"/>
      <c r="N989" s="237"/>
      <c r="O989" s="237"/>
      <c r="P989" s="237"/>
      <c r="Q989" s="245"/>
      <c r="R989" s="237"/>
      <c r="S989" s="237"/>
      <c r="T989" s="237"/>
      <c r="U989" s="237"/>
      <c r="V989" s="237"/>
      <c r="W989" s="237"/>
      <c r="X989" s="237"/>
      <c r="Y989" s="237"/>
      <c r="Z989" s="237"/>
      <c r="AA989" s="237"/>
      <c r="AB989" s="237"/>
      <c r="AC989" s="237"/>
    </row>
    <row r="990" spans="2:29" ht="13.5" customHeight="1">
      <c r="B990" s="237"/>
      <c r="C990" s="237"/>
      <c r="D990" s="255"/>
      <c r="E990" s="237"/>
      <c r="F990" s="237"/>
      <c r="G990" s="255"/>
      <c r="H990" s="237"/>
      <c r="I990" s="237"/>
      <c r="J990" s="237"/>
      <c r="K990" s="240"/>
      <c r="L990" s="237"/>
      <c r="M990" s="237"/>
      <c r="N990" s="237"/>
      <c r="O990" s="237"/>
      <c r="P990" s="237"/>
      <c r="Q990" s="245"/>
      <c r="R990" s="237"/>
      <c r="S990" s="237"/>
      <c r="T990" s="237"/>
      <c r="U990" s="237"/>
      <c r="V990" s="237"/>
      <c r="W990" s="237"/>
      <c r="X990" s="237"/>
      <c r="Y990" s="237"/>
      <c r="Z990" s="237"/>
      <c r="AA990" s="237"/>
      <c r="AB990" s="237"/>
      <c r="AC990" s="237"/>
    </row>
    <row r="991" spans="2:29" ht="13.5" customHeight="1">
      <c r="B991" s="237"/>
      <c r="C991" s="237"/>
      <c r="D991" s="255"/>
      <c r="E991" s="237"/>
      <c r="F991" s="237"/>
      <c r="G991" s="255"/>
      <c r="H991" s="237"/>
      <c r="I991" s="237"/>
      <c r="J991" s="237"/>
      <c r="K991" s="240"/>
      <c r="L991" s="237"/>
      <c r="M991" s="237"/>
      <c r="N991" s="237"/>
      <c r="O991" s="237"/>
      <c r="P991" s="237"/>
      <c r="Q991" s="245"/>
      <c r="R991" s="237"/>
      <c r="S991" s="237"/>
      <c r="T991" s="237"/>
      <c r="U991" s="237"/>
      <c r="V991" s="237"/>
      <c r="W991" s="237"/>
      <c r="X991" s="237"/>
      <c r="Y991" s="237"/>
      <c r="Z991" s="237"/>
      <c r="AA991" s="237"/>
      <c r="AB991" s="237"/>
      <c r="AC991" s="237"/>
    </row>
    <row r="992" spans="2:29" ht="13.5" customHeight="1">
      <c r="B992" s="237"/>
      <c r="C992" s="237"/>
      <c r="D992" s="255"/>
      <c r="E992" s="237"/>
      <c r="F992" s="237"/>
      <c r="G992" s="255"/>
      <c r="H992" s="237"/>
      <c r="I992" s="237"/>
      <c r="J992" s="237"/>
      <c r="K992" s="240"/>
      <c r="L992" s="237"/>
      <c r="M992" s="237"/>
      <c r="N992" s="237"/>
      <c r="O992" s="237"/>
      <c r="P992" s="237"/>
      <c r="Q992" s="245"/>
      <c r="R992" s="237"/>
      <c r="S992" s="237"/>
      <c r="T992" s="237"/>
      <c r="U992" s="237"/>
      <c r="V992" s="237"/>
      <c r="W992" s="237"/>
      <c r="X992" s="237"/>
      <c r="Y992" s="237"/>
      <c r="Z992" s="237"/>
      <c r="AA992" s="237"/>
      <c r="AB992" s="237"/>
      <c r="AC992" s="237"/>
    </row>
    <row r="993" spans="2:29" ht="13.5" customHeight="1">
      <c r="B993" s="237"/>
      <c r="C993" s="237"/>
      <c r="D993" s="255"/>
      <c r="E993" s="237"/>
      <c r="F993" s="237"/>
      <c r="G993" s="255"/>
      <c r="H993" s="237"/>
      <c r="I993" s="237"/>
      <c r="J993" s="237"/>
      <c r="K993" s="240"/>
      <c r="L993" s="237"/>
      <c r="M993" s="237"/>
      <c r="N993" s="237"/>
      <c r="O993" s="237"/>
      <c r="P993" s="237"/>
      <c r="Q993" s="245"/>
      <c r="R993" s="237"/>
      <c r="S993" s="237"/>
      <c r="T993" s="237"/>
      <c r="U993" s="237"/>
      <c r="V993" s="237"/>
      <c r="W993" s="237"/>
      <c r="X993" s="237"/>
      <c r="Y993" s="237"/>
      <c r="Z993" s="237"/>
      <c r="AA993" s="237"/>
      <c r="AB993" s="237"/>
      <c r="AC993" s="237"/>
    </row>
    <row r="994" spans="2:29" ht="13.5" customHeight="1">
      <c r="B994" s="237"/>
      <c r="C994" s="237"/>
      <c r="D994" s="255"/>
      <c r="E994" s="237"/>
      <c r="F994" s="237"/>
      <c r="G994" s="255"/>
      <c r="H994" s="237"/>
      <c r="I994" s="237"/>
      <c r="J994" s="237"/>
      <c r="K994" s="240"/>
      <c r="L994" s="237"/>
      <c r="M994" s="237"/>
      <c r="N994" s="237"/>
      <c r="O994" s="237"/>
      <c r="P994" s="237"/>
      <c r="Q994" s="245"/>
      <c r="R994" s="237"/>
      <c r="S994" s="237"/>
      <c r="T994" s="237"/>
      <c r="U994" s="237"/>
      <c r="V994" s="237"/>
      <c r="W994" s="237"/>
      <c r="X994" s="237"/>
      <c r="Y994" s="237"/>
      <c r="Z994" s="237"/>
      <c r="AA994" s="237"/>
      <c r="AB994" s="237"/>
      <c r="AC994" s="237"/>
    </row>
    <row r="995" spans="2:29" ht="13.5" customHeight="1">
      <c r="B995" s="237"/>
      <c r="C995" s="237"/>
      <c r="D995" s="255"/>
      <c r="E995" s="237"/>
      <c r="F995" s="237"/>
      <c r="G995" s="255"/>
      <c r="H995" s="237"/>
      <c r="I995" s="237"/>
      <c r="J995" s="237"/>
      <c r="K995" s="240"/>
      <c r="L995" s="237"/>
      <c r="M995" s="237"/>
      <c r="N995" s="237"/>
      <c r="O995" s="237"/>
      <c r="P995" s="237"/>
      <c r="Q995" s="245"/>
      <c r="R995" s="237"/>
      <c r="S995" s="237"/>
      <c r="T995" s="237"/>
      <c r="U995" s="237"/>
      <c r="V995" s="237"/>
      <c r="W995" s="237"/>
      <c r="X995" s="237"/>
      <c r="Y995" s="237"/>
      <c r="Z995" s="237"/>
      <c r="AA995" s="237"/>
      <c r="AB995" s="237"/>
      <c r="AC995" s="237"/>
    </row>
    <row r="996" spans="2:29" ht="13.5" customHeight="1">
      <c r="B996" s="237"/>
      <c r="C996" s="237"/>
      <c r="D996" s="255"/>
      <c r="E996" s="237"/>
      <c r="F996" s="237"/>
      <c r="G996" s="255"/>
      <c r="H996" s="237"/>
      <c r="I996" s="237"/>
      <c r="J996" s="237"/>
      <c r="K996" s="240"/>
      <c r="L996" s="237"/>
      <c r="M996" s="237"/>
      <c r="N996" s="237"/>
      <c r="O996" s="237"/>
      <c r="P996" s="237"/>
      <c r="Q996" s="245"/>
      <c r="R996" s="237"/>
      <c r="S996" s="237"/>
      <c r="T996" s="237"/>
      <c r="U996" s="237"/>
      <c r="V996" s="237"/>
      <c r="W996" s="237"/>
      <c r="X996" s="237"/>
      <c r="Y996" s="237"/>
      <c r="Z996" s="237"/>
      <c r="AA996" s="237"/>
      <c r="AB996" s="237"/>
      <c r="AC996" s="237"/>
    </row>
    <row r="997" spans="2:29" ht="13.5" customHeight="1">
      <c r="B997" s="237"/>
      <c r="C997" s="237"/>
      <c r="D997" s="255"/>
      <c r="E997" s="237"/>
      <c r="F997" s="237"/>
      <c r="G997" s="255"/>
      <c r="H997" s="237"/>
      <c r="I997" s="237"/>
      <c r="J997" s="237"/>
      <c r="K997" s="240"/>
      <c r="L997" s="237"/>
      <c r="M997" s="237"/>
      <c r="N997" s="237"/>
      <c r="O997" s="237"/>
      <c r="P997" s="237"/>
      <c r="Q997" s="245"/>
      <c r="R997" s="237"/>
      <c r="S997" s="237"/>
      <c r="T997" s="237"/>
      <c r="U997" s="237"/>
      <c r="V997" s="237"/>
      <c r="W997" s="237"/>
      <c r="X997" s="237"/>
      <c r="Y997" s="237"/>
      <c r="Z997" s="237"/>
      <c r="AA997" s="237"/>
      <c r="AB997" s="237"/>
      <c r="AC997" s="237"/>
    </row>
    <row r="998" spans="2:29" ht="13.5" customHeight="1">
      <c r="B998" s="237"/>
      <c r="C998" s="237"/>
      <c r="D998" s="255"/>
      <c r="E998" s="237"/>
      <c r="F998" s="237"/>
      <c r="G998" s="255"/>
      <c r="H998" s="237"/>
      <c r="I998" s="237"/>
      <c r="J998" s="237"/>
      <c r="K998" s="240"/>
      <c r="L998" s="237"/>
      <c r="M998" s="237"/>
      <c r="N998" s="237"/>
      <c r="O998" s="237"/>
      <c r="P998" s="237"/>
      <c r="Q998" s="245"/>
      <c r="R998" s="237"/>
      <c r="S998" s="237"/>
      <c r="T998" s="237"/>
      <c r="U998" s="237"/>
      <c r="V998" s="237"/>
      <c r="W998" s="237"/>
      <c r="X998" s="237"/>
      <c r="Y998" s="237"/>
      <c r="Z998" s="237"/>
      <c r="AA998" s="237"/>
      <c r="AB998" s="237"/>
      <c r="AC998" s="237"/>
    </row>
    <row r="999" spans="2:29" ht="13.5" customHeight="1">
      <c r="B999" s="237"/>
      <c r="C999" s="237"/>
      <c r="D999" s="255"/>
      <c r="E999" s="237"/>
      <c r="F999" s="237"/>
      <c r="G999" s="255"/>
      <c r="H999" s="237"/>
      <c r="I999" s="237"/>
      <c r="J999" s="237"/>
      <c r="K999" s="240"/>
      <c r="L999" s="237"/>
      <c r="M999" s="237"/>
      <c r="N999" s="237"/>
      <c r="O999" s="237"/>
      <c r="P999" s="237"/>
      <c r="Q999" s="245"/>
      <c r="R999" s="237"/>
      <c r="S999" s="237"/>
      <c r="T999" s="237"/>
      <c r="U999" s="237"/>
      <c r="V999" s="237"/>
      <c r="W999" s="237"/>
      <c r="X999" s="237"/>
      <c r="Y999" s="237"/>
      <c r="Z999" s="237"/>
      <c r="AA999" s="237"/>
      <c r="AB999" s="237"/>
      <c r="AC999" s="237"/>
    </row>
    <row r="1000" spans="2:29" ht="13.5" customHeight="1">
      <c r="B1000" s="237"/>
      <c r="C1000" s="237"/>
      <c r="D1000" s="255"/>
      <c r="E1000" s="237"/>
      <c r="F1000" s="237"/>
      <c r="G1000" s="255"/>
      <c r="H1000" s="237"/>
      <c r="I1000" s="237"/>
      <c r="J1000" s="237"/>
      <c r="K1000" s="240"/>
      <c r="L1000" s="237"/>
      <c r="M1000" s="237"/>
      <c r="N1000" s="237"/>
      <c r="O1000" s="237"/>
      <c r="P1000" s="237"/>
      <c r="Q1000" s="245"/>
      <c r="R1000" s="237"/>
      <c r="S1000" s="237"/>
      <c r="T1000" s="237"/>
      <c r="U1000" s="237"/>
      <c r="V1000" s="237"/>
      <c r="W1000" s="237"/>
      <c r="X1000" s="237"/>
      <c r="Y1000" s="237"/>
      <c r="Z1000" s="237"/>
      <c r="AA1000" s="237"/>
      <c r="AB1000" s="237"/>
      <c r="AC1000" s="237"/>
    </row>
    <row r="1001" spans="2:29" ht="13.5" customHeight="1">
      <c r="B1001" s="237"/>
      <c r="C1001" s="237"/>
      <c r="D1001" s="255"/>
      <c r="E1001" s="237"/>
      <c r="F1001" s="237"/>
      <c r="G1001" s="255"/>
      <c r="H1001" s="237"/>
      <c r="I1001" s="237"/>
      <c r="J1001" s="237"/>
      <c r="K1001" s="240"/>
      <c r="L1001" s="237"/>
      <c r="M1001" s="237"/>
      <c r="N1001" s="237"/>
      <c r="O1001" s="237"/>
      <c r="P1001" s="237"/>
      <c r="Q1001" s="245"/>
      <c r="R1001" s="237"/>
      <c r="S1001" s="237"/>
      <c r="T1001" s="237"/>
      <c r="U1001" s="237"/>
      <c r="V1001" s="237"/>
      <c r="W1001" s="237"/>
      <c r="X1001" s="237"/>
      <c r="Y1001" s="237"/>
      <c r="Z1001" s="237"/>
      <c r="AA1001" s="237"/>
      <c r="AB1001" s="237"/>
      <c r="AC1001" s="237"/>
    </row>
    <row r="1002" spans="2:29" ht="13.5" customHeight="1">
      <c r="B1002" s="237"/>
      <c r="C1002" s="237"/>
      <c r="D1002" s="255"/>
      <c r="E1002" s="237"/>
      <c r="F1002" s="237"/>
      <c r="G1002" s="255"/>
      <c r="H1002" s="237"/>
      <c r="I1002" s="237"/>
      <c r="J1002" s="237"/>
      <c r="K1002" s="240"/>
      <c r="L1002" s="237"/>
      <c r="M1002" s="237"/>
      <c r="N1002" s="237"/>
      <c r="O1002" s="237"/>
      <c r="P1002" s="237"/>
      <c r="Q1002" s="245"/>
      <c r="R1002" s="237"/>
      <c r="S1002" s="237"/>
      <c r="T1002" s="237"/>
      <c r="U1002" s="237"/>
      <c r="V1002" s="237"/>
      <c r="W1002" s="237"/>
      <c r="X1002" s="237"/>
      <c r="Y1002" s="237"/>
      <c r="Z1002" s="237"/>
      <c r="AA1002" s="237"/>
      <c r="AB1002" s="237"/>
      <c r="AC1002" s="237"/>
    </row>
    <row r="1003" spans="2:29" ht="13.5" customHeight="1">
      <c r="B1003" s="237"/>
      <c r="C1003" s="237"/>
      <c r="D1003" s="255"/>
      <c r="E1003" s="237"/>
      <c r="F1003" s="237"/>
      <c r="G1003" s="255"/>
      <c r="H1003" s="237"/>
      <c r="I1003" s="237"/>
      <c r="J1003" s="237"/>
      <c r="K1003" s="240"/>
      <c r="L1003" s="237"/>
      <c r="M1003" s="237"/>
      <c r="N1003" s="237"/>
      <c r="O1003" s="237"/>
      <c r="P1003" s="237"/>
      <c r="Q1003" s="245"/>
      <c r="R1003" s="237"/>
      <c r="S1003" s="237"/>
      <c r="T1003" s="237"/>
      <c r="U1003" s="237"/>
      <c r="V1003" s="237"/>
      <c r="W1003" s="237"/>
      <c r="X1003" s="237"/>
      <c r="Y1003" s="237"/>
      <c r="Z1003" s="237"/>
      <c r="AA1003" s="237"/>
      <c r="AB1003" s="237"/>
      <c r="AC1003" s="237"/>
    </row>
    <row r="1004" spans="2:29" ht="13.5" customHeight="1">
      <c r="B1004" s="237"/>
      <c r="C1004" s="237"/>
      <c r="D1004" s="255"/>
      <c r="E1004" s="237"/>
      <c r="F1004" s="237"/>
      <c r="G1004" s="255"/>
      <c r="H1004" s="237"/>
      <c r="I1004" s="237"/>
      <c r="J1004" s="237"/>
      <c r="K1004" s="240"/>
      <c r="L1004" s="237"/>
      <c r="M1004" s="237"/>
      <c r="N1004" s="237"/>
      <c r="O1004" s="237"/>
      <c r="P1004" s="237"/>
      <c r="Q1004" s="245"/>
      <c r="R1004" s="237"/>
      <c r="S1004" s="237"/>
      <c r="T1004" s="237"/>
      <c r="U1004" s="237"/>
      <c r="V1004" s="237"/>
      <c r="W1004" s="237"/>
      <c r="X1004" s="237"/>
      <c r="Y1004" s="237"/>
      <c r="Z1004" s="237"/>
      <c r="AA1004" s="237"/>
      <c r="AB1004" s="237"/>
      <c r="AC1004" s="237"/>
    </row>
    <row r="1005" spans="2:29" ht="13.5" customHeight="1">
      <c r="B1005" s="237"/>
      <c r="C1005" s="237"/>
      <c r="D1005" s="255"/>
      <c r="E1005" s="237"/>
      <c r="F1005" s="237"/>
      <c r="G1005" s="255"/>
      <c r="H1005" s="237"/>
      <c r="I1005" s="237"/>
      <c r="J1005" s="237"/>
      <c r="K1005" s="240"/>
      <c r="L1005" s="237"/>
      <c r="M1005" s="237"/>
      <c r="N1005" s="237"/>
      <c r="O1005" s="237"/>
      <c r="P1005" s="237"/>
      <c r="Q1005" s="245"/>
      <c r="R1005" s="237"/>
      <c r="S1005" s="237"/>
      <c r="T1005" s="237"/>
      <c r="U1005" s="237"/>
      <c r="V1005" s="237"/>
      <c r="W1005" s="237"/>
      <c r="X1005" s="237"/>
      <c r="Y1005" s="237"/>
      <c r="Z1005" s="237"/>
      <c r="AA1005" s="237"/>
      <c r="AB1005" s="237"/>
      <c r="AC1005" s="237"/>
    </row>
    <row r="1006" spans="2:29" ht="13.5" customHeight="1">
      <c r="B1006" s="237"/>
      <c r="C1006" s="237"/>
      <c r="D1006" s="255"/>
      <c r="E1006" s="237"/>
      <c r="F1006" s="237"/>
      <c r="G1006" s="255"/>
      <c r="H1006" s="237"/>
      <c r="I1006" s="237"/>
      <c r="J1006" s="237"/>
      <c r="K1006" s="240"/>
      <c r="L1006" s="237"/>
      <c r="M1006" s="237"/>
      <c r="N1006" s="237"/>
      <c r="O1006" s="237"/>
      <c r="P1006" s="237"/>
      <c r="Q1006" s="245"/>
      <c r="R1006" s="237"/>
      <c r="S1006" s="237"/>
      <c r="T1006" s="237"/>
      <c r="U1006" s="237"/>
      <c r="V1006" s="237"/>
      <c r="W1006" s="237"/>
      <c r="X1006" s="237"/>
      <c r="Y1006" s="237"/>
      <c r="Z1006" s="237"/>
      <c r="AA1006" s="237"/>
      <c r="AB1006" s="237"/>
      <c r="AC1006" s="237"/>
    </row>
    <row r="1007" spans="2:29" ht="13.5" customHeight="1">
      <c r="B1007" s="237"/>
      <c r="C1007" s="237"/>
      <c r="D1007" s="255"/>
      <c r="E1007" s="237"/>
      <c r="F1007" s="237"/>
      <c r="G1007" s="255"/>
      <c r="H1007" s="237"/>
      <c r="I1007" s="237"/>
      <c r="J1007" s="237"/>
      <c r="K1007" s="240"/>
      <c r="L1007" s="237"/>
      <c r="M1007" s="237"/>
      <c r="N1007" s="237"/>
      <c r="O1007" s="237"/>
      <c r="P1007" s="237"/>
      <c r="Q1007" s="245"/>
      <c r="R1007" s="237"/>
      <c r="S1007" s="237"/>
      <c r="T1007" s="237"/>
      <c r="U1007" s="237"/>
      <c r="V1007" s="237"/>
      <c r="W1007" s="237"/>
      <c r="X1007" s="237"/>
      <c r="Y1007" s="237"/>
      <c r="Z1007" s="237"/>
      <c r="AA1007" s="237"/>
      <c r="AB1007" s="237"/>
      <c r="AC1007" s="237"/>
    </row>
    <row r="1008" spans="2:29" ht="13.5" customHeight="1">
      <c r="B1008" s="237"/>
      <c r="C1008" s="237"/>
      <c r="D1008" s="255"/>
      <c r="E1008" s="237"/>
      <c r="F1008" s="237"/>
      <c r="G1008" s="255"/>
      <c r="H1008" s="237"/>
      <c r="I1008" s="237"/>
      <c r="J1008" s="237"/>
      <c r="K1008" s="240"/>
      <c r="L1008" s="237"/>
      <c r="M1008" s="237"/>
      <c r="N1008" s="237"/>
      <c r="O1008" s="237"/>
      <c r="P1008" s="237"/>
      <c r="Q1008" s="245"/>
      <c r="R1008" s="237"/>
      <c r="S1008" s="237"/>
      <c r="T1008" s="237"/>
      <c r="U1008" s="237"/>
      <c r="V1008" s="237"/>
      <c r="W1008" s="237"/>
      <c r="X1008" s="237"/>
      <c r="Y1008" s="237"/>
      <c r="Z1008" s="237"/>
      <c r="AA1008" s="237"/>
      <c r="AB1008" s="237"/>
      <c r="AC1008" s="237"/>
    </row>
    <row r="1009" spans="2:29" ht="13.5" customHeight="1">
      <c r="B1009" s="237"/>
      <c r="C1009" s="237"/>
      <c r="D1009" s="255"/>
      <c r="E1009" s="237"/>
      <c r="F1009" s="237"/>
      <c r="G1009" s="255"/>
      <c r="H1009" s="237"/>
      <c r="I1009" s="237"/>
      <c r="J1009" s="237"/>
      <c r="K1009" s="240"/>
      <c r="L1009" s="237"/>
      <c r="M1009" s="237"/>
      <c r="N1009" s="237"/>
      <c r="O1009" s="237"/>
      <c r="P1009" s="237"/>
      <c r="Q1009" s="245"/>
      <c r="R1009" s="237"/>
      <c r="S1009" s="237"/>
      <c r="T1009" s="237"/>
      <c r="U1009" s="237"/>
      <c r="V1009" s="237"/>
      <c r="W1009" s="237"/>
      <c r="X1009" s="237"/>
      <c r="Y1009" s="237"/>
      <c r="Z1009" s="237"/>
      <c r="AA1009" s="237"/>
      <c r="AB1009" s="237"/>
      <c r="AC1009" s="237"/>
    </row>
    <row r="1010" spans="2:29" ht="13.5" customHeight="1">
      <c r="B1010" s="237"/>
      <c r="C1010" s="237"/>
      <c r="D1010" s="255"/>
      <c r="E1010" s="237"/>
      <c r="F1010" s="237"/>
      <c r="G1010" s="255"/>
      <c r="H1010" s="237"/>
      <c r="I1010" s="237"/>
      <c r="J1010" s="237"/>
      <c r="K1010" s="240"/>
      <c r="L1010" s="237"/>
      <c r="M1010" s="237"/>
      <c r="N1010" s="237"/>
      <c r="O1010" s="237"/>
      <c r="P1010" s="237"/>
      <c r="Q1010" s="245"/>
      <c r="R1010" s="237"/>
      <c r="S1010" s="237"/>
      <c r="T1010" s="237"/>
      <c r="U1010" s="237"/>
      <c r="V1010" s="237"/>
      <c r="W1010" s="237"/>
      <c r="X1010" s="237"/>
      <c r="Y1010" s="237"/>
      <c r="Z1010" s="237"/>
      <c r="AA1010" s="237"/>
      <c r="AB1010" s="237"/>
      <c r="AC1010" s="237"/>
    </row>
    <row r="1011" spans="2:29" ht="13.5" customHeight="1">
      <c r="B1011" s="237"/>
      <c r="C1011" s="237"/>
      <c r="D1011" s="255"/>
      <c r="E1011" s="237"/>
      <c r="F1011" s="237"/>
      <c r="G1011" s="255"/>
      <c r="H1011" s="237"/>
      <c r="I1011" s="237"/>
      <c r="J1011" s="237"/>
      <c r="K1011" s="240"/>
      <c r="L1011" s="237"/>
      <c r="M1011" s="237"/>
      <c r="N1011" s="237"/>
      <c r="O1011" s="237"/>
      <c r="P1011" s="237"/>
      <c r="Q1011" s="245"/>
      <c r="R1011" s="237"/>
      <c r="S1011" s="237"/>
      <c r="T1011" s="237"/>
      <c r="U1011" s="237"/>
      <c r="V1011" s="237"/>
      <c r="W1011" s="237"/>
      <c r="X1011" s="237"/>
      <c r="Y1011" s="237"/>
      <c r="Z1011" s="237"/>
      <c r="AA1011" s="237"/>
      <c r="AB1011" s="237"/>
      <c r="AC1011" s="237"/>
    </row>
    <row r="1012" spans="2:29" ht="13.5" customHeight="1">
      <c r="B1012" s="237"/>
      <c r="C1012" s="237"/>
      <c r="D1012" s="255"/>
      <c r="E1012" s="237"/>
      <c r="F1012" s="237"/>
      <c r="G1012" s="255"/>
      <c r="H1012" s="237"/>
      <c r="I1012" s="237"/>
      <c r="J1012" s="237"/>
      <c r="K1012" s="240"/>
      <c r="L1012" s="237"/>
      <c r="M1012" s="237"/>
      <c r="N1012" s="237"/>
      <c r="O1012" s="237"/>
      <c r="P1012" s="237"/>
      <c r="Q1012" s="245"/>
      <c r="R1012" s="237"/>
      <c r="S1012" s="237"/>
      <c r="T1012" s="237"/>
      <c r="U1012" s="237"/>
      <c r="V1012" s="237"/>
      <c r="W1012" s="237"/>
      <c r="X1012" s="237"/>
      <c r="Y1012" s="237"/>
      <c r="Z1012" s="237"/>
      <c r="AA1012" s="237"/>
      <c r="AB1012" s="237"/>
      <c r="AC1012" s="237"/>
    </row>
    <row r="1013" spans="2:29" ht="13.5" customHeight="1">
      <c r="B1013" s="237"/>
      <c r="C1013" s="237"/>
      <c r="D1013" s="255"/>
      <c r="E1013" s="237"/>
      <c r="F1013" s="237"/>
      <c r="G1013" s="255"/>
      <c r="H1013" s="237"/>
      <c r="I1013" s="237"/>
      <c r="J1013" s="237"/>
      <c r="K1013" s="240"/>
      <c r="L1013" s="237"/>
      <c r="M1013" s="237"/>
      <c r="N1013" s="237"/>
      <c r="O1013" s="237"/>
      <c r="P1013" s="237"/>
      <c r="Q1013" s="245"/>
      <c r="R1013" s="237"/>
      <c r="S1013" s="237"/>
      <c r="T1013" s="237"/>
      <c r="U1013" s="237"/>
      <c r="V1013" s="237"/>
      <c r="W1013" s="237"/>
      <c r="X1013" s="237"/>
      <c r="Y1013" s="237"/>
      <c r="Z1013" s="237"/>
      <c r="AA1013" s="237"/>
      <c r="AB1013" s="237"/>
      <c r="AC1013" s="237"/>
    </row>
    <row r="1014" spans="2:29" ht="13.5" customHeight="1">
      <c r="B1014" s="237"/>
      <c r="C1014" s="237"/>
      <c r="D1014" s="255"/>
      <c r="E1014" s="237"/>
      <c r="F1014" s="237"/>
      <c r="G1014" s="255"/>
      <c r="H1014" s="237"/>
      <c r="I1014" s="237"/>
      <c r="J1014" s="237"/>
      <c r="K1014" s="240"/>
      <c r="L1014" s="237"/>
      <c r="M1014" s="237"/>
      <c r="N1014" s="237"/>
      <c r="O1014" s="237"/>
      <c r="P1014" s="237"/>
      <c r="Q1014" s="245"/>
      <c r="R1014" s="237"/>
      <c r="S1014" s="237"/>
      <c r="T1014" s="237"/>
      <c r="U1014" s="237"/>
      <c r="V1014" s="237"/>
      <c r="W1014" s="237"/>
      <c r="X1014" s="237"/>
      <c r="Y1014" s="237"/>
      <c r="Z1014" s="237"/>
      <c r="AA1014" s="237"/>
      <c r="AB1014" s="237"/>
      <c r="AC1014" s="237"/>
    </row>
    <row r="1015" spans="2:29" ht="13.5" customHeight="1">
      <c r="B1015" s="237"/>
      <c r="C1015" s="237"/>
      <c r="D1015" s="255"/>
      <c r="E1015" s="237"/>
      <c r="F1015" s="237"/>
      <c r="G1015" s="255"/>
      <c r="H1015" s="237"/>
      <c r="I1015" s="237"/>
      <c r="J1015" s="237"/>
      <c r="K1015" s="240"/>
      <c r="L1015" s="237"/>
      <c r="M1015" s="237"/>
      <c r="N1015" s="237"/>
      <c r="O1015" s="237"/>
      <c r="P1015" s="237"/>
      <c r="Q1015" s="245"/>
      <c r="R1015" s="237"/>
      <c r="S1015" s="237"/>
      <c r="T1015" s="237"/>
      <c r="U1015" s="237"/>
      <c r="V1015" s="237"/>
      <c r="W1015" s="237"/>
      <c r="X1015" s="237"/>
      <c r="Y1015" s="237"/>
      <c r="Z1015" s="237"/>
      <c r="AA1015" s="237"/>
      <c r="AB1015" s="237"/>
      <c r="AC1015" s="237"/>
    </row>
    <row r="1016" spans="2:29" ht="13.5" customHeight="1">
      <c r="B1016" s="237"/>
      <c r="C1016" s="237"/>
      <c r="D1016" s="255"/>
      <c r="E1016" s="237"/>
      <c r="F1016" s="237"/>
      <c r="G1016" s="255"/>
      <c r="H1016" s="237"/>
      <c r="I1016" s="237"/>
      <c r="J1016" s="237"/>
      <c r="K1016" s="240"/>
      <c r="L1016" s="237"/>
      <c r="M1016" s="237"/>
      <c r="N1016" s="237"/>
      <c r="O1016" s="237"/>
      <c r="P1016" s="237"/>
      <c r="Q1016" s="245"/>
      <c r="R1016" s="237"/>
      <c r="S1016" s="237"/>
      <c r="T1016" s="237"/>
      <c r="U1016" s="237"/>
      <c r="V1016" s="237"/>
      <c r="W1016" s="237"/>
      <c r="X1016" s="237"/>
      <c r="Y1016" s="237"/>
      <c r="Z1016" s="237"/>
      <c r="AA1016" s="237"/>
      <c r="AB1016" s="237"/>
      <c r="AC1016" s="237"/>
    </row>
    <row r="1017" spans="2:29" ht="13.5" customHeight="1">
      <c r="B1017" s="237"/>
      <c r="C1017" s="237"/>
      <c r="D1017" s="255"/>
      <c r="E1017" s="237"/>
      <c r="F1017" s="237"/>
      <c r="G1017" s="255"/>
      <c r="H1017" s="237"/>
      <c r="I1017" s="237"/>
      <c r="J1017" s="237"/>
      <c r="K1017" s="240"/>
      <c r="L1017" s="237"/>
      <c r="M1017" s="237"/>
      <c r="N1017" s="237"/>
      <c r="O1017" s="237"/>
      <c r="P1017" s="237"/>
      <c r="Q1017" s="245"/>
      <c r="R1017" s="237"/>
      <c r="S1017" s="237"/>
      <c r="T1017" s="237"/>
      <c r="U1017" s="237"/>
      <c r="V1017" s="237"/>
      <c r="W1017" s="237"/>
      <c r="X1017" s="237"/>
      <c r="Y1017" s="237"/>
      <c r="Z1017" s="237"/>
      <c r="AA1017" s="237"/>
      <c r="AB1017" s="237"/>
      <c r="AC1017" s="237"/>
    </row>
    <row r="1018" spans="2:29" ht="13.5" customHeight="1">
      <c r="B1018" s="237"/>
      <c r="C1018" s="237"/>
      <c r="D1018" s="255"/>
      <c r="E1018" s="237"/>
      <c r="F1018" s="237"/>
      <c r="G1018" s="255"/>
      <c r="H1018" s="237"/>
      <c r="I1018" s="237"/>
      <c r="J1018" s="237"/>
      <c r="K1018" s="240"/>
      <c r="L1018" s="237"/>
      <c r="M1018" s="237"/>
      <c r="N1018" s="237"/>
      <c r="O1018" s="237"/>
      <c r="P1018" s="237"/>
      <c r="Q1018" s="245"/>
      <c r="R1018" s="237"/>
      <c r="S1018" s="237"/>
      <c r="T1018" s="237"/>
      <c r="U1018" s="237"/>
      <c r="V1018" s="237"/>
      <c r="W1018" s="237"/>
      <c r="X1018" s="237"/>
      <c r="Y1018" s="237"/>
      <c r="Z1018" s="237"/>
      <c r="AA1018" s="237"/>
      <c r="AB1018" s="237"/>
      <c r="AC1018" s="237"/>
    </row>
    <row r="1019" spans="2:29" ht="13.5" customHeight="1">
      <c r="B1019" s="237"/>
      <c r="C1019" s="237"/>
      <c r="D1019" s="255"/>
      <c r="E1019" s="237"/>
      <c r="F1019" s="237"/>
      <c r="G1019" s="255"/>
      <c r="H1019" s="237"/>
      <c r="I1019" s="237"/>
      <c r="J1019" s="237"/>
      <c r="K1019" s="240"/>
      <c r="L1019" s="237"/>
      <c r="M1019" s="237"/>
      <c r="N1019" s="237"/>
      <c r="O1019" s="237"/>
      <c r="P1019" s="237"/>
      <c r="Q1019" s="245"/>
      <c r="R1019" s="237"/>
      <c r="S1019" s="237"/>
      <c r="T1019" s="237"/>
      <c r="U1019" s="237"/>
      <c r="V1019" s="237"/>
      <c r="W1019" s="237"/>
      <c r="X1019" s="237"/>
      <c r="Y1019" s="237"/>
      <c r="Z1019" s="237"/>
      <c r="AA1019" s="237"/>
      <c r="AB1019" s="237"/>
      <c r="AC1019" s="237"/>
    </row>
    <row r="1020" spans="2:29" ht="13.5" customHeight="1">
      <c r="B1020" s="237"/>
      <c r="C1020" s="237"/>
      <c r="D1020" s="255"/>
      <c r="E1020" s="237"/>
      <c r="F1020" s="237"/>
      <c r="G1020" s="255"/>
      <c r="H1020" s="237"/>
      <c r="I1020" s="237"/>
      <c r="J1020" s="237"/>
      <c r="K1020" s="240"/>
      <c r="L1020" s="237"/>
      <c r="M1020" s="237"/>
      <c r="N1020" s="237"/>
      <c r="O1020" s="237"/>
      <c r="P1020" s="237"/>
      <c r="Q1020" s="245"/>
      <c r="R1020" s="237"/>
      <c r="S1020" s="237"/>
      <c r="T1020" s="237"/>
      <c r="U1020" s="237"/>
      <c r="V1020" s="237"/>
      <c r="W1020" s="237"/>
      <c r="X1020" s="237"/>
      <c r="Y1020" s="237"/>
      <c r="Z1020" s="237"/>
      <c r="AA1020" s="237"/>
      <c r="AB1020" s="237"/>
      <c r="AC1020" s="237"/>
    </row>
    <row r="1021" spans="2:29" ht="13.5" customHeight="1">
      <c r="B1021" s="237"/>
      <c r="C1021" s="237"/>
      <c r="D1021" s="255"/>
      <c r="E1021" s="237"/>
      <c r="F1021" s="237"/>
      <c r="G1021" s="255"/>
      <c r="H1021" s="237"/>
      <c r="I1021" s="237"/>
      <c r="J1021" s="237"/>
      <c r="K1021" s="240"/>
      <c r="L1021" s="237"/>
      <c r="M1021" s="237"/>
      <c r="N1021" s="237"/>
      <c r="O1021" s="237"/>
      <c r="P1021" s="237"/>
      <c r="Q1021" s="245"/>
      <c r="R1021" s="237"/>
      <c r="S1021" s="237"/>
      <c r="T1021" s="237"/>
      <c r="U1021" s="237"/>
      <c r="V1021" s="237"/>
      <c r="W1021" s="237"/>
      <c r="X1021" s="237"/>
      <c r="Y1021" s="237"/>
      <c r="Z1021" s="237"/>
      <c r="AA1021" s="237"/>
      <c r="AB1021" s="237"/>
      <c r="AC1021" s="237"/>
    </row>
    <row r="1022" spans="2:29" ht="13.5" customHeight="1">
      <c r="B1022" s="237"/>
      <c r="C1022" s="237"/>
      <c r="D1022" s="255"/>
      <c r="E1022" s="237"/>
      <c r="F1022" s="237"/>
      <c r="G1022" s="255"/>
      <c r="H1022" s="237"/>
      <c r="I1022" s="237"/>
      <c r="J1022" s="237"/>
      <c r="K1022" s="240"/>
      <c r="L1022" s="237"/>
      <c r="M1022" s="237"/>
      <c r="N1022" s="237"/>
      <c r="O1022" s="237"/>
      <c r="P1022" s="237"/>
      <c r="Q1022" s="245"/>
      <c r="R1022" s="237"/>
      <c r="S1022" s="237"/>
      <c r="T1022" s="237"/>
      <c r="U1022" s="237"/>
      <c r="V1022" s="237"/>
      <c r="W1022" s="237"/>
      <c r="X1022" s="237"/>
      <c r="Y1022" s="237"/>
      <c r="Z1022" s="237"/>
      <c r="AA1022" s="237"/>
      <c r="AB1022" s="237"/>
      <c r="AC1022" s="237"/>
    </row>
    <row r="1023" spans="2:29" ht="13.5" customHeight="1">
      <c r="B1023" s="237"/>
      <c r="C1023" s="237"/>
      <c r="D1023" s="255"/>
      <c r="E1023" s="237"/>
      <c r="F1023" s="237"/>
      <c r="G1023" s="255"/>
      <c r="H1023" s="237"/>
      <c r="I1023" s="237"/>
      <c r="J1023" s="237"/>
      <c r="K1023" s="240"/>
      <c r="L1023" s="237"/>
      <c r="M1023" s="237"/>
      <c r="N1023" s="237"/>
      <c r="O1023" s="237"/>
      <c r="P1023" s="237"/>
      <c r="Q1023" s="245"/>
      <c r="R1023" s="237"/>
      <c r="S1023" s="237"/>
      <c r="T1023" s="237"/>
      <c r="U1023" s="237"/>
      <c r="V1023" s="237"/>
      <c r="W1023" s="237"/>
      <c r="X1023" s="237"/>
      <c r="Y1023" s="237"/>
      <c r="Z1023" s="237"/>
      <c r="AA1023" s="237"/>
      <c r="AB1023" s="237"/>
      <c r="AC1023" s="237"/>
    </row>
    <row r="1024" spans="2:29" ht="13.5" customHeight="1">
      <c r="B1024" s="237"/>
      <c r="C1024" s="237"/>
      <c r="D1024" s="255"/>
      <c r="E1024" s="237"/>
      <c r="F1024" s="237"/>
      <c r="G1024" s="255"/>
      <c r="H1024" s="237"/>
      <c r="I1024" s="237"/>
      <c r="J1024" s="237"/>
      <c r="K1024" s="240"/>
      <c r="L1024" s="237"/>
      <c r="M1024" s="237"/>
      <c r="N1024" s="237"/>
      <c r="O1024" s="237"/>
      <c r="P1024" s="237"/>
      <c r="Q1024" s="245"/>
      <c r="R1024" s="237"/>
      <c r="S1024" s="237"/>
      <c r="T1024" s="237"/>
      <c r="U1024" s="237"/>
      <c r="V1024" s="237"/>
      <c r="W1024" s="237"/>
      <c r="X1024" s="237"/>
      <c r="Y1024" s="237"/>
      <c r="Z1024" s="237"/>
      <c r="AA1024" s="237"/>
      <c r="AB1024" s="237"/>
      <c r="AC1024" s="237"/>
    </row>
    <row r="1025" spans="2:29" ht="13.5" customHeight="1">
      <c r="B1025" s="237"/>
      <c r="C1025" s="237"/>
      <c r="D1025" s="255"/>
      <c r="E1025" s="237"/>
      <c r="F1025" s="237"/>
      <c r="G1025" s="255"/>
      <c r="H1025" s="237"/>
      <c r="I1025" s="237"/>
      <c r="J1025" s="237"/>
      <c r="K1025" s="240"/>
      <c r="L1025" s="237"/>
      <c r="M1025" s="237"/>
      <c r="N1025" s="237"/>
      <c r="O1025" s="237"/>
      <c r="P1025" s="237"/>
      <c r="Q1025" s="245"/>
      <c r="R1025" s="237"/>
      <c r="S1025" s="237"/>
      <c r="T1025" s="237"/>
      <c r="U1025" s="237"/>
      <c r="V1025" s="237"/>
      <c r="W1025" s="237"/>
      <c r="X1025" s="237"/>
      <c r="Y1025" s="237"/>
      <c r="Z1025" s="237"/>
      <c r="AA1025" s="237"/>
      <c r="AB1025" s="237"/>
      <c r="AC1025" s="237"/>
    </row>
    <row r="1026" spans="2:29" ht="13.5" customHeight="1">
      <c r="B1026" s="237"/>
      <c r="C1026" s="237"/>
      <c r="D1026" s="255"/>
      <c r="E1026" s="237"/>
      <c r="F1026" s="237"/>
      <c r="G1026" s="255"/>
      <c r="H1026" s="237"/>
      <c r="I1026" s="237"/>
      <c r="J1026" s="237"/>
      <c r="K1026" s="240"/>
      <c r="L1026" s="237"/>
      <c r="M1026" s="237"/>
      <c r="N1026" s="237"/>
      <c r="O1026" s="237"/>
      <c r="P1026" s="237"/>
      <c r="Q1026" s="245"/>
      <c r="R1026" s="237"/>
      <c r="S1026" s="237"/>
      <c r="T1026" s="237"/>
      <c r="U1026" s="237"/>
      <c r="V1026" s="237"/>
      <c r="W1026" s="237"/>
      <c r="X1026" s="237"/>
      <c r="Y1026" s="237"/>
      <c r="Z1026" s="237"/>
      <c r="AA1026" s="237"/>
      <c r="AB1026" s="237"/>
      <c r="AC1026" s="237"/>
    </row>
    <row r="1027" spans="2:29" ht="13.5" customHeight="1">
      <c r="B1027" s="237"/>
      <c r="C1027" s="237"/>
      <c r="D1027" s="255"/>
      <c r="E1027" s="237"/>
      <c r="F1027" s="237"/>
      <c r="G1027" s="255"/>
      <c r="H1027" s="237"/>
      <c r="I1027" s="237"/>
      <c r="J1027" s="237"/>
      <c r="K1027" s="240"/>
      <c r="L1027" s="237"/>
      <c r="M1027" s="237"/>
      <c r="N1027" s="237"/>
      <c r="O1027" s="237"/>
      <c r="P1027" s="237"/>
      <c r="Q1027" s="245"/>
      <c r="R1027" s="237"/>
      <c r="S1027" s="237"/>
      <c r="T1027" s="237"/>
      <c r="U1027" s="237"/>
      <c r="V1027" s="237"/>
      <c r="W1027" s="237"/>
      <c r="X1027" s="237"/>
      <c r="Y1027" s="237"/>
      <c r="Z1027" s="237"/>
      <c r="AA1027" s="237"/>
      <c r="AB1027" s="237"/>
      <c r="AC1027" s="237"/>
    </row>
    <row r="1028" spans="2:29" ht="13.5" customHeight="1">
      <c r="B1028" s="237"/>
      <c r="C1028" s="237"/>
      <c r="D1028" s="255"/>
      <c r="E1028" s="237"/>
      <c r="F1028" s="237"/>
      <c r="G1028" s="255"/>
      <c r="H1028" s="237"/>
      <c r="I1028" s="237"/>
      <c r="J1028" s="237"/>
      <c r="K1028" s="240"/>
      <c r="L1028" s="237"/>
      <c r="M1028" s="237"/>
      <c r="N1028" s="237"/>
      <c r="O1028" s="237"/>
      <c r="P1028" s="237"/>
      <c r="Q1028" s="245"/>
      <c r="R1028" s="237"/>
      <c r="S1028" s="237"/>
      <c r="T1028" s="237"/>
      <c r="U1028" s="237"/>
      <c r="V1028" s="237"/>
      <c r="W1028" s="237"/>
      <c r="X1028" s="237"/>
      <c r="Y1028" s="237"/>
      <c r="Z1028" s="237"/>
      <c r="AA1028" s="237"/>
      <c r="AB1028" s="237"/>
      <c r="AC1028" s="237"/>
    </row>
    <row r="1029" spans="2:29" ht="13.5" customHeight="1">
      <c r="B1029" s="237"/>
      <c r="C1029" s="237"/>
      <c r="D1029" s="255"/>
      <c r="E1029" s="237"/>
      <c r="F1029" s="237"/>
      <c r="G1029" s="255"/>
      <c r="H1029" s="237"/>
      <c r="I1029" s="237"/>
      <c r="J1029" s="237"/>
      <c r="K1029" s="240"/>
      <c r="L1029" s="237"/>
      <c r="M1029" s="237"/>
      <c r="N1029" s="237"/>
      <c r="O1029" s="237"/>
      <c r="P1029" s="237"/>
      <c r="Q1029" s="245"/>
      <c r="R1029" s="237"/>
      <c r="S1029" s="237"/>
      <c r="T1029" s="237"/>
      <c r="U1029" s="237"/>
      <c r="V1029" s="237"/>
      <c r="W1029" s="237"/>
      <c r="X1029" s="237"/>
      <c r="Y1029" s="237"/>
      <c r="Z1029" s="237"/>
      <c r="AA1029" s="237"/>
      <c r="AB1029" s="237"/>
      <c r="AC1029" s="237"/>
    </row>
    <row r="1030" spans="2:29" ht="13.5" customHeight="1">
      <c r="B1030" s="237"/>
      <c r="C1030" s="237"/>
      <c r="D1030" s="255"/>
      <c r="E1030" s="237"/>
      <c r="F1030" s="237"/>
      <c r="G1030" s="255"/>
      <c r="H1030" s="237"/>
      <c r="I1030" s="237"/>
      <c r="J1030" s="237"/>
      <c r="K1030" s="240"/>
      <c r="L1030" s="237"/>
      <c r="M1030" s="237"/>
      <c r="N1030" s="237"/>
      <c r="O1030" s="237"/>
      <c r="P1030" s="237"/>
      <c r="Q1030" s="245"/>
      <c r="R1030" s="237"/>
      <c r="S1030" s="237"/>
      <c r="T1030" s="237"/>
      <c r="U1030" s="237"/>
      <c r="V1030" s="237"/>
      <c r="W1030" s="237"/>
      <c r="X1030" s="237"/>
      <c r="Y1030" s="237"/>
      <c r="Z1030" s="237"/>
      <c r="AA1030" s="237"/>
      <c r="AB1030" s="237"/>
      <c r="AC1030" s="237"/>
    </row>
    <row r="1031" spans="2:29" ht="13.5" customHeight="1">
      <c r="B1031" s="237"/>
      <c r="C1031" s="237"/>
      <c r="D1031" s="255"/>
      <c r="E1031" s="237"/>
      <c r="F1031" s="237"/>
      <c r="G1031" s="255"/>
      <c r="H1031" s="237"/>
      <c r="I1031" s="237"/>
      <c r="J1031" s="237"/>
      <c r="K1031" s="240"/>
      <c r="L1031" s="237"/>
      <c r="M1031" s="237"/>
      <c r="N1031" s="237"/>
      <c r="O1031" s="237"/>
      <c r="P1031" s="237"/>
      <c r="Q1031" s="245"/>
      <c r="R1031" s="237"/>
      <c r="S1031" s="237"/>
      <c r="T1031" s="237"/>
      <c r="U1031" s="237"/>
      <c r="V1031" s="237"/>
      <c r="W1031" s="237"/>
      <c r="X1031" s="237"/>
      <c r="Y1031" s="237"/>
      <c r="Z1031" s="237"/>
      <c r="AA1031" s="237"/>
      <c r="AB1031" s="237"/>
      <c r="AC1031" s="237"/>
    </row>
    <row r="1032" spans="2:29" ht="13.5" customHeight="1">
      <c r="B1032" s="237"/>
      <c r="C1032" s="237"/>
      <c r="D1032" s="255"/>
      <c r="E1032" s="237"/>
      <c r="F1032" s="237"/>
      <c r="G1032" s="255"/>
      <c r="H1032" s="237"/>
      <c r="I1032" s="237"/>
      <c r="J1032" s="237"/>
      <c r="K1032" s="240"/>
      <c r="L1032" s="237"/>
      <c r="M1032" s="237"/>
      <c r="N1032" s="237"/>
      <c r="O1032" s="237"/>
      <c r="P1032" s="237"/>
      <c r="Q1032" s="245"/>
      <c r="R1032" s="237"/>
      <c r="S1032" s="237"/>
      <c r="T1032" s="237"/>
      <c r="U1032" s="237"/>
      <c r="V1032" s="237"/>
      <c r="W1032" s="237"/>
      <c r="X1032" s="237"/>
      <c r="Y1032" s="237"/>
      <c r="Z1032" s="237"/>
      <c r="AA1032" s="237"/>
      <c r="AB1032" s="237"/>
      <c r="AC1032" s="237"/>
    </row>
    <row r="1033" spans="2:29" ht="13.5" customHeight="1">
      <c r="B1033" s="237"/>
      <c r="C1033" s="237"/>
      <c r="D1033" s="255"/>
      <c r="E1033" s="237"/>
      <c r="F1033" s="237"/>
      <c r="G1033" s="255"/>
      <c r="H1033" s="237"/>
      <c r="I1033" s="237"/>
      <c r="J1033" s="237"/>
      <c r="K1033" s="240"/>
      <c r="L1033" s="237"/>
      <c r="M1033" s="237"/>
      <c r="N1033" s="237"/>
      <c r="O1033" s="237"/>
      <c r="P1033" s="237"/>
      <c r="Q1033" s="245"/>
      <c r="R1033" s="237"/>
      <c r="S1033" s="237"/>
      <c r="T1033" s="237"/>
      <c r="U1033" s="237"/>
      <c r="V1033" s="237"/>
      <c r="W1033" s="237"/>
      <c r="X1033" s="237"/>
      <c r="Y1033" s="237"/>
      <c r="Z1033" s="237"/>
      <c r="AA1033" s="237"/>
      <c r="AB1033" s="237"/>
      <c r="AC1033" s="237"/>
    </row>
    <row r="1034" spans="2:29" ht="13.5" customHeight="1">
      <c r="B1034" s="237"/>
      <c r="C1034" s="237"/>
      <c r="D1034" s="255"/>
      <c r="E1034" s="237"/>
      <c r="F1034" s="237"/>
      <c r="G1034" s="255"/>
      <c r="H1034" s="237"/>
      <c r="I1034" s="237"/>
      <c r="J1034" s="237"/>
      <c r="K1034" s="240"/>
      <c r="L1034" s="237"/>
      <c r="M1034" s="237"/>
      <c r="N1034" s="237"/>
      <c r="O1034" s="237"/>
      <c r="P1034" s="237"/>
      <c r="Q1034" s="245"/>
      <c r="R1034" s="237"/>
      <c r="S1034" s="237"/>
      <c r="T1034" s="237"/>
      <c r="U1034" s="237"/>
      <c r="V1034" s="237"/>
      <c r="W1034" s="237"/>
      <c r="X1034" s="237"/>
      <c r="Y1034" s="237"/>
      <c r="Z1034" s="237"/>
      <c r="AA1034" s="237"/>
      <c r="AB1034" s="237"/>
      <c r="AC1034" s="237"/>
    </row>
    <row r="1035" spans="2:29" ht="13.5" customHeight="1">
      <c r="B1035" s="237"/>
      <c r="C1035" s="237"/>
      <c r="D1035" s="255"/>
      <c r="E1035" s="237"/>
      <c r="F1035" s="237"/>
      <c r="G1035" s="255"/>
      <c r="H1035" s="237"/>
      <c r="I1035" s="237"/>
      <c r="J1035" s="237"/>
      <c r="K1035" s="240"/>
      <c r="L1035" s="237"/>
      <c r="M1035" s="237"/>
      <c r="N1035" s="237"/>
      <c r="O1035" s="237"/>
      <c r="P1035" s="237"/>
      <c r="Q1035" s="245"/>
      <c r="R1035" s="237"/>
      <c r="S1035" s="237"/>
      <c r="T1035" s="237"/>
      <c r="U1035" s="237"/>
      <c r="V1035" s="237"/>
      <c r="W1035" s="237"/>
      <c r="X1035" s="237"/>
      <c r="Y1035" s="237"/>
      <c r="Z1035" s="237"/>
      <c r="AA1035" s="237"/>
      <c r="AB1035" s="237"/>
      <c r="AC1035" s="237"/>
    </row>
    <row r="1036" spans="2:29" ht="13.5" customHeight="1">
      <c r="B1036" s="237"/>
      <c r="C1036" s="237"/>
      <c r="D1036" s="255"/>
      <c r="E1036" s="237"/>
      <c r="F1036" s="237"/>
      <c r="G1036" s="255"/>
      <c r="H1036" s="237"/>
      <c r="I1036" s="237"/>
      <c r="J1036" s="237"/>
      <c r="K1036" s="240"/>
      <c r="L1036" s="237"/>
      <c r="M1036" s="237"/>
      <c r="N1036" s="237"/>
      <c r="O1036" s="237"/>
      <c r="P1036" s="237"/>
      <c r="Q1036" s="245"/>
      <c r="R1036" s="237"/>
      <c r="S1036" s="237"/>
      <c r="T1036" s="237"/>
      <c r="U1036" s="237"/>
      <c r="V1036" s="237"/>
      <c r="W1036" s="237"/>
      <c r="X1036" s="237"/>
      <c r="Y1036" s="237"/>
      <c r="Z1036" s="237"/>
      <c r="AA1036" s="237"/>
      <c r="AB1036" s="237"/>
      <c r="AC1036" s="237"/>
    </row>
    <row r="1037" spans="2:29" ht="13.5" customHeight="1">
      <c r="B1037" s="237"/>
      <c r="C1037" s="237"/>
      <c r="D1037" s="255"/>
      <c r="E1037" s="237"/>
      <c r="F1037" s="237"/>
      <c r="G1037" s="255"/>
      <c r="H1037" s="237"/>
      <c r="I1037" s="237"/>
      <c r="J1037" s="237"/>
      <c r="K1037" s="240"/>
      <c r="L1037" s="237"/>
      <c r="M1037" s="237"/>
      <c r="N1037" s="237"/>
      <c r="O1037" s="237"/>
      <c r="P1037" s="237"/>
      <c r="Q1037" s="245"/>
      <c r="R1037" s="237"/>
      <c r="S1037" s="237"/>
      <c r="T1037" s="237"/>
      <c r="U1037" s="237"/>
      <c r="V1037" s="237"/>
      <c r="W1037" s="237"/>
      <c r="X1037" s="237"/>
      <c r="Y1037" s="237"/>
      <c r="Z1037" s="237"/>
      <c r="AA1037" s="237"/>
      <c r="AB1037" s="237"/>
      <c r="AC1037" s="237"/>
    </row>
    <row r="1038" spans="2:29" ht="13.5" customHeight="1">
      <c r="B1038" s="237"/>
      <c r="C1038" s="237"/>
      <c r="D1038" s="255"/>
      <c r="E1038" s="237"/>
      <c r="F1038" s="237"/>
      <c r="G1038" s="255"/>
      <c r="H1038" s="237"/>
      <c r="I1038" s="237"/>
      <c r="J1038" s="237"/>
      <c r="K1038" s="240"/>
      <c r="L1038" s="237"/>
      <c r="M1038" s="237"/>
      <c r="N1038" s="237"/>
      <c r="O1038" s="237"/>
      <c r="P1038" s="237"/>
      <c r="Q1038" s="245"/>
      <c r="R1038" s="237"/>
      <c r="S1038" s="237"/>
      <c r="T1038" s="237"/>
      <c r="U1038" s="237"/>
      <c r="V1038" s="237"/>
      <c r="W1038" s="237"/>
      <c r="X1038" s="237"/>
      <c r="Y1038" s="237"/>
      <c r="Z1038" s="237"/>
      <c r="AA1038" s="237"/>
      <c r="AB1038" s="237"/>
      <c r="AC1038" s="237"/>
    </row>
    <row r="1039" spans="2:29" ht="13.5" customHeight="1">
      <c r="B1039" s="237"/>
      <c r="C1039" s="237"/>
      <c r="D1039" s="255"/>
      <c r="E1039" s="237"/>
      <c r="F1039" s="237"/>
      <c r="G1039" s="255"/>
      <c r="H1039" s="237"/>
      <c r="I1039" s="237"/>
      <c r="J1039" s="237"/>
      <c r="K1039" s="240"/>
      <c r="L1039" s="237"/>
      <c r="M1039" s="237"/>
      <c r="N1039" s="237"/>
      <c r="O1039" s="237"/>
      <c r="P1039" s="237"/>
      <c r="Q1039" s="245"/>
      <c r="R1039" s="237"/>
      <c r="S1039" s="237"/>
      <c r="T1039" s="237"/>
      <c r="U1039" s="237"/>
      <c r="V1039" s="237"/>
      <c r="W1039" s="237"/>
      <c r="X1039" s="237"/>
      <c r="Y1039" s="237"/>
      <c r="Z1039" s="237"/>
      <c r="AA1039" s="237"/>
      <c r="AB1039" s="237"/>
      <c r="AC1039" s="237"/>
    </row>
    <row r="1040" spans="2:29" ht="13.5" customHeight="1">
      <c r="B1040" s="237"/>
      <c r="C1040" s="237"/>
      <c r="D1040" s="255"/>
      <c r="E1040" s="237"/>
      <c r="F1040" s="237"/>
      <c r="G1040" s="255"/>
      <c r="H1040" s="237"/>
      <c r="I1040" s="237"/>
      <c r="J1040" s="237"/>
      <c r="K1040" s="240"/>
      <c r="L1040" s="237"/>
      <c r="M1040" s="237"/>
      <c r="N1040" s="237"/>
      <c r="O1040" s="237"/>
      <c r="P1040" s="237"/>
      <c r="Q1040" s="245"/>
      <c r="R1040" s="237"/>
      <c r="S1040" s="237"/>
      <c r="T1040" s="237"/>
      <c r="U1040" s="237"/>
      <c r="V1040" s="237"/>
      <c r="W1040" s="237"/>
      <c r="X1040" s="237"/>
      <c r="Y1040" s="237"/>
      <c r="Z1040" s="237"/>
      <c r="AA1040" s="237"/>
      <c r="AB1040" s="237"/>
      <c r="AC1040" s="237"/>
    </row>
    <row r="1041" spans="2:29" ht="13.5" customHeight="1">
      <c r="B1041" s="237"/>
      <c r="C1041" s="237"/>
      <c r="D1041" s="255"/>
      <c r="E1041" s="237"/>
      <c r="F1041" s="237"/>
      <c r="G1041" s="255"/>
      <c r="H1041" s="237"/>
      <c r="I1041" s="237"/>
      <c r="J1041" s="237"/>
      <c r="K1041" s="240"/>
      <c r="L1041" s="237"/>
      <c r="M1041" s="237"/>
      <c r="N1041" s="237"/>
      <c r="O1041" s="237"/>
      <c r="P1041" s="237"/>
      <c r="Q1041" s="245"/>
      <c r="R1041" s="237"/>
      <c r="S1041" s="237"/>
      <c r="T1041" s="237"/>
      <c r="U1041" s="237"/>
      <c r="V1041" s="237"/>
      <c r="W1041" s="237"/>
      <c r="X1041" s="237"/>
      <c r="Y1041" s="237"/>
      <c r="Z1041" s="237"/>
      <c r="AA1041" s="237"/>
      <c r="AB1041" s="237"/>
      <c r="AC1041" s="237"/>
    </row>
    <row r="1042" spans="2:29" ht="13.5" customHeight="1">
      <c r="B1042" s="237"/>
      <c r="C1042" s="237"/>
      <c r="D1042" s="255"/>
      <c r="E1042" s="237"/>
      <c r="F1042" s="237"/>
      <c r="G1042" s="255"/>
      <c r="H1042" s="237"/>
      <c r="I1042" s="237"/>
      <c r="J1042" s="237"/>
      <c r="K1042" s="240"/>
      <c r="L1042" s="237"/>
      <c r="M1042" s="237"/>
      <c r="N1042" s="237"/>
      <c r="O1042" s="237"/>
      <c r="P1042" s="237"/>
      <c r="Q1042" s="245"/>
      <c r="R1042" s="237"/>
      <c r="S1042" s="237"/>
      <c r="T1042" s="237"/>
      <c r="U1042" s="237"/>
      <c r="V1042" s="237"/>
      <c r="W1042" s="237"/>
      <c r="X1042" s="237"/>
      <c r="Y1042" s="237"/>
      <c r="Z1042" s="237"/>
      <c r="AA1042" s="237"/>
      <c r="AB1042" s="237"/>
      <c r="AC1042" s="237"/>
    </row>
    <row r="1043" spans="2:29" ht="13.5" customHeight="1">
      <c r="B1043" s="237"/>
      <c r="C1043" s="237"/>
      <c r="D1043" s="255"/>
      <c r="E1043" s="237"/>
      <c r="F1043" s="237"/>
      <c r="G1043" s="255"/>
      <c r="H1043" s="237"/>
      <c r="I1043" s="237"/>
      <c r="J1043" s="237"/>
      <c r="K1043" s="240"/>
      <c r="L1043" s="237"/>
      <c r="M1043" s="237"/>
      <c r="N1043" s="237"/>
      <c r="O1043" s="237"/>
      <c r="P1043" s="237"/>
      <c r="Q1043" s="245"/>
      <c r="R1043" s="237"/>
      <c r="S1043" s="237"/>
      <c r="T1043" s="237"/>
      <c r="U1043" s="237"/>
      <c r="V1043" s="237"/>
      <c r="W1043" s="237"/>
      <c r="X1043" s="237"/>
      <c r="Y1043" s="237"/>
      <c r="Z1043" s="237"/>
      <c r="AA1043" s="237"/>
      <c r="AB1043" s="237"/>
      <c r="AC1043" s="237"/>
    </row>
    <row r="1044" spans="2:29" ht="13.5" customHeight="1">
      <c r="B1044" s="237"/>
      <c r="C1044" s="237"/>
      <c r="D1044" s="255"/>
      <c r="E1044" s="237"/>
      <c r="F1044" s="237"/>
      <c r="G1044" s="255"/>
      <c r="H1044" s="237"/>
      <c r="I1044" s="237"/>
      <c r="J1044" s="237"/>
      <c r="K1044" s="240"/>
      <c r="L1044" s="237"/>
      <c r="M1044" s="237"/>
      <c r="N1044" s="237"/>
      <c r="O1044" s="237"/>
      <c r="P1044" s="237"/>
      <c r="Q1044" s="245"/>
      <c r="R1044" s="237"/>
      <c r="S1044" s="237"/>
      <c r="T1044" s="237"/>
      <c r="U1044" s="237"/>
      <c r="V1044" s="237"/>
      <c r="W1044" s="237"/>
      <c r="X1044" s="237"/>
      <c r="Y1044" s="237"/>
      <c r="Z1044" s="237"/>
      <c r="AA1044" s="237"/>
      <c r="AB1044" s="237"/>
      <c r="AC1044" s="237"/>
    </row>
    <row r="1045" spans="2:29" ht="13.5" customHeight="1">
      <c r="B1045" s="237"/>
      <c r="C1045" s="237"/>
      <c r="D1045" s="255"/>
      <c r="E1045" s="237"/>
      <c r="F1045" s="237"/>
      <c r="G1045" s="255"/>
      <c r="H1045" s="237"/>
      <c r="I1045" s="237"/>
      <c r="J1045" s="237"/>
      <c r="K1045" s="240"/>
      <c r="L1045" s="237"/>
      <c r="M1045" s="237"/>
      <c r="N1045" s="237"/>
      <c r="O1045" s="237"/>
      <c r="P1045" s="237"/>
      <c r="Q1045" s="245"/>
      <c r="R1045" s="237"/>
      <c r="S1045" s="237"/>
      <c r="T1045" s="237"/>
      <c r="U1045" s="237"/>
      <c r="V1045" s="237"/>
      <c r="W1045" s="237"/>
      <c r="X1045" s="237"/>
      <c r="Y1045" s="237"/>
      <c r="Z1045" s="237"/>
      <c r="AA1045" s="237"/>
      <c r="AB1045" s="237"/>
      <c r="AC1045" s="237"/>
    </row>
    <row r="1046" spans="2:29" ht="13.5" customHeight="1">
      <c r="B1046" s="237"/>
      <c r="C1046" s="237"/>
      <c r="D1046" s="255"/>
      <c r="E1046" s="237"/>
      <c r="F1046" s="237"/>
      <c r="G1046" s="255"/>
      <c r="H1046" s="237"/>
      <c r="I1046" s="237"/>
      <c r="J1046" s="237"/>
      <c r="K1046" s="240"/>
      <c r="L1046" s="237"/>
      <c r="M1046" s="237"/>
      <c r="N1046" s="237"/>
      <c r="O1046" s="237"/>
      <c r="P1046" s="237"/>
      <c r="Q1046" s="245"/>
      <c r="R1046" s="237"/>
      <c r="S1046" s="237"/>
      <c r="T1046" s="237"/>
      <c r="U1046" s="237"/>
      <c r="V1046" s="237"/>
      <c r="W1046" s="237"/>
      <c r="X1046" s="237"/>
      <c r="Y1046" s="237"/>
      <c r="Z1046" s="237"/>
      <c r="AA1046" s="237"/>
      <c r="AB1046" s="237"/>
      <c r="AC1046" s="237"/>
    </row>
    <row r="1047" spans="2:29" ht="13.5" customHeight="1">
      <c r="B1047" s="237"/>
      <c r="C1047" s="237"/>
      <c r="D1047" s="255"/>
      <c r="E1047" s="237"/>
      <c r="F1047" s="237"/>
      <c r="G1047" s="255"/>
      <c r="H1047" s="237"/>
      <c r="I1047" s="237"/>
      <c r="J1047" s="237"/>
      <c r="K1047" s="240"/>
      <c r="L1047" s="237"/>
      <c r="M1047" s="237"/>
      <c r="N1047" s="237"/>
      <c r="O1047" s="237"/>
      <c r="P1047" s="237"/>
      <c r="Q1047" s="245"/>
      <c r="R1047" s="237"/>
      <c r="S1047" s="237"/>
      <c r="T1047" s="237"/>
      <c r="U1047" s="237"/>
      <c r="V1047" s="237"/>
      <c r="W1047" s="237"/>
      <c r="X1047" s="237"/>
      <c r="Y1047" s="237"/>
      <c r="Z1047" s="237"/>
      <c r="AA1047" s="237"/>
      <c r="AB1047" s="237"/>
      <c r="AC1047" s="237"/>
    </row>
    <row r="1048" spans="2:29" ht="13.5" customHeight="1">
      <c r="B1048" s="237"/>
      <c r="C1048" s="237"/>
      <c r="D1048" s="255"/>
      <c r="E1048" s="237"/>
      <c r="F1048" s="237"/>
      <c r="G1048" s="255"/>
      <c r="H1048" s="237"/>
      <c r="I1048" s="237"/>
      <c r="J1048" s="237"/>
      <c r="K1048" s="240"/>
      <c r="L1048" s="237"/>
      <c r="M1048" s="237"/>
      <c r="N1048" s="237"/>
      <c r="O1048" s="237"/>
      <c r="P1048" s="237"/>
      <c r="Q1048" s="245"/>
      <c r="R1048" s="237"/>
      <c r="S1048" s="237"/>
      <c r="T1048" s="237"/>
      <c r="U1048" s="237"/>
      <c r="V1048" s="237"/>
      <c r="W1048" s="237"/>
      <c r="X1048" s="237"/>
      <c r="Y1048" s="237"/>
      <c r="Z1048" s="237"/>
      <c r="AA1048" s="237"/>
      <c r="AB1048" s="237"/>
      <c r="AC1048" s="237"/>
    </row>
    <row r="1049" spans="2:29" ht="13.5" customHeight="1">
      <c r="B1049" s="237"/>
      <c r="C1049" s="237"/>
      <c r="D1049" s="255"/>
      <c r="E1049" s="237"/>
      <c r="F1049" s="237"/>
      <c r="G1049" s="255"/>
      <c r="H1049" s="237"/>
      <c r="I1049" s="237"/>
      <c r="J1049" s="237"/>
      <c r="K1049" s="240"/>
      <c r="L1049" s="237"/>
      <c r="M1049" s="237"/>
      <c r="N1049" s="237"/>
      <c r="O1049" s="237"/>
      <c r="P1049" s="237"/>
      <c r="Q1049" s="245"/>
      <c r="R1049" s="237"/>
      <c r="S1049" s="237"/>
      <c r="T1049" s="237"/>
      <c r="U1049" s="237"/>
      <c r="V1049" s="237"/>
      <c r="W1049" s="237"/>
      <c r="X1049" s="237"/>
      <c r="Y1049" s="237"/>
      <c r="Z1049" s="237"/>
      <c r="AA1049" s="237"/>
      <c r="AB1049" s="237"/>
      <c r="AC1049" s="237"/>
    </row>
    <row r="1050" spans="2:29" ht="13.5" customHeight="1">
      <c r="B1050" s="237"/>
      <c r="C1050" s="237"/>
      <c r="D1050" s="255"/>
      <c r="E1050" s="237"/>
      <c r="F1050" s="237"/>
      <c r="G1050" s="255"/>
      <c r="H1050" s="237"/>
      <c r="I1050" s="237"/>
      <c r="J1050" s="237"/>
      <c r="K1050" s="240"/>
      <c r="L1050" s="237"/>
      <c r="M1050" s="237"/>
      <c r="N1050" s="237"/>
      <c r="O1050" s="237"/>
      <c r="P1050" s="237"/>
      <c r="Q1050" s="245"/>
      <c r="R1050" s="237"/>
      <c r="S1050" s="237"/>
      <c r="T1050" s="237"/>
      <c r="U1050" s="237"/>
      <c r="V1050" s="237"/>
      <c r="W1050" s="237"/>
      <c r="X1050" s="237"/>
      <c r="Y1050" s="237"/>
      <c r="Z1050" s="237"/>
      <c r="AA1050" s="237"/>
      <c r="AB1050" s="237"/>
      <c r="AC1050" s="237"/>
    </row>
    <row r="1051" spans="2:29" ht="13.5" customHeight="1">
      <c r="B1051" s="237"/>
      <c r="C1051" s="237"/>
      <c r="D1051" s="255"/>
      <c r="E1051" s="237"/>
      <c r="F1051" s="237"/>
      <c r="G1051" s="255"/>
      <c r="H1051" s="237"/>
      <c r="I1051" s="237"/>
      <c r="J1051" s="237"/>
      <c r="K1051" s="240"/>
      <c r="L1051" s="237"/>
      <c r="M1051" s="237"/>
      <c r="N1051" s="237"/>
      <c r="O1051" s="237"/>
      <c r="P1051" s="237"/>
      <c r="Q1051" s="245"/>
      <c r="R1051" s="237"/>
      <c r="S1051" s="237"/>
      <c r="T1051" s="237"/>
      <c r="U1051" s="237"/>
      <c r="V1051" s="237"/>
      <c r="W1051" s="237"/>
      <c r="X1051" s="237"/>
      <c r="Y1051" s="237"/>
      <c r="Z1051" s="237"/>
      <c r="AA1051" s="237"/>
      <c r="AB1051" s="237"/>
      <c r="AC1051" s="237"/>
    </row>
    <row r="1052" spans="2:29" ht="13.5" customHeight="1">
      <c r="B1052" s="237"/>
      <c r="C1052" s="237"/>
      <c r="D1052" s="255"/>
      <c r="E1052" s="237"/>
      <c r="F1052" s="237"/>
      <c r="G1052" s="255"/>
      <c r="H1052" s="237"/>
      <c r="I1052" s="237"/>
      <c r="J1052" s="237"/>
      <c r="K1052" s="240"/>
      <c r="L1052" s="237"/>
      <c r="M1052" s="237"/>
      <c r="N1052" s="237"/>
      <c r="O1052" s="237"/>
      <c r="P1052" s="237"/>
      <c r="Q1052" s="245"/>
      <c r="R1052" s="237"/>
      <c r="S1052" s="237"/>
      <c r="T1052" s="237"/>
      <c r="U1052" s="237"/>
      <c r="V1052" s="237"/>
      <c r="W1052" s="237"/>
      <c r="X1052" s="237"/>
      <c r="Y1052" s="237"/>
      <c r="Z1052" s="237"/>
      <c r="AA1052" s="237"/>
      <c r="AB1052" s="237"/>
      <c r="AC1052" s="237"/>
    </row>
    <row r="1053" spans="2:29" ht="13.5" customHeight="1">
      <c r="B1053" s="237"/>
      <c r="C1053" s="237"/>
      <c r="D1053" s="255"/>
      <c r="E1053" s="237"/>
      <c r="F1053" s="237"/>
      <c r="G1053" s="255"/>
      <c r="H1053" s="237"/>
      <c r="I1053" s="237"/>
      <c r="J1053" s="237"/>
      <c r="K1053" s="240"/>
      <c r="L1053" s="237"/>
      <c r="M1053" s="237"/>
      <c r="N1053" s="237"/>
      <c r="O1053" s="237"/>
      <c r="P1053" s="237"/>
      <c r="Q1053" s="245"/>
      <c r="R1053" s="237"/>
      <c r="S1053" s="237"/>
      <c r="T1053" s="237"/>
      <c r="U1053" s="237"/>
      <c r="V1053" s="237"/>
      <c r="W1053" s="237"/>
      <c r="X1053" s="237"/>
      <c r="Y1053" s="237"/>
      <c r="Z1053" s="237"/>
      <c r="AA1053" s="237"/>
      <c r="AB1053" s="237"/>
      <c r="AC1053" s="237"/>
    </row>
    <row r="1054" spans="2:29" ht="13.5" customHeight="1">
      <c r="B1054" s="237"/>
      <c r="C1054" s="237"/>
      <c r="D1054" s="255"/>
      <c r="E1054" s="237"/>
      <c r="F1054" s="237"/>
      <c r="G1054" s="255"/>
      <c r="H1054" s="237"/>
      <c r="I1054" s="237"/>
      <c r="J1054" s="237"/>
      <c r="K1054" s="240"/>
      <c r="L1054" s="237"/>
      <c r="M1054" s="237"/>
      <c r="N1054" s="237"/>
      <c r="O1054" s="237"/>
      <c r="P1054" s="237"/>
      <c r="Q1054" s="245"/>
      <c r="R1054" s="237"/>
      <c r="S1054" s="237"/>
      <c r="T1054" s="237"/>
      <c r="U1054" s="237"/>
      <c r="V1054" s="237"/>
      <c r="W1054" s="237"/>
      <c r="X1054" s="237"/>
      <c r="Y1054" s="237"/>
      <c r="Z1054" s="237"/>
      <c r="AA1054" s="237"/>
      <c r="AB1054" s="237"/>
      <c r="AC1054" s="237"/>
    </row>
    <row r="1055" spans="2:29" ht="13.5" customHeight="1">
      <c r="B1055" s="237"/>
      <c r="C1055" s="237"/>
      <c r="D1055" s="255"/>
      <c r="E1055" s="237"/>
      <c r="F1055" s="237"/>
      <c r="G1055" s="255"/>
      <c r="H1055" s="237"/>
      <c r="I1055" s="237"/>
      <c r="J1055" s="237"/>
      <c r="K1055" s="240"/>
      <c r="L1055" s="237"/>
      <c r="M1055" s="237"/>
      <c r="N1055" s="237"/>
      <c r="O1055" s="237"/>
      <c r="P1055" s="237"/>
      <c r="Q1055" s="245"/>
      <c r="R1055" s="237"/>
      <c r="S1055" s="237"/>
      <c r="T1055" s="237"/>
      <c r="U1055" s="237"/>
      <c r="V1055" s="237"/>
      <c r="W1055" s="237"/>
      <c r="X1055" s="237"/>
      <c r="Y1055" s="237"/>
      <c r="Z1055" s="237"/>
      <c r="AA1055" s="237"/>
      <c r="AB1055" s="237"/>
      <c r="AC1055" s="237"/>
    </row>
    <row r="1056" spans="2:29" ht="13.5" customHeight="1">
      <c r="B1056" s="237"/>
      <c r="C1056" s="237"/>
      <c r="D1056" s="255"/>
      <c r="E1056" s="237"/>
      <c r="F1056" s="237"/>
      <c r="G1056" s="255"/>
      <c r="H1056" s="237"/>
      <c r="I1056" s="237"/>
      <c r="J1056" s="237"/>
      <c r="K1056" s="240"/>
      <c r="L1056" s="237"/>
      <c r="M1056" s="237"/>
      <c r="N1056" s="237"/>
      <c r="O1056" s="237"/>
      <c r="P1056" s="237"/>
      <c r="Q1056" s="245"/>
      <c r="R1056" s="237"/>
      <c r="S1056" s="237"/>
      <c r="T1056" s="237"/>
      <c r="U1056" s="237"/>
      <c r="V1056" s="237"/>
      <c r="W1056" s="237"/>
      <c r="X1056" s="237"/>
      <c r="Y1056" s="237"/>
      <c r="Z1056" s="237"/>
      <c r="AA1056" s="237"/>
      <c r="AB1056" s="237"/>
      <c r="AC1056" s="237"/>
    </row>
    <row r="1057" spans="2:29" ht="13.5" customHeight="1">
      <c r="B1057" s="237"/>
      <c r="C1057" s="237"/>
      <c r="D1057" s="255"/>
      <c r="E1057" s="237"/>
      <c r="F1057" s="237"/>
      <c r="G1057" s="255"/>
      <c r="H1057" s="237"/>
      <c r="I1057" s="237"/>
      <c r="J1057" s="237"/>
      <c r="K1057" s="240"/>
      <c r="L1057" s="237"/>
      <c r="M1057" s="237"/>
      <c r="N1057" s="237"/>
      <c r="O1057" s="237"/>
      <c r="P1057" s="237"/>
      <c r="Q1057" s="245"/>
      <c r="R1057" s="237"/>
      <c r="S1057" s="237"/>
      <c r="T1057" s="237"/>
      <c r="U1057" s="237"/>
      <c r="V1057" s="237"/>
      <c r="W1057" s="237"/>
      <c r="X1057" s="237"/>
      <c r="Y1057" s="237"/>
      <c r="Z1057" s="237"/>
      <c r="AA1057" s="237"/>
      <c r="AB1057" s="237"/>
      <c r="AC1057" s="237"/>
    </row>
    <row r="1058" spans="2:29" ht="13.5" customHeight="1">
      <c r="B1058" s="237"/>
      <c r="C1058" s="237"/>
      <c r="D1058" s="255"/>
      <c r="E1058" s="237"/>
      <c r="F1058" s="237"/>
      <c r="G1058" s="255"/>
      <c r="H1058" s="237"/>
      <c r="I1058" s="237"/>
      <c r="J1058" s="237"/>
      <c r="K1058" s="240"/>
      <c r="L1058" s="237"/>
      <c r="M1058" s="237"/>
      <c r="N1058" s="237"/>
      <c r="O1058" s="237"/>
      <c r="P1058" s="237"/>
      <c r="Q1058" s="245"/>
      <c r="R1058" s="237"/>
      <c r="S1058" s="237"/>
      <c r="T1058" s="237"/>
      <c r="U1058" s="237"/>
      <c r="V1058" s="237"/>
      <c r="W1058" s="237"/>
      <c r="X1058" s="237"/>
      <c r="Y1058" s="237"/>
      <c r="Z1058" s="237"/>
      <c r="AA1058" s="237"/>
      <c r="AB1058" s="237"/>
      <c r="AC1058" s="237"/>
    </row>
    <row r="1059" spans="2:29" ht="13.5" customHeight="1">
      <c r="B1059" s="237"/>
      <c r="C1059" s="237"/>
      <c r="D1059" s="255"/>
      <c r="E1059" s="237"/>
      <c r="F1059" s="237"/>
      <c r="G1059" s="255"/>
      <c r="H1059" s="237"/>
      <c r="I1059" s="237"/>
      <c r="J1059" s="237"/>
      <c r="K1059" s="240"/>
      <c r="L1059" s="237"/>
      <c r="M1059" s="237"/>
      <c r="N1059" s="237"/>
      <c r="O1059" s="237"/>
      <c r="P1059" s="237"/>
      <c r="Q1059" s="245"/>
      <c r="R1059" s="237"/>
      <c r="S1059" s="237"/>
      <c r="T1059" s="237"/>
      <c r="U1059" s="237"/>
      <c r="V1059" s="237"/>
      <c r="W1059" s="237"/>
      <c r="X1059" s="237"/>
      <c r="Y1059" s="237"/>
      <c r="Z1059" s="237"/>
      <c r="AA1059" s="237"/>
      <c r="AB1059" s="237"/>
      <c r="AC1059" s="237"/>
    </row>
    <row r="1060" spans="2:29" ht="13.5" customHeight="1">
      <c r="B1060" s="237"/>
      <c r="C1060" s="237"/>
      <c r="D1060" s="255"/>
      <c r="E1060" s="237"/>
      <c r="F1060" s="237"/>
      <c r="G1060" s="255"/>
      <c r="H1060" s="237"/>
      <c r="I1060" s="237"/>
      <c r="J1060" s="237"/>
      <c r="K1060" s="240"/>
      <c r="L1060" s="237"/>
      <c r="M1060" s="237"/>
      <c r="N1060" s="237"/>
      <c r="O1060" s="237"/>
      <c r="P1060" s="237"/>
      <c r="Q1060" s="245"/>
      <c r="R1060" s="237"/>
      <c r="S1060" s="237"/>
      <c r="T1060" s="237"/>
      <c r="U1060" s="237"/>
      <c r="V1060" s="237"/>
      <c r="W1060" s="237"/>
      <c r="X1060" s="237"/>
      <c r="Y1060" s="237"/>
      <c r="Z1060" s="237"/>
      <c r="AA1060" s="237"/>
      <c r="AB1060" s="237"/>
      <c r="AC1060" s="237"/>
    </row>
    <row r="1061" spans="2:29" ht="13.5" customHeight="1">
      <c r="B1061" s="237"/>
      <c r="C1061" s="237"/>
      <c r="D1061" s="255"/>
      <c r="E1061" s="237"/>
      <c r="F1061" s="237"/>
      <c r="G1061" s="255"/>
      <c r="H1061" s="237"/>
      <c r="I1061" s="237"/>
      <c r="J1061" s="237"/>
      <c r="K1061" s="240"/>
      <c r="L1061" s="237"/>
      <c r="M1061" s="237"/>
      <c r="N1061" s="237"/>
      <c r="O1061" s="237"/>
      <c r="P1061" s="237"/>
      <c r="Q1061" s="245"/>
      <c r="R1061" s="237"/>
      <c r="S1061" s="237"/>
      <c r="T1061" s="237"/>
      <c r="U1061" s="237"/>
      <c r="V1061" s="237"/>
      <c r="W1061" s="237"/>
      <c r="X1061" s="237"/>
      <c r="Y1061" s="237"/>
      <c r="Z1061" s="237"/>
      <c r="AA1061" s="237"/>
      <c r="AB1061" s="237"/>
      <c r="AC1061" s="237"/>
    </row>
    <row r="1062" spans="2:29" ht="13.5" customHeight="1">
      <c r="B1062" s="237"/>
      <c r="C1062" s="237"/>
      <c r="D1062" s="255"/>
      <c r="E1062" s="237"/>
      <c r="F1062" s="237"/>
      <c r="G1062" s="255"/>
      <c r="H1062" s="237"/>
      <c r="I1062" s="237"/>
      <c r="J1062" s="237"/>
      <c r="K1062" s="240"/>
      <c r="L1062" s="237"/>
      <c r="M1062" s="237"/>
      <c r="N1062" s="237"/>
      <c r="O1062" s="237"/>
      <c r="P1062" s="237"/>
      <c r="Q1062" s="245"/>
      <c r="R1062" s="237"/>
      <c r="S1062" s="237"/>
      <c r="T1062" s="237"/>
      <c r="U1062" s="237"/>
      <c r="V1062" s="237"/>
      <c r="W1062" s="237"/>
      <c r="X1062" s="237"/>
      <c r="Y1062" s="237"/>
      <c r="Z1062" s="237"/>
      <c r="AA1062" s="237"/>
      <c r="AB1062" s="237"/>
      <c r="AC1062" s="237"/>
    </row>
    <row r="1063" spans="2:29" ht="13.5" customHeight="1">
      <c r="B1063" s="237"/>
      <c r="C1063" s="237"/>
      <c r="D1063" s="255"/>
      <c r="E1063" s="237"/>
      <c r="F1063" s="237"/>
      <c r="G1063" s="255"/>
      <c r="H1063" s="237"/>
      <c r="I1063" s="237"/>
      <c r="J1063" s="237"/>
      <c r="K1063" s="240"/>
      <c r="L1063" s="237"/>
      <c r="M1063" s="237"/>
      <c r="N1063" s="237"/>
      <c r="O1063" s="237"/>
      <c r="P1063" s="237"/>
      <c r="Q1063" s="245"/>
      <c r="R1063" s="237"/>
      <c r="S1063" s="237"/>
      <c r="T1063" s="237"/>
      <c r="U1063" s="237"/>
      <c r="V1063" s="237"/>
      <c r="W1063" s="237"/>
      <c r="X1063" s="237"/>
      <c r="Y1063" s="237"/>
      <c r="Z1063" s="237"/>
      <c r="AA1063" s="237"/>
      <c r="AB1063" s="237"/>
      <c r="AC1063" s="237"/>
    </row>
    <row r="1064" spans="2:29" ht="13.5" customHeight="1">
      <c r="B1064" s="237"/>
      <c r="C1064" s="237"/>
      <c r="D1064" s="255"/>
      <c r="E1064" s="237"/>
      <c r="F1064" s="237"/>
      <c r="G1064" s="255"/>
      <c r="H1064" s="237"/>
      <c r="I1064" s="237"/>
      <c r="J1064" s="237"/>
      <c r="K1064" s="240"/>
      <c r="L1064" s="237"/>
      <c r="M1064" s="237"/>
      <c r="N1064" s="237"/>
      <c r="O1064" s="237"/>
      <c r="P1064" s="237"/>
      <c r="Q1064" s="245"/>
      <c r="R1064" s="237"/>
      <c r="S1064" s="237"/>
      <c r="T1064" s="237"/>
      <c r="U1064" s="237"/>
      <c r="V1064" s="237"/>
      <c r="W1064" s="237"/>
      <c r="X1064" s="237"/>
      <c r="Y1064" s="237"/>
      <c r="Z1064" s="237"/>
      <c r="AA1064" s="237"/>
      <c r="AB1064" s="237"/>
      <c r="AC1064" s="237"/>
    </row>
    <row r="1065" spans="2:29" ht="13.5" customHeight="1">
      <c r="B1065" s="237"/>
      <c r="C1065" s="237"/>
      <c r="D1065" s="255"/>
      <c r="E1065" s="237"/>
      <c r="F1065" s="237"/>
      <c r="G1065" s="255"/>
      <c r="H1065" s="237"/>
      <c r="I1065" s="237"/>
      <c r="J1065" s="237"/>
      <c r="K1065" s="240"/>
      <c r="L1065" s="237"/>
      <c r="M1065" s="237"/>
      <c r="N1065" s="237"/>
      <c r="O1065" s="237"/>
      <c r="P1065" s="237"/>
      <c r="Q1065" s="245"/>
      <c r="R1065" s="237"/>
      <c r="S1065" s="237"/>
      <c r="T1065" s="237"/>
      <c r="U1065" s="237"/>
      <c r="V1065" s="237"/>
      <c r="W1065" s="237"/>
      <c r="X1065" s="237"/>
      <c r="Y1065" s="237"/>
      <c r="Z1065" s="237"/>
      <c r="AA1065" s="237"/>
      <c r="AB1065" s="237"/>
      <c r="AC1065" s="237"/>
    </row>
    <row r="1066" spans="2:29" ht="13.5" customHeight="1">
      <c r="B1066" s="237"/>
      <c r="C1066" s="237"/>
      <c r="D1066" s="255"/>
      <c r="E1066" s="237"/>
      <c r="F1066" s="237"/>
      <c r="G1066" s="255"/>
      <c r="H1066" s="237"/>
      <c r="I1066" s="237"/>
      <c r="J1066" s="237"/>
      <c r="K1066" s="240"/>
      <c r="L1066" s="237"/>
      <c r="M1066" s="237"/>
      <c r="N1066" s="237"/>
      <c r="O1066" s="237"/>
      <c r="P1066" s="237"/>
      <c r="Q1066" s="245"/>
      <c r="R1066" s="237"/>
      <c r="S1066" s="237"/>
      <c r="T1066" s="237"/>
      <c r="U1066" s="237"/>
      <c r="V1066" s="237"/>
      <c r="W1066" s="237"/>
      <c r="X1066" s="237"/>
      <c r="Y1066" s="237"/>
      <c r="Z1066" s="237"/>
      <c r="AA1066" s="237"/>
      <c r="AB1066" s="237"/>
      <c r="AC1066" s="237"/>
    </row>
    <row r="1067" spans="2:29" ht="13.5" customHeight="1">
      <c r="B1067" s="237"/>
      <c r="C1067" s="237"/>
      <c r="D1067" s="255"/>
      <c r="E1067" s="237"/>
      <c r="F1067" s="237"/>
      <c r="G1067" s="255"/>
      <c r="H1067" s="237"/>
      <c r="I1067" s="237"/>
      <c r="J1067" s="237"/>
      <c r="K1067" s="240"/>
      <c r="L1067" s="237"/>
      <c r="M1067" s="237"/>
      <c r="N1067" s="237"/>
      <c r="O1067" s="237"/>
      <c r="P1067" s="237"/>
      <c r="Q1067" s="245"/>
      <c r="R1067" s="237"/>
      <c r="S1067" s="237"/>
      <c r="T1067" s="237"/>
      <c r="U1067" s="237"/>
      <c r="V1067" s="237"/>
      <c r="W1067" s="237"/>
      <c r="X1067" s="237"/>
      <c r="Y1067" s="237"/>
      <c r="Z1067" s="237"/>
      <c r="AA1067" s="237"/>
      <c r="AB1067" s="237"/>
      <c r="AC1067" s="237"/>
    </row>
    <row r="1068" spans="2:29" ht="13.5" customHeight="1">
      <c r="B1068" s="237"/>
      <c r="C1068" s="237"/>
      <c r="D1068" s="255"/>
      <c r="E1068" s="237"/>
      <c r="F1068" s="237"/>
      <c r="G1068" s="255"/>
      <c r="H1068" s="237"/>
      <c r="I1068" s="237"/>
      <c r="J1068" s="237"/>
      <c r="K1068" s="240"/>
      <c r="L1068" s="237"/>
      <c r="M1068" s="237"/>
      <c r="N1068" s="237"/>
      <c r="O1068" s="237"/>
      <c r="P1068" s="237"/>
      <c r="Q1068" s="245"/>
      <c r="R1068" s="237"/>
      <c r="S1068" s="237"/>
      <c r="T1068" s="237"/>
      <c r="U1068" s="237"/>
      <c r="V1068" s="237"/>
      <c r="W1068" s="237"/>
      <c r="X1068" s="237"/>
      <c r="Y1068" s="237"/>
      <c r="Z1068" s="237"/>
      <c r="AA1068" s="237"/>
      <c r="AB1068" s="237"/>
      <c r="AC1068" s="237"/>
    </row>
    <row r="1069" spans="2:29" ht="13.5" customHeight="1">
      <c r="B1069" s="237"/>
      <c r="C1069" s="237"/>
      <c r="D1069" s="255"/>
      <c r="E1069" s="237"/>
      <c r="F1069" s="237"/>
      <c r="G1069" s="255"/>
      <c r="H1069" s="237"/>
      <c r="I1069" s="237"/>
      <c r="J1069" s="237"/>
      <c r="K1069" s="240"/>
      <c r="L1069" s="237"/>
      <c r="M1069" s="237"/>
      <c r="N1069" s="237"/>
      <c r="O1069" s="237"/>
      <c r="P1069" s="237"/>
      <c r="Q1069" s="245"/>
      <c r="R1069" s="237"/>
      <c r="S1069" s="237"/>
      <c r="T1069" s="237"/>
      <c r="U1069" s="237"/>
      <c r="V1069" s="237"/>
      <c r="W1069" s="237"/>
      <c r="X1069" s="237"/>
      <c r="Y1069" s="237"/>
      <c r="Z1069" s="237"/>
      <c r="AA1069" s="237"/>
      <c r="AB1069" s="237"/>
      <c r="AC1069" s="237"/>
    </row>
    <row r="1070" spans="2:29" ht="13.5" customHeight="1">
      <c r="B1070" s="237"/>
      <c r="C1070" s="237"/>
      <c r="D1070" s="255"/>
      <c r="E1070" s="237"/>
      <c r="F1070" s="237"/>
      <c r="G1070" s="255"/>
      <c r="H1070" s="237"/>
      <c r="I1070" s="237"/>
      <c r="J1070" s="237"/>
      <c r="K1070" s="240"/>
      <c r="L1070" s="237"/>
      <c r="M1070" s="237"/>
      <c r="N1070" s="237"/>
      <c r="O1070" s="237"/>
      <c r="P1070" s="237"/>
      <c r="Q1070" s="245"/>
      <c r="R1070" s="237"/>
      <c r="S1070" s="237"/>
      <c r="T1070" s="237"/>
      <c r="U1070" s="237"/>
      <c r="V1070" s="237"/>
      <c r="W1070" s="237"/>
      <c r="X1070" s="237"/>
      <c r="Y1070" s="237"/>
      <c r="Z1070" s="237"/>
      <c r="AA1070" s="237"/>
      <c r="AB1070" s="237"/>
      <c r="AC1070" s="237"/>
    </row>
    <row r="1071" spans="2:29" ht="13.5" customHeight="1">
      <c r="B1071" s="237"/>
      <c r="C1071" s="237"/>
      <c r="D1071" s="255"/>
      <c r="E1071" s="237"/>
      <c r="F1071" s="237"/>
      <c r="G1071" s="255"/>
      <c r="H1071" s="237"/>
      <c r="I1071" s="237"/>
      <c r="J1071" s="237"/>
      <c r="K1071" s="240"/>
      <c r="L1071" s="237"/>
      <c r="M1071" s="237"/>
      <c r="N1071" s="237"/>
      <c r="O1071" s="237"/>
      <c r="P1071" s="237"/>
      <c r="Q1071" s="245"/>
      <c r="R1071" s="237"/>
      <c r="S1071" s="237"/>
      <c r="T1071" s="237"/>
      <c r="U1071" s="237"/>
      <c r="V1071" s="237"/>
      <c r="W1071" s="237"/>
      <c r="X1071" s="237"/>
      <c r="Y1071" s="237"/>
      <c r="Z1071" s="237"/>
      <c r="AA1071" s="237"/>
      <c r="AB1071" s="237"/>
      <c r="AC1071" s="237"/>
    </row>
    <row r="1072" spans="2:29" ht="13.5" customHeight="1">
      <c r="B1072" s="237"/>
      <c r="C1072" s="237"/>
      <c r="D1072" s="255"/>
      <c r="E1072" s="237"/>
      <c r="F1072" s="237"/>
      <c r="G1072" s="255"/>
      <c r="H1072" s="237"/>
      <c r="I1072" s="237"/>
      <c r="J1072" s="237"/>
      <c r="K1072" s="240"/>
      <c r="L1072" s="237"/>
      <c r="M1072" s="237"/>
      <c r="N1072" s="237"/>
      <c r="O1072" s="237"/>
      <c r="P1072" s="237"/>
      <c r="Q1072" s="245"/>
      <c r="R1072" s="237"/>
      <c r="S1072" s="237"/>
      <c r="T1072" s="237"/>
      <c r="U1072" s="237"/>
      <c r="V1072" s="237"/>
      <c r="W1072" s="237"/>
      <c r="X1072" s="237"/>
      <c r="Y1072" s="237"/>
      <c r="Z1072" s="237"/>
      <c r="AA1072" s="237"/>
      <c r="AB1072" s="237"/>
      <c r="AC1072" s="237"/>
    </row>
    <row r="1073" spans="2:29" ht="13.5" customHeight="1">
      <c r="B1073" s="237"/>
      <c r="C1073" s="237"/>
      <c r="D1073" s="255"/>
      <c r="E1073" s="237"/>
      <c r="F1073" s="237"/>
      <c r="G1073" s="255"/>
      <c r="H1073" s="237"/>
      <c r="I1073" s="237"/>
      <c r="J1073" s="237"/>
      <c r="K1073" s="240"/>
      <c r="L1073" s="237"/>
      <c r="M1073" s="237"/>
      <c r="N1073" s="237"/>
      <c r="O1073" s="237"/>
      <c r="P1073" s="237"/>
      <c r="Q1073" s="245"/>
      <c r="R1073" s="237"/>
      <c r="S1073" s="237"/>
      <c r="T1073" s="237"/>
      <c r="U1073" s="237"/>
      <c r="V1073" s="237"/>
      <c r="W1073" s="237"/>
      <c r="X1073" s="237"/>
      <c r="Y1073" s="237"/>
      <c r="Z1073" s="237"/>
      <c r="AA1073" s="237"/>
      <c r="AB1073" s="237"/>
      <c r="AC1073" s="237"/>
    </row>
    <row r="1074" spans="2:29" ht="13.5" customHeight="1">
      <c r="B1074" s="237"/>
      <c r="C1074" s="237"/>
      <c r="D1074" s="255"/>
      <c r="E1074" s="237"/>
      <c r="F1074" s="237"/>
      <c r="G1074" s="255"/>
      <c r="H1074" s="237"/>
      <c r="I1074" s="237"/>
      <c r="J1074" s="237"/>
      <c r="K1074" s="240"/>
      <c r="L1074" s="237"/>
      <c r="M1074" s="237"/>
      <c r="N1074" s="237"/>
      <c r="O1074" s="237"/>
      <c r="P1074" s="237"/>
      <c r="Q1074" s="245"/>
      <c r="R1074" s="237"/>
      <c r="S1074" s="237"/>
      <c r="T1074" s="237"/>
      <c r="U1074" s="237"/>
      <c r="V1074" s="237"/>
      <c r="W1074" s="237"/>
      <c r="X1074" s="237"/>
      <c r="Y1074" s="237"/>
      <c r="Z1074" s="237"/>
      <c r="AA1074" s="237"/>
      <c r="AB1074" s="237"/>
      <c r="AC1074" s="237"/>
    </row>
    <row r="1075" spans="2:29" ht="13.5" customHeight="1">
      <c r="B1075" s="237"/>
      <c r="C1075" s="237"/>
      <c r="D1075" s="255"/>
      <c r="E1075" s="237"/>
      <c r="F1075" s="237"/>
      <c r="G1075" s="255"/>
      <c r="H1075" s="237"/>
      <c r="I1075" s="237"/>
      <c r="J1075" s="237"/>
      <c r="K1075" s="240"/>
      <c r="L1075" s="237"/>
      <c r="M1075" s="237"/>
      <c r="N1075" s="237"/>
      <c r="O1075" s="237"/>
      <c r="P1075" s="237"/>
      <c r="Q1075" s="245"/>
      <c r="R1075" s="237"/>
      <c r="S1075" s="237"/>
      <c r="T1075" s="237"/>
      <c r="U1075" s="237"/>
      <c r="V1075" s="237"/>
      <c r="W1075" s="237"/>
      <c r="X1075" s="237"/>
      <c r="Y1075" s="237"/>
      <c r="Z1075" s="237"/>
      <c r="AA1075" s="237"/>
      <c r="AB1075" s="237"/>
      <c r="AC1075" s="237"/>
    </row>
    <row r="1076" spans="2:29" ht="13.5" customHeight="1">
      <c r="B1076" s="237"/>
      <c r="C1076" s="237"/>
      <c r="D1076" s="255"/>
      <c r="E1076" s="237"/>
      <c r="F1076" s="237"/>
      <c r="G1076" s="255"/>
      <c r="H1076" s="237"/>
      <c r="I1076" s="237"/>
      <c r="J1076" s="237"/>
      <c r="K1076" s="240"/>
      <c r="L1076" s="237"/>
      <c r="M1076" s="237"/>
      <c r="N1076" s="237"/>
      <c r="O1076" s="237"/>
      <c r="P1076" s="237"/>
      <c r="Q1076" s="245"/>
      <c r="R1076" s="237"/>
      <c r="S1076" s="237"/>
      <c r="T1076" s="237"/>
      <c r="U1076" s="237"/>
      <c r="V1076" s="237"/>
      <c r="W1076" s="237"/>
      <c r="X1076" s="237"/>
      <c r="Y1076" s="237"/>
      <c r="Z1076" s="237"/>
      <c r="AA1076" s="237"/>
      <c r="AB1076" s="237"/>
      <c r="AC1076" s="237"/>
    </row>
    <row r="1077" spans="2:29" ht="13.5" customHeight="1">
      <c r="B1077" s="237"/>
      <c r="C1077" s="237"/>
      <c r="D1077" s="255"/>
      <c r="E1077" s="237"/>
      <c r="F1077" s="237"/>
      <c r="G1077" s="255"/>
      <c r="H1077" s="237"/>
      <c r="I1077" s="237"/>
      <c r="J1077" s="237"/>
      <c r="K1077" s="240"/>
      <c r="L1077" s="237"/>
      <c r="M1077" s="237"/>
      <c r="N1077" s="237"/>
      <c r="O1077" s="237"/>
      <c r="P1077" s="237"/>
      <c r="Q1077" s="245"/>
      <c r="R1077" s="237"/>
      <c r="S1077" s="237"/>
      <c r="T1077" s="237"/>
      <c r="U1077" s="237"/>
      <c r="V1077" s="237"/>
      <c r="W1077" s="237"/>
      <c r="X1077" s="237"/>
      <c r="Y1077" s="237"/>
      <c r="Z1077" s="237"/>
      <c r="AA1077" s="237"/>
      <c r="AB1077" s="237"/>
      <c r="AC1077" s="237"/>
    </row>
    <row r="1078" spans="2:29" ht="13.5" customHeight="1">
      <c r="B1078" s="237"/>
      <c r="C1078" s="237"/>
      <c r="D1078" s="255"/>
      <c r="E1078" s="237"/>
      <c r="F1078" s="237"/>
      <c r="G1078" s="255"/>
      <c r="H1078" s="237"/>
      <c r="I1078" s="237"/>
      <c r="J1078" s="237"/>
      <c r="K1078" s="240"/>
      <c r="L1078" s="237"/>
      <c r="M1078" s="237"/>
      <c r="N1078" s="237"/>
      <c r="O1078" s="237"/>
      <c r="P1078" s="237"/>
      <c r="Q1078" s="245"/>
      <c r="R1078" s="237"/>
      <c r="S1078" s="237"/>
      <c r="T1078" s="237"/>
      <c r="U1078" s="237"/>
      <c r="V1078" s="237"/>
      <c r="W1078" s="237"/>
      <c r="X1078" s="237"/>
      <c r="Y1078" s="237"/>
      <c r="Z1078" s="237"/>
      <c r="AA1078" s="237"/>
      <c r="AB1078" s="237"/>
      <c r="AC1078" s="237"/>
    </row>
    <row r="1079" spans="2:29" ht="13.5" customHeight="1">
      <c r="B1079" s="237"/>
      <c r="C1079" s="237"/>
      <c r="D1079" s="255"/>
      <c r="E1079" s="237"/>
      <c r="F1079" s="237"/>
      <c r="G1079" s="255"/>
      <c r="H1079" s="237"/>
      <c r="I1079" s="237"/>
      <c r="J1079" s="237"/>
      <c r="K1079" s="240"/>
      <c r="L1079" s="237"/>
      <c r="M1079" s="237"/>
      <c r="N1079" s="237"/>
      <c r="O1079" s="237"/>
      <c r="P1079" s="237"/>
      <c r="Q1079" s="245"/>
      <c r="R1079" s="237"/>
      <c r="S1079" s="237"/>
      <c r="T1079" s="237"/>
      <c r="U1079" s="237"/>
      <c r="V1079" s="237"/>
      <c r="W1079" s="237"/>
      <c r="X1079" s="237"/>
      <c r="Y1079" s="237"/>
      <c r="Z1079" s="237"/>
      <c r="AA1079" s="237"/>
      <c r="AB1079" s="237"/>
      <c r="AC1079" s="237"/>
    </row>
    <row r="1080" spans="2:29" ht="13.5" customHeight="1">
      <c r="B1080" s="237"/>
      <c r="C1080" s="237"/>
      <c r="D1080" s="255"/>
      <c r="E1080" s="237"/>
      <c r="F1080" s="237"/>
      <c r="G1080" s="255"/>
      <c r="H1080" s="237"/>
      <c r="I1080" s="237"/>
      <c r="J1080" s="237"/>
      <c r="K1080" s="240"/>
      <c r="L1080" s="237"/>
      <c r="M1080" s="237"/>
      <c r="N1080" s="237"/>
      <c r="O1080" s="237"/>
      <c r="P1080" s="237"/>
      <c r="Q1080" s="245"/>
      <c r="R1080" s="237"/>
      <c r="S1080" s="237"/>
      <c r="T1080" s="237"/>
      <c r="U1080" s="237"/>
      <c r="V1080" s="237"/>
      <c r="W1080" s="237"/>
      <c r="X1080" s="237"/>
      <c r="Y1080" s="237"/>
      <c r="Z1080" s="237"/>
      <c r="AA1080" s="237"/>
      <c r="AB1080" s="237"/>
      <c r="AC1080" s="237"/>
    </row>
    <row r="1081" spans="2:29" ht="13.5" customHeight="1">
      <c r="B1081" s="237"/>
      <c r="C1081" s="237"/>
      <c r="D1081" s="255"/>
      <c r="E1081" s="237"/>
      <c r="F1081" s="237"/>
      <c r="G1081" s="255"/>
      <c r="H1081" s="237"/>
      <c r="I1081" s="237"/>
      <c r="J1081" s="237"/>
      <c r="K1081" s="240"/>
      <c r="L1081" s="237"/>
      <c r="M1081" s="237"/>
      <c r="N1081" s="237"/>
      <c r="O1081" s="237"/>
      <c r="P1081" s="237"/>
      <c r="Q1081" s="245"/>
      <c r="R1081" s="237"/>
      <c r="S1081" s="237"/>
      <c r="T1081" s="237"/>
      <c r="U1081" s="237"/>
      <c r="V1081" s="237"/>
      <c r="W1081" s="237"/>
      <c r="X1081" s="237"/>
      <c r="Y1081" s="237"/>
      <c r="Z1081" s="237"/>
      <c r="AA1081" s="237"/>
      <c r="AB1081" s="237"/>
      <c r="AC1081" s="237"/>
    </row>
    <row r="1082" spans="2:29" ht="13.5" customHeight="1">
      <c r="B1082" s="237"/>
      <c r="C1082" s="237"/>
      <c r="D1082" s="255"/>
      <c r="E1082" s="237"/>
      <c r="F1082" s="237"/>
      <c r="G1082" s="255"/>
      <c r="H1082" s="237"/>
      <c r="I1082" s="237"/>
      <c r="J1082" s="237"/>
      <c r="K1082" s="240"/>
      <c r="L1082" s="237"/>
      <c r="M1082" s="237"/>
      <c r="N1082" s="237"/>
      <c r="O1082" s="237"/>
      <c r="P1082" s="237"/>
      <c r="Q1082" s="245"/>
      <c r="R1082" s="237"/>
      <c r="S1082" s="237"/>
      <c r="T1082" s="237"/>
      <c r="U1082" s="237"/>
      <c r="V1082" s="237"/>
      <c r="W1082" s="237"/>
      <c r="X1082" s="237"/>
      <c r="Y1082" s="237"/>
      <c r="Z1082" s="237"/>
      <c r="AA1082" s="237"/>
      <c r="AB1082" s="237"/>
      <c r="AC1082" s="237"/>
    </row>
    <row r="1083" spans="2:29" ht="13.5" customHeight="1">
      <c r="B1083" s="237"/>
      <c r="C1083" s="237"/>
      <c r="D1083" s="255"/>
      <c r="E1083" s="237"/>
      <c r="F1083" s="237"/>
      <c r="G1083" s="255"/>
      <c r="H1083" s="237"/>
      <c r="I1083" s="237"/>
      <c r="J1083" s="237"/>
      <c r="K1083" s="240"/>
      <c r="L1083" s="560" t="s">
        <v>21</v>
      </c>
      <c r="M1083" s="237"/>
      <c r="N1083" s="237"/>
      <c r="O1083" s="237"/>
      <c r="P1083" s="237"/>
      <c r="Q1083" s="245"/>
      <c r="R1083" s="237"/>
      <c r="S1083" s="237"/>
      <c r="T1083" s="237"/>
      <c r="U1083" s="237"/>
      <c r="V1083" s="237"/>
      <c r="W1083" s="237"/>
      <c r="X1083" s="237"/>
      <c r="Y1083" s="237"/>
      <c r="Z1083" s="237"/>
      <c r="AA1083" s="237"/>
      <c r="AB1083" s="237"/>
      <c r="AC1083" s="237"/>
    </row>
    <row r="1084" spans="2:29" ht="13.5" customHeight="1">
      <c r="B1084" s="237"/>
      <c r="C1084" s="237"/>
      <c r="D1084" s="255"/>
      <c r="E1084" s="237"/>
      <c r="F1084" s="237"/>
      <c r="G1084" s="255"/>
      <c r="H1084" s="237"/>
      <c r="I1084" s="237"/>
      <c r="J1084" s="237"/>
      <c r="K1084" s="240"/>
      <c r="L1084" s="72" t="s">
        <v>54</v>
      </c>
      <c r="M1084" s="237"/>
      <c r="N1084" s="237"/>
      <c r="O1084" s="237"/>
      <c r="P1084" s="237"/>
      <c r="Q1084" s="245"/>
      <c r="R1084" s="237"/>
      <c r="S1084" s="237"/>
      <c r="T1084" s="237"/>
      <c r="U1084" s="237"/>
      <c r="V1084" s="237"/>
      <c r="W1084" s="237"/>
      <c r="X1084" s="237"/>
      <c r="Y1084" s="237"/>
      <c r="Z1084" s="237"/>
      <c r="AA1084" s="237"/>
      <c r="AB1084" s="237"/>
      <c r="AC1084" s="237"/>
    </row>
    <row r="1085" spans="2:29" ht="13.5" customHeight="1">
      <c r="B1085" s="237"/>
      <c r="C1085" s="237"/>
      <c r="D1085" s="255"/>
      <c r="E1085" s="237"/>
      <c r="F1085" s="237"/>
      <c r="G1085" s="255"/>
      <c r="H1085" s="237"/>
      <c r="I1085" s="237"/>
      <c r="J1085" s="237"/>
      <c r="K1085" s="240"/>
      <c r="L1085" s="72" t="s">
        <v>21</v>
      </c>
      <c r="M1085" s="237"/>
      <c r="N1085" s="237"/>
      <c r="O1085" s="237"/>
      <c r="P1085" s="237"/>
      <c r="Q1085" s="245"/>
      <c r="R1085" s="237"/>
      <c r="S1085" s="237"/>
      <c r="T1085" s="237"/>
      <c r="U1085" s="237"/>
      <c r="V1085" s="237"/>
      <c r="W1085" s="237"/>
      <c r="X1085" s="237"/>
      <c r="Y1085" s="237"/>
      <c r="Z1085" s="237"/>
      <c r="AA1085" s="237"/>
      <c r="AB1085" s="237"/>
      <c r="AC1085" s="237"/>
    </row>
    <row r="1086" spans="2:29" ht="13.5" customHeight="1">
      <c r="B1086" s="237"/>
      <c r="C1086" s="237"/>
      <c r="D1086" s="255"/>
      <c r="E1086" s="237"/>
      <c r="F1086" s="237"/>
      <c r="G1086" s="255"/>
      <c r="H1086" s="237"/>
      <c r="I1086" s="237"/>
      <c r="J1086" s="237"/>
      <c r="K1086" s="240"/>
      <c r="L1086" s="16" t="s">
        <v>45</v>
      </c>
      <c r="M1086" s="237"/>
      <c r="N1086" s="237"/>
      <c r="O1086" s="237"/>
      <c r="P1086" s="237"/>
      <c r="Q1086" s="245"/>
      <c r="R1086" s="237"/>
      <c r="S1086" s="237"/>
      <c r="T1086" s="237"/>
      <c r="U1086" s="237"/>
      <c r="V1086" s="237"/>
      <c r="W1086" s="237"/>
      <c r="X1086" s="237"/>
      <c r="Y1086" s="237"/>
      <c r="Z1086" s="237"/>
      <c r="AA1086" s="237"/>
      <c r="AB1086" s="237"/>
      <c r="AC1086" s="237"/>
    </row>
    <row r="1087" spans="2:29" ht="13.5" customHeight="1">
      <c r="B1087" s="237"/>
      <c r="C1087" s="237"/>
      <c r="D1087" s="255"/>
      <c r="E1087" s="237"/>
      <c r="F1087" s="237"/>
      <c r="G1087" s="255"/>
      <c r="H1087" s="237"/>
      <c r="I1087" s="237"/>
      <c r="J1087" s="237"/>
      <c r="K1087" s="240"/>
      <c r="L1087" s="72" t="s">
        <v>65</v>
      </c>
      <c r="M1087" s="237"/>
      <c r="N1087" s="237"/>
      <c r="O1087" s="237"/>
      <c r="P1087" s="237"/>
      <c r="Q1087" s="245"/>
      <c r="R1087" s="237"/>
      <c r="S1087" s="237"/>
      <c r="T1087" s="237"/>
      <c r="U1087" s="237"/>
      <c r="V1087" s="237"/>
      <c r="W1087" s="237"/>
      <c r="X1087" s="237"/>
      <c r="Y1087" s="237"/>
      <c r="Z1087" s="237"/>
      <c r="AA1087" s="237"/>
      <c r="AB1087" s="328"/>
      <c r="AC1087" s="328"/>
    </row>
    <row r="1088" spans="2:29" ht="13.5" customHeight="1">
      <c r="B1088" s="339"/>
      <c r="C1088" s="237"/>
      <c r="D1088" s="263"/>
      <c r="E1088" s="237"/>
      <c r="F1088" s="237"/>
      <c r="G1088" s="255"/>
      <c r="H1088" s="237"/>
      <c r="I1088" s="237"/>
      <c r="J1088" s="237"/>
      <c r="K1088" s="240"/>
      <c r="L1088" s="289" t="s">
        <v>93</v>
      </c>
      <c r="M1088" s="237"/>
      <c r="N1088" s="237"/>
      <c r="O1088" s="237"/>
      <c r="P1088" s="237"/>
      <c r="Q1088" s="245" t="e">
        <f>VLOOKUP(Exome[[#This Row],[SID]],#REF!,2,FALSE)</f>
        <v>#REF!</v>
      </c>
      <c r="R1088" s="237"/>
      <c r="S1088" s="237"/>
      <c r="T1088" s="237"/>
      <c r="U1088" s="237"/>
      <c r="V1088" s="237"/>
      <c r="W1088" s="237"/>
      <c r="X1088" s="237"/>
      <c r="Y1088" s="237"/>
      <c r="Z1088" s="237" t="e">
        <f>VLOOKUP(Exome[[#This Row],[SID]],#REF!,2,FALSE)</f>
        <v>#REF!</v>
      </c>
      <c r="AA1088" s="337" t="e">
        <f>VLOOKUP(Exome[[#This Row],[SID]],#REF!,2,FALSE)</f>
        <v>#REF!</v>
      </c>
      <c r="AB1088" s="237"/>
      <c r="AC1088" s="237"/>
    </row>
    <row r="1089" spans="2:29" ht="13.5" customHeight="1">
      <c r="B1089" s="339"/>
      <c r="C1089" s="237"/>
      <c r="D1089" s="263"/>
      <c r="E1089" s="237"/>
      <c r="F1089" s="237"/>
      <c r="G1089" s="255"/>
      <c r="H1089" s="237"/>
      <c r="I1089" s="237"/>
      <c r="J1089" s="237"/>
      <c r="K1089" s="240"/>
      <c r="L1089" s="72" t="s">
        <v>21</v>
      </c>
      <c r="M1089" s="237"/>
      <c r="N1089" s="237"/>
      <c r="O1089" s="237"/>
      <c r="P1089" s="237"/>
      <c r="Q1089" s="245" t="e">
        <f>VLOOKUP(Exome[[#This Row],[SID]],#REF!,2,FALSE)</f>
        <v>#REF!</v>
      </c>
      <c r="R1089" s="237"/>
      <c r="S1089" s="237"/>
      <c r="T1089" s="237"/>
      <c r="U1089" s="237"/>
      <c r="V1089" s="237"/>
      <c r="W1089" s="237"/>
      <c r="X1089" s="237"/>
      <c r="Y1089" s="237"/>
      <c r="Z1089" s="237" t="e">
        <f>VLOOKUP(Exome[[#This Row],[SID]],#REF!,2,FALSE)</f>
        <v>#REF!</v>
      </c>
      <c r="AA1089" s="337" t="e">
        <f>VLOOKUP(Exome[[#This Row],[SID]],#REF!,2,FALSE)</f>
        <v>#REF!</v>
      </c>
      <c r="AB1089" s="237"/>
      <c r="AC1089" s="237"/>
    </row>
    <row r="1090" spans="2:29" ht="13.5" customHeight="1">
      <c r="B1090" s="339"/>
      <c r="C1090" s="237"/>
      <c r="D1090" s="263"/>
      <c r="E1090" s="237"/>
      <c r="F1090" s="237"/>
      <c r="G1090" s="255"/>
      <c r="H1090" s="237"/>
      <c r="I1090" s="237"/>
      <c r="J1090" s="237"/>
      <c r="K1090" s="240"/>
      <c r="L1090" s="72" t="s">
        <v>65</v>
      </c>
      <c r="M1090" s="237"/>
      <c r="N1090" s="237"/>
      <c r="O1090" s="237"/>
      <c r="P1090" s="237"/>
      <c r="Q1090" s="245" t="e">
        <f>VLOOKUP(Exome[[#This Row],[SID]],#REF!,2,FALSE)</f>
        <v>#REF!</v>
      </c>
      <c r="R1090" s="237"/>
      <c r="S1090" s="237"/>
      <c r="T1090" s="237"/>
      <c r="U1090" s="237"/>
      <c r="V1090" s="237"/>
      <c r="W1090" s="237"/>
      <c r="X1090" s="237"/>
      <c r="Y1090" s="237"/>
      <c r="Z1090" s="237" t="e">
        <f>VLOOKUP(Exome[[#This Row],[SID]],#REF!,2,FALSE)</f>
        <v>#REF!</v>
      </c>
      <c r="AA1090" s="337" t="e">
        <f>VLOOKUP(Exome[[#This Row],[SID]],#REF!,2,FALSE)</f>
        <v>#REF!</v>
      </c>
      <c r="AB1090" s="237"/>
      <c r="AC1090" s="237"/>
    </row>
    <row r="1091" spans="2:29" ht="13.5" customHeight="1">
      <c r="B1091" s="339"/>
      <c r="C1091" s="237"/>
      <c r="D1091" s="263"/>
      <c r="E1091" s="237"/>
      <c r="F1091" s="237"/>
      <c r="G1091" s="255"/>
      <c r="H1091" s="237"/>
      <c r="I1091" s="237"/>
      <c r="J1091" s="237"/>
      <c r="K1091" s="240"/>
      <c r="L1091" s="317" t="s">
        <v>21</v>
      </c>
      <c r="M1091" s="237"/>
      <c r="N1091" s="237"/>
      <c r="O1091" s="237"/>
      <c r="P1091" s="237"/>
      <c r="Q1091" s="245" t="e">
        <f>VLOOKUP(Exome[[#This Row],[SID]],#REF!,2,FALSE)</f>
        <v>#REF!</v>
      </c>
      <c r="R1091" s="237"/>
      <c r="S1091" s="237"/>
      <c r="T1091" s="237"/>
      <c r="U1091" s="237"/>
      <c r="V1091" s="237"/>
      <c r="W1091" s="237"/>
      <c r="X1091" s="237"/>
      <c r="Y1091" s="237"/>
      <c r="Z1091" s="237" t="e">
        <f>VLOOKUP(Exome[[#This Row],[SID]],#REF!,2,FALSE)</f>
        <v>#REF!</v>
      </c>
      <c r="AA1091" s="337" t="e">
        <f>VLOOKUP(Exome[[#This Row],[SID]],#REF!,2,FALSE)</f>
        <v>#REF!</v>
      </c>
      <c r="AB1091" s="237"/>
      <c r="AC1091" s="237"/>
    </row>
    <row r="1092" spans="2:29" ht="13.5" customHeight="1">
      <c r="B1092" s="339"/>
      <c r="C1092" s="237"/>
      <c r="D1092" s="263"/>
      <c r="E1092" s="237"/>
      <c r="F1092" s="237"/>
      <c r="G1092" s="255"/>
      <c r="H1092" s="237"/>
      <c r="I1092" s="237"/>
      <c r="J1092" s="237"/>
      <c r="K1092" s="240"/>
      <c r="L1092" s="72" t="s">
        <v>21</v>
      </c>
      <c r="M1092" s="237"/>
      <c r="N1092" s="237"/>
      <c r="O1092" s="237"/>
      <c r="P1092" s="237"/>
      <c r="Q1092" s="245" t="e">
        <f>VLOOKUP(Exome[[#This Row],[SID]],#REF!,2,FALSE)</f>
        <v>#REF!</v>
      </c>
      <c r="R1092" s="237"/>
      <c r="S1092" s="237"/>
      <c r="T1092" s="237"/>
      <c r="U1092" s="237"/>
      <c r="V1092" s="237"/>
      <c r="W1092" s="237"/>
      <c r="X1092" s="237"/>
      <c r="Y1092" s="237"/>
      <c r="Z1092" s="237" t="e">
        <f>VLOOKUP(Exome[[#This Row],[SID]],#REF!,2,FALSE)</f>
        <v>#REF!</v>
      </c>
      <c r="AA1092" s="337" t="e">
        <f>VLOOKUP(Exome[[#This Row],[SID]],#REF!,2,FALSE)</f>
        <v>#REF!</v>
      </c>
      <c r="AB1092" s="237"/>
      <c r="AC1092" s="237"/>
    </row>
    <row r="1093" spans="2:29" ht="13.5" customHeight="1">
      <c r="B1093" s="339"/>
      <c r="C1093" s="237"/>
      <c r="D1093" s="263"/>
      <c r="E1093" s="237"/>
      <c r="F1093" s="237"/>
      <c r="G1093" s="255"/>
      <c r="H1093" s="237"/>
      <c r="I1093" s="237"/>
      <c r="J1093" s="237"/>
      <c r="K1093" s="240"/>
      <c r="L1093" s="72" t="s">
        <v>19</v>
      </c>
      <c r="M1093" s="237"/>
      <c r="N1093" s="237"/>
      <c r="O1093" s="237"/>
      <c r="P1093" s="237"/>
      <c r="Q1093" s="245" t="e">
        <f>VLOOKUP(Exome[[#This Row],[SID]],#REF!,2,FALSE)</f>
        <v>#REF!</v>
      </c>
      <c r="R1093" s="237"/>
      <c r="S1093" s="237"/>
      <c r="T1093" s="237"/>
      <c r="U1093" s="237"/>
      <c r="V1093" s="237"/>
      <c r="W1093" s="237"/>
      <c r="X1093" s="237"/>
      <c r="Y1093" s="237"/>
      <c r="Z1093" s="237" t="e">
        <f>VLOOKUP(Exome[[#This Row],[SID]],#REF!,2,FALSE)</f>
        <v>#REF!</v>
      </c>
      <c r="AA1093" s="337" t="e">
        <f>VLOOKUP(Exome[[#This Row],[SID]],#REF!,2,FALSE)</f>
        <v>#REF!</v>
      </c>
      <c r="AB1093" s="237"/>
      <c r="AC1093" s="237"/>
    </row>
    <row r="1094" spans="2:29" ht="13.5" customHeight="1">
      <c r="B1094" s="339"/>
      <c r="C1094" s="237"/>
      <c r="D1094" s="263"/>
      <c r="E1094" s="237"/>
      <c r="F1094" s="237"/>
      <c r="G1094" s="255"/>
      <c r="H1094" s="237"/>
      <c r="I1094" s="237"/>
      <c r="J1094" s="237"/>
      <c r="K1094" s="240"/>
      <c r="L1094" s="72" t="s">
        <v>21</v>
      </c>
      <c r="M1094" s="237"/>
      <c r="N1094" s="237"/>
      <c r="O1094" s="237"/>
      <c r="P1094" s="237"/>
      <c r="Q1094" s="245" t="e">
        <f>VLOOKUP(Exome[[#This Row],[SID]],#REF!,2,FALSE)</f>
        <v>#REF!</v>
      </c>
      <c r="R1094" s="237"/>
      <c r="S1094" s="237"/>
      <c r="T1094" s="237"/>
      <c r="U1094" s="237"/>
      <c r="V1094" s="237"/>
      <c r="W1094" s="237"/>
      <c r="X1094" s="237"/>
      <c r="Y1094" s="237"/>
      <c r="Z1094" s="237" t="e">
        <f>VLOOKUP(Exome[[#This Row],[SID]],#REF!,2,FALSE)</f>
        <v>#REF!</v>
      </c>
      <c r="AA1094" s="337" t="e">
        <f>VLOOKUP(Exome[[#This Row],[SID]],#REF!,2,FALSE)</f>
        <v>#REF!</v>
      </c>
      <c r="AB1094" s="237"/>
      <c r="AC1094" s="237"/>
    </row>
    <row r="1095" spans="2:29" ht="13.5" customHeight="1">
      <c r="B1095" s="339"/>
      <c r="C1095" s="237"/>
      <c r="D1095" s="263"/>
      <c r="E1095" s="237"/>
      <c r="F1095" s="237"/>
      <c r="G1095" s="255"/>
      <c r="H1095" s="237"/>
      <c r="I1095" s="237"/>
      <c r="J1095" s="237"/>
      <c r="K1095" s="240"/>
      <c r="L1095" s="72" t="s">
        <v>45</v>
      </c>
      <c r="M1095" s="237"/>
      <c r="N1095" s="237"/>
      <c r="O1095" s="237"/>
      <c r="P1095" s="237"/>
      <c r="Q1095" s="245" t="e">
        <f>VLOOKUP(Exome[[#This Row],[SID]],#REF!,2,FALSE)</f>
        <v>#REF!</v>
      </c>
      <c r="R1095" s="237"/>
      <c r="S1095" s="237"/>
      <c r="T1095" s="237"/>
      <c r="U1095" s="237"/>
      <c r="V1095" s="237"/>
      <c r="W1095" s="237"/>
      <c r="X1095" s="237"/>
      <c r="Y1095" s="237"/>
      <c r="Z1095" s="237" t="e">
        <f>VLOOKUP(Exome[[#This Row],[SID]],#REF!,2,FALSE)</f>
        <v>#REF!</v>
      </c>
      <c r="AA1095" s="337" t="e">
        <f>VLOOKUP(Exome[[#This Row],[SID]],#REF!,2,FALSE)</f>
        <v>#REF!</v>
      </c>
      <c r="AB1095" s="237"/>
      <c r="AC1095" s="237"/>
    </row>
    <row r="1096" spans="2:29" ht="13.5" customHeight="1">
      <c r="B1096" s="339"/>
      <c r="C1096" s="237"/>
      <c r="D1096" s="263"/>
      <c r="E1096" s="237"/>
      <c r="F1096" s="237"/>
      <c r="G1096" s="255"/>
      <c r="H1096" s="237"/>
      <c r="I1096" s="237"/>
      <c r="J1096" s="237"/>
      <c r="K1096" s="240"/>
      <c r="L1096" s="72" t="s">
        <v>41</v>
      </c>
      <c r="M1096" s="237"/>
      <c r="N1096" s="237"/>
      <c r="O1096" s="237"/>
      <c r="P1096" s="237"/>
      <c r="Q1096" s="245" t="e">
        <f>VLOOKUP(Exome[[#This Row],[SID]],#REF!,2,FALSE)</f>
        <v>#REF!</v>
      </c>
      <c r="R1096" s="237"/>
      <c r="S1096" s="237"/>
      <c r="T1096" s="237"/>
      <c r="U1096" s="237"/>
      <c r="V1096" s="237"/>
      <c r="W1096" s="237"/>
      <c r="X1096" s="237"/>
      <c r="Y1096" s="237"/>
      <c r="Z1096" s="237" t="e">
        <f>VLOOKUP(Exome[[#This Row],[SID]],#REF!,2,FALSE)</f>
        <v>#REF!</v>
      </c>
      <c r="AA1096" s="337" t="e">
        <f>VLOOKUP(Exome[[#This Row],[SID]],#REF!,2,FALSE)</f>
        <v>#REF!</v>
      </c>
      <c r="AB1096" s="237"/>
      <c r="AC1096" s="237"/>
    </row>
    <row r="1097" spans="2:29" ht="13.5" customHeight="1">
      <c r="B1097" s="339"/>
      <c r="C1097" s="237"/>
      <c r="D1097" s="263"/>
      <c r="E1097" s="237"/>
      <c r="F1097" s="237"/>
      <c r="G1097" s="255"/>
      <c r="H1097" s="237"/>
      <c r="I1097" s="237"/>
      <c r="J1097" s="237"/>
      <c r="K1097" s="240"/>
      <c r="L1097" s="72" t="s">
        <v>16</v>
      </c>
      <c r="M1097" s="237"/>
      <c r="N1097" s="237"/>
      <c r="O1097" s="237"/>
      <c r="P1097" s="237"/>
      <c r="Q1097" s="245" t="e">
        <f>VLOOKUP(Exome[[#This Row],[SID]],#REF!,2,FALSE)</f>
        <v>#REF!</v>
      </c>
      <c r="R1097" s="237"/>
      <c r="S1097" s="237"/>
      <c r="T1097" s="237"/>
      <c r="U1097" s="237"/>
      <c r="V1097" s="237"/>
      <c r="W1097" s="237"/>
      <c r="X1097" s="237"/>
      <c r="Y1097" s="237"/>
      <c r="Z1097" s="237" t="e">
        <f>VLOOKUP(Exome[[#This Row],[SID]],#REF!,2,FALSE)</f>
        <v>#REF!</v>
      </c>
      <c r="AA1097" s="337" t="e">
        <f>VLOOKUP(Exome[[#This Row],[SID]],#REF!,2,FALSE)</f>
        <v>#REF!</v>
      </c>
      <c r="AB1097" s="237"/>
      <c r="AC1097" s="237"/>
    </row>
    <row r="1098" spans="2:29" ht="13.5" customHeight="1">
      <c r="B1098" s="339"/>
      <c r="C1098" s="237"/>
      <c r="D1098" s="263"/>
      <c r="E1098" s="237"/>
      <c r="F1098" s="237"/>
      <c r="G1098" s="255"/>
      <c r="H1098" s="237"/>
      <c r="I1098" s="237"/>
      <c r="J1098" s="237"/>
      <c r="K1098" s="240"/>
      <c r="L1098" s="72" t="s">
        <v>13</v>
      </c>
      <c r="M1098" s="237"/>
      <c r="N1098" s="237"/>
      <c r="O1098" s="237"/>
      <c r="P1098" s="237"/>
      <c r="Q1098" s="245" t="e">
        <f>VLOOKUP(Exome[[#This Row],[SID]],#REF!,2,FALSE)</f>
        <v>#REF!</v>
      </c>
      <c r="R1098" s="237"/>
      <c r="S1098" s="237"/>
      <c r="T1098" s="237"/>
      <c r="U1098" s="237"/>
      <c r="V1098" s="237"/>
      <c r="W1098" s="237"/>
      <c r="X1098" s="237"/>
      <c r="Y1098" s="237"/>
      <c r="Z1098" s="237" t="e">
        <f>VLOOKUP(Exome[[#This Row],[SID]],#REF!,2,FALSE)</f>
        <v>#REF!</v>
      </c>
      <c r="AA1098" s="337" t="e">
        <f>VLOOKUP(Exome[[#This Row],[SID]],#REF!,2,FALSE)</f>
        <v>#REF!</v>
      </c>
      <c r="AB1098" s="237"/>
      <c r="AC1098" s="237"/>
    </row>
    <row r="1099" spans="2:29" ht="13.5" customHeight="1">
      <c r="B1099" s="339"/>
      <c r="C1099" s="237"/>
      <c r="D1099" s="263"/>
      <c r="E1099" s="237"/>
      <c r="F1099" s="237"/>
      <c r="G1099" s="255"/>
      <c r="H1099" s="237"/>
      <c r="I1099" s="237"/>
      <c r="J1099" s="237"/>
      <c r="K1099" s="240"/>
      <c r="L1099" s="72" t="s">
        <v>21</v>
      </c>
      <c r="M1099" s="237"/>
      <c r="N1099" s="237"/>
      <c r="O1099" s="237"/>
      <c r="P1099" s="237"/>
      <c r="Q1099" s="245" t="e">
        <f>VLOOKUP(Exome[[#This Row],[SID]],#REF!,2,FALSE)</f>
        <v>#REF!</v>
      </c>
      <c r="R1099" s="237"/>
      <c r="S1099" s="237"/>
      <c r="T1099" s="237"/>
      <c r="U1099" s="237"/>
      <c r="V1099" s="237"/>
      <c r="W1099" s="237"/>
      <c r="X1099" s="237"/>
      <c r="Y1099" s="237"/>
      <c r="Z1099" s="237" t="e">
        <f>VLOOKUP(Exome[[#This Row],[SID]],#REF!,2,FALSE)</f>
        <v>#REF!</v>
      </c>
      <c r="AA1099" s="337" t="e">
        <f>VLOOKUP(Exome[[#This Row],[SID]],#REF!,2,FALSE)</f>
        <v>#REF!</v>
      </c>
      <c r="AB1099" s="237"/>
      <c r="AC1099" s="237"/>
    </row>
    <row r="1100" spans="2:29" ht="13.5" customHeight="1">
      <c r="B1100" s="339"/>
      <c r="C1100" s="237"/>
      <c r="D1100" s="263"/>
      <c r="E1100" s="237"/>
      <c r="F1100" s="237"/>
      <c r="G1100" s="255"/>
      <c r="H1100" s="237"/>
      <c r="I1100" s="237"/>
      <c r="J1100" s="237"/>
      <c r="K1100" s="240"/>
      <c r="L1100" s="243" t="s">
        <v>55</v>
      </c>
      <c r="M1100" s="237"/>
      <c r="N1100" s="237"/>
      <c r="O1100" s="237"/>
      <c r="P1100" s="237"/>
      <c r="Q1100" s="245" t="e">
        <f>VLOOKUP(Exome[[#This Row],[SID]],#REF!,2,FALSE)</f>
        <v>#REF!</v>
      </c>
      <c r="R1100" s="237"/>
      <c r="S1100" s="237"/>
      <c r="T1100" s="237"/>
      <c r="U1100" s="237"/>
      <c r="V1100" s="237"/>
      <c r="W1100" s="237"/>
      <c r="X1100" s="237"/>
      <c r="Y1100" s="237"/>
      <c r="Z1100" s="237" t="e">
        <f>VLOOKUP(Exome[[#This Row],[SID]],#REF!,2,FALSE)</f>
        <v>#REF!</v>
      </c>
      <c r="AA1100" s="337" t="e">
        <f>VLOOKUP(Exome[[#This Row],[SID]],#REF!,2,FALSE)</f>
        <v>#REF!</v>
      </c>
      <c r="AB1100" s="237"/>
      <c r="AC1100" s="237"/>
    </row>
    <row r="1101" spans="2:29" ht="13.5" customHeight="1">
      <c r="B1101" s="339"/>
      <c r="C1101" s="237"/>
      <c r="D1101" s="263"/>
      <c r="E1101" s="237"/>
      <c r="F1101" s="237"/>
      <c r="G1101" s="255"/>
      <c r="H1101" s="237"/>
      <c r="I1101" s="237"/>
      <c r="J1101" s="237"/>
      <c r="K1101" s="240"/>
      <c r="L1101" s="72" t="s">
        <v>13</v>
      </c>
      <c r="M1101" s="237"/>
      <c r="N1101" s="237"/>
      <c r="O1101" s="237"/>
      <c r="P1101" s="237"/>
      <c r="Q1101" s="245" t="e">
        <f>VLOOKUP(Exome[[#This Row],[SID]],#REF!,2,FALSE)</f>
        <v>#REF!</v>
      </c>
      <c r="R1101" s="237"/>
      <c r="S1101" s="237"/>
      <c r="T1101" s="237"/>
      <c r="U1101" s="237"/>
      <c r="V1101" s="237"/>
      <c r="W1101" s="237"/>
      <c r="X1101" s="237"/>
      <c r="Y1101" s="237"/>
      <c r="Z1101" s="237" t="e">
        <f>VLOOKUP(Exome[[#This Row],[SID]],#REF!,2,FALSE)</f>
        <v>#REF!</v>
      </c>
      <c r="AA1101" s="337" t="e">
        <f>VLOOKUP(Exome[[#This Row],[SID]],#REF!,2,FALSE)</f>
        <v>#REF!</v>
      </c>
      <c r="AB1101" s="237"/>
      <c r="AC1101" s="237"/>
    </row>
    <row r="1102" spans="2:29" ht="13.5" customHeight="1">
      <c r="B1102" s="339"/>
      <c r="C1102" s="237"/>
      <c r="D1102" s="263"/>
      <c r="E1102" s="237"/>
      <c r="F1102" s="237"/>
      <c r="G1102" s="255"/>
      <c r="H1102" s="237"/>
      <c r="I1102" s="237"/>
      <c r="J1102" s="237"/>
      <c r="K1102" s="240"/>
      <c r="L1102" s="72" t="s">
        <v>45</v>
      </c>
      <c r="M1102" s="237"/>
      <c r="N1102" s="237"/>
      <c r="O1102" s="237"/>
      <c r="P1102" s="237"/>
      <c r="Q1102" s="245" t="e">
        <f>VLOOKUP(Exome[[#This Row],[SID]],#REF!,2,FALSE)</f>
        <v>#REF!</v>
      </c>
      <c r="R1102" s="237"/>
      <c r="S1102" s="237"/>
      <c r="T1102" s="237"/>
      <c r="U1102" s="237"/>
      <c r="V1102" s="237"/>
      <c r="W1102" s="237"/>
      <c r="X1102" s="237"/>
      <c r="Y1102" s="237"/>
      <c r="Z1102" s="237" t="e">
        <f>VLOOKUP(Exome[[#This Row],[SID]],#REF!,2,FALSE)</f>
        <v>#REF!</v>
      </c>
      <c r="AA1102" s="337" t="e">
        <f>VLOOKUP(Exome[[#This Row],[SID]],#REF!,2,FALSE)</f>
        <v>#REF!</v>
      </c>
      <c r="AB1102" s="237"/>
      <c r="AC1102" s="237"/>
    </row>
    <row r="1103" spans="2:29" ht="13.5" customHeight="1">
      <c r="B1103" s="339"/>
      <c r="C1103" s="237"/>
      <c r="D1103" s="263"/>
      <c r="E1103" s="237"/>
      <c r="F1103" s="237"/>
      <c r="G1103" s="255"/>
      <c r="H1103" s="237"/>
      <c r="I1103" s="237"/>
      <c r="J1103" s="237"/>
      <c r="K1103" s="240"/>
      <c r="L1103" s="72" t="s">
        <v>58</v>
      </c>
      <c r="M1103" s="237"/>
      <c r="N1103" s="237"/>
      <c r="O1103" s="237"/>
      <c r="P1103" s="237"/>
      <c r="Q1103" s="245" t="e">
        <f>VLOOKUP(Exome[[#This Row],[SID]],#REF!,2,FALSE)</f>
        <v>#REF!</v>
      </c>
      <c r="R1103" s="237"/>
      <c r="S1103" s="237"/>
      <c r="T1103" s="237"/>
      <c r="U1103" s="237"/>
      <c r="V1103" s="237"/>
      <c r="W1103" s="237"/>
      <c r="X1103" s="237"/>
      <c r="Y1103" s="237"/>
      <c r="Z1103" s="237" t="e">
        <f>VLOOKUP(Exome[[#This Row],[SID]],#REF!,2,FALSE)</f>
        <v>#REF!</v>
      </c>
      <c r="AA1103" s="337" t="e">
        <f>VLOOKUP(Exome[[#This Row],[SID]],#REF!,2,FALSE)</f>
        <v>#REF!</v>
      </c>
      <c r="AB1103" s="237"/>
      <c r="AC1103" s="237"/>
    </row>
    <row r="1104" spans="2:29" ht="13.5" customHeight="1">
      <c r="B1104" s="339"/>
      <c r="C1104" s="237"/>
      <c r="D1104" s="263"/>
      <c r="E1104" s="237"/>
      <c r="F1104" s="237"/>
      <c r="G1104" s="255"/>
      <c r="H1104" s="237"/>
      <c r="I1104" s="237"/>
      <c r="J1104" s="237"/>
      <c r="K1104" s="240"/>
      <c r="L1104" s="72" t="s">
        <v>41</v>
      </c>
      <c r="M1104" s="237"/>
      <c r="N1104" s="237"/>
      <c r="O1104" s="237"/>
      <c r="P1104" s="237"/>
      <c r="Q1104" s="245" t="e">
        <f>VLOOKUP(Exome[[#This Row],[SID]],#REF!,2,FALSE)</f>
        <v>#REF!</v>
      </c>
      <c r="R1104" s="237"/>
      <c r="S1104" s="237"/>
      <c r="T1104" s="237"/>
      <c r="U1104" s="237"/>
      <c r="V1104" s="237"/>
      <c r="W1104" s="237"/>
      <c r="X1104" s="237"/>
      <c r="Y1104" s="237"/>
      <c r="Z1104" s="237" t="e">
        <f>VLOOKUP(Exome[[#This Row],[SID]],#REF!,2,FALSE)</f>
        <v>#REF!</v>
      </c>
      <c r="AA1104" s="337" t="e">
        <f>VLOOKUP(Exome[[#This Row],[SID]],#REF!,2,FALSE)</f>
        <v>#REF!</v>
      </c>
      <c r="AB1104" s="237"/>
      <c r="AC1104" s="237"/>
    </row>
    <row r="1105" spans="2:29" ht="13.5" customHeight="1">
      <c r="B1105" s="339"/>
      <c r="C1105" s="237"/>
      <c r="D1105" s="263"/>
      <c r="E1105" s="237"/>
      <c r="F1105" s="237"/>
      <c r="G1105" s="255"/>
      <c r="H1105" s="237"/>
      <c r="I1105" s="237"/>
      <c r="J1105" s="237"/>
      <c r="K1105" s="240"/>
      <c r="L1105" s="72" t="s">
        <v>54</v>
      </c>
      <c r="M1105" s="237"/>
      <c r="N1105" s="237"/>
      <c r="O1105" s="237"/>
      <c r="P1105" s="237"/>
      <c r="Q1105" s="245" t="e">
        <f>VLOOKUP(Exome[[#This Row],[SID]],#REF!,2,FALSE)</f>
        <v>#REF!</v>
      </c>
      <c r="R1105" s="237"/>
      <c r="S1105" s="237"/>
      <c r="T1105" s="237"/>
      <c r="U1105" s="237"/>
      <c r="V1105" s="237"/>
      <c r="W1105" s="237"/>
      <c r="X1105" s="237"/>
      <c r="Y1105" s="237"/>
      <c r="Z1105" s="237" t="e">
        <f>VLOOKUP(Exome[[#This Row],[SID]],#REF!,2,FALSE)</f>
        <v>#REF!</v>
      </c>
      <c r="AA1105" s="337" t="e">
        <f>VLOOKUP(Exome[[#This Row],[SID]],#REF!,2,FALSE)</f>
        <v>#REF!</v>
      </c>
      <c r="AB1105" s="237"/>
      <c r="AC1105" s="237"/>
    </row>
    <row r="1106" spans="2:29" ht="13.5" customHeight="1">
      <c r="B1106" s="339"/>
      <c r="C1106" s="237"/>
      <c r="D1106" s="263"/>
      <c r="E1106" s="237"/>
      <c r="F1106" s="237"/>
      <c r="G1106" s="255"/>
      <c r="H1106" s="237"/>
      <c r="I1106" s="237"/>
      <c r="J1106" s="237"/>
      <c r="K1106" s="240"/>
      <c r="L1106" s="243" t="s">
        <v>20</v>
      </c>
      <c r="M1106" s="237"/>
      <c r="N1106" s="237"/>
      <c r="O1106" s="237"/>
      <c r="P1106" s="237"/>
      <c r="Q1106" s="245" t="e">
        <f>VLOOKUP(Exome[[#This Row],[SID]],#REF!,2,FALSE)</f>
        <v>#REF!</v>
      </c>
      <c r="R1106" s="237"/>
      <c r="S1106" s="237"/>
      <c r="T1106" s="237"/>
      <c r="U1106" s="237"/>
      <c r="V1106" s="237"/>
      <c r="W1106" s="237"/>
      <c r="X1106" s="237"/>
      <c r="Y1106" s="237"/>
      <c r="Z1106" s="237" t="e">
        <f>VLOOKUP(Exome[[#This Row],[SID]],#REF!,2,FALSE)</f>
        <v>#REF!</v>
      </c>
      <c r="AA1106" s="337" t="e">
        <f>VLOOKUP(Exome[[#This Row],[SID]],#REF!,2,FALSE)</f>
        <v>#REF!</v>
      </c>
      <c r="AB1106" s="237"/>
      <c r="AC1106" s="237"/>
    </row>
    <row r="1107" spans="2:29" ht="13.5" customHeight="1">
      <c r="B1107" s="339"/>
      <c r="C1107" s="237"/>
      <c r="D1107" s="263"/>
      <c r="E1107" s="237"/>
      <c r="F1107" s="237"/>
      <c r="G1107" s="255"/>
      <c r="H1107" s="237"/>
      <c r="I1107" s="237"/>
      <c r="J1107" s="237"/>
      <c r="K1107" s="240"/>
      <c r="L1107" s="72" t="s">
        <v>11</v>
      </c>
      <c r="M1107" s="237"/>
      <c r="N1107" s="237"/>
      <c r="O1107" s="237"/>
      <c r="P1107" s="237"/>
      <c r="Q1107" s="245" t="e">
        <f>VLOOKUP(Exome[[#This Row],[SID]],#REF!,2,FALSE)</f>
        <v>#REF!</v>
      </c>
      <c r="R1107" s="237"/>
      <c r="S1107" s="237"/>
      <c r="T1107" s="237"/>
      <c r="U1107" s="237"/>
      <c r="V1107" s="237"/>
      <c r="W1107" s="237"/>
      <c r="X1107" s="237"/>
      <c r="Y1107" s="237"/>
      <c r="Z1107" s="237" t="e">
        <f>VLOOKUP(Exome[[#This Row],[SID]],#REF!,2,FALSE)</f>
        <v>#REF!</v>
      </c>
      <c r="AA1107" s="337" t="e">
        <f>VLOOKUP(Exome[[#This Row],[SID]],#REF!,2,FALSE)</f>
        <v>#REF!</v>
      </c>
      <c r="AB1107" s="237"/>
      <c r="AC1107" s="237"/>
    </row>
    <row r="1108" spans="2:29" ht="13.5" customHeight="1">
      <c r="B1108" s="339"/>
      <c r="C1108" s="237"/>
      <c r="D1108" s="263"/>
      <c r="E1108" s="237"/>
      <c r="F1108" s="237"/>
      <c r="G1108" s="255"/>
      <c r="H1108" s="237"/>
      <c r="I1108" s="237"/>
      <c r="J1108" s="237"/>
      <c r="K1108" s="240"/>
      <c r="L1108" s="72" t="s">
        <v>13</v>
      </c>
      <c r="M1108" s="237"/>
      <c r="N1108" s="237"/>
      <c r="O1108" s="237"/>
      <c r="P1108" s="237"/>
      <c r="Q1108" s="245" t="e">
        <f>VLOOKUP(Exome[[#This Row],[SID]],#REF!,2,FALSE)</f>
        <v>#REF!</v>
      </c>
      <c r="R1108" s="237"/>
      <c r="S1108" s="237"/>
      <c r="T1108" s="237"/>
      <c r="U1108" s="237"/>
      <c r="V1108" s="237"/>
      <c r="W1108" s="237"/>
      <c r="X1108" s="237"/>
      <c r="Y1108" s="237"/>
      <c r="Z1108" s="237" t="e">
        <f>VLOOKUP(Exome[[#This Row],[SID]],#REF!,2,FALSE)</f>
        <v>#REF!</v>
      </c>
      <c r="AA1108" s="337" t="e">
        <f>VLOOKUP(Exome[[#This Row],[SID]],#REF!,2,FALSE)</f>
        <v>#REF!</v>
      </c>
      <c r="AB1108" s="237"/>
      <c r="AC1108" s="237"/>
    </row>
    <row r="1109" spans="2:29" ht="13.5" customHeight="1">
      <c r="B1109" s="339"/>
      <c r="C1109" s="237"/>
      <c r="D1109" s="263"/>
      <c r="E1109" s="237"/>
      <c r="F1109" s="237"/>
      <c r="G1109" s="255"/>
      <c r="H1109" s="237"/>
      <c r="I1109" s="237"/>
      <c r="J1109" s="237"/>
      <c r="K1109" s="240"/>
      <c r="L1109" s="72" t="s">
        <v>19</v>
      </c>
      <c r="M1109" s="237"/>
      <c r="N1109" s="237"/>
      <c r="O1109" s="237"/>
      <c r="P1109" s="237"/>
      <c r="Q1109" s="245" t="e">
        <f>VLOOKUP(Exome[[#This Row],[SID]],#REF!,2,FALSE)</f>
        <v>#REF!</v>
      </c>
      <c r="R1109" s="237"/>
      <c r="S1109" s="237"/>
      <c r="T1109" s="237"/>
      <c r="U1109" s="237"/>
      <c r="V1109" s="237"/>
      <c r="W1109" s="237"/>
      <c r="X1109" s="237"/>
      <c r="Y1109" s="237"/>
      <c r="Z1109" s="237" t="e">
        <f>VLOOKUP(Exome[[#This Row],[SID]],#REF!,2,FALSE)</f>
        <v>#REF!</v>
      </c>
      <c r="AA1109" s="337" t="e">
        <f>VLOOKUP(Exome[[#This Row],[SID]],#REF!,2,FALSE)</f>
        <v>#REF!</v>
      </c>
      <c r="AB1109" s="237"/>
      <c r="AC1109" s="237"/>
    </row>
    <row r="1110" spans="2:29" ht="13.5" customHeight="1">
      <c r="B1110" s="339"/>
      <c r="C1110" s="237"/>
      <c r="D1110" s="263"/>
      <c r="E1110" s="237"/>
      <c r="F1110" s="237"/>
      <c r="G1110" s="255"/>
      <c r="H1110" s="237"/>
      <c r="I1110" s="237"/>
      <c r="J1110" s="237"/>
      <c r="K1110" s="240"/>
      <c r="L1110" s="243" t="s">
        <v>1102</v>
      </c>
      <c r="M1110" s="237"/>
      <c r="N1110" s="237"/>
      <c r="O1110" s="237"/>
      <c r="P1110" s="237"/>
      <c r="Q1110" s="245" t="e">
        <f>VLOOKUP(Exome[[#This Row],[SID]],#REF!,2,FALSE)</f>
        <v>#REF!</v>
      </c>
      <c r="R1110" s="237"/>
      <c r="S1110" s="237"/>
      <c r="T1110" s="237"/>
      <c r="U1110" s="237"/>
      <c r="V1110" s="237"/>
      <c r="W1110" s="237"/>
      <c r="X1110" s="237"/>
      <c r="Y1110" s="237"/>
      <c r="Z1110" s="237" t="e">
        <f>VLOOKUP(Exome[[#This Row],[SID]],#REF!,2,FALSE)</f>
        <v>#REF!</v>
      </c>
      <c r="AA1110" s="337" t="e">
        <f>VLOOKUP(Exome[[#This Row],[SID]],#REF!,2,FALSE)</f>
        <v>#REF!</v>
      </c>
      <c r="AB1110" s="237"/>
      <c r="AC1110" s="237"/>
    </row>
    <row r="1111" spans="2:29" ht="13.5" customHeight="1">
      <c r="B1111" s="339"/>
      <c r="C1111" s="237"/>
      <c r="D1111" s="263"/>
      <c r="E1111" s="237"/>
      <c r="F1111" s="237"/>
      <c r="G1111" s="255"/>
      <c r="H1111" s="237"/>
      <c r="I1111" s="237"/>
      <c r="J1111" s="237"/>
      <c r="K1111" s="240"/>
      <c r="L1111" s="72" t="s">
        <v>41</v>
      </c>
      <c r="M1111" s="237"/>
      <c r="N1111" s="237"/>
      <c r="O1111" s="237"/>
      <c r="P1111" s="237"/>
      <c r="Q1111" s="245" t="e">
        <f>VLOOKUP(Exome[[#This Row],[SID]],#REF!,2,FALSE)</f>
        <v>#REF!</v>
      </c>
      <c r="R1111" s="237"/>
      <c r="S1111" s="237"/>
      <c r="T1111" s="237"/>
      <c r="U1111" s="237"/>
      <c r="V1111" s="237"/>
      <c r="W1111" s="237"/>
      <c r="X1111" s="237"/>
      <c r="Y1111" s="237"/>
      <c r="Z1111" s="237" t="e">
        <f>VLOOKUP(Exome[[#This Row],[SID]],#REF!,2,FALSE)</f>
        <v>#REF!</v>
      </c>
      <c r="AA1111" s="337" t="e">
        <f>VLOOKUP(Exome[[#This Row],[SID]],#REF!,2,FALSE)</f>
        <v>#REF!</v>
      </c>
      <c r="AB1111" s="237"/>
      <c r="AC1111" s="237"/>
    </row>
    <row r="1112" spans="2:29" ht="13.5" customHeight="1">
      <c r="B1112" s="339"/>
      <c r="C1112" s="237"/>
      <c r="D1112" s="263"/>
      <c r="E1112" s="237"/>
      <c r="F1112" s="237"/>
      <c r="G1112" s="255"/>
      <c r="H1112" s="237"/>
      <c r="I1112" s="237"/>
      <c r="J1112" s="237"/>
      <c r="K1112" s="240"/>
      <c r="L1112" s="72" t="s">
        <v>45</v>
      </c>
      <c r="M1112" s="237"/>
      <c r="N1112" s="237"/>
      <c r="O1112" s="237"/>
      <c r="P1112" s="237"/>
      <c r="Q1112" s="245" t="e">
        <f>VLOOKUP(Exome[[#This Row],[SID]],#REF!,2,FALSE)</f>
        <v>#REF!</v>
      </c>
      <c r="R1112" s="237"/>
      <c r="S1112" s="237"/>
      <c r="T1112" s="237"/>
      <c r="U1112" s="237"/>
      <c r="V1112" s="237"/>
      <c r="W1112" s="237"/>
      <c r="X1112" s="237"/>
      <c r="Y1112" s="237"/>
      <c r="Z1112" s="237" t="e">
        <f>VLOOKUP(Exome[[#This Row],[SID]],#REF!,2,FALSE)</f>
        <v>#REF!</v>
      </c>
      <c r="AA1112" s="337" t="e">
        <f>VLOOKUP(Exome[[#This Row],[SID]],#REF!,2,FALSE)</f>
        <v>#REF!</v>
      </c>
      <c r="AB1112" s="237"/>
      <c r="AC1112" s="237"/>
    </row>
    <row r="1113" spans="2:29" ht="13.5" customHeight="1">
      <c r="B1113" s="339"/>
      <c r="C1113" s="237"/>
      <c r="D1113" s="263"/>
      <c r="E1113" s="237"/>
      <c r="F1113" s="237"/>
      <c r="G1113" s="255"/>
      <c r="H1113" s="237"/>
      <c r="I1113" s="237"/>
      <c r="J1113" s="237"/>
      <c r="K1113" s="240"/>
      <c r="L1113" s="72" t="s">
        <v>54</v>
      </c>
      <c r="M1113" s="237"/>
      <c r="N1113" s="237"/>
      <c r="O1113" s="237"/>
      <c r="P1113" s="237"/>
      <c r="Q1113" s="245" t="e">
        <f>VLOOKUP(Exome[[#This Row],[SID]],#REF!,2,FALSE)</f>
        <v>#REF!</v>
      </c>
      <c r="R1113" s="237"/>
      <c r="S1113" s="237"/>
      <c r="T1113" s="237"/>
      <c r="U1113" s="237"/>
      <c r="V1113" s="237"/>
      <c r="W1113" s="237"/>
      <c r="X1113" s="237"/>
      <c r="Y1113" s="237"/>
      <c r="Z1113" s="237" t="e">
        <f>VLOOKUP(Exome[[#This Row],[SID]],#REF!,2,FALSE)</f>
        <v>#REF!</v>
      </c>
      <c r="AA1113" s="337" t="e">
        <f>VLOOKUP(Exome[[#This Row],[SID]],#REF!,2,FALSE)</f>
        <v>#REF!</v>
      </c>
      <c r="AB1113" s="237"/>
      <c r="AC1113" s="237"/>
    </row>
    <row r="1114" spans="2:29" ht="13.5" customHeight="1">
      <c r="B1114" s="339"/>
      <c r="C1114" s="237"/>
      <c r="D1114" s="263"/>
      <c r="E1114" s="237"/>
      <c r="F1114" s="237"/>
      <c r="G1114" s="255"/>
      <c r="H1114" s="237"/>
      <c r="I1114" s="237"/>
      <c r="J1114" s="237"/>
      <c r="K1114" s="240"/>
      <c r="L1114" s="243" t="s">
        <v>4401</v>
      </c>
      <c r="M1114" s="237"/>
      <c r="N1114" s="237"/>
      <c r="O1114" s="237"/>
      <c r="P1114" s="237"/>
      <c r="Q1114" s="245" t="e">
        <f>VLOOKUP(Exome[[#This Row],[SID]],#REF!,2,FALSE)</f>
        <v>#REF!</v>
      </c>
      <c r="R1114" s="237"/>
      <c r="S1114" s="237"/>
      <c r="T1114" s="237"/>
      <c r="U1114" s="237"/>
      <c r="V1114" s="237"/>
      <c r="W1114" s="237"/>
      <c r="X1114" s="237"/>
      <c r="Y1114" s="237"/>
      <c r="Z1114" s="237" t="e">
        <f>VLOOKUP(Exome[[#This Row],[SID]],#REF!,2,FALSE)</f>
        <v>#REF!</v>
      </c>
      <c r="AA1114" s="337" t="e">
        <f>VLOOKUP(Exome[[#This Row],[SID]],#REF!,2,FALSE)</f>
        <v>#REF!</v>
      </c>
      <c r="AB1114" s="237"/>
      <c r="AC1114" s="237"/>
    </row>
    <row r="1115" spans="2:29" ht="13.5" customHeight="1">
      <c r="B1115" s="339"/>
      <c r="C1115" s="237"/>
      <c r="D1115" s="263"/>
      <c r="E1115" s="237"/>
      <c r="F1115" s="237"/>
      <c r="G1115" s="255"/>
      <c r="H1115" s="237"/>
      <c r="I1115" s="237"/>
      <c r="J1115" s="237"/>
      <c r="K1115" s="240"/>
      <c r="L1115" s="243" t="s">
        <v>55</v>
      </c>
      <c r="M1115" s="237"/>
      <c r="N1115" s="237"/>
      <c r="O1115" s="237"/>
      <c r="P1115" s="237"/>
      <c r="Q1115" s="245" t="e">
        <f>VLOOKUP(Exome[[#This Row],[SID]],#REF!,2,FALSE)</f>
        <v>#REF!</v>
      </c>
      <c r="R1115" s="237"/>
      <c r="S1115" s="237"/>
      <c r="T1115" s="237"/>
      <c r="U1115" s="237"/>
      <c r="V1115" s="237"/>
      <c r="W1115" s="237"/>
      <c r="X1115" s="237"/>
      <c r="Y1115" s="237"/>
      <c r="Z1115" s="237" t="e">
        <f>VLOOKUP(Exome[[#This Row],[SID]],#REF!,2,FALSE)</f>
        <v>#REF!</v>
      </c>
      <c r="AA1115" s="337" t="e">
        <f>VLOOKUP(Exome[[#This Row],[SID]],#REF!,2,FALSE)</f>
        <v>#REF!</v>
      </c>
      <c r="AB1115" s="237"/>
      <c r="AC1115" s="237"/>
    </row>
    <row r="1116" spans="2:29" ht="13.5" customHeight="1">
      <c r="B1116" s="339"/>
      <c r="C1116" s="237"/>
      <c r="D1116" s="263"/>
      <c r="E1116" s="237"/>
      <c r="F1116" s="237"/>
      <c r="G1116" s="255"/>
      <c r="H1116" s="237"/>
      <c r="I1116" s="237"/>
      <c r="J1116" s="237"/>
      <c r="K1116" s="240"/>
      <c r="L1116" s="72" t="s">
        <v>45</v>
      </c>
      <c r="M1116" s="237"/>
      <c r="N1116" s="237"/>
      <c r="O1116" s="237"/>
      <c r="P1116" s="237"/>
      <c r="Q1116" s="245" t="e">
        <f>VLOOKUP(Exome[[#This Row],[SID]],#REF!,2,FALSE)</f>
        <v>#REF!</v>
      </c>
      <c r="R1116" s="237"/>
      <c r="S1116" s="237"/>
      <c r="T1116" s="237"/>
      <c r="U1116" s="237"/>
      <c r="V1116" s="237"/>
      <c r="W1116" s="237"/>
      <c r="X1116" s="237"/>
      <c r="Y1116" s="237"/>
      <c r="Z1116" s="237" t="e">
        <f>VLOOKUP(Exome[[#This Row],[SID]],#REF!,2,FALSE)</f>
        <v>#REF!</v>
      </c>
      <c r="AA1116" s="337" t="e">
        <f>VLOOKUP(Exome[[#This Row],[SID]],#REF!,2,FALSE)</f>
        <v>#REF!</v>
      </c>
      <c r="AB1116" s="237"/>
      <c r="AC1116" s="237"/>
    </row>
    <row r="1117" spans="2:29" ht="13.5" customHeight="1">
      <c r="B1117" s="339"/>
      <c r="C1117" s="237"/>
      <c r="D1117" s="263"/>
      <c r="E1117" s="237"/>
      <c r="F1117" s="237"/>
      <c r="G1117" s="255"/>
      <c r="H1117" s="237"/>
      <c r="I1117" s="237"/>
      <c r="J1117" s="237"/>
      <c r="K1117" s="240"/>
      <c r="L1117" s="243" t="s">
        <v>55</v>
      </c>
      <c r="M1117" s="237"/>
      <c r="N1117" s="237"/>
      <c r="O1117" s="237"/>
      <c r="P1117" s="237"/>
      <c r="Q1117" s="245" t="e">
        <f>VLOOKUP(Exome[[#This Row],[SID]],#REF!,2,FALSE)</f>
        <v>#REF!</v>
      </c>
      <c r="R1117" s="237"/>
      <c r="S1117" s="237"/>
      <c r="T1117" s="237"/>
      <c r="U1117" s="237"/>
      <c r="V1117" s="237"/>
      <c r="W1117" s="237"/>
      <c r="X1117" s="237"/>
      <c r="Y1117" s="237"/>
      <c r="Z1117" s="237" t="e">
        <f>VLOOKUP(Exome[[#This Row],[SID]],#REF!,2,FALSE)</f>
        <v>#REF!</v>
      </c>
      <c r="AA1117" s="337" t="e">
        <f>VLOOKUP(Exome[[#This Row],[SID]],#REF!,2,FALSE)</f>
        <v>#REF!</v>
      </c>
      <c r="AB1117" s="237"/>
      <c r="AC1117" s="237"/>
    </row>
    <row r="1118" spans="2:29" ht="13.5" customHeight="1">
      <c r="B1118" s="339"/>
      <c r="C1118" s="237"/>
      <c r="D1118" s="263"/>
      <c r="E1118" s="237"/>
      <c r="F1118" s="237"/>
      <c r="G1118" s="255"/>
      <c r="H1118" s="237"/>
      <c r="I1118" s="237"/>
      <c r="J1118" s="237"/>
      <c r="K1118" s="240"/>
      <c r="L1118" s="72" t="s">
        <v>19</v>
      </c>
      <c r="M1118" s="237"/>
      <c r="N1118" s="237"/>
      <c r="O1118" s="237"/>
      <c r="P1118" s="237"/>
      <c r="Q1118" s="245" t="e">
        <f>VLOOKUP(Exome[[#This Row],[SID]],#REF!,2,FALSE)</f>
        <v>#REF!</v>
      </c>
      <c r="R1118" s="237"/>
      <c r="S1118" s="237"/>
      <c r="T1118" s="237"/>
      <c r="U1118" s="237"/>
      <c r="V1118" s="237"/>
      <c r="W1118" s="237"/>
      <c r="X1118" s="237"/>
      <c r="Y1118" s="237"/>
      <c r="Z1118" s="237" t="e">
        <f>VLOOKUP(Exome[[#This Row],[SID]],#REF!,2,FALSE)</f>
        <v>#REF!</v>
      </c>
      <c r="AA1118" s="337" t="e">
        <f>VLOOKUP(Exome[[#This Row],[SID]],#REF!,2,FALSE)</f>
        <v>#REF!</v>
      </c>
      <c r="AB1118" s="237"/>
      <c r="AC1118" s="237"/>
    </row>
    <row r="1119" spans="2:29" ht="13.5" customHeight="1">
      <c r="B1119" s="339"/>
      <c r="C1119" s="237"/>
      <c r="D1119" s="263"/>
      <c r="E1119" s="237"/>
      <c r="F1119" s="237"/>
      <c r="G1119" s="255"/>
      <c r="H1119" s="237"/>
      <c r="I1119" s="237"/>
      <c r="J1119" s="237"/>
      <c r="K1119" s="240"/>
      <c r="L1119" s="72" t="s">
        <v>16</v>
      </c>
      <c r="M1119" s="237"/>
      <c r="N1119" s="237"/>
      <c r="O1119" s="237"/>
      <c r="P1119" s="237"/>
      <c r="Q1119" s="245" t="e">
        <f>VLOOKUP(Exome[[#This Row],[SID]],#REF!,2,FALSE)</f>
        <v>#REF!</v>
      </c>
      <c r="R1119" s="237"/>
      <c r="S1119" s="237"/>
      <c r="T1119" s="237"/>
      <c r="U1119" s="237"/>
      <c r="V1119" s="237"/>
      <c r="W1119" s="237"/>
      <c r="X1119" s="237"/>
      <c r="Y1119" s="237"/>
      <c r="Z1119" s="237" t="e">
        <f>VLOOKUP(Exome[[#This Row],[SID]],#REF!,2,FALSE)</f>
        <v>#REF!</v>
      </c>
      <c r="AA1119" s="337" t="e">
        <f>VLOOKUP(Exome[[#This Row],[SID]],#REF!,2,FALSE)</f>
        <v>#REF!</v>
      </c>
      <c r="AB1119" s="237"/>
      <c r="AC1119" s="237"/>
    </row>
    <row r="1120" spans="2:29" ht="13.5" customHeight="1">
      <c r="B1120" s="339"/>
      <c r="C1120" s="237"/>
      <c r="D1120" s="263"/>
      <c r="E1120" s="237"/>
      <c r="F1120" s="237"/>
      <c r="G1120" s="255"/>
      <c r="H1120" s="237"/>
      <c r="I1120" s="237"/>
      <c r="J1120" s="237"/>
      <c r="K1120" s="240"/>
      <c r="L1120" s="72" t="s">
        <v>65</v>
      </c>
      <c r="M1120" s="237"/>
      <c r="N1120" s="237"/>
      <c r="O1120" s="237"/>
      <c r="P1120" s="237"/>
      <c r="Q1120" s="245" t="e">
        <f>VLOOKUP(Exome[[#This Row],[SID]],#REF!,2,FALSE)</f>
        <v>#REF!</v>
      </c>
      <c r="R1120" s="237"/>
      <c r="S1120" s="237"/>
      <c r="T1120" s="237"/>
      <c r="U1120" s="237"/>
      <c r="V1120" s="237"/>
      <c r="W1120" s="237"/>
      <c r="X1120" s="237"/>
      <c r="Y1120" s="237"/>
      <c r="Z1120" s="237" t="e">
        <f>VLOOKUP(Exome[[#This Row],[SID]],#REF!,2,FALSE)</f>
        <v>#REF!</v>
      </c>
      <c r="AA1120" s="337" t="e">
        <f>VLOOKUP(Exome[[#This Row],[SID]],#REF!,2,FALSE)</f>
        <v>#REF!</v>
      </c>
      <c r="AB1120" s="237"/>
      <c r="AC1120" s="237"/>
    </row>
    <row r="1121" spans="2:29" ht="13.5" customHeight="1">
      <c r="B1121" s="339"/>
      <c r="C1121" s="237"/>
      <c r="D1121" s="263"/>
      <c r="E1121" s="237"/>
      <c r="F1121" s="237"/>
      <c r="G1121" s="255"/>
      <c r="H1121" s="237"/>
      <c r="I1121" s="237"/>
      <c r="J1121" s="237"/>
      <c r="K1121" s="240"/>
      <c r="L1121" s="72" t="s">
        <v>45</v>
      </c>
      <c r="M1121" s="237"/>
      <c r="N1121" s="237"/>
      <c r="O1121" s="237"/>
      <c r="P1121" s="237"/>
      <c r="Q1121" s="245" t="e">
        <f>VLOOKUP(Exome[[#This Row],[SID]],#REF!,2,FALSE)</f>
        <v>#REF!</v>
      </c>
      <c r="R1121" s="237"/>
      <c r="S1121" s="237"/>
      <c r="T1121" s="237"/>
      <c r="U1121" s="237"/>
      <c r="V1121" s="237"/>
      <c r="W1121" s="237"/>
      <c r="X1121" s="237"/>
      <c r="Y1121" s="237"/>
      <c r="Z1121" s="237" t="e">
        <f>VLOOKUP(Exome[[#This Row],[SID]],#REF!,2,FALSE)</f>
        <v>#REF!</v>
      </c>
      <c r="AA1121" s="337" t="e">
        <f>VLOOKUP(Exome[[#This Row],[SID]],#REF!,2,FALSE)</f>
        <v>#REF!</v>
      </c>
      <c r="AB1121" s="237"/>
      <c r="AC1121" s="237"/>
    </row>
    <row r="1122" spans="2:29" ht="13.5" customHeight="1">
      <c r="B1122" s="339"/>
      <c r="C1122" s="237"/>
      <c r="D1122" s="263"/>
      <c r="E1122" s="237"/>
      <c r="F1122" s="237"/>
      <c r="G1122" s="255"/>
      <c r="H1122" s="237"/>
      <c r="I1122" s="237"/>
      <c r="J1122" s="237"/>
      <c r="K1122" s="240"/>
      <c r="L1122" s="72" t="s">
        <v>45</v>
      </c>
      <c r="M1122" s="237"/>
      <c r="N1122" s="237"/>
      <c r="O1122" s="237"/>
      <c r="P1122" s="237"/>
      <c r="Q1122" s="245" t="e">
        <f>VLOOKUP(Exome[[#This Row],[SID]],#REF!,2,FALSE)</f>
        <v>#REF!</v>
      </c>
      <c r="R1122" s="237"/>
      <c r="S1122" s="237"/>
      <c r="T1122" s="237"/>
      <c r="U1122" s="237"/>
      <c r="V1122" s="237"/>
      <c r="W1122" s="237"/>
      <c r="X1122" s="237"/>
      <c r="Y1122" s="237"/>
      <c r="Z1122" s="237" t="e">
        <f>VLOOKUP(Exome[[#This Row],[SID]],#REF!,2,FALSE)</f>
        <v>#REF!</v>
      </c>
      <c r="AA1122" s="337" t="e">
        <f>VLOOKUP(Exome[[#This Row],[SID]],#REF!,2,FALSE)</f>
        <v>#REF!</v>
      </c>
      <c r="AB1122" s="237"/>
      <c r="AC1122" s="237"/>
    </row>
    <row r="1123" spans="2:29" ht="13.5" customHeight="1">
      <c r="B1123" s="339"/>
      <c r="C1123" s="237"/>
      <c r="D1123" s="263"/>
      <c r="E1123" s="237"/>
      <c r="F1123" s="237"/>
      <c r="G1123" s="255"/>
      <c r="H1123" s="237"/>
      <c r="I1123" s="237"/>
      <c r="J1123" s="237"/>
      <c r="K1123" s="240"/>
      <c r="L1123" s="72" t="s">
        <v>65</v>
      </c>
      <c r="M1123" s="237"/>
      <c r="N1123" s="237"/>
      <c r="O1123" s="237"/>
      <c r="P1123" s="237"/>
      <c r="Q1123" s="245" t="e">
        <f>VLOOKUP(Exome[[#This Row],[SID]],#REF!,2,FALSE)</f>
        <v>#REF!</v>
      </c>
      <c r="R1123" s="237"/>
      <c r="S1123" s="237"/>
      <c r="T1123" s="237"/>
      <c r="U1123" s="237"/>
      <c r="V1123" s="237"/>
      <c r="W1123" s="237"/>
      <c r="X1123" s="237"/>
      <c r="Y1123" s="237"/>
      <c r="Z1123" s="237" t="e">
        <f>VLOOKUP(Exome[[#This Row],[SID]],#REF!,2,FALSE)</f>
        <v>#REF!</v>
      </c>
      <c r="AA1123" s="337" t="e">
        <f>VLOOKUP(Exome[[#This Row],[SID]],#REF!,2,FALSE)</f>
        <v>#REF!</v>
      </c>
      <c r="AB1123" s="237"/>
      <c r="AC1123" s="237"/>
    </row>
    <row r="1124" spans="2:29" ht="13.5" customHeight="1">
      <c r="B1124" s="339"/>
      <c r="C1124" s="237"/>
      <c r="D1124" s="263"/>
      <c r="E1124" s="237"/>
      <c r="F1124" s="237"/>
      <c r="G1124" s="255"/>
      <c r="H1124" s="237"/>
      <c r="I1124" s="237"/>
      <c r="J1124" s="237"/>
      <c r="K1124" s="240"/>
      <c r="L1124" s="72" t="s">
        <v>29</v>
      </c>
      <c r="M1124" s="237"/>
      <c r="N1124" s="237"/>
      <c r="O1124" s="237"/>
      <c r="P1124" s="237"/>
      <c r="Q1124" s="245" t="e">
        <f>VLOOKUP(Exome[[#This Row],[SID]],#REF!,2,FALSE)</f>
        <v>#REF!</v>
      </c>
      <c r="R1124" s="237"/>
      <c r="S1124" s="237"/>
      <c r="T1124" s="237"/>
      <c r="U1124" s="237"/>
      <c r="V1124" s="237"/>
      <c r="W1124" s="237"/>
      <c r="X1124" s="237"/>
      <c r="Y1124" s="237"/>
      <c r="Z1124" s="237" t="e">
        <f>VLOOKUP(Exome[[#This Row],[SID]],#REF!,2,FALSE)</f>
        <v>#REF!</v>
      </c>
      <c r="AA1124" s="337" t="e">
        <f>VLOOKUP(Exome[[#This Row],[SID]],#REF!,2,FALSE)</f>
        <v>#REF!</v>
      </c>
      <c r="AB1124" s="237"/>
      <c r="AC1124" s="237"/>
    </row>
    <row r="1125" spans="2:29" ht="13.5" customHeight="1">
      <c r="B1125" s="339"/>
      <c r="C1125" s="237"/>
      <c r="D1125" s="263"/>
      <c r="E1125" s="237"/>
      <c r="F1125" s="237"/>
      <c r="G1125" s="255"/>
      <c r="H1125" s="237"/>
      <c r="I1125" s="237"/>
      <c r="J1125" s="237"/>
      <c r="K1125" s="240"/>
      <c r="L1125" s="72" t="s">
        <v>64</v>
      </c>
      <c r="M1125" s="237"/>
      <c r="N1125" s="237"/>
      <c r="O1125" s="237"/>
      <c r="P1125" s="237"/>
      <c r="Q1125" s="245" t="e">
        <f>VLOOKUP(Exome[[#This Row],[SID]],#REF!,2,FALSE)</f>
        <v>#REF!</v>
      </c>
      <c r="R1125" s="237"/>
      <c r="S1125" s="237"/>
      <c r="T1125" s="237"/>
      <c r="U1125" s="237"/>
      <c r="V1125" s="237"/>
      <c r="W1125" s="237"/>
      <c r="X1125" s="237"/>
      <c r="Y1125" s="237"/>
      <c r="Z1125" s="237" t="e">
        <f>VLOOKUP(Exome[[#This Row],[SID]],#REF!,2,FALSE)</f>
        <v>#REF!</v>
      </c>
      <c r="AA1125" s="337" t="e">
        <f>VLOOKUP(Exome[[#This Row],[SID]],#REF!,2,FALSE)</f>
        <v>#REF!</v>
      </c>
      <c r="AB1125" s="237"/>
      <c r="AC1125" s="237"/>
    </row>
    <row r="1126" spans="2:29" ht="13.5" customHeight="1">
      <c r="B1126" s="339"/>
      <c r="C1126" s="237"/>
      <c r="D1126" s="263"/>
      <c r="E1126" s="237"/>
      <c r="F1126" s="237"/>
      <c r="G1126" s="255"/>
      <c r="H1126" s="237"/>
      <c r="I1126" s="237"/>
      <c r="J1126" s="237"/>
      <c r="K1126" s="240"/>
      <c r="L1126" s="72" t="s">
        <v>16</v>
      </c>
      <c r="M1126" s="237"/>
      <c r="N1126" s="237"/>
      <c r="O1126" s="237"/>
      <c r="P1126" s="237"/>
      <c r="Q1126" s="245" t="e">
        <f>VLOOKUP(Exome[[#This Row],[SID]],#REF!,2,FALSE)</f>
        <v>#REF!</v>
      </c>
      <c r="R1126" s="237"/>
      <c r="S1126" s="237"/>
      <c r="T1126" s="237"/>
      <c r="U1126" s="237"/>
      <c r="V1126" s="237"/>
      <c r="W1126" s="237"/>
      <c r="X1126" s="237"/>
      <c r="Y1126" s="237"/>
      <c r="Z1126" s="237" t="e">
        <f>VLOOKUP(Exome[[#This Row],[SID]],#REF!,2,FALSE)</f>
        <v>#REF!</v>
      </c>
      <c r="AA1126" s="337" t="e">
        <f>VLOOKUP(Exome[[#This Row],[SID]],#REF!,2,FALSE)</f>
        <v>#REF!</v>
      </c>
      <c r="AB1126" s="237"/>
      <c r="AC1126" s="237"/>
    </row>
    <row r="1127" spans="2:29" ht="13.5" customHeight="1">
      <c r="B1127" s="339"/>
      <c r="C1127" s="237"/>
      <c r="D1127" s="263"/>
      <c r="E1127" s="237"/>
      <c r="F1127" s="237"/>
      <c r="G1127" s="255"/>
      <c r="H1127" s="237"/>
      <c r="I1127" s="237"/>
      <c r="J1127" s="237"/>
      <c r="K1127" s="240"/>
      <c r="L1127" s="72" t="s">
        <v>54</v>
      </c>
      <c r="M1127" s="237"/>
      <c r="N1127" s="237"/>
      <c r="O1127" s="237"/>
      <c r="P1127" s="237"/>
      <c r="Q1127" s="245" t="e">
        <f>VLOOKUP(Exome[[#This Row],[SID]],#REF!,2,FALSE)</f>
        <v>#REF!</v>
      </c>
      <c r="R1127" s="237"/>
      <c r="S1127" s="237"/>
      <c r="T1127" s="237"/>
      <c r="U1127" s="237"/>
      <c r="V1127" s="237"/>
      <c r="W1127" s="237"/>
      <c r="X1127" s="237"/>
      <c r="Y1127" s="237"/>
      <c r="Z1127" s="237" t="e">
        <f>VLOOKUP(Exome[[#This Row],[SID]],#REF!,2,FALSE)</f>
        <v>#REF!</v>
      </c>
      <c r="AA1127" s="337" t="e">
        <f>VLOOKUP(Exome[[#This Row],[SID]],#REF!,2,FALSE)</f>
        <v>#REF!</v>
      </c>
      <c r="AB1127" s="237"/>
      <c r="AC1127" s="237"/>
    </row>
    <row r="1128" spans="2:29" ht="13.5" customHeight="1">
      <c r="B1128" s="339"/>
      <c r="C1128" s="237"/>
      <c r="D1128" s="263"/>
      <c r="E1128" s="237"/>
      <c r="F1128" s="237"/>
      <c r="G1128" s="255"/>
      <c r="H1128" s="237"/>
      <c r="I1128" s="237"/>
      <c r="J1128" s="237"/>
      <c r="K1128" s="240"/>
      <c r="L1128" s="72" t="s">
        <v>8</v>
      </c>
      <c r="M1128" s="237"/>
      <c r="N1128" s="237"/>
      <c r="O1128" s="237"/>
      <c r="P1128" s="237"/>
      <c r="Q1128" s="245" t="e">
        <f>VLOOKUP(Exome[[#This Row],[SID]],#REF!,2,FALSE)</f>
        <v>#REF!</v>
      </c>
      <c r="R1128" s="237"/>
      <c r="S1128" s="237"/>
      <c r="T1128" s="237"/>
      <c r="U1128" s="237"/>
      <c r="V1128" s="237"/>
      <c r="W1128" s="237"/>
      <c r="X1128" s="237"/>
      <c r="Y1128" s="237"/>
      <c r="Z1128" s="237" t="e">
        <f>VLOOKUP(Exome[[#This Row],[SID]],#REF!,2,FALSE)</f>
        <v>#REF!</v>
      </c>
      <c r="AA1128" s="337" t="e">
        <f>VLOOKUP(Exome[[#This Row],[SID]],#REF!,2,FALSE)</f>
        <v>#REF!</v>
      </c>
      <c r="AB1128" s="237"/>
      <c r="AC1128" s="237"/>
    </row>
    <row r="1129" spans="2:29" ht="13.5" customHeight="1">
      <c r="B1129" s="339"/>
      <c r="C1129" s="237"/>
      <c r="D1129" s="263"/>
      <c r="E1129" s="237"/>
      <c r="F1129" s="237"/>
      <c r="G1129" s="255"/>
      <c r="H1129" s="237"/>
      <c r="I1129" s="237"/>
      <c r="J1129" s="237"/>
      <c r="K1129" s="240"/>
      <c r="L1129" s="72" t="s">
        <v>21</v>
      </c>
      <c r="M1129" s="237"/>
      <c r="N1129" s="237"/>
      <c r="O1129" s="237"/>
      <c r="P1129" s="237"/>
      <c r="Q1129" s="245" t="e">
        <f>VLOOKUP(Exome[[#This Row],[SID]],#REF!,2,FALSE)</f>
        <v>#REF!</v>
      </c>
      <c r="R1129" s="237"/>
      <c r="S1129" s="237"/>
      <c r="T1129" s="237"/>
      <c r="U1129" s="237"/>
      <c r="V1129" s="237"/>
      <c r="W1129" s="237"/>
      <c r="X1129" s="237"/>
      <c r="Y1129" s="237"/>
      <c r="Z1129" s="237" t="e">
        <f>VLOOKUP(Exome[[#This Row],[SID]],#REF!,2,FALSE)</f>
        <v>#REF!</v>
      </c>
      <c r="AA1129" s="337" t="e">
        <f>VLOOKUP(Exome[[#This Row],[SID]],#REF!,2,FALSE)</f>
        <v>#REF!</v>
      </c>
      <c r="AB1129" s="237"/>
      <c r="AC1129" s="237"/>
    </row>
    <row r="1130" spans="2:29" ht="13.5" customHeight="1">
      <c r="B1130" s="339"/>
      <c r="C1130" s="237"/>
      <c r="D1130" s="263"/>
      <c r="E1130" s="237"/>
      <c r="F1130" s="237"/>
      <c r="G1130" s="255"/>
      <c r="H1130" s="237"/>
      <c r="I1130" s="237"/>
      <c r="J1130" s="237"/>
      <c r="K1130" s="240"/>
      <c r="L1130" s="288" t="s">
        <v>55</v>
      </c>
      <c r="M1130" s="237"/>
      <c r="N1130" s="237"/>
      <c r="O1130" s="237"/>
      <c r="P1130" s="237"/>
      <c r="Q1130" s="245" t="e">
        <f>VLOOKUP(Exome[[#This Row],[SID]],#REF!,2,FALSE)</f>
        <v>#REF!</v>
      </c>
      <c r="R1130" s="237"/>
      <c r="S1130" s="237"/>
      <c r="T1130" s="237"/>
      <c r="U1130" s="237"/>
      <c r="V1130" s="237"/>
      <c r="W1130" s="237"/>
      <c r="X1130" s="237"/>
      <c r="Y1130" s="237"/>
      <c r="Z1130" s="237" t="e">
        <f>VLOOKUP(Exome[[#This Row],[SID]],#REF!,2,FALSE)</f>
        <v>#REF!</v>
      </c>
      <c r="AA1130" s="337" t="e">
        <f>VLOOKUP(Exome[[#This Row],[SID]],#REF!,2,FALSE)</f>
        <v>#REF!</v>
      </c>
      <c r="AB1130" s="237"/>
      <c r="AC1130" s="237"/>
    </row>
    <row r="1131" spans="2:29" ht="13.5" customHeight="1">
      <c r="B1131" s="339"/>
      <c r="C1131" s="237"/>
      <c r="D1131" s="263"/>
      <c r="E1131" s="237"/>
      <c r="F1131" s="237"/>
      <c r="G1131" s="255"/>
      <c r="H1131" s="237"/>
      <c r="I1131" s="237"/>
      <c r="J1131" s="237"/>
      <c r="K1131" s="240"/>
      <c r="L1131" s="317" t="s">
        <v>53</v>
      </c>
      <c r="M1131" s="237"/>
      <c r="N1131" s="237"/>
      <c r="O1131" s="237"/>
      <c r="P1131" s="237"/>
      <c r="Q1131" s="245" t="e">
        <f>VLOOKUP(Exome[[#This Row],[SID]],#REF!,2,FALSE)</f>
        <v>#REF!</v>
      </c>
      <c r="R1131" s="237"/>
      <c r="S1131" s="237"/>
      <c r="T1131" s="237"/>
      <c r="U1131" s="237"/>
      <c r="V1131" s="237"/>
      <c r="W1131" s="237"/>
      <c r="X1131" s="237"/>
      <c r="Y1131" s="237"/>
      <c r="Z1131" s="237" t="e">
        <f>VLOOKUP(Exome[[#This Row],[SID]],#REF!,2,FALSE)</f>
        <v>#REF!</v>
      </c>
      <c r="AA1131" s="337" t="e">
        <f>VLOOKUP(Exome[[#This Row],[SID]],#REF!,2,FALSE)</f>
        <v>#REF!</v>
      </c>
      <c r="AB1131" s="237"/>
      <c r="AC1131" s="237"/>
    </row>
    <row r="1132" spans="2:29" ht="13.5" customHeight="1">
      <c r="B1132" s="339"/>
      <c r="C1132" s="237"/>
      <c r="D1132" s="263"/>
      <c r="E1132" s="237"/>
      <c r="F1132" s="237"/>
      <c r="G1132" s="255"/>
      <c r="H1132" s="237"/>
      <c r="I1132" s="237"/>
      <c r="J1132" s="237"/>
      <c r="K1132" s="240"/>
      <c r="L1132" s="72" t="s">
        <v>16</v>
      </c>
      <c r="M1132" s="237"/>
      <c r="N1132" s="237"/>
      <c r="O1132" s="237"/>
      <c r="P1132" s="237"/>
      <c r="Q1132" s="245" t="e">
        <f>VLOOKUP(Exome[[#This Row],[SID]],#REF!,2,FALSE)</f>
        <v>#REF!</v>
      </c>
      <c r="R1132" s="237"/>
      <c r="S1132" s="237"/>
      <c r="T1132" s="237"/>
      <c r="U1132" s="237"/>
      <c r="V1132" s="237"/>
      <c r="W1132" s="237"/>
      <c r="X1132" s="237"/>
      <c r="Y1132" s="237"/>
      <c r="Z1132" s="237" t="e">
        <f>VLOOKUP(Exome[[#This Row],[SID]],#REF!,2,FALSE)</f>
        <v>#REF!</v>
      </c>
      <c r="AA1132" s="337" t="e">
        <f>VLOOKUP(Exome[[#This Row],[SID]],#REF!,2,FALSE)</f>
        <v>#REF!</v>
      </c>
      <c r="AB1132" s="237"/>
      <c r="AC1132" s="237"/>
    </row>
    <row r="1133" spans="2:29" ht="13.5" customHeight="1">
      <c r="B1133" s="339"/>
      <c r="C1133" s="237"/>
      <c r="D1133" s="263"/>
      <c r="E1133" s="237"/>
      <c r="F1133" s="237"/>
      <c r="G1133" s="255"/>
      <c r="H1133" s="237"/>
      <c r="I1133" s="237"/>
      <c r="J1133" s="237"/>
      <c r="K1133" s="240"/>
      <c r="L1133" s="243" t="s">
        <v>57</v>
      </c>
      <c r="M1133" s="237"/>
      <c r="N1133" s="237"/>
      <c r="O1133" s="237"/>
      <c r="P1133" s="237"/>
      <c r="Q1133" s="245" t="e">
        <f>VLOOKUP(Exome[[#This Row],[SID]],#REF!,2,FALSE)</f>
        <v>#REF!</v>
      </c>
      <c r="R1133" s="237"/>
      <c r="S1133" s="237"/>
      <c r="T1133" s="237"/>
      <c r="U1133" s="237"/>
      <c r="V1133" s="237"/>
      <c r="W1133" s="237"/>
      <c r="X1133" s="237"/>
      <c r="Y1133" s="237"/>
      <c r="Z1133" s="237" t="e">
        <f>VLOOKUP(Exome[[#This Row],[SID]],#REF!,2,FALSE)</f>
        <v>#REF!</v>
      </c>
      <c r="AA1133" s="337" t="e">
        <f>VLOOKUP(Exome[[#This Row],[SID]],#REF!,2,FALSE)</f>
        <v>#REF!</v>
      </c>
      <c r="AB1133" s="237"/>
      <c r="AC1133" s="237"/>
    </row>
    <row r="1134" spans="2:29" ht="13.5" customHeight="1">
      <c r="B1134" s="339"/>
      <c r="C1134" s="237"/>
      <c r="D1134" s="263"/>
      <c r="E1134" s="237"/>
      <c r="F1134" s="237"/>
      <c r="G1134" s="255"/>
      <c r="H1134" s="237"/>
      <c r="I1134" s="237"/>
      <c r="J1134" s="237"/>
      <c r="K1134" s="240"/>
      <c r="L1134" s="72" t="s">
        <v>14</v>
      </c>
      <c r="M1134" s="237"/>
      <c r="N1134" s="237"/>
      <c r="O1134" s="237"/>
      <c r="P1134" s="237"/>
      <c r="Q1134" s="245" t="e">
        <f>VLOOKUP(Exome[[#This Row],[SID]],#REF!,2,FALSE)</f>
        <v>#REF!</v>
      </c>
      <c r="R1134" s="237"/>
      <c r="S1134" s="237"/>
      <c r="T1134" s="237"/>
      <c r="U1134" s="237"/>
      <c r="V1134" s="237"/>
      <c r="W1134" s="237"/>
      <c r="X1134" s="237"/>
      <c r="Y1134" s="237"/>
      <c r="Z1134" s="237" t="e">
        <f>VLOOKUP(Exome[[#This Row],[SID]],#REF!,2,FALSE)</f>
        <v>#REF!</v>
      </c>
      <c r="AA1134" s="337" t="e">
        <f>VLOOKUP(Exome[[#This Row],[SID]],#REF!,2,FALSE)</f>
        <v>#REF!</v>
      </c>
      <c r="AB1134" s="237"/>
      <c r="AC1134" s="237"/>
    </row>
    <row r="1135" spans="2:29" ht="13.5" customHeight="1">
      <c r="B1135" s="339"/>
      <c r="C1135" s="237"/>
      <c r="D1135" s="263"/>
      <c r="E1135" s="237"/>
      <c r="F1135" s="237"/>
      <c r="G1135" s="255"/>
      <c r="H1135" s="237"/>
      <c r="I1135" s="237"/>
      <c r="J1135" s="237"/>
      <c r="K1135" s="240"/>
      <c r="L1135" s="243" t="s">
        <v>55</v>
      </c>
      <c r="M1135" s="237"/>
      <c r="N1135" s="237"/>
      <c r="O1135" s="237"/>
      <c r="P1135" s="237"/>
      <c r="Q1135" s="245" t="e">
        <f>VLOOKUP(Exome[[#This Row],[SID]],#REF!,2,FALSE)</f>
        <v>#REF!</v>
      </c>
      <c r="R1135" s="237"/>
      <c r="S1135" s="237"/>
      <c r="T1135" s="237"/>
      <c r="U1135" s="237"/>
      <c r="V1135" s="237"/>
      <c r="W1135" s="237"/>
      <c r="X1135" s="237"/>
      <c r="Y1135" s="237"/>
      <c r="Z1135" s="237" t="e">
        <f>VLOOKUP(Exome[[#This Row],[SID]],#REF!,2,FALSE)</f>
        <v>#REF!</v>
      </c>
      <c r="AA1135" s="337" t="e">
        <f>VLOOKUP(Exome[[#This Row],[SID]],#REF!,2,FALSE)</f>
        <v>#REF!</v>
      </c>
      <c r="AB1135" s="237"/>
      <c r="AC1135" s="237"/>
    </row>
    <row r="1136" spans="2:29" ht="13.5" customHeight="1">
      <c r="B1136" s="339"/>
      <c r="C1136" s="237"/>
      <c r="D1136" s="263"/>
      <c r="E1136" s="237"/>
      <c r="F1136" s="237"/>
      <c r="G1136" s="255"/>
      <c r="H1136" s="237"/>
      <c r="I1136" s="237"/>
      <c r="J1136" s="237"/>
      <c r="K1136" s="240"/>
      <c r="L1136" s="72" t="s">
        <v>16</v>
      </c>
      <c r="M1136" s="237"/>
      <c r="N1136" s="237"/>
      <c r="O1136" s="237"/>
      <c r="P1136" s="237"/>
      <c r="Q1136" s="245" t="e">
        <f>VLOOKUP(Exome[[#This Row],[SID]],#REF!,2,FALSE)</f>
        <v>#REF!</v>
      </c>
      <c r="R1136" s="237"/>
      <c r="S1136" s="237"/>
      <c r="T1136" s="237"/>
      <c r="U1136" s="237"/>
      <c r="V1136" s="237"/>
      <c r="W1136" s="237"/>
      <c r="X1136" s="237"/>
      <c r="Y1136" s="237"/>
      <c r="Z1136" s="237" t="e">
        <f>VLOOKUP(Exome[[#This Row],[SID]],#REF!,2,FALSE)</f>
        <v>#REF!</v>
      </c>
      <c r="AA1136" s="337" t="e">
        <f>VLOOKUP(Exome[[#This Row],[SID]],#REF!,2,FALSE)</f>
        <v>#REF!</v>
      </c>
      <c r="AB1136" s="237"/>
      <c r="AC1136" s="237"/>
    </row>
    <row r="1137" spans="2:29" ht="13.5" customHeight="1">
      <c r="B1137" s="339"/>
      <c r="C1137" s="237"/>
      <c r="D1137" s="263"/>
      <c r="E1137" s="237"/>
      <c r="F1137" s="237"/>
      <c r="G1137" s="255"/>
      <c r="H1137" s="237"/>
      <c r="I1137" s="237"/>
      <c r="J1137" s="237"/>
      <c r="K1137" s="240"/>
      <c r="L1137" s="243" t="s">
        <v>55</v>
      </c>
      <c r="M1137" s="237"/>
      <c r="N1137" s="237"/>
      <c r="O1137" s="237"/>
      <c r="P1137" s="237"/>
      <c r="Q1137" s="245" t="e">
        <f>VLOOKUP(Exome[[#This Row],[SID]],#REF!,2,FALSE)</f>
        <v>#REF!</v>
      </c>
      <c r="R1137" s="237"/>
      <c r="S1137" s="237"/>
      <c r="T1137" s="237"/>
      <c r="U1137" s="237"/>
      <c r="V1137" s="237"/>
      <c r="W1137" s="237"/>
      <c r="X1137" s="237"/>
      <c r="Y1137" s="237"/>
      <c r="Z1137" s="237" t="e">
        <f>VLOOKUP(Exome[[#This Row],[SID]],#REF!,2,FALSE)</f>
        <v>#REF!</v>
      </c>
      <c r="AA1137" s="337" t="e">
        <f>VLOOKUP(Exome[[#This Row],[SID]],#REF!,2,FALSE)</f>
        <v>#REF!</v>
      </c>
      <c r="AB1137" s="237"/>
      <c r="AC1137" s="237"/>
    </row>
    <row r="1138" spans="2:29" ht="13.5" customHeight="1">
      <c r="B1138" s="339"/>
      <c r="C1138" s="237"/>
      <c r="D1138" s="263"/>
      <c r="E1138" s="237"/>
      <c r="F1138" s="237"/>
      <c r="G1138" s="255"/>
      <c r="H1138" s="237"/>
      <c r="I1138" s="237"/>
      <c r="J1138" s="237"/>
      <c r="K1138" s="240"/>
      <c r="L1138" s="243" t="s">
        <v>55</v>
      </c>
      <c r="M1138" s="237"/>
      <c r="N1138" s="237"/>
      <c r="O1138" s="237"/>
      <c r="P1138" s="237"/>
      <c r="Q1138" s="245" t="e">
        <f>VLOOKUP(Exome[[#This Row],[SID]],#REF!,2,FALSE)</f>
        <v>#REF!</v>
      </c>
      <c r="R1138" s="237"/>
      <c r="S1138" s="237"/>
      <c r="T1138" s="237"/>
      <c r="U1138" s="237"/>
      <c r="V1138" s="237"/>
      <c r="W1138" s="237"/>
      <c r="X1138" s="237"/>
      <c r="Y1138" s="237"/>
      <c r="Z1138" s="237" t="e">
        <f>VLOOKUP(Exome[[#This Row],[SID]],#REF!,2,FALSE)</f>
        <v>#REF!</v>
      </c>
      <c r="AA1138" s="337" t="e">
        <f>VLOOKUP(Exome[[#This Row],[SID]],#REF!,2,FALSE)</f>
        <v>#REF!</v>
      </c>
      <c r="AB1138" s="237"/>
      <c r="AC1138" s="237"/>
    </row>
    <row r="1139" spans="2:29" ht="13.5" customHeight="1">
      <c r="B1139" s="339"/>
      <c r="C1139" s="237"/>
      <c r="D1139" s="263"/>
      <c r="E1139" s="237"/>
      <c r="F1139" s="237"/>
      <c r="G1139" s="255"/>
      <c r="H1139" s="237"/>
      <c r="I1139" s="237"/>
      <c r="J1139" s="237"/>
      <c r="K1139" s="240"/>
      <c r="L1139" s="72" t="s">
        <v>16</v>
      </c>
      <c r="M1139" s="237"/>
      <c r="N1139" s="237"/>
      <c r="O1139" s="237"/>
      <c r="P1139" s="237"/>
      <c r="Q1139" s="245" t="e">
        <f>VLOOKUP(Exome[[#This Row],[SID]],#REF!,2,FALSE)</f>
        <v>#REF!</v>
      </c>
      <c r="R1139" s="237"/>
      <c r="S1139" s="237"/>
      <c r="T1139" s="237"/>
      <c r="U1139" s="237"/>
      <c r="V1139" s="237"/>
      <c r="W1139" s="237"/>
      <c r="X1139" s="237"/>
      <c r="Y1139" s="237"/>
      <c r="Z1139" s="237" t="e">
        <f>VLOOKUP(Exome[[#This Row],[SID]],#REF!,2,FALSE)</f>
        <v>#REF!</v>
      </c>
      <c r="AA1139" s="337" t="e">
        <f>VLOOKUP(Exome[[#This Row],[SID]],#REF!,2,FALSE)</f>
        <v>#REF!</v>
      </c>
      <c r="AB1139" s="237"/>
      <c r="AC1139" s="237"/>
    </row>
    <row r="1140" spans="2:29" ht="13.5" customHeight="1">
      <c r="B1140" s="339"/>
      <c r="C1140" s="237"/>
      <c r="D1140" s="263"/>
      <c r="E1140" s="237"/>
      <c r="F1140" s="237"/>
      <c r="G1140" s="255"/>
      <c r="H1140" s="237"/>
      <c r="I1140" s="237"/>
      <c r="J1140" s="237"/>
      <c r="K1140" s="240"/>
      <c r="L1140" s="72" t="s">
        <v>16</v>
      </c>
      <c r="M1140" s="237"/>
      <c r="N1140" s="237"/>
      <c r="O1140" s="237"/>
      <c r="P1140" s="237"/>
      <c r="Q1140" s="245" t="e">
        <f>VLOOKUP(Exome[[#This Row],[SID]],#REF!,2,FALSE)</f>
        <v>#REF!</v>
      </c>
      <c r="R1140" s="237"/>
      <c r="S1140" s="237"/>
      <c r="T1140" s="237"/>
      <c r="U1140" s="237"/>
      <c r="V1140" s="237"/>
      <c r="W1140" s="237"/>
      <c r="X1140" s="237"/>
      <c r="Y1140" s="237"/>
      <c r="Z1140" s="237" t="e">
        <f>VLOOKUP(Exome[[#This Row],[SID]],#REF!,2,FALSE)</f>
        <v>#REF!</v>
      </c>
      <c r="AA1140" s="337" t="e">
        <f>VLOOKUP(Exome[[#This Row],[SID]],#REF!,2,FALSE)</f>
        <v>#REF!</v>
      </c>
      <c r="AB1140" s="237"/>
      <c r="AC1140" s="237"/>
    </row>
    <row r="1141" spans="2:29" ht="13.5" customHeight="1">
      <c r="B1141" s="339"/>
      <c r="C1141" s="237"/>
      <c r="D1141" s="263"/>
      <c r="E1141" s="237"/>
      <c r="F1141" s="237"/>
      <c r="G1141" s="255"/>
      <c r="H1141" s="237"/>
      <c r="I1141" s="237"/>
      <c r="J1141" s="237"/>
      <c r="K1141" s="240"/>
      <c r="L1141" s="72" t="s">
        <v>45</v>
      </c>
      <c r="M1141" s="237"/>
      <c r="N1141" s="237"/>
      <c r="O1141" s="237"/>
      <c r="P1141" s="237"/>
      <c r="Q1141" s="245" t="e">
        <f>VLOOKUP(Exome[[#This Row],[SID]],#REF!,2,FALSE)</f>
        <v>#REF!</v>
      </c>
      <c r="R1141" s="237"/>
      <c r="S1141" s="237"/>
      <c r="T1141" s="237"/>
      <c r="U1141" s="237"/>
      <c r="V1141" s="237"/>
      <c r="W1141" s="237"/>
      <c r="X1141" s="237"/>
      <c r="Y1141" s="237"/>
      <c r="Z1141" s="237" t="e">
        <f>VLOOKUP(Exome[[#This Row],[SID]],#REF!,2,FALSE)</f>
        <v>#REF!</v>
      </c>
      <c r="AA1141" s="337" t="e">
        <f>VLOOKUP(Exome[[#This Row],[SID]],#REF!,2,FALSE)</f>
        <v>#REF!</v>
      </c>
      <c r="AB1141" s="237"/>
      <c r="AC1141" s="237"/>
    </row>
    <row r="1142" spans="2:29" ht="13.5" customHeight="1">
      <c r="B1142" s="339"/>
      <c r="C1142" s="237"/>
      <c r="D1142" s="263"/>
      <c r="E1142" s="237"/>
      <c r="F1142" s="237"/>
      <c r="G1142" s="255"/>
      <c r="H1142" s="237"/>
      <c r="I1142" s="237"/>
      <c r="J1142" s="237"/>
      <c r="K1142" s="240"/>
      <c r="L1142" s="243" t="s">
        <v>55</v>
      </c>
      <c r="M1142" s="237"/>
      <c r="N1142" s="237"/>
      <c r="O1142" s="237"/>
      <c r="P1142" s="237"/>
      <c r="Q1142" s="245" t="e">
        <f>VLOOKUP(Exome[[#This Row],[SID]],#REF!,2,FALSE)</f>
        <v>#REF!</v>
      </c>
      <c r="R1142" s="237"/>
      <c r="S1142" s="237"/>
      <c r="T1142" s="237"/>
      <c r="U1142" s="237"/>
      <c r="V1142" s="237"/>
      <c r="W1142" s="237"/>
      <c r="X1142" s="237"/>
      <c r="Y1142" s="237"/>
      <c r="Z1142" s="237" t="e">
        <f>VLOOKUP(Exome[[#This Row],[SID]],#REF!,2,FALSE)</f>
        <v>#REF!</v>
      </c>
      <c r="AA1142" s="337" t="e">
        <f>VLOOKUP(Exome[[#This Row],[SID]],#REF!,2,FALSE)</f>
        <v>#REF!</v>
      </c>
      <c r="AB1142" s="237"/>
      <c r="AC1142" s="237"/>
    </row>
    <row r="1143" spans="2:29" ht="13.5" customHeight="1">
      <c r="B1143" s="339"/>
      <c r="C1143" s="237"/>
      <c r="D1143" s="263"/>
      <c r="E1143" s="237"/>
      <c r="F1143" s="237"/>
      <c r="G1143" s="255"/>
      <c r="H1143" s="237"/>
      <c r="I1143" s="237"/>
      <c r="J1143" s="237"/>
      <c r="K1143" s="240"/>
      <c r="L1143" s="72" t="s">
        <v>49</v>
      </c>
      <c r="M1143" s="237"/>
      <c r="N1143" s="237"/>
      <c r="O1143" s="237"/>
      <c r="P1143" s="237"/>
      <c r="Q1143" s="245" t="e">
        <f>VLOOKUP(Exome[[#This Row],[SID]],#REF!,2,FALSE)</f>
        <v>#REF!</v>
      </c>
      <c r="R1143" s="237"/>
      <c r="S1143" s="237"/>
      <c r="T1143" s="237"/>
      <c r="U1143" s="237"/>
      <c r="V1143" s="237"/>
      <c r="W1143" s="237"/>
      <c r="X1143" s="237"/>
      <c r="Y1143" s="237"/>
      <c r="Z1143" s="237" t="e">
        <f>VLOOKUP(Exome[[#This Row],[SID]],#REF!,2,FALSE)</f>
        <v>#REF!</v>
      </c>
      <c r="AA1143" s="337" t="e">
        <f>VLOOKUP(Exome[[#This Row],[SID]],#REF!,2,FALSE)</f>
        <v>#REF!</v>
      </c>
      <c r="AB1143" s="237"/>
      <c r="AC1143" s="237"/>
    </row>
    <row r="1144" spans="2:29" ht="13.5" customHeight="1">
      <c r="B1144" s="339"/>
      <c r="C1144" s="237"/>
      <c r="D1144" s="263"/>
      <c r="E1144" s="237"/>
      <c r="F1144" s="237"/>
      <c r="G1144" s="255"/>
      <c r="H1144" s="237"/>
      <c r="I1144" s="237"/>
      <c r="J1144" s="237"/>
      <c r="K1144" s="240"/>
      <c r="L1144" s="72" t="s">
        <v>42</v>
      </c>
      <c r="M1144" s="237"/>
      <c r="N1144" s="237"/>
      <c r="O1144" s="237"/>
      <c r="P1144" s="237"/>
      <c r="Q1144" s="245" t="e">
        <f>VLOOKUP(Exome[[#This Row],[SID]],#REF!,2,FALSE)</f>
        <v>#REF!</v>
      </c>
      <c r="R1144" s="237"/>
      <c r="S1144" s="237"/>
      <c r="T1144" s="237"/>
      <c r="U1144" s="237"/>
      <c r="V1144" s="237"/>
      <c r="W1144" s="237"/>
      <c r="X1144" s="237"/>
      <c r="Y1144" s="237"/>
      <c r="Z1144" s="237" t="e">
        <f>VLOOKUP(Exome[[#This Row],[SID]],#REF!,2,FALSE)</f>
        <v>#REF!</v>
      </c>
      <c r="AA1144" s="337" t="e">
        <f>VLOOKUP(Exome[[#This Row],[SID]],#REF!,2,FALSE)</f>
        <v>#REF!</v>
      </c>
      <c r="AB1144" s="237"/>
      <c r="AC1144" s="237"/>
    </row>
    <row r="1145" spans="2:29" ht="13.5" customHeight="1">
      <c r="B1145" s="339"/>
      <c r="C1145" s="237"/>
      <c r="D1145" s="263"/>
      <c r="E1145" s="237"/>
      <c r="F1145" s="237"/>
      <c r="G1145" s="255"/>
      <c r="H1145" s="237"/>
      <c r="I1145" s="237"/>
      <c r="J1145" s="237"/>
      <c r="K1145" s="240"/>
      <c r="L1145" s="243" t="s">
        <v>20</v>
      </c>
      <c r="M1145" s="237"/>
      <c r="N1145" s="237"/>
      <c r="O1145" s="237"/>
      <c r="P1145" s="237"/>
      <c r="Q1145" s="245" t="e">
        <f>VLOOKUP(Exome[[#This Row],[SID]],#REF!,2,FALSE)</f>
        <v>#REF!</v>
      </c>
      <c r="R1145" s="237"/>
      <c r="S1145" s="237"/>
      <c r="T1145" s="237"/>
      <c r="U1145" s="237"/>
      <c r="V1145" s="237"/>
      <c r="W1145" s="237"/>
      <c r="X1145" s="237"/>
      <c r="Y1145" s="237"/>
      <c r="Z1145" s="237" t="e">
        <f>VLOOKUP(Exome[[#This Row],[SID]],#REF!,2,FALSE)</f>
        <v>#REF!</v>
      </c>
      <c r="AA1145" s="337" t="e">
        <f>VLOOKUP(Exome[[#This Row],[SID]],#REF!,2,FALSE)</f>
        <v>#REF!</v>
      </c>
      <c r="AB1145" s="237"/>
      <c r="AC1145" s="237"/>
    </row>
    <row r="1146" spans="2:29" ht="13.5" customHeight="1">
      <c r="B1146" s="339"/>
      <c r="C1146" s="237"/>
      <c r="D1146" s="263"/>
      <c r="E1146" s="237"/>
      <c r="F1146" s="237"/>
      <c r="G1146" s="255"/>
      <c r="H1146" s="237"/>
      <c r="I1146" s="237"/>
      <c r="J1146" s="237"/>
      <c r="K1146" s="240"/>
      <c r="L1146" s="243" t="s">
        <v>20</v>
      </c>
      <c r="M1146" s="237"/>
      <c r="N1146" s="237"/>
      <c r="O1146" s="237"/>
      <c r="P1146" s="237"/>
      <c r="Q1146" s="245" t="e">
        <f>VLOOKUP(Exome[[#This Row],[SID]],#REF!,2,FALSE)</f>
        <v>#REF!</v>
      </c>
      <c r="R1146" s="237"/>
      <c r="S1146" s="237"/>
      <c r="T1146" s="237"/>
      <c r="U1146" s="237"/>
      <c r="V1146" s="237"/>
      <c r="W1146" s="237"/>
      <c r="X1146" s="237"/>
      <c r="Y1146" s="237"/>
      <c r="Z1146" s="237" t="e">
        <f>VLOOKUP(Exome[[#This Row],[SID]],#REF!,2,FALSE)</f>
        <v>#REF!</v>
      </c>
      <c r="AA1146" s="337" t="e">
        <f>VLOOKUP(Exome[[#This Row],[SID]],#REF!,2,FALSE)</f>
        <v>#REF!</v>
      </c>
      <c r="AB1146" s="237"/>
      <c r="AC1146" s="237"/>
    </row>
    <row r="1147" spans="2:29" ht="13.5" customHeight="1">
      <c r="B1147" s="339"/>
      <c r="C1147" s="237"/>
      <c r="D1147" s="263"/>
      <c r="E1147" s="237"/>
      <c r="F1147" s="237"/>
      <c r="G1147" s="255"/>
      <c r="H1147" s="237"/>
      <c r="I1147" s="237"/>
      <c r="J1147" s="237"/>
      <c r="K1147" s="240"/>
      <c r="L1147" s="72" t="s">
        <v>13</v>
      </c>
      <c r="M1147" s="237"/>
      <c r="N1147" s="237"/>
      <c r="O1147" s="237"/>
      <c r="P1147" s="237"/>
      <c r="Q1147" s="245" t="e">
        <f>VLOOKUP(Exome[[#This Row],[SID]],#REF!,2,FALSE)</f>
        <v>#REF!</v>
      </c>
      <c r="R1147" s="237"/>
      <c r="S1147" s="237"/>
      <c r="T1147" s="237"/>
      <c r="U1147" s="237"/>
      <c r="V1147" s="237"/>
      <c r="W1147" s="237"/>
      <c r="X1147" s="237"/>
      <c r="Y1147" s="237"/>
      <c r="Z1147" s="237" t="e">
        <f>VLOOKUP(Exome[[#This Row],[SID]],#REF!,2,FALSE)</f>
        <v>#REF!</v>
      </c>
      <c r="AA1147" s="337" t="e">
        <f>VLOOKUP(Exome[[#This Row],[SID]],#REF!,2,FALSE)</f>
        <v>#REF!</v>
      </c>
      <c r="AB1147" s="237"/>
      <c r="AC1147" s="237"/>
    </row>
    <row r="1148" spans="2:29" ht="13.5" customHeight="1">
      <c r="B1148" s="339"/>
      <c r="C1148" s="237"/>
      <c r="D1148" s="263"/>
      <c r="E1148" s="237"/>
      <c r="F1148" s="237"/>
      <c r="G1148" s="255"/>
      <c r="H1148" s="237"/>
      <c r="I1148" s="237"/>
      <c r="J1148" s="237"/>
      <c r="K1148" s="240"/>
      <c r="L1148" s="243" t="s">
        <v>93</v>
      </c>
      <c r="M1148" s="237"/>
      <c r="N1148" s="237"/>
      <c r="O1148" s="237"/>
      <c r="P1148" s="237"/>
      <c r="Q1148" s="245" t="e">
        <f>VLOOKUP(Exome[[#This Row],[SID]],#REF!,2,FALSE)</f>
        <v>#REF!</v>
      </c>
      <c r="R1148" s="237"/>
      <c r="S1148" s="237"/>
      <c r="T1148" s="237"/>
      <c r="U1148" s="237"/>
      <c r="V1148" s="237"/>
      <c r="W1148" s="237"/>
      <c r="X1148" s="237"/>
      <c r="Y1148" s="237"/>
      <c r="Z1148" s="237" t="e">
        <f>VLOOKUP(Exome[[#This Row],[SID]],#REF!,2,FALSE)</f>
        <v>#REF!</v>
      </c>
      <c r="AA1148" s="337" t="e">
        <f>VLOOKUP(Exome[[#This Row],[SID]],#REF!,2,FALSE)</f>
        <v>#REF!</v>
      </c>
      <c r="AB1148" s="237"/>
      <c r="AC1148" s="237"/>
    </row>
    <row r="1149" spans="2:29" ht="13.5" customHeight="1">
      <c r="B1149" s="339"/>
      <c r="C1149" s="237"/>
      <c r="D1149" s="263"/>
      <c r="E1149" s="237"/>
      <c r="F1149" s="237"/>
      <c r="G1149" s="255"/>
      <c r="H1149" s="237"/>
      <c r="I1149" s="237"/>
      <c r="J1149" s="237"/>
      <c r="K1149" s="240"/>
      <c r="L1149" s="72" t="s">
        <v>16</v>
      </c>
      <c r="M1149" s="237"/>
      <c r="N1149" s="237"/>
      <c r="O1149" s="237"/>
      <c r="P1149" s="237"/>
      <c r="Q1149" s="245" t="e">
        <f>VLOOKUP(Exome[[#This Row],[SID]],#REF!,2,FALSE)</f>
        <v>#REF!</v>
      </c>
      <c r="R1149" s="237"/>
      <c r="S1149" s="237"/>
      <c r="T1149" s="237"/>
      <c r="U1149" s="237"/>
      <c r="V1149" s="237"/>
      <c r="W1149" s="237"/>
      <c r="X1149" s="237"/>
      <c r="Y1149" s="237"/>
      <c r="Z1149" s="237" t="e">
        <f>VLOOKUP(Exome[[#This Row],[SID]],#REF!,2,FALSE)</f>
        <v>#REF!</v>
      </c>
      <c r="AA1149" s="337" t="e">
        <f>VLOOKUP(Exome[[#This Row],[SID]],#REF!,2,FALSE)</f>
        <v>#REF!</v>
      </c>
      <c r="AB1149" s="237"/>
      <c r="AC1149" s="237"/>
    </row>
    <row r="1150" spans="2:29" ht="13.5" customHeight="1">
      <c r="B1150" s="339"/>
      <c r="C1150" s="237"/>
      <c r="D1150" s="263"/>
      <c r="E1150" s="237"/>
      <c r="F1150" s="237"/>
      <c r="G1150" s="255"/>
      <c r="H1150" s="237"/>
      <c r="I1150" s="237"/>
      <c r="J1150" s="237"/>
      <c r="K1150" s="240"/>
      <c r="L1150" s="72" t="s">
        <v>49</v>
      </c>
      <c r="M1150" s="237"/>
      <c r="N1150" s="237"/>
      <c r="O1150" s="237"/>
      <c r="P1150" s="237"/>
      <c r="Q1150" s="245" t="e">
        <f>VLOOKUP(Exome[[#This Row],[SID]],#REF!,2,FALSE)</f>
        <v>#REF!</v>
      </c>
      <c r="R1150" s="237"/>
      <c r="S1150" s="237"/>
      <c r="T1150" s="237"/>
      <c r="U1150" s="237"/>
      <c r="V1150" s="237"/>
      <c r="W1150" s="237"/>
      <c r="X1150" s="237"/>
      <c r="Y1150" s="237"/>
      <c r="Z1150" s="237" t="e">
        <f>VLOOKUP(Exome[[#This Row],[SID]],#REF!,2,FALSE)</f>
        <v>#REF!</v>
      </c>
      <c r="AA1150" s="337" t="e">
        <f>VLOOKUP(Exome[[#This Row],[SID]],#REF!,2,FALSE)</f>
        <v>#REF!</v>
      </c>
      <c r="AB1150" s="237"/>
      <c r="AC1150" s="237"/>
    </row>
    <row r="1151" spans="2:29" ht="13.5" customHeight="1">
      <c r="B1151" s="339"/>
      <c r="C1151" s="237"/>
      <c r="D1151" s="263"/>
      <c r="E1151" s="237"/>
      <c r="F1151" s="237"/>
      <c r="G1151" s="255"/>
      <c r="H1151" s="237"/>
      <c r="I1151" s="237"/>
      <c r="J1151" s="237"/>
      <c r="K1151" s="240"/>
      <c r="L1151" s="72" t="s">
        <v>65</v>
      </c>
      <c r="M1151" s="237"/>
      <c r="N1151" s="237"/>
      <c r="O1151" s="237"/>
      <c r="P1151" s="237"/>
      <c r="Q1151" s="245" t="e">
        <f>VLOOKUP(Exome[[#This Row],[SID]],#REF!,2,FALSE)</f>
        <v>#REF!</v>
      </c>
      <c r="R1151" s="237"/>
      <c r="S1151" s="237"/>
      <c r="T1151" s="237"/>
      <c r="U1151" s="237"/>
      <c r="V1151" s="237"/>
      <c r="W1151" s="237"/>
      <c r="X1151" s="237"/>
      <c r="Y1151" s="237"/>
      <c r="Z1151" s="237" t="e">
        <f>VLOOKUP(Exome[[#This Row],[SID]],#REF!,2,FALSE)</f>
        <v>#REF!</v>
      </c>
      <c r="AA1151" s="337" t="e">
        <f>VLOOKUP(Exome[[#This Row],[SID]],#REF!,2,FALSE)</f>
        <v>#REF!</v>
      </c>
      <c r="AB1151" s="237"/>
      <c r="AC1151" s="237"/>
    </row>
    <row r="1152" spans="2:29" ht="13.5" customHeight="1">
      <c r="B1152" s="339"/>
      <c r="C1152" s="237"/>
      <c r="D1152" s="263"/>
      <c r="E1152" s="237"/>
      <c r="F1152" s="237"/>
      <c r="G1152" s="255"/>
      <c r="H1152" s="237"/>
      <c r="I1152" s="237"/>
      <c r="J1152" s="237"/>
      <c r="K1152" s="240"/>
      <c r="L1152" s="72" t="s">
        <v>45</v>
      </c>
      <c r="M1152" s="237"/>
      <c r="N1152" s="237"/>
      <c r="O1152" s="237"/>
      <c r="P1152" s="237"/>
      <c r="Q1152" s="245" t="e">
        <f>VLOOKUP(Exome[[#This Row],[SID]],#REF!,2,FALSE)</f>
        <v>#REF!</v>
      </c>
      <c r="R1152" s="237"/>
      <c r="S1152" s="237"/>
      <c r="T1152" s="237"/>
      <c r="U1152" s="237"/>
      <c r="V1152" s="237"/>
      <c r="W1152" s="237"/>
      <c r="X1152" s="237"/>
      <c r="Y1152" s="237"/>
      <c r="Z1152" s="237" t="e">
        <f>VLOOKUP(Exome[[#This Row],[SID]],#REF!,2,FALSE)</f>
        <v>#REF!</v>
      </c>
      <c r="AA1152" s="337" t="e">
        <f>VLOOKUP(Exome[[#This Row],[SID]],#REF!,2,FALSE)</f>
        <v>#REF!</v>
      </c>
      <c r="AB1152" s="237"/>
      <c r="AC1152" s="237"/>
    </row>
    <row r="1153" spans="2:29" ht="13.5" customHeight="1">
      <c r="B1153" s="339"/>
      <c r="C1153" s="237"/>
      <c r="D1153" s="263"/>
      <c r="E1153" s="237"/>
      <c r="F1153" s="237"/>
      <c r="G1153" s="255"/>
      <c r="H1153" s="237"/>
      <c r="I1153" s="237"/>
      <c r="J1153" s="237"/>
      <c r="K1153" s="240"/>
      <c r="L1153" s="72" t="s">
        <v>45</v>
      </c>
      <c r="M1153" s="237"/>
      <c r="N1153" s="237"/>
      <c r="O1153" s="237"/>
      <c r="P1153" s="237"/>
      <c r="Q1153" s="245" t="e">
        <f>VLOOKUP(Exome[[#This Row],[SID]],#REF!,2,FALSE)</f>
        <v>#REF!</v>
      </c>
      <c r="R1153" s="237"/>
      <c r="S1153" s="237"/>
      <c r="T1153" s="237"/>
      <c r="U1153" s="237"/>
      <c r="V1153" s="237"/>
      <c r="W1153" s="237"/>
      <c r="X1153" s="237"/>
      <c r="Y1153" s="237"/>
      <c r="Z1153" s="237" t="e">
        <f>VLOOKUP(Exome[[#This Row],[SID]],#REF!,2,FALSE)</f>
        <v>#REF!</v>
      </c>
      <c r="AA1153" s="337" t="e">
        <f>VLOOKUP(Exome[[#This Row],[SID]],#REF!,2,FALSE)</f>
        <v>#REF!</v>
      </c>
      <c r="AB1153" s="237"/>
      <c r="AC1153" s="237"/>
    </row>
    <row r="1154" spans="2:29" ht="13.5" customHeight="1">
      <c r="B1154" s="339"/>
      <c r="C1154" s="237"/>
      <c r="D1154" s="263"/>
      <c r="E1154" s="237"/>
      <c r="F1154" s="237"/>
      <c r="G1154" s="255"/>
      <c r="H1154" s="237"/>
      <c r="I1154" s="237"/>
      <c r="J1154" s="237"/>
      <c r="K1154" s="240"/>
      <c r="L1154" s="243" t="s">
        <v>1357</v>
      </c>
      <c r="M1154" s="237"/>
      <c r="N1154" s="237"/>
      <c r="O1154" s="237"/>
      <c r="P1154" s="237"/>
      <c r="Q1154" s="245" t="e">
        <f>VLOOKUP(Exome[[#This Row],[SID]],#REF!,2,FALSE)</f>
        <v>#REF!</v>
      </c>
      <c r="R1154" s="237"/>
      <c r="S1154" s="237"/>
      <c r="T1154" s="237"/>
      <c r="U1154" s="237"/>
      <c r="V1154" s="237"/>
      <c r="W1154" s="237"/>
      <c r="X1154" s="237"/>
      <c r="Y1154" s="237"/>
      <c r="Z1154" s="237" t="e">
        <f>VLOOKUP(Exome[[#This Row],[SID]],#REF!,2,FALSE)</f>
        <v>#REF!</v>
      </c>
      <c r="AA1154" s="337" t="e">
        <f>VLOOKUP(Exome[[#This Row],[SID]],#REF!,2,FALSE)</f>
        <v>#REF!</v>
      </c>
      <c r="AB1154" s="237"/>
      <c r="AC1154" s="237"/>
    </row>
    <row r="1155" spans="2:29" ht="13.5" customHeight="1">
      <c r="B1155" s="339"/>
      <c r="C1155" s="237"/>
      <c r="D1155" s="263"/>
      <c r="E1155" s="237"/>
      <c r="F1155" s="237"/>
      <c r="G1155" s="255"/>
      <c r="H1155" s="237"/>
      <c r="I1155" s="237"/>
      <c r="J1155" s="237"/>
      <c r="K1155" s="240"/>
      <c r="L1155" s="72" t="s">
        <v>45</v>
      </c>
      <c r="M1155" s="237"/>
      <c r="N1155" s="237"/>
      <c r="O1155" s="237"/>
      <c r="P1155" s="237"/>
      <c r="Q1155" s="245" t="e">
        <f>VLOOKUP(Exome[[#This Row],[SID]],#REF!,2,FALSE)</f>
        <v>#REF!</v>
      </c>
      <c r="R1155" s="237"/>
      <c r="S1155" s="237"/>
      <c r="T1155" s="237"/>
      <c r="U1155" s="237"/>
      <c r="V1155" s="237"/>
      <c r="W1155" s="237"/>
      <c r="X1155" s="237"/>
      <c r="Y1155" s="237"/>
      <c r="Z1155" s="237" t="e">
        <f>VLOOKUP(Exome[[#This Row],[SID]],#REF!,2,FALSE)</f>
        <v>#REF!</v>
      </c>
      <c r="AA1155" s="337" t="e">
        <f>VLOOKUP(Exome[[#This Row],[SID]],#REF!,2,FALSE)</f>
        <v>#REF!</v>
      </c>
      <c r="AB1155" s="237"/>
      <c r="AC1155" s="237"/>
    </row>
    <row r="1156" spans="2:29" ht="13.5" customHeight="1">
      <c r="B1156" s="339"/>
      <c r="C1156" s="237"/>
      <c r="D1156" s="263"/>
      <c r="E1156" s="237"/>
      <c r="F1156" s="237"/>
      <c r="G1156" s="255"/>
      <c r="H1156" s="237"/>
      <c r="I1156" s="237"/>
      <c r="J1156" s="237"/>
      <c r="K1156" s="240"/>
      <c r="L1156" s="72" t="s">
        <v>16</v>
      </c>
      <c r="M1156" s="237"/>
      <c r="N1156" s="237"/>
      <c r="O1156" s="237"/>
      <c r="P1156" s="237"/>
      <c r="Q1156" s="245" t="e">
        <f>VLOOKUP(Exome[[#This Row],[SID]],#REF!,2,FALSE)</f>
        <v>#REF!</v>
      </c>
      <c r="R1156" s="237"/>
      <c r="S1156" s="237"/>
      <c r="T1156" s="237"/>
      <c r="U1156" s="237"/>
      <c r="V1156" s="237"/>
      <c r="W1156" s="237"/>
      <c r="X1156" s="237"/>
      <c r="Y1156" s="237"/>
      <c r="Z1156" s="237" t="e">
        <f>VLOOKUP(Exome[[#This Row],[SID]],#REF!,2,FALSE)</f>
        <v>#REF!</v>
      </c>
      <c r="AA1156" s="337" t="e">
        <f>VLOOKUP(Exome[[#This Row],[SID]],#REF!,2,FALSE)</f>
        <v>#REF!</v>
      </c>
      <c r="AB1156" s="237"/>
      <c r="AC1156" s="237"/>
    </row>
    <row r="1157" spans="2:29" ht="13.5" customHeight="1">
      <c r="B1157" s="339"/>
      <c r="C1157" s="237"/>
      <c r="D1157" s="263"/>
      <c r="E1157" s="237"/>
      <c r="F1157" s="237"/>
      <c r="G1157" s="255"/>
      <c r="H1157" s="237"/>
      <c r="I1157" s="237"/>
      <c r="J1157" s="237"/>
      <c r="K1157" s="240"/>
      <c r="L1157" s="72" t="s">
        <v>16</v>
      </c>
      <c r="M1157" s="237"/>
      <c r="N1157" s="237"/>
      <c r="O1157" s="237"/>
      <c r="P1157" s="237"/>
      <c r="Q1157" s="245" t="e">
        <f>VLOOKUP(Exome[[#This Row],[SID]],#REF!,2,FALSE)</f>
        <v>#REF!</v>
      </c>
      <c r="R1157" s="237"/>
      <c r="S1157" s="237"/>
      <c r="T1157" s="237"/>
      <c r="U1157" s="237"/>
      <c r="V1157" s="237"/>
      <c r="W1157" s="237"/>
      <c r="X1157" s="237"/>
      <c r="Y1157" s="237"/>
      <c r="Z1157" s="237" t="e">
        <f>VLOOKUP(Exome[[#This Row],[SID]],#REF!,2,FALSE)</f>
        <v>#REF!</v>
      </c>
      <c r="AA1157" s="337" t="e">
        <f>VLOOKUP(Exome[[#This Row],[SID]],#REF!,2,FALSE)</f>
        <v>#REF!</v>
      </c>
      <c r="AB1157" s="237"/>
      <c r="AC1157" s="237"/>
    </row>
    <row r="1158" spans="2:29" ht="13.5" customHeight="1">
      <c r="B1158" s="339"/>
      <c r="C1158" s="237"/>
      <c r="D1158" s="263"/>
      <c r="E1158" s="237"/>
      <c r="F1158" s="237"/>
      <c r="G1158" s="255"/>
      <c r="H1158" s="237"/>
      <c r="I1158" s="237"/>
      <c r="J1158" s="237"/>
      <c r="K1158" s="240"/>
      <c r="L1158" s="72" t="s">
        <v>45</v>
      </c>
      <c r="M1158" s="237"/>
      <c r="N1158" s="237"/>
      <c r="O1158" s="237"/>
      <c r="P1158" s="237"/>
      <c r="Q1158" s="245" t="e">
        <f>VLOOKUP(Exome[[#This Row],[SID]],#REF!,2,FALSE)</f>
        <v>#REF!</v>
      </c>
      <c r="R1158" s="237"/>
      <c r="S1158" s="237"/>
      <c r="T1158" s="237"/>
      <c r="U1158" s="237"/>
      <c r="V1158" s="237"/>
      <c r="W1158" s="237"/>
      <c r="X1158" s="237"/>
      <c r="Y1158" s="237"/>
      <c r="Z1158" s="237" t="e">
        <f>VLOOKUP(Exome[[#This Row],[SID]],#REF!,2,FALSE)</f>
        <v>#REF!</v>
      </c>
      <c r="AA1158" s="337" t="e">
        <f>VLOOKUP(Exome[[#This Row],[SID]],#REF!,2,FALSE)</f>
        <v>#REF!</v>
      </c>
      <c r="AB1158" s="237"/>
      <c r="AC1158" s="237"/>
    </row>
    <row r="1159" spans="2:29" ht="13.5" customHeight="1">
      <c r="B1159" s="339"/>
      <c r="C1159" s="237"/>
      <c r="D1159" s="263"/>
      <c r="E1159" s="237"/>
      <c r="F1159" s="237"/>
      <c r="G1159" s="255"/>
      <c r="H1159" s="237"/>
      <c r="I1159" s="237"/>
      <c r="J1159" s="237"/>
      <c r="K1159" s="240"/>
      <c r="L1159" s="72" t="s">
        <v>65</v>
      </c>
      <c r="M1159" s="237"/>
      <c r="N1159" s="237"/>
      <c r="O1159" s="237"/>
      <c r="P1159" s="237"/>
      <c r="Q1159" s="245" t="e">
        <f>VLOOKUP(Exome[[#This Row],[SID]],#REF!,2,FALSE)</f>
        <v>#REF!</v>
      </c>
      <c r="R1159" s="237"/>
      <c r="S1159" s="237"/>
      <c r="T1159" s="237"/>
      <c r="U1159" s="237"/>
      <c r="V1159" s="237"/>
      <c r="W1159" s="237"/>
      <c r="X1159" s="237"/>
      <c r="Y1159" s="237"/>
      <c r="Z1159" s="237" t="e">
        <f>VLOOKUP(Exome[[#This Row],[SID]],#REF!,2,FALSE)</f>
        <v>#REF!</v>
      </c>
      <c r="AA1159" s="337" t="e">
        <f>VLOOKUP(Exome[[#This Row],[SID]],#REF!,2,FALSE)</f>
        <v>#REF!</v>
      </c>
      <c r="AB1159" s="237"/>
      <c r="AC1159" s="237"/>
    </row>
    <row r="1160" spans="2:29" ht="13.5" customHeight="1">
      <c r="B1160" s="339"/>
      <c r="C1160" s="237"/>
      <c r="D1160" s="263"/>
      <c r="E1160" s="237"/>
      <c r="F1160" s="237"/>
      <c r="G1160" s="255"/>
      <c r="H1160" s="237"/>
      <c r="I1160" s="237"/>
      <c r="J1160" s="237"/>
      <c r="K1160" s="240"/>
      <c r="L1160" s="72" t="s">
        <v>19</v>
      </c>
      <c r="M1160" s="237"/>
      <c r="N1160" s="237"/>
      <c r="O1160" s="237"/>
      <c r="P1160" s="237"/>
      <c r="Q1160" s="245" t="e">
        <f>VLOOKUP(Exome[[#This Row],[SID]],#REF!,2,FALSE)</f>
        <v>#REF!</v>
      </c>
      <c r="R1160" s="237"/>
      <c r="S1160" s="237"/>
      <c r="T1160" s="237"/>
      <c r="U1160" s="237"/>
      <c r="V1160" s="237"/>
      <c r="W1160" s="237"/>
      <c r="X1160" s="237"/>
      <c r="Y1160" s="237"/>
      <c r="Z1160" s="237" t="e">
        <f>VLOOKUP(Exome[[#This Row],[SID]],#REF!,2,FALSE)</f>
        <v>#REF!</v>
      </c>
      <c r="AA1160" s="337" t="e">
        <f>VLOOKUP(Exome[[#This Row],[SID]],#REF!,2,FALSE)</f>
        <v>#REF!</v>
      </c>
      <c r="AB1160" s="237"/>
      <c r="AC1160" s="237"/>
    </row>
    <row r="1161" spans="2:29" ht="13.5" customHeight="1">
      <c r="B1161" s="339"/>
      <c r="C1161" s="237"/>
      <c r="D1161" s="263"/>
      <c r="E1161" s="237"/>
      <c r="F1161" s="237"/>
      <c r="G1161" s="255"/>
      <c r="H1161" s="237"/>
      <c r="I1161" s="237"/>
      <c r="J1161" s="237"/>
      <c r="K1161" s="240"/>
      <c r="L1161" s="72" t="s">
        <v>45</v>
      </c>
      <c r="M1161" s="237"/>
      <c r="N1161" s="237"/>
      <c r="O1161" s="237"/>
      <c r="P1161" s="237"/>
      <c r="Q1161" s="245" t="e">
        <f>VLOOKUP(Exome[[#This Row],[SID]],#REF!,2,FALSE)</f>
        <v>#REF!</v>
      </c>
      <c r="R1161" s="237"/>
      <c r="S1161" s="237"/>
      <c r="T1161" s="237"/>
      <c r="U1161" s="237"/>
      <c r="V1161" s="237"/>
      <c r="W1161" s="237"/>
      <c r="X1161" s="237"/>
      <c r="Y1161" s="237"/>
      <c r="Z1161" s="237" t="e">
        <f>VLOOKUP(Exome[[#This Row],[SID]],#REF!,2,FALSE)</f>
        <v>#REF!</v>
      </c>
      <c r="AA1161" s="337" t="e">
        <f>VLOOKUP(Exome[[#This Row],[SID]],#REF!,2,FALSE)</f>
        <v>#REF!</v>
      </c>
      <c r="AB1161" s="237"/>
      <c r="AC1161" s="237"/>
    </row>
    <row r="1162" spans="2:29" ht="13.5" customHeight="1">
      <c r="B1162" s="339"/>
      <c r="C1162" s="237"/>
      <c r="D1162" s="263"/>
      <c r="E1162" s="237"/>
      <c r="F1162" s="237"/>
      <c r="G1162" s="255"/>
      <c r="H1162" s="237"/>
      <c r="I1162" s="237"/>
      <c r="J1162" s="237"/>
      <c r="K1162" s="240"/>
      <c r="L1162" s="72" t="s">
        <v>45</v>
      </c>
      <c r="M1162" s="237"/>
      <c r="N1162" s="237"/>
      <c r="O1162" s="237"/>
      <c r="P1162" s="237"/>
      <c r="Q1162" s="245" t="e">
        <f>VLOOKUP(Exome[[#This Row],[SID]],#REF!,2,FALSE)</f>
        <v>#REF!</v>
      </c>
      <c r="R1162" s="237"/>
      <c r="S1162" s="237"/>
      <c r="T1162" s="237"/>
      <c r="U1162" s="237"/>
      <c r="V1162" s="237"/>
      <c r="W1162" s="237"/>
      <c r="X1162" s="237"/>
      <c r="Y1162" s="237"/>
      <c r="Z1162" s="237" t="e">
        <f>VLOOKUP(Exome[[#This Row],[SID]],#REF!,2,FALSE)</f>
        <v>#REF!</v>
      </c>
      <c r="AA1162" s="337" t="e">
        <f>VLOOKUP(Exome[[#This Row],[SID]],#REF!,2,FALSE)</f>
        <v>#REF!</v>
      </c>
      <c r="AB1162" s="237"/>
      <c r="AC1162" s="237"/>
    </row>
    <row r="1163" spans="2:29" ht="13.5" customHeight="1">
      <c r="B1163" s="339"/>
      <c r="C1163" s="237"/>
      <c r="D1163" s="263"/>
      <c r="E1163" s="237"/>
      <c r="F1163" s="237"/>
      <c r="G1163" s="255"/>
      <c r="H1163" s="237"/>
      <c r="I1163" s="237"/>
      <c r="J1163" s="237"/>
      <c r="K1163" s="240"/>
      <c r="L1163" s="72" t="s">
        <v>65</v>
      </c>
      <c r="M1163" s="237"/>
      <c r="N1163" s="237"/>
      <c r="O1163" s="237"/>
      <c r="P1163" s="237"/>
      <c r="Q1163" s="245" t="e">
        <f>VLOOKUP(Exome[[#This Row],[SID]],#REF!,2,FALSE)</f>
        <v>#REF!</v>
      </c>
      <c r="R1163" s="237"/>
      <c r="S1163" s="237"/>
      <c r="T1163" s="237"/>
      <c r="U1163" s="237"/>
      <c r="V1163" s="237"/>
      <c r="W1163" s="237"/>
      <c r="X1163" s="237"/>
      <c r="Y1163" s="237"/>
      <c r="Z1163" s="237" t="e">
        <f>VLOOKUP(Exome[[#This Row],[SID]],#REF!,2,FALSE)</f>
        <v>#REF!</v>
      </c>
      <c r="AA1163" s="337" t="e">
        <f>VLOOKUP(Exome[[#This Row],[SID]],#REF!,2,FALSE)</f>
        <v>#REF!</v>
      </c>
      <c r="AB1163" s="237"/>
      <c r="AC1163" s="237"/>
    </row>
    <row r="1164" spans="2:29" ht="13.5" customHeight="1">
      <c r="B1164" s="339"/>
      <c r="C1164" s="237"/>
      <c r="D1164" s="263"/>
      <c r="E1164" s="237"/>
      <c r="F1164" s="237"/>
      <c r="G1164" s="255"/>
      <c r="H1164" s="237"/>
      <c r="I1164" s="237"/>
      <c r="J1164" s="237"/>
      <c r="K1164" s="240"/>
      <c r="L1164" s="72" t="s">
        <v>21</v>
      </c>
      <c r="M1164" s="237"/>
      <c r="N1164" s="237"/>
      <c r="O1164" s="237"/>
      <c r="P1164" s="237"/>
      <c r="Q1164" s="245" t="e">
        <f>VLOOKUP(Exome[[#This Row],[SID]],#REF!,2,FALSE)</f>
        <v>#REF!</v>
      </c>
      <c r="R1164" s="237"/>
      <c r="S1164" s="237"/>
      <c r="T1164" s="237"/>
      <c r="U1164" s="237"/>
      <c r="V1164" s="237"/>
      <c r="W1164" s="237"/>
      <c r="X1164" s="237"/>
      <c r="Y1164" s="237"/>
      <c r="Z1164" s="237" t="e">
        <f>VLOOKUP(Exome[[#This Row],[SID]],#REF!,2,FALSE)</f>
        <v>#REF!</v>
      </c>
      <c r="AA1164" s="337" t="e">
        <f>VLOOKUP(Exome[[#This Row],[SID]],#REF!,2,FALSE)</f>
        <v>#REF!</v>
      </c>
      <c r="AB1164" s="237"/>
      <c r="AC1164" s="237"/>
    </row>
    <row r="1165" spans="2:29" ht="13.5" customHeight="1">
      <c r="B1165" s="339"/>
      <c r="C1165" s="237"/>
      <c r="D1165" s="263"/>
      <c r="E1165" s="237"/>
      <c r="F1165" s="237"/>
      <c r="G1165" s="255"/>
      <c r="H1165" s="237"/>
      <c r="I1165" s="237"/>
      <c r="J1165" s="237"/>
      <c r="K1165" s="240"/>
      <c r="L1165" s="72" t="s">
        <v>45</v>
      </c>
      <c r="M1165" s="237"/>
      <c r="N1165" s="237"/>
      <c r="O1165" s="237"/>
      <c r="P1165" s="237"/>
      <c r="Q1165" s="245" t="e">
        <f>VLOOKUP(Exome[[#This Row],[SID]],#REF!,2,FALSE)</f>
        <v>#REF!</v>
      </c>
      <c r="R1165" s="237"/>
      <c r="S1165" s="237"/>
      <c r="T1165" s="237"/>
      <c r="U1165" s="237"/>
      <c r="V1165" s="237"/>
      <c r="W1165" s="237"/>
      <c r="X1165" s="237"/>
      <c r="Y1165" s="237"/>
      <c r="Z1165" s="237" t="e">
        <f>VLOOKUP(Exome[[#This Row],[SID]],#REF!,2,FALSE)</f>
        <v>#REF!</v>
      </c>
      <c r="AA1165" s="337" t="e">
        <f>VLOOKUP(Exome[[#This Row],[SID]],#REF!,2,FALSE)</f>
        <v>#REF!</v>
      </c>
      <c r="AB1165" s="237"/>
      <c r="AC1165" s="237"/>
    </row>
    <row r="1166" spans="2:29" ht="13.5" customHeight="1">
      <c r="B1166" s="339"/>
      <c r="C1166" s="237"/>
      <c r="D1166" s="263"/>
      <c r="E1166" s="237"/>
      <c r="F1166" s="237"/>
      <c r="G1166" s="255"/>
      <c r="H1166" s="237"/>
      <c r="I1166" s="237"/>
      <c r="J1166" s="237"/>
      <c r="K1166" s="240"/>
      <c r="L1166" s="72" t="s">
        <v>65</v>
      </c>
      <c r="M1166" s="237"/>
      <c r="N1166" s="237"/>
      <c r="O1166" s="237"/>
      <c r="P1166" s="237"/>
      <c r="Q1166" s="245" t="e">
        <f>VLOOKUP(Exome[[#This Row],[SID]],#REF!,2,FALSE)</f>
        <v>#REF!</v>
      </c>
      <c r="R1166" s="237"/>
      <c r="S1166" s="237"/>
      <c r="T1166" s="237"/>
      <c r="U1166" s="237"/>
      <c r="V1166" s="237"/>
      <c r="W1166" s="237"/>
      <c r="X1166" s="237"/>
      <c r="Y1166" s="237"/>
      <c r="Z1166" s="237" t="e">
        <f>VLOOKUP(Exome[[#This Row],[SID]],#REF!,2,FALSE)</f>
        <v>#REF!</v>
      </c>
      <c r="AA1166" s="337" t="e">
        <f>VLOOKUP(Exome[[#This Row],[SID]],#REF!,2,FALSE)</f>
        <v>#REF!</v>
      </c>
      <c r="AB1166" s="237"/>
      <c r="AC1166" s="237"/>
    </row>
    <row r="1167" spans="2:29" ht="13.5" customHeight="1">
      <c r="B1167" s="339"/>
      <c r="C1167" s="237"/>
      <c r="D1167" s="263"/>
      <c r="E1167" s="237"/>
      <c r="F1167" s="237"/>
      <c r="G1167" s="255"/>
      <c r="H1167" s="237"/>
      <c r="I1167" s="237"/>
      <c r="J1167" s="237"/>
      <c r="K1167" s="240"/>
      <c r="L1167" s="72" t="s">
        <v>45</v>
      </c>
      <c r="M1167" s="237"/>
      <c r="N1167" s="237"/>
      <c r="O1167" s="237"/>
      <c r="P1167" s="237"/>
      <c r="Q1167" s="245" t="e">
        <f>VLOOKUP(Exome[[#This Row],[SID]],#REF!,2,FALSE)</f>
        <v>#REF!</v>
      </c>
      <c r="R1167" s="237"/>
      <c r="S1167" s="237"/>
      <c r="T1167" s="237"/>
      <c r="U1167" s="237"/>
      <c r="V1167" s="237"/>
      <c r="W1167" s="237"/>
      <c r="X1167" s="237"/>
      <c r="Y1167" s="237"/>
      <c r="Z1167" s="237" t="e">
        <f>VLOOKUP(Exome[[#This Row],[SID]],#REF!,2,FALSE)</f>
        <v>#REF!</v>
      </c>
      <c r="AA1167" s="337" t="e">
        <f>VLOOKUP(Exome[[#This Row],[SID]],#REF!,2,FALSE)</f>
        <v>#REF!</v>
      </c>
      <c r="AB1167" s="237"/>
      <c r="AC1167" s="237"/>
    </row>
    <row r="1168" spans="2:29" ht="13.5" customHeight="1">
      <c r="B1168" s="339"/>
      <c r="C1168" s="237"/>
      <c r="D1168" s="263"/>
      <c r="E1168" s="237"/>
      <c r="F1168" s="237"/>
      <c r="G1168" s="255"/>
      <c r="H1168" s="237"/>
      <c r="I1168" s="237"/>
      <c r="J1168" s="237"/>
      <c r="K1168" s="240"/>
      <c r="L1168" s="72" t="s">
        <v>45</v>
      </c>
      <c r="M1168" s="237"/>
      <c r="N1168" s="237"/>
      <c r="O1168" s="237"/>
      <c r="P1168" s="237"/>
      <c r="Q1168" s="245" t="e">
        <f>VLOOKUP(Exome[[#This Row],[SID]],#REF!,2,FALSE)</f>
        <v>#REF!</v>
      </c>
      <c r="R1168" s="237"/>
      <c r="S1168" s="237"/>
      <c r="T1168" s="237"/>
      <c r="U1168" s="237"/>
      <c r="V1168" s="237"/>
      <c r="W1168" s="237"/>
      <c r="X1168" s="237"/>
      <c r="Y1168" s="237"/>
      <c r="Z1168" s="237" t="e">
        <f>VLOOKUP(Exome[[#This Row],[SID]],#REF!,2,FALSE)</f>
        <v>#REF!</v>
      </c>
      <c r="AA1168" s="337" t="e">
        <f>VLOOKUP(Exome[[#This Row],[SID]],#REF!,2,FALSE)</f>
        <v>#REF!</v>
      </c>
      <c r="AB1168" s="237"/>
      <c r="AC1168" s="237"/>
    </row>
    <row r="1169" spans="2:29" ht="13.5" customHeight="1">
      <c r="B1169" s="339"/>
      <c r="C1169" s="237"/>
      <c r="D1169" s="263"/>
      <c r="E1169" s="237"/>
      <c r="F1169" s="237"/>
      <c r="G1169" s="255"/>
      <c r="H1169" s="237"/>
      <c r="I1169" s="237"/>
      <c r="J1169" s="237"/>
      <c r="K1169" s="240"/>
      <c r="L1169" s="72" t="s">
        <v>45</v>
      </c>
      <c r="M1169" s="237"/>
      <c r="N1169" s="237"/>
      <c r="O1169" s="237"/>
      <c r="P1169" s="237"/>
      <c r="Q1169" s="245" t="e">
        <f>VLOOKUP(Exome[[#This Row],[SID]],#REF!,2,FALSE)</f>
        <v>#REF!</v>
      </c>
      <c r="R1169" s="237"/>
      <c r="S1169" s="237"/>
      <c r="T1169" s="237"/>
      <c r="U1169" s="237"/>
      <c r="V1169" s="237"/>
      <c r="W1169" s="237"/>
      <c r="X1169" s="237"/>
      <c r="Y1169" s="237"/>
      <c r="Z1169" s="237" t="e">
        <f>VLOOKUP(Exome[[#This Row],[SID]],#REF!,2,FALSE)</f>
        <v>#REF!</v>
      </c>
      <c r="AA1169" s="337" t="e">
        <f>VLOOKUP(Exome[[#This Row],[SID]],#REF!,2,FALSE)</f>
        <v>#REF!</v>
      </c>
      <c r="AB1169" s="237"/>
      <c r="AC1169" s="237"/>
    </row>
    <row r="1170" spans="2:29" ht="13.5" customHeight="1">
      <c r="B1170" s="339"/>
      <c r="C1170" s="237"/>
      <c r="D1170" s="263"/>
      <c r="E1170" s="237"/>
      <c r="F1170" s="237"/>
      <c r="G1170" s="255"/>
      <c r="H1170" s="237"/>
      <c r="I1170" s="237"/>
      <c r="J1170" s="237"/>
      <c r="K1170" s="240"/>
      <c r="L1170" s="72" t="s">
        <v>45</v>
      </c>
      <c r="M1170" s="237"/>
      <c r="N1170" s="237"/>
      <c r="O1170" s="237"/>
      <c r="P1170" s="237"/>
      <c r="Q1170" s="245" t="e">
        <f>VLOOKUP(Exome[[#This Row],[SID]],#REF!,2,FALSE)</f>
        <v>#REF!</v>
      </c>
      <c r="R1170" s="237"/>
      <c r="S1170" s="237"/>
      <c r="T1170" s="237"/>
      <c r="U1170" s="237"/>
      <c r="V1170" s="237"/>
      <c r="W1170" s="237"/>
      <c r="X1170" s="237"/>
      <c r="Y1170" s="237"/>
      <c r="Z1170" s="237" t="e">
        <f>VLOOKUP(Exome[[#This Row],[SID]],#REF!,2,FALSE)</f>
        <v>#REF!</v>
      </c>
      <c r="AA1170" s="337" t="e">
        <f>VLOOKUP(Exome[[#This Row],[SID]],#REF!,2,FALSE)</f>
        <v>#REF!</v>
      </c>
      <c r="AB1170" s="237"/>
      <c r="AC1170" s="237"/>
    </row>
    <row r="1171" spans="2:29" ht="13.5" customHeight="1">
      <c r="B1171" s="339"/>
      <c r="C1171" s="237"/>
      <c r="D1171" s="263"/>
      <c r="E1171" s="237"/>
      <c r="F1171" s="237"/>
      <c r="G1171" s="255"/>
      <c r="H1171" s="237"/>
      <c r="I1171" s="237"/>
      <c r="J1171" s="237"/>
      <c r="K1171" s="240"/>
      <c r="L1171" s="72" t="s">
        <v>65</v>
      </c>
      <c r="M1171" s="237"/>
      <c r="N1171" s="237"/>
      <c r="O1171" s="237"/>
      <c r="P1171" s="237"/>
      <c r="Q1171" s="245" t="e">
        <f>VLOOKUP(Exome[[#This Row],[SID]],#REF!,2,FALSE)</f>
        <v>#REF!</v>
      </c>
      <c r="R1171" s="237"/>
      <c r="S1171" s="237"/>
      <c r="T1171" s="237"/>
      <c r="U1171" s="237"/>
      <c r="V1171" s="237"/>
      <c r="W1171" s="237"/>
      <c r="X1171" s="237"/>
      <c r="Y1171" s="237"/>
      <c r="Z1171" s="237" t="e">
        <f>VLOOKUP(Exome[[#This Row],[SID]],#REF!,2,FALSE)</f>
        <v>#REF!</v>
      </c>
      <c r="AA1171" s="337" t="e">
        <f>VLOOKUP(Exome[[#This Row],[SID]],#REF!,2,FALSE)</f>
        <v>#REF!</v>
      </c>
      <c r="AB1171" s="237"/>
      <c r="AC1171" s="237"/>
    </row>
    <row r="1172" spans="2:29" ht="13.5" customHeight="1">
      <c r="B1172" s="339"/>
      <c r="C1172" s="237"/>
      <c r="D1172" s="263"/>
      <c r="E1172" s="237"/>
      <c r="F1172" s="237"/>
      <c r="G1172" s="255"/>
      <c r="H1172" s="237"/>
      <c r="I1172" s="237"/>
      <c r="J1172" s="237"/>
      <c r="K1172" s="240"/>
      <c r="L1172" s="72" t="s">
        <v>65</v>
      </c>
      <c r="M1172" s="237"/>
      <c r="N1172" s="237"/>
      <c r="O1172" s="237"/>
      <c r="P1172" s="237"/>
      <c r="Q1172" s="245" t="e">
        <f>VLOOKUP(Exome[[#This Row],[SID]],#REF!,2,FALSE)</f>
        <v>#REF!</v>
      </c>
      <c r="R1172" s="237"/>
      <c r="S1172" s="237"/>
      <c r="T1172" s="237"/>
      <c r="U1172" s="237"/>
      <c r="V1172" s="237"/>
      <c r="W1172" s="237"/>
      <c r="X1172" s="237"/>
      <c r="Y1172" s="237"/>
      <c r="Z1172" s="237" t="e">
        <f>VLOOKUP(Exome[[#This Row],[SID]],#REF!,2,FALSE)</f>
        <v>#REF!</v>
      </c>
      <c r="AA1172" s="337" t="e">
        <f>VLOOKUP(Exome[[#This Row],[SID]],#REF!,2,FALSE)</f>
        <v>#REF!</v>
      </c>
      <c r="AB1172" s="237"/>
      <c r="AC1172" s="237"/>
    </row>
    <row r="1173" spans="2:29" ht="13.5" customHeight="1">
      <c r="B1173" s="339"/>
      <c r="C1173" s="237"/>
      <c r="D1173" s="263"/>
      <c r="E1173" s="237"/>
      <c r="F1173" s="237"/>
      <c r="G1173" s="255"/>
      <c r="H1173" s="237"/>
      <c r="I1173" s="237"/>
      <c r="J1173" s="237"/>
      <c r="K1173" s="240"/>
      <c r="L1173" s="72" t="s">
        <v>45</v>
      </c>
      <c r="M1173" s="237"/>
      <c r="N1173" s="237"/>
      <c r="O1173" s="237"/>
      <c r="P1173" s="237"/>
      <c r="Q1173" s="245" t="e">
        <f>VLOOKUP(Exome[[#This Row],[SID]],#REF!,2,FALSE)</f>
        <v>#REF!</v>
      </c>
      <c r="R1173" s="237"/>
      <c r="S1173" s="237"/>
      <c r="T1173" s="237"/>
      <c r="U1173" s="237"/>
      <c r="V1173" s="237"/>
      <c r="W1173" s="237"/>
      <c r="X1173" s="237"/>
      <c r="Y1173" s="237"/>
      <c r="Z1173" s="237" t="e">
        <f>VLOOKUP(Exome[[#This Row],[SID]],#REF!,2,FALSE)</f>
        <v>#REF!</v>
      </c>
      <c r="AA1173" s="337" t="e">
        <f>VLOOKUP(Exome[[#This Row],[SID]],#REF!,2,FALSE)</f>
        <v>#REF!</v>
      </c>
      <c r="AB1173" s="237"/>
      <c r="AC1173" s="237"/>
    </row>
    <row r="1174" spans="2:29" ht="13.5" customHeight="1">
      <c r="B1174" s="339"/>
      <c r="C1174" s="237"/>
      <c r="D1174" s="263"/>
      <c r="E1174" s="237"/>
      <c r="F1174" s="237"/>
      <c r="G1174" s="255"/>
      <c r="H1174" s="237"/>
      <c r="I1174" s="237"/>
      <c r="J1174" s="237"/>
      <c r="K1174" s="240"/>
      <c r="L1174" s="72" t="s">
        <v>45</v>
      </c>
      <c r="M1174" s="237"/>
      <c r="N1174" s="237"/>
      <c r="O1174" s="237"/>
      <c r="P1174" s="237"/>
      <c r="Q1174" s="245" t="e">
        <f>VLOOKUP(Exome[[#This Row],[SID]],#REF!,2,FALSE)</f>
        <v>#REF!</v>
      </c>
      <c r="R1174" s="237"/>
      <c r="S1174" s="237"/>
      <c r="T1174" s="237"/>
      <c r="U1174" s="237"/>
      <c r="V1174" s="237"/>
      <c r="W1174" s="237"/>
      <c r="X1174" s="237"/>
      <c r="Y1174" s="237"/>
      <c r="Z1174" s="237" t="e">
        <f>VLOOKUP(Exome[[#This Row],[SID]],#REF!,2,FALSE)</f>
        <v>#REF!</v>
      </c>
      <c r="AA1174" s="337" t="e">
        <f>VLOOKUP(Exome[[#This Row],[SID]],#REF!,2,FALSE)</f>
        <v>#REF!</v>
      </c>
      <c r="AB1174" s="237"/>
      <c r="AC1174" s="237"/>
    </row>
    <row r="1175" spans="2:29" ht="13.5" customHeight="1">
      <c r="B1175" s="339"/>
      <c r="C1175" s="237"/>
      <c r="D1175" s="263"/>
      <c r="E1175" s="237"/>
      <c r="F1175" s="237"/>
      <c r="G1175" s="255"/>
      <c r="H1175" s="237"/>
      <c r="I1175" s="237"/>
      <c r="J1175" s="237"/>
      <c r="K1175" s="240"/>
      <c r="L1175" s="72" t="s">
        <v>45</v>
      </c>
      <c r="M1175" s="237"/>
      <c r="N1175" s="237"/>
      <c r="O1175" s="237"/>
      <c r="P1175" s="237"/>
      <c r="Q1175" s="245" t="e">
        <f>VLOOKUP(Exome[[#This Row],[SID]],#REF!,2,FALSE)</f>
        <v>#REF!</v>
      </c>
      <c r="R1175" s="237"/>
      <c r="S1175" s="237"/>
      <c r="T1175" s="237"/>
      <c r="U1175" s="237"/>
      <c r="V1175" s="237"/>
      <c r="W1175" s="237"/>
      <c r="X1175" s="237"/>
      <c r="Y1175" s="237"/>
      <c r="Z1175" s="237" t="e">
        <f>VLOOKUP(Exome[[#This Row],[SID]],#REF!,2,FALSE)</f>
        <v>#REF!</v>
      </c>
      <c r="AA1175" s="337" t="e">
        <f>VLOOKUP(Exome[[#This Row],[SID]],#REF!,2,FALSE)</f>
        <v>#REF!</v>
      </c>
      <c r="AB1175" s="237"/>
      <c r="AC1175" s="237"/>
    </row>
    <row r="1176" spans="2:29" ht="13.5" customHeight="1">
      <c r="B1176" s="339"/>
      <c r="C1176" s="237"/>
      <c r="D1176" s="263"/>
      <c r="E1176" s="237"/>
      <c r="F1176" s="237"/>
      <c r="G1176" s="255"/>
      <c r="H1176" s="237"/>
      <c r="I1176" s="237"/>
      <c r="J1176" s="237"/>
      <c r="K1176" s="240"/>
      <c r="L1176" s="72" t="s">
        <v>45</v>
      </c>
      <c r="M1176" s="237"/>
      <c r="N1176" s="237"/>
      <c r="O1176" s="237"/>
      <c r="P1176" s="237"/>
      <c r="Q1176" s="245" t="e">
        <f>VLOOKUP(Exome[[#This Row],[SID]],#REF!,2,FALSE)</f>
        <v>#REF!</v>
      </c>
      <c r="R1176" s="237"/>
      <c r="S1176" s="237"/>
      <c r="T1176" s="237"/>
      <c r="U1176" s="237"/>
      <c r="V1176" s="237"/>
      <c r="W1176" s="237"/>
      <c r="X1176" s="237"/>
      <c r="Y1176" s="237"/>
      <c r="Z1176" s="237" t="e">
        <f>VLOOKUP(Exome[[#This Row],[SID]],#REF!,2,FALSE)</f>
        <v>#REF!</v>
      </c>
      <c r="AA1176" s="337" t="e">
        <f>VLOOKUP(Exome[[#This Row],[SID]],#REF!,2,FALSE)</f>
        <v>#REF!</v>
      </c>
      <c r="AB1176" s="237"/>
      <c r="AC1176" s="237"/>
    </row>
    <row r="1177" spans="2:29" ht="13.5" customHeight="1">
      <c r="B1177" s="339"/>
      <c r="C1177" s="237"/>
      <c r="D1177" s="263"/>
      <c r="E1177" s="237"/>
      <c r="F1177" s="237"/>
      <c r="G1177" s="255"/>
      <c r="H1177" s="237"/>
      <c r="I1177" s="237"/>
      <c r="J1177" s="237"/>
      <c r="K1177" s="240"/>
      <c r="L1177" s="72" t="s">
        <v>45</v>
      </c>
      <c r="M1177" s="237"/>
      <c r="N1177" s="237"/>
      <c r="O1177" s="237"/>
      <c r="P1177" s="237"/>
      <c r="Q1177" s="245" t="e">
        <f>VLOOKUP(Exome[[#This Row],[SID]],#REF!,2,FALSE)</f>
        <v>#REF!</v>
      </c>
      <c r="R1177" s="237"/>
      <c r="S1177" s="237"/>
      <c r="T1177" s="237"/>
      <c r="U1177" s="237"/>
      <c r="V1177" s="237"/>
      <c r="W1177" s="237"/>
      <c r="X1177" s="237"/>
      <c r="Y1177" s="237"/>
      <c r="Z1177" s="237" t="e">
        <f>VLOOKUP(Exome[[#This Row],[SID]],#REF!,2,FALSE)</f>
        <v>#REF!</v>
      </c>
      <c r="AA1177" s="337" t="e">
        <f>VLOOKUP(Exome[[#This Row],[SID]],#REF!,2,FALSE)</f>
        <v>#REF!</v>
      </c>
      <c r="AB1177" s="237"/>
      <c r="AC1177" s="237"/>
    </row>
    <row r="1178" spans="2:29" ht="13.5" customHeight="1">
      <c r="B1178" s="339"/>
      <c r="C1178" s="237"/>
      <c r="D1178" s="263"/>
      <c r="E1178" s="237"/>
      <c r="F1178" s="237"/>
      <c r="G1178" s="255"/>
      <c r="H1178" s="237"/>
      <c r="I1178" s="237"/>
      <c r="J1178" s="237"/>
      <c r="K1178" s="240"/>
      <c r="L1178" s="72" t="s">
        <v>45</v>
      </c>
      <c r="M1178" s="237"/>
      <c r="N1178" s="237"/>
      <c r="O1178" s="237"/>
      <c r="P1178" s="237"/>
      <c r="Q1178" s="245" t="e">
        <f>VLOOKUP(Exome[[#This Row],[SID]],#REF!,2,FALSE)</f>
        <v>#REF!</v>
      </c>
      <c r="R1178" s="237"/>
      <c r="S1178" s="237"/>
      <c r="T1178" s="237"/>
      <c r="U1178" s="237"/>
      <c r="V1178" s="237"/>
      <c r="W1178" s="237"/>
      <c r="X1178" s="237"/>
      <c r="Y1178" s="237"/>
      <c r="Z1178" s="237" t="e">
        <f>VLOOKUP(Exome[[#This Row],[SID]],#REF!,2,FALSE)</f>
        <v>#REF!</v>
      </c>
      <c r="AA1178" s="337" t="e">
        <f>VLOOKUP(Exome[[#This Row],[SID]],#REF!,2,FALSE)</f>
        <v>#REF!</v>
      </c>
      <c r="AB1178" s="237"/>
      <c r="AC1178" s="237"/>
    </row>
    <row r="1179" spans="2:29" ht="13.5" customHeight="1">
      <c r="B1179" s="339"/>
      <c r="C1179" s="237"/>
      <c r="D1179" s="263"/>
      <c r="E1179" s="237"/>
      <c r="F1179" s="237"/>
      <c r="G1179" s="255"/>
      <c r="H1179" s="237"/>
      <c r="I1179" s="237"/>
      <c r="J1179" s="237"/>
      <c r="K1179" s="240"/>
      <c r="L1179" s="72" t="s">
        <v>45</v>
      </c>
      <c r="M1179" s="237"/>
      <c r="N1179" s="237"/>
      <c r="O1179" s="237"/>
      <c r="P1179" s="237"/>
      <c r="Q1179" s="245" t="e">
        <f>VLOOKUP(Exome[[#This Row],[SID]],#REF!,2,FALSE)</f>
        <v>#REF!</v>
      </c>
      <c r="R1179" s="237"/>
      <c r="S1179" s="237"/>
      <c r="T1179" s="237"/>
      <c r="U1179" s="237"/>
      <c r="V1179" s="237"/>
      <c r="W1179" s="237"/>
      <c r="X1179" s="237"/>
      <c r="Y1179" s="237"/>
      <c r="Z1179" s="237" t="e">
        <f>VLOOKUP(Exome[[#This Row],[SID]],#REF!,2,FALSE)</f>
        <v>#REF!</v>
      </c>
      <c r="AA1179" s="337" t="e">
        <f>VLOOKUP(Exome[[#This Row],[SID]],#REF!,2,FALSE)</f>
        <v>#REF!</v>
      </c>
      <c r="AB1179" s="237"/>
      <c r="AC1179" s="237"/>
    </row>
    <row r="1180" spans="2:29" ht="13.5" customHeight="1">
      <c r="B1180" s="339"/>
      <c r="C1180" s="237"/>
      <c r="D1180" s="263"/>
      <c r="E1180" s="237"/>
      <c r="F1180" s="237"/>
      <c r="G1180" s="255"/>
      <c r="H1180" s="237"/>
      <c r="I1180" s="237"/>
      <c r="J1180" s="237"/>
      <c r="K1180" s="240"/>
      <c r="L1180" s="72" t="s">
        <v>21</v>
      </c>
      <c r="M1180" s="237"/>
      <c r="N1180" s="237"/>
      <c r="O1180" s="237"/>
      <c r="P1180" s="237"/>
      <c r="Q1180" s="245" t="e">
        <f>VLOOKUP(Exome[[#This Row],[SID]],#REF!,2,FALSE)</f>
        <v>#REF!</v>
      </c>
      <c r="R1180" s="237"/>
      <c r="S1180" s="237"/>
      <c r="T1180" s="237"/>
      <c r="U1180" s="237"/>
      <c r="V1180" s="237"/>
      <c r="W1180" s="237"/>
      <c r="X1180" s="237"/>
      <c r="Y1180" s="237"/>
      <c r="Z1180" s="237" t="e">
        <f>VLOOKUP(Exome[[#This Row],[SID]],#REF!,2,FALSE)</f>
        <v>#REF!</v>
      </c>
      <c r="AA1180" s="337" t="e">
        <f>VLOOKUP(Exome[[#This Row],[SID]],#REF!,2,FALSE)</f>
        <v>#REF!</v>
      </c>
      <c r="AB1180" s="237"/>
      <c r="AC1180" s="237"/>
    </row>
    <row r="1181" spans="2:29" ht="13.5" customHeight="1">
      <c r="B1181" s="339"/>
      <c r="C1181" s="237"/>
      <c r="D1181" s="263"/>
      <c r="E1181" s="237"/>
      <c r="F1181" s="237"/>
      <c r="G1181" s="255"/>
      <c r="H1181" s="237"/>
      <c r="I1181" s="237"/>
      <c r="J1181" s="237"/>
      <c r="K1181" s="240"/>
      <c r="L1181" s="72" t="s">
        <v>65</v>
      </c>
      <c r="M1181" s="237"/>
      <c r="N1181" s="237"/>
      <c r="O1181" s="237"/>
      <c r="P1181" s="237"/>
      <c r="Q1181" s="245" t="e">
        <f>VLOOKUP(Exome[[#This Row],[SID]],#REF!,2,FALSE)</f>
        <v>#REF!</v>
      </c>
      <c r="R1181" s="237"/>
      <c r="S1181" s="237"/>
      <c r="T1181" s="237"/>
      <c r="U1181" s="237"/>
      <c r="V1181" s="237"/>
      <c r="W1181" s="237"/>
      <c r="X1181" s="237"/>
      <c r="Y1181" s="237"/>
      <c r="Z1181" s="237" t="e">
        <f>VLOOKUP(Exome[[#This Row],[SID]],#REF!,2,FALSE)</f>
        <v>#REF!</v>
      </c>
      <c r="AA1181" s="337" t="e">
        <f>VLOOKUP(Exome[[#This Row],[SID]],#REF!,2,FALSE)</f>
        <v>#REF!</v>
      </c>
      <c r="AB1181" s="237"/>
      <c r="AC1181" s="237"/>
    </row>
    <row r="1182" spans="2:29" ht="13.5" customHeight="1">
      <c r="B1182" s="339"/>
      <c r="C1182" s="237"/>
      <c r="D1182" s="263"/>
      <c r="E1182" s="237"/>
      <c r="F1182" s="237"/>
      <c r="G1182" s="255"/>
      <c r="H1182" s="237"/>
      <c r="I1182" s="237"/>
      <c r="J1182" s="237"/>
      <c r="K1182" s="240"/>
      <c r="L1182" s="243" t="s">
        <v>1102</v>
      </c>
      <c r="M1182" s="237"/>
      <c r="N1182" s="237"/>
      <c r="O1182" s="237"/>
      <c r="P1182" s="237"/>
      <c r="Q1182" s="245" t="e">
        <f>VLOOKUP(Exome[[#This Row],[SID]],#REF!,2,FALSE)</f>
        <v>#REF!</v>
      </c>
      <c r="R1182" s="237"/>
      <c r="S1182" s="237"/>
      <c r="T1182" s="237"/>
      <c r="U1182" s="237"/>
      <c r="V1182" s="237"/>
      <c r="W1182" s="237"/>
      <c r="X1182" s="237"/>
      <c r="Y1182" s="237"/>
      <c r="Z1182" s="237" t="e">
        <f>VLOOKUP(Exome[[#This Row],[SID]],#REF!,2,FALSE)</f>
        <v>#REF!</v>
      </c>
      <c r="AA1182" s="337" t="e">
        <f>VLOOKUP(Exome[[#This Row],[SID]],#REF!,2,FALSE)</f>
        <v>#REF!</v>
      </c>
      <c r="AB1182" s="237"/>
      <c r="AC1182" s="237"/>
    </row>
    <row r="1183" spans="2:29" ht="13.5" customHeight="1">
      <c r="B1183" s="339"/>
      <c r="C1183" s="237"/>
      <c r="D1183" s="263"/>
      <c r="E1183" s="237"/>
      <c r="F1183" s="237"/>
      <c r="G1183" s="255"/>
      <c r="H1183" s="237"/>
      <c r="I1183" s="237"/>
      <c r="J1183" s="237"/>
      <c r="K1183" s="240"/>
      <c r="L1183" s="317" t="s">
        <v>68</v>
      </c>
      <c r="M1183" s="237"/>
      <c r="N1183" s="237"/>
      <c r="O1183" s="237"/>
      <c r="P1183" s="237"/>
      <c r="Q1183" s="245" t="e">
        <f>VLOOKUP(Exome[[#This Row],[SID]],#REF!,2,FALSE)</f>
        <v>#REF!</v>
      </c>
      <c r="R1183" s="237"/>
      <c r="S1183" s="237"/>
      <c r="T1183" s="237"/>
      <c r="U1183" s="237"/>
      <c r="V1183" s="237"/>
      <c r="W1183" s="237"/>
      <c r="X1183" s="237"/>
      <c r="Y1183" s="237"/>
      <c r="Z1183" s="237" t="e">
        <f>VLOOKUP(Exome[[#This Row],[SID]],#REF!,2,FALSE)</f>
        <v>#REF!</v>
      </c>
      <c r="AA1183" s="337" t="e">
        <f>VLOOKUP(Exome[[#This Row],[SID]],#REF!,2,FALSE)</f>
        <v>#REF!</v>
      </c>
      <c r="AB1183" s="237"/>
      <c r="AC1183" s="237"/>
    </row>
    <row r="1184" spans="2:29" ht="13.5" customHeight="1">
      <c r="B1184" s="339"/>
      <c r="C1184" s="237"/>
      <c r="D1184" s="263"/>
      <c r="E1184" s="237"/>
      <c r="F1184" s="237"/>
      <c r="G1184" s="255"/>
      <c r="H1184" s="237"/>
      <c r="I1184" s="237"/>
      <c r="J1184" s="237"/>
      <c r="K1184" s="240"/>
      <c r="L1184" s="72" t="s">
        <v>14</v>
      </c>
      <c r="M1184" s="237"/>
      <c r="N1184" s="237"/>
      <c r="O1184" s="237"/>
      <c r="P1184" s="237"/>
      <c r="Q1184" s="245" t="e">
        <f>VLOOKUP(Exome[[#This Row],[SID]],#REF!,2,FALSE)</f>
        <v>#REF!</v>
      </c>
      <c r="R1184" s="237"/>
      <c r="S1184" s="237"/>
      <c r="T1184" s="237"/>
      <c r="U1184" s="237"/>
      <c r="V1184" s="237"/>
      <c r="W1184" s="237"/>
      <c r="X1184" s="237"/>
      <c r="Y1184" s="237"/>
      <c r="Z1184" s="237" t="e">
        <f>VLOOKUP(Exome[[#This Row],[SID]],#REF!,2,FALSE)</f>
        <v>#REF!</v>
      </c>
      <c r="AA1184" s="337" t="e">
        <f>VLOOKUP(Exome[[#This Row],[SID]],#REF!,2,FALSE)</f>
        <v>#REF!</v>
      </c>
      <c r="AB1184" s="237"/>
      <c r="AC1184" s="237"/>
    </row>
    <row r="1185" spans="2:29" ht="13.5" customHeight="1">
      <c r="B1185" s="339"/>
      <c r="C1185" s="237"/>
      <c r="D1185" s="263"/>
      <c r="E1185" s="237"/>
      <c r="F1185" s="237"/>
      <c r="G1185" s="255"/>
      <c r="H1185" s="237"/>
      <c r="I1185" s="237"/>
      <c r="J1185" s="237"/>
      <c r="K1185" s="240"/>
      <c r="L1185" s="72" t="s">
        <v>13</v>
      </c>
      <c r="M1185" s="237"/>
      <c r="N1185" s="237"/>
      <c r="O1185" s="237"/>
      <c r="P1185" s="237"/>
      <c r="Q1185" s="245" t="e">
        <f>VLOOKUP(Exome[[#This Row],[SID]],#REF!,2,FALSE)</f>
        <v>#REF!</v>
      </c>
      <c r="R1185" s="237"/>
      <c r="S1185" s="237"/>
      <c r="T1185" s="237"/>
      <c r="U1185" s="237"/>
      <c r="V1185" s="237"/>
      <c r="W1185" s="237"/>
      <c r="X1185" s="237"/>
      <c r="Y1185" s="237"/>
      <c r="Z1185" s="237" t="e">
        <f>VLOOKUP(Exome[[#This Row],[SID]],#REF!,2,FALSE)</f>
        <v>#REF!</v>
      </c>
      <c r="AA1185" s="337" t="e">
        <f>VLOOKUP(Exome[[#This Row],[SID]],#REF!,2,FALSE)</f>
        <v>#REF!</v>
      </c>
      <c r="AB1185" s="237"/>
      <c r="AC1185" s="237"/>
    </row>
    <row r="1186" spans="2:29" ht="13.5" customHeight="1">
      <c r="B1186" s="339"/>
      <c r="C1186" s="237"/>
      <c r="D1186" s="263"/>
      <c r="E1186" s="237"/>
      <c r="F1186" s="237"/>
      <c r="G1186" s="255"/>
      <c r="H1186" s="237"/>
      <c r="I1186" s="237"/>
      <c r="J1186" s="237"/>
      <c r="K1186" s="240"/>
      <c r="L1186" s="243" t="s">
        <v>55</v>
      </c>
      <c r="M1186" s="237"/>
      <c r="N1186" s="237"/>
      <c r="O1186" s="237"/>
      <c r="P1186" s="237"/>
      <c r="Q1186" s="245" t="e">
        <f>VLOOKUP(Exome[[#This Row],[SID]],#REF!,2,FALSE)</f>
        <v>#REF!</v>
      </c>
      <c r="R1186" s="237"/>
      <c r="S1186" s="237"/>
      <c r="T1186" s="237"/>
      <c r="U1186" s="237"/>
      <c r="V1186" s="237"/>
      <c r="W1186" s="237"/>
      <c r="X1186" s="237"/>
      <c r="Y1186" s="237"/>
      <c r="Z1186" s="237" t="e">
        <f>VLOOKUP(Exome[[#This Row],[SID]],#REF!,2,FALSE)</f>
        <v>#REF!</v>
      </c>
      <c r="AA1186" s="337" t="e">
        <f>VLOOKUP(Exome[[#This Row],[SID]],#REF!,2,FALSE)</f>
        <v>#REF!</v>
      </c>
      <c r="AB1186" s="237"/>
      <c r="AC1186" s="237"/>
    </row>
    <row r="1187" spans="2:29" ht="13.5" customHeight="1">
      <c r="B1187" s="339"/>
      <c r="C1187" s="237"/>
      <c r="D1187" s="263"/>
      <c r="E1187" s="237"/>
      <c r="F1187" s="237"/>
      <c r="G1187" s="255"/>
      <c r="H1187" s="237"/>
      <c r="I1187" s="237"/>
      <c r="J1187" s="237"/>
      <c r="K1187" s="240"/>
      <c r="L1187" s="72" t="s">
        <v>49</v>
      </c>
      <c r="M1187" s="237"/>
      <c r="N1187" s="237"/>
      <c r="O1187" s="237"/>
      <c r="P1187" s="237"/>
      <c r="Q1187" s="245" t="e">
        <f>VLOOKUP(Exome[[#This Row],[SID]],#REF!,2,FALSE)</f>
        <v>#REF!</v>
      </c>
      <c r="R1187" s="237"/>
      <c r="S1187" s="237"/>
      <c r="T1187" s="237"/>
      <c r="U1187" s="237"/>
      <c r="V1187" s="237"/>
      <c r="W1187" s="237"/>
      <c r="X1187" s="237"/>
      <c r="Y1187" s="237"/>
      <c r="Z1187" s="237" t="e">
        <f>VLOOKUP(Exome[[#This Row],[SID]],#REF!,2,FALSE)</f>
        <v>#REF!</v>
      </c>
      <c r="AA1187" s="337" t="e">
        <f>VLOOKUP(Exome[[#This Row],[SID]],#REF!,2,FALSE)</f>
        <v>#REF!</v>
      </c>
      <c r="AB1187" s="237"/>
      <c r="AC1187" s="237"/>
    </row>
    <row r="1188" spans="2:29" ht="13.5" customHeight="1">
      <c r="B1188" s="339"/>
      <c r="C1188" s="237"/>
      <c r="D1188" s="263"/>
      <c r="E1188" s="237"/>
      <c r="F1188" s="237"/>
      <c r="G1188" s="255"/>
      <c r="H1188" s="237"/>
      <c r="I1188" s="237"/>
      <c r="J1188" s="237"/>
      <c r="K1188" s="240"/>
      <c r="L1188" s="72" t="s">
        <v>16</v>
      </c>
      <c r="M1188" s="237"/>
      <c r="N1188" s="237"/>
      <c r="O1188" s="237"/>
      <c r="P1188" s="237"/>
      <c r="Q1188" s="245" t="e">
        <f>VLOOKUP(Exome[[#This Row],[SID]],#REF!,2,FALSE)</f>
        <v>#REF!</v>
      </c>
      <c r="R1188" s="237"/>
      <c r="S1188" s="237"/>
      <c r="T1188" s="237"/>
      <c r="U1188" s="237"/>
      <c r="V1188" s="237"/>
      <c r="W1188" s="237"/>
      <c r="X1188" s="237"/>
      <c r="Y1188" s="237"/>
      <c r="Z1188" s="237" t="e">
        <f>VLOOKUP(Exome[[#This Row],[SID]],#REF!,2,FALSE)</f>
        <v>#REF!</v>
      </c>
      <c r="AA1188" s="337" t="e">
        <f>VLOOKUP(Exome[[#This Row],[SID]],#REF!,2,FALSE)</f>
        <v>#REF!</v>
      </c>
      <c r="AB1188" s="237"/>
      <c r="AC1188" s="237"/>
    </row>
    <row r="1189" spans="2:29" ht="13.5" customHeight="1">
      <c r="B1189" s="339"/>
      <c r="C1189" s="237"/>
      <c r="D1189" s="263"/>
      <c r="E1189" s="237"/>
      <c r="F1189" s="237"/>
      <c r="G1189" s="255"/>
      <c r="H1189" s="237"/>
      <c r="I1189" s="237"/>
      <c r="J1189" s="237"/>
      <c r="K1189" s="240"/>
      <c r="L1189" s="72" t="s">
        <v>16</v>
      </c>
      <c r="M1189" s="237"/>
      <c r="N1189" s="237"/>
      <c r="O1189" s="237"/>
      <c r="P1189" s="237"/>
      <c r="Q1189" s="245" t="e">
        <f>VLOOKUP(Exome[[#This Row],[SID]],#REF!,2,FALSE)</f>
        <v>#REF!</v>
      </c>
      <c r="R1189" s="237"/>
      <c r="S1189" s="237"/>
      <c r="T1189" s="237"/>
      <c r="U1189" s="237"/>
      <c r="V1189" s="237"/>
      <c r="W1189" s="237"/>
      <c r="X1189" s="237"/>
      <c r="Y1189" s="237"/>
      <c r="Z1189" s="237" t="e">
        <f>VLOOKUP(Exome[[#This Row],[SID]],#REF!,2,FALSE)</f>
        <v>#REF!</v>
      </c>
      <c r="AA1189" s="337" t="e">
        <f>VLOOKUP(Exome[[#This Row],[SID]],#REF!,2,FALSE)</f>
        <v>#REF!</v>
      </c>
      <c r="AB1189" s="237"/>
      <c r="AC1189" s="237"/>
    </row>
    <row r="1190" spans="2:29" ht="13.5" customHeight="1">
      <c r="B1190" s="339"/>
      <c r="C1190" s="237"/>
      <c r="D1190" s="263"/>
      <c r="E1190" s="237"/>
      <c r="F1190" s="237"/>
      <c r="G1190" s="255"/>
      <c r="H1190" s="237"/>
      <c r="I1190" s="237"/>
      <c r="J1190" s="237"/>
      <c r="K1190" s="240"/>
      <c r="L1190" s="72" t="s">
        <v>45</v>
      </c>
      <c r="M1190" s="237"/>
      <c r="N1190" s="237"/>
      <c r="O1190" s="237"/>
      <c r="P1190" s="237"/>
      <c r="Q1190" s="245" t="e">
        <f>VLOOKUP(Exome[[#This Row],[SID]],#REF!,2,FALSE)</f>
        <v>#REF!</v>
      </c>
      <c r="R1190" s="237"/>
      <c r="S1190" s="237"/>
      <c r="T1190" s="237"/>
      <c r="U1190" s="237"/>
      <c r="V1190" s="237"/>
      <c r="W1190" s="237"/>
      <c r="X1190" s="237"/>
      <c r="Y1190" s="237"/>
      <c r="Z1190" s="237" t="e">
        <f>VLOOKUP(Exome[[#This Row],[SID]],#REF!,2,FALSE)</f>
        <v>#REF!</v>
      </c>
      <c r="AA1190" s="337" t="e">
        <f>VLOOKUP(Exome[[#This Row],[SID]],#REF!,2,FALSE)</f>
        <v>#REF!</v>
      </c>
      <c r="AB1190" s="237"/>
      <c r="AC1190" s="237"/>
    </row>
    <row r="1191" spans="2:29" ht="13.5" customHeight="1">
      <c r="B1191" s="339"/>
      <c r="C1191" s="237"/>
      <c r="D1191" s="263"/>
      <c r="E1191" s="237"/>
      <c r="F1191" s="237"/>
      <c r="G1191" s="255"/>
      <c r="H1191" s="237"/>
      <c r="I1191" s="237"/>
      <c r="J1191" s="237"/>
      <c r="K1191" s="240"/>
      <c r="L1191" s="317" t="s">
        <v>25</v>
      </c>
      <c r="M1191" s="237"/>
      <c r="N1191" s="237"/>
      <c r="O1191" s="237"/>
      <c r="P1191" s="237"/>
      <c r="Q1191" s="245" t="e">
        <f>VLOOKUP(Exome[[#This Row],[SID]],#REF!,2,FALSE)</f>
        <v>#REF!</v>
      </c>
      <c r="R1191" s="237"/>
      <c r="S1191" s="237"/>
      <c r="T1191" s="237"/>
      <c r="U1191" s="237"/>
      <c r="V1191" s="237"/>
      <c r="W1191" s="237"/>
      <c r="X1191" s="237"/>
      <c r="Y1191" s="237"/>
      <c r="Z1191" s="237" t="e">
        <f>VLOOKUP(Exome[[#This Row],[SID]],#REF!,2,FALSE)</f>
        <v>#REF!</v>
      </c>
      <c r="AA1191" s="337" t="e">
        <f>VLOOKUP(Exome[[#This Row],[SID]],#REF!,2,FALSE)</f>
        <v>#REF!</v>
      </c>
      <c r="AB1191" s="237"/>
      <c r="AC1191" s="237"/>
    </row>
    <row r="1192" spans="2:29" ht="13.5" customHeight="1">
      <c r="B1192" s="339"/>
      <c r="C1192" s="237"/>
      <c r="D1192" s="263"/>
      <c r="E1192" s="237"/>
      <c r="F1192" s="237"/>
      <c r="G1192" s="255"/>
      <c r="H1192" s="237"/>
      <c r="I1192" s="237"/>
      <c r="J1192" s="237"/>
      <c r="K1192" s="240"/>
      <c r="L1192" s="72" t="s">
        <v>45</v>
      </c>
      <c r="M1192" s="237"/>
      <c r="N1192" s="237"/>
      <c r="O1192" s="237"/>
      <c r="P1192" s="237"/>
      <c r="Q1192" s="245" t="e">
        <f>VLOOKUP(Exome[[#This Row],[SID]],#REF!,2,FALSE)</f>
        <v>#REF!</v>
      </c>
      <c r="R1192" s="237"/>
      <c r="S1192" s="237"/>
      <c r="T1192" s="237"/>
      <c r="U1192" s="237"/>
      <c r="V1192" s="237"/>
      <c r="W1192" s="237"/>
      <c r="X1192" s="237"/>
      <c r="Y1192" s="237"/>
      <c r="Z1192" s="237" t="e">
        <f>VLOOKUP(Exome[[#This Row],[SID]],#REF!,2,FALSE)</f>
        <v>#REF!</v>
      </c>
      <c r="AA1192" s="337" t="e">
        <f>VLOOKUP(Exome[[#This Row],[SID]],#REF!,2,FALSE)</f>
        <v>#REF!</v>
      </c>
      <c r="AB1192" s="237"/>
      <c r="AC1192" s="237"/>
    </row>
    <row r="1193" spans="2:29" ht="13.5" customHeight="1">
      <c r="B1193" s="339"/>
      <c r="C1193" s="237"/>
      <c r="D1193" s="263"/>
      <c r="E1193" s="237"/>
      <c r="F1193" s="237"/>
      <c r="G1193" s="255"/>
      <c r="H1193" s="237"/>
      <c r="I1193" s="237"/>
      <c r="J1193" s="237"/>
      <c r="K1193" s="240"/>
      <c r="L1193" s="72" t="s">
        <v>45</v>
      </c>
      <c r="M1193" s="237"/>
      <c r="N1193" s="237"/>
      <c r="O1193" s="237"/>
      <c r="P1193" s="237"/>
      <c r="Q1193" s="245" t="e">
        <f>VLOOKUP(Exome[[#This Row],[SID]],#REF!,2,FALSE)</f>
        <v>#REF!</v>
      </c>
      <c r="R1193" s="237"/>
      <c r="S1193" s="237"/>
      <c r="T1193" s="237"/>
      <c r="U1193" s="237"/>
      <c r="V1193" s="237"/>
      <c r="W1193" s="237"/>
      <c r="X1193" s="237"/>
      <c r="Y1193" s="237"/>
      <c r="Z1193" s="237" t="e">
        <f>VLOOKUP(Exome[[#This Row],[SID]],#REF!,2,FALSE)</f>
        <v>#REF!</v>
      </c>
      <c r="AA1193" s="337" t="e">
        <f>VLOOKUP(Exome[[#This Row],[SID]],#REF!,2,FALSE)</f>
        <v>#REF!</v>
      </c>
      <c r="AB1193" s="237"/>
      <c r="AC1193" s="237"/>
    </row>
    <row r="1194" spans="2:29" ht="13.5" customHeight="1">
      <c r="B1194" s="339"/>
      <c r="C1194" s="237"/>
      <c r="D1194" s="263"/>
      <c r="E1194" s="237"/>
      <c r="F1194" s="237"/>
      <c r="G1194" s="255"/>
      <c r="H1194" s="237"/>
      <c r="I1194" s="237"/>
      <c r="J1194" s="237"/>
      <c r="K1194" s="240"/>
      <c r="L1194" s="72" t="s">
        <v>74</v>
      </c>
      <c r="M1194" s="237"/>
      <c r="N1194" s="237"/>
      <c r="O1194" s="237"/>
      <c r="P1194" s="237"/>
      <c r="Q1194" s="245" t="e">
        <f>VLOOKUP(Exome[[#This Row],[SID]],#REF!,2,FALSE)</f>
        <v>#REF!</v>
      </c>
      <c r="R1194" s="237"/>
      <c r="S1194" s="237"/>
      <c r="T1194" s="237"/>
      <c r="U1194" s="237"/>
      <c r="V1194" s="237"/>
      <c r="W1194" s="237"/>
      <c r="X1194" s="237"/>
      <c r="Y1194" s="237"/>
      <c r="Z1194" s="237" t="e">
        <f>VLOOKUP(Exome[[#This Row],[SID]],#REF!,2,FALSE)</f>
        <v>#REF!</v>
      </c>
      <c r="AA1194" s="337" t="e">
        <f>VLOOKUP(Exome[[#This Row],[SID]],#REF!,2,FALSE)</f>
        <v>#REF!</v>
      </c>
      <c r="AB1194" s="237"/>
      <c r="AC1194" s="237"/>
    </row>
    <row r="1195" spans="2:29" ht="13.5" customHeight="1">
      <c r="B1195" s="339"/>
      <c r="C1195" s="237"/>
      <c r="D1195" s="263"/>
      <c r="E1195" s="237"/>
      <c r="F1195" s="237"/>
      <c r="G1195" s="255"/>
      <c r="H1195" s="237"/>
      <c r="I1195" s="237"/>
      <c r="J1195" s="237"/>
      <c r="K1195" s="240"/>
      <c r="L1195" s="72" t="s">
        <v>29</v>
      </c>
      <c r="M1195" s="237"/>
      <c r="N1195" s="237"/>
      <c r="O1195" s="237"/>
      <c r="P1195" s="237"/>
      <c r="Q1195" s="245" t="e">
        <f>VLOOKUP(Exome[[#This Row],[SID]],#REF!,2,FALSE)</f>
        <v>#REF!</v>
      </c>
      <c r="R1195" s="237"/>
      <c r="S1195" s="237"/>
      <c r="T1195" s="237"/>
      <c r="U1195" s="237"/>
      <c r="V1195" s="237"/>
      <c r="W1195" s="237"/>
      <c r="X1195" s="237"/>
      <c r="Y1195" s="237"/>
      <c r="Z1195" s="237" t="e">
        <f>VLOOKUP(Exome[[#This Row],[SID]],#REF!,2,FALSE)</f>
        <v>#REF!</v>
      </c>
      <c r="AA1195" s="337" t="e">
        <f>VLOOKUP(Exome[[#This Row],[SID]],#REF!,2,FALSE)</f>
        <v>#REF!</v>
      </c>
      <c r="AB1195" s="237"/>
      <c r="AC1195" s="237"/>
    </row>
    <row r="1196" spans="2:29" ht="13.5" customHeight="1">
      <c r="B1196" s="339"/>
      <c r="C1196" s="237"/>
      <c r="D1196" s="263"/>
      <c r="E1196" s="237"/>
      <c r="F1196" s="237"/>
      <c r="G1196" s="255"/>
      <c r="H1196" s="237"/>
      <c r="I1196" s="237"/>
      <c r="J1196" s="237"/>
      <c r="K1196" s="240"/>
      <c r="L1196" s="72" t="s">
        <v>16</v>
      </c>
      <c r="M1196" s="237"/>
      <c r="N1196" s="237"/>
      <c r="O1196" s="237"/>
      <c r="P1196" s="237"/>
      <c r="Q1196" s="245" t="e">
        <f>VLOOKUP(Exome[[#This Row],[SID]],#REF!,2,FALSE)</f>
        <v>#REF!</v>
      </c>
      <c r="R1196" s="237"/>
      <c r="S1196" s="237"/>
      <c r="T1196" s="237"/>
      <c r="U1196" s="237"/>
      <c r="V1196" s="237"/>
      <c r="W1196" s="237"/>
      <c r="X1196" s="237"/>
      <c r="Y1196" s="237"/>
      <c r="Z1196" s="237" t="e">
        <f>VLOOKUP(Exome[[#This Row],[SID]],#REF!,2,FALSE)</f>
        <v>#REF!</v>
      </c>
      <c r="AA1196" s="337" t="e">
        <f>VLOOKUP(Exome[[#This Row],[SID]],#REF!,2,FALSE)</f>
        <v>#REF!</v>
      </c>
      <c r="AB1196" s="237"/>
      <c r="AC1196" s="237"/>
    </row>
    <row r="1197" spans="2:29" ht="13.5" customHeight="1">
      <c r="B1197" s="339"/>
      <c r="C1197" s="237"/>
      <c r="D1197" s="263"/>
      <c r="E1197" s="237"/>
      <c r="F1197" s="237"/>
      <c r="G1197" s="255"/>
      <c r="H1197" s="237"/>
      <c r="I1197" s="237"/>
      <c r="J1197" s="237"/>
      <c r="K1197" s="240"/>
      <c r="L1197" s="72" t="s">
        <v>45</v>
      </c>
      <c r="M1197" s="237"/>
      <c r="N1197" s="237"/>
      <c r="O1197" s="237"/>
      <c r="P1197" s="237"/>
      <c r="Q1197" s="245" t="e">
        <f>VLOOKUP(Exome[[#This Row],[SID]],#REF!,2,FALSE)</f>
        <v>#REF!</v>
      </c>
      <c r="R1197" s="237"/>
      <c r="S1197" s="237"/>
      <c r="T1197" s="237"/>
      <c r="U1197" s="237"/>
      <c r="V1197" s="237"/>
      <c r="W1197" s="237"/>
      <c r="X1197" s="237"/>
      <c r="Y1197" s="237"/>
      <c r="Z1197" s="237" t="e">
        <f>VLOOKUP(Exome[[#This Row],[SID]],#REF!,2,FALSE)</f>
        <v>#REF!</v>
      </c>
      <c r="AA1197" s="337" t="e">
        <f>VLOOKUP(Exome[[#This Row],[SID]],#REF!,2,FALSE)</f>
        <v>#REF!</v>
      </c>
      <c r="AB1197" s="237"/>
      <c r="AC1197" s="237"/>
    </row>
    <row r="1198" spans="2:29" ht="13.5" customHeight="1">
      <c r="B1198" s="339"/>
      <c r="C1198" s="237"/>
      <c r="D1198" s="263"/>
      <c r="E1198" s="237"/>
      <c r="F1198" s="237"/>
      <c r="G1198" s="255"/>
      <c r="H1198" s="237"/>
      <c r="I1198" s="237"/>
      <c r="J1198" s="237"/>
      <c r="K1198" s="240"/>
      <c r="L1198" s="243" t="s">
        <v>1642</v>
      </c>
      <c r="M1198" s="237"/>
      <c r="N1198" s="237"/>
      <c r="O1198" s="237"/>
      <c r="P1198" s="237"/>
      <c r="Q1198" s="245" t="e">
        <f>VLOOKUP(Exome[[#This Row],[SID]],#REF!,2,FALSE)</f>
        <v>#REF!</v>
      </c>
      <c r="R1198" s="237"/>
      <c r="S1198" s="237"/>
      <c r="T1198" s="237"/>
      <c r="U1198" s="237"/>
      <c r="V1198" s="237"/>
      <c r="W1198" s="237"/>
      <c r="X1198" s="237"/>
      <c r="Y1198" s="237"/>
      <c r="Z1198" s="237" t="e">
        <f>VLOOKUP(Exome[[#This Row],[SID]],#REF!,2,FALSE)</f>
        <v>#REF!</v>
      </c>
      <c r="AA1198" s="337" t="e">
        <f>VLOOKUP(Exome[[#This Row],[SID]],#REF!,2,FALSE)</f>
        <v>#REF!</v>
      </c>
      <c r="AB1198" s="237"/>
      <c r="AC1198" s="237"/>
    </row>
    <row r="1199" spans="2:29" ht="13.5" customHeight="1">
      <c r="B1199" s="339"/>
      <c r="C1199" s="237"/>
      <c r="D1199" s="263"/>
      <c r="E1199" s="237"/>
      <c r="F1199" s="237"/>
      <c r="G1199" s="255"/>
      <c r="H1199" s="237"/>
      <c r="I1199" s="237"/>
      <c r="J1199" s="237"/>
      <c r="K1199" s="240"/>
      <c r="L1199" s="72" t="s">
        <v>29</v>
      </c>
      <c r="M1199" s="237"/>
      <c r="N1199" s="237"/>
      <c r="O1199" s="237"/>
      <c r="P1199" s="237"/>
      <c r="Q1199" s="245" t="e">
        <f>VLOOKUP(Exome[[#This Row],[SID]],#REF!,2,FALSE)</f>
        <v>#REF!</v>
      </c>
      <c r="R1199" s="237"/>
      <c r="S1199" s="237"/>
      <c r="T1199" s="237"/>
      <c r="U1199" s="237"/>
      <c r="V1199" s="237"/>
      <c r="W1199" s="237"/>
      <c r="X1199" s="237"/>
      <c r="Y1199" s="237"/>
      <c r="Z1199" s="237" t="e">
        <f>VLOOKUP(Exome[[#This Row],[SID]],#REF!,2,FALSE)</f>
        <v>#REF!</v>
      </c>
      <c r="AA1199" s="337" t="e">
        <f>VLOOKUP(Exome[[#This Row],[SID]],#REF!,2,FALSE)</f>
        <v>#REF!</v>
      </c>
      <c r="AB1199" s="237"/>
      <c r="AC1199" s="237"/>
    </row>
    <row r="1200" spans="2:29" ht="13.5" customHeight="1">
      <c r="B1200" s="339"/>
      <c r="C1200" s="237"/>
      <c r="D1200" s="263"/>
      <c r="E1200" s="237"/>
      <c r="F1200" s="237"/>
      <c r="G1200" s="255"/>
      <c r="H1200" s="237"/>
      <c r="I1200" s="237"/>
      <c r="J1200" s="237"/>
      <c r="K1200" s="240"/>
      <c r="L1200" s="243" t="s">
        <v>1642</v>
      </c>
      <c r="M1200" s="237"/>
      <c r="N1200" s="237"/>
      <c r="O1200" s="237"/>
      <c r="P1200" s="237"/>
      <c r="Q1200" s="245" t="e">
        <f>VLOOKUP(Exome[[#This Row],[SID]],#REF!,2,FALSE)</f>
        <v>#REF!</v>
      </c>
      <c r="R1200" s="237"/>
      <c r="S1200" s="237"/>
      <c r="T1200" s="237"/>
      <c r="U1200" s="237"/>
      <c r="V1200" s="237"/>
      <c r="W1200" s="237"/>
      <c r="X1200" s="237"/>
      <c r="Y1200" s="237"/>
      <c r="Z1200" s="237" t="e">
        <f>VLOOKUP(Exome[[#This Row],[SID]],#REF!,2,FALSE)</f>
        <v>#REF!</v>
      </c>
      <c r="AA1200" s="337" t="e">
        <f>VLOOKUP(Exome[[#This Row],[SID]],#REF!,2,FALSE)</f>
        <v>#REF!</v>
      </c>
      <c r="AB1200" s="237"/>
      <c r="AC1200" s="237"/>
    </row>
    <row r="1201" spans="2:29" ht="13.5" customHeight="1">
      <c r="B1201" s="339"/>
      <c r="C1201" s="237"/>
      <c r="D1201" s="263"/>
      <c r="E1201" s="237"/>
      <c r="F1201" s="237"/>
      <c r="G1201" s="255"/>
      <c r="H1201" s="237"/>
      <c r="I1201" s="237"/>
      <c r="J1201" s="237"/>
      <c r="K1201" s="240"/>
      <c r="L1201" s="72" t="s">
        <v>11</v>
      </c>
      <c r="M1201" s="237"/>
      <c r="N1201" s="237"/>
      <c r="O1201" s="237"/>
      <c r="P1201" s="237"/>
      <c r="Q1201" s="245" t="e">
        <f>VLOOKUP(Exome[[#This Row],[SID]],#REF!,2,FALSE)</f>
        <v>#REF!</v>
      </c>
      <c r="R1201" s="237"/>
      <c r="S1201" s="237"/>
      <c r="T1201" s="237"/>
      <c r="U1201" s="237"/>
      <c r="V1201" s="237"/>
      <c r="W1201" s="237"/>
      <c r="X1201" s="237"/>
      <c r="Y1201" s="237"/>
      <c r="Z1201" s="237" t="e">
        <f>VLOOKUP(Exome[[#This Row],[SID]],#REF!,2,FALSE)</f>
        <v>#REF!</v>
      </c>
      <c r="AA1201" s="337" t="e">
        <f>VLOOKUP(Exome[[#This Row],[SID]],#REF!,2,FALSE)</f>
        <v>#REF!</v>
      </c>
      <c r="AB1201" s="237"/>
      <c r="AC1201" s="237"/>
    </row>
    <row r="1202" spans="2:29" ht="13.5" customHeight="1">
      <c r="B1202" s="339"/>
      <c r="C1202" s="237"/>
      <c r="D1202" s="263"/>
      <c r="E1202" s="237"/>
      <c r="F1202" s="237"/>
      <c r="G1202" s="255"/>
      <c r="H1202" s="237"/>
      <c r="I1202" s="237"/>
      <c r="J1202" s="237"/>
      <c r="K1202" s="240"/>
      <c r="L1202" s="72" t="s">
        <v>65</v>
      </c>
      <c r="M1202" s="237"/>
      <c r="N1202" s="237"/>
      <c r="O1202" s="237"/>
      <c r="P1202" s="237"/>
      <c r="Q1202" s="245" t="e">
        <f>VLOOKUP(Exome[[#This Row],[SID]],#REF!,2,FALSE)</f>
        <v>#REF!</v>
      </c>
      <c r="R1202" s="237"/>
      <c r="S1202" s="237"/>
      <c r="T1202" s="237"/>
      <c r="U1202" s="237"/>
      <c r="V1202" s="237"/>
      <c r="W1202" s="237"/>
      <c r="X1202" s="237"/>
      <c r="Y1202" s="237"/>
      <c r="Z1202" s="237" t="e">
        <f>VLOOKUP(Exome[[#This Row],[SID]],#REF!,2,FALSE)</f>
        <v>#REF!</v>
      </c>
      <c r="AA1202" s="337" t="e">
        <f>VLOOKUP(Exome[[#This Row],[SID]],#REF!,2,FALSE)</f>
        <v>#REF!</v>
      </c>
      <c r="AB1202" s="237"/>
      <c r="AC1202" s="237"/>
    </row>
    <row r="1203" spans="2:29" ht="13.5" customHeight="1">
      <c r="B1203" s="339"/>
      <c r="C1203" s="237"/>
      <c r="D1203" s="263"/>
      <c r="E1203" s="237"/>
      <c r="F1203" s="237"/>
      <c r="G1203" s="255"/>
      <c r="H1203" s="237"/>
      <c r="I1203" s="237"/>
      <c r="J1203" s="237"/>
      <c r="K1203" s="240"/>
      <c r="L1203" s="72" t="s">
        <v>67</v>
      </c>
      <c r="M1203" s="237"/>
      <c r="N1203" s="237"/>
      <c r="O1203" s="237"/>
      <c r="P1203" s="237"/>
      <c r="Q1203" s="245" t="e">
        <f>VLOOKUP(Exome[[#This Row],[SID]],#REF!,2,FALSE)</f>
        <v>#REF!</v>
      </c>
      <c r="R1203" s="237"/>
      <c r="S1203" s="237"/>
      <c r="T1203" s="237"/>
      <c r="U1203" s="237"/>
      <c r="V1203" s="237"/>
      <c r="W1203" s="237"/>
      <c r="X1203" s="237"/>
      <c r="Y1203" s="237"/>
      <c r="Z1203" s="237" t="e">
        <f>VLOOKUP(Exome[[#This Row],[SID]],#REF!,2,FALSE)</f>
        <v>#REF!</v>
      </c>
      <c r="AA1203" s="337" t="e">
        <f>VLOOKUP(Exome[[#This Row],[SID]],#REF!,2,FALSE)</f>
        <v>#REF!</v>
      </c>
      <c r="AB1203" s="237"/>
      <c r="AC1203" s="237"/>
    </row>
    <row r="1204" spans="2:29" ht="13.5" customHeight="1">
      <c r="B1204" s="339"/>
      <c r="C1204" s="237"/>
      <c r="D1204" s="263"/>
      <c r="E1204" s="237"/>
      <c r="F1204" s="237"/>
      <c r="G1204" s="255"/>
      <c r="H1204" s="237"/>
      <c r="I1204" s="237"/>
      <c r="J1204" s="237"/>
      <c r="K1204" s="240"/>
      <c r="L1204" s="72" t="s">
        <v>13</v>
      </c>
      <c r="M1204" s="237"/>
      <c r="N1204" s="237"/>
      <c r="O1204" s="237"/>
      <c r="P1204" s="237"/>
      <c r="Q1204" s="245" t="e">
        <f>VLOOKUP(Exome[[#This Row],[SID]],#REF!,2,FALSE)</f>
        <v>#REF!</v>
      </c>
      <c r="R1204" s="237"/>
      <c r="S1204" s="237"/>
      <c r="T1204" s="237"/>
      <c r="U1204" s="237"/>
      <c r="V1204" s="237"/>
      <c r="W1204" s="237"/>
      <c r="X1204" s="237"/>
      <c r="Y1204" s="237"/>
      <c r="Z1204" s="237" t="e">
        <f>VLOOKUP(Exome[[#This Row],[SID]],#REF!,2,FALSE)</f>
        <v>#REF!</v>
      </c>
      <c r="AA1204" s="337" t="e">
        <f>VLOOKUP(Exome[[#This Row],[SID]],#REF!,2,FALSE)</f>
        <v>#REF!</v>
      </c>
      <c r="AB1204" s="237"/>
      <c r="AC1204" s="237"/>
    </row>
    <row r="1205" spans="2:29" ht="13.5" customHeight="1">
      <c r="B1205" s="339"/>
      <c r="C1205" s="237"/>
      <c r="D1205" s="263"/>
      <c r="E1205" s="237"/>
      <c r="F1205" s="237"/>
      <c r="G1205" s="255"/>
      <c r="H1205" s="237"/>
      <c r="I1205" s="237"/>
      <c r="J1205" s="237"/>
      <c r="K1205" s="240"/>
      <c r="L1205" s="72" t="s">
        <v>13</v>
      </c>
      <c r="M1205" s="237"/>
      <c r="N1205" s="237"/>
      <c r="O1205" s="237"/>
      <c r="P1205" s="237"/>
      <c r="Q1205" s="245" t="e">
        <f>VLOOKUP(Exome[[#This Row],[SID]],#REF!,2,FALSE)</f>
        <v>#REF!</v>
      </c>
      <c r="R1205" s="237"/>
      <c r="S1205" s="237"/>
      <c r="T1205" s="237"/>
      <c r="U1205" s="237"/>
      <c r="V1205" s="237"/>
      <c r="W1205" s="237"/>
      <c r="X1205" s="237"/>
      <c r="Y1205" s="237"/>
      <c r="Z1205" s="237" t="e">
        <f>VLOOKUP(Exome[[#This Row],[SID]],#REF!,2,FALSE)</f>
        <v>#REF!</v>
      </c>
      <c r="AA1205" s="337" t="e">
        <f>VLOOKUP(Exome[[#This Row],[SID]],#REF!,2,FALSE)</f>
        <v>#REF!</v>
      </c>
      <c r="AB1205" s="237"/>
      <c r="AC1205" s="237"/>
    </row>
    <row r="1206" spans="2:29" ht="13.5" customHeight="1">
      <c r="B1206" s="339"/>
      <c r="C1206" s="237"/>
      <c r="D1206" s="263"/>
      <c r="E1206" s="237"/>
      <c r="F1206" s="237"/>
      <c r="G1206" s="255"/>
      <c r="H1206" s="237"/>
      <c r="I1206" s="237"/>
      <c r="J1206" s="237"/>
      <c r="K1206" s="240"/>
      <c r="L1206" s="243" t="s">
        <v>20</v>
      </c>
      <c r="M1206" s="237"/>
      <c r="N1206" s="237"/>
      <c r="O1206" s="237"/>
      <c r="P1206" s="237"/>
      <c r="Q1206" s="245" t="e">
        <f>VLOOKUP(Exome[[#This Row],[SID]],#REF!,2,FALSE)</f>
        <v>#REF!</v>
      </c>
      <c r="R1206" s="237"/>
      <c r="S1206" s="237"/>
      <c r="T1206" s="237"/>
      <c r="U1206" s="237"/>
      <c r="V1206" s="237"/>
      <c r="W1206" s="237"/>
      <c r="X1206" s="237"/>
      <c r="Y1206" s="237"/>
      <c r="Z1206" s="237" t="e">
        <f>VLOOKUP(Exome[[#This Row],[SID]],#REF!,2,FALSE)</f>
        <v>#REF!</v>
      </c>
      <c r="AA1206" s="337" t="e">
        <f>VLOOKUP(Exome[[#This Row],[SID]],#REF!,2,FALSE)</f>
        <v>#REF!</v>
      </c>
      <c r="AB1206" s="237"/>
      <c r="AC1206" s="237"/>
    </row>
    <row r="1207" spans="2:29" ht="13.5" customHeight="1">
      <c r="B1207" s="339"/>
      <c r="C1207" s="237"/>
      <c r="D1207" s="263"/>
      <c r="E1207" s="237"/>
      <c r="F1207" s="237"/>
      <c r="G1207" s="255"/>
      <c r="H1207" s="237"/>
      <c r="I1207" s="237"/>
      <c r="J1207" s="237"/>
      <c r="K1207" s="240"/>
      <c r="L1207" s="243" t="s">
        <v>4402</v>
      </c>
      <c r="M1207" s="237"/>
      <c r="N1207" s="237"/>
      <c r="O1207" s="237"/>
      <c r="P1207" s="237"/>
      <c r="Q1207" s="245" t="e">
        <f>VLOOKUP(Exome[[#This Row],[SID]],#REF!,2,FALSE)</f>
        <v>#REF!</v>
      </c>
      <c r="R1207" s="237"/>
      <c r="S1207" s="237"/>
      <c r="T1207" s="237"/>
      <c r="U1207" s="237"/>
      <c r="V1207" s="237"/>
      <c r="W1207" s="237"/>
      <c r="X1207" s="237"/>
      <c r="Y1207" s="237"/>
      <c r="Z1207" s="237" t="e">
        <f>VLOOKUP(Exome[[#This Row],[SID]],#REF!,2,FALSE)</f>
        <v>#REF!</v>
      </c>
      <c r="AA1207" s="337" t="e">
        <f>VLOOKUP(Exome[[#This Row],[SID]],#REF!,2,FALSE)</f>
        <v>#REF!</v>
      </c>
      <c r="AB1207" s="237"/>
      <c r="AC1207" s="237"/>
    </row>
    <row r="1208" spans="2:29" ht="13.5" customHeight="1">
      <c r="B1208" s="339"/>
      <c r="C1208" s="237"/>
      <c r="D1208" s="263"/>
      <c r="E1208" s="237"/>
      <c r="F1208" s="237"/>
      <c r="G1208" s="255"/>
      <c r="H1208" s="237"/>
      <c r="I1208" s="237"/>
      <c r="J1208" s="237"/>
      <c r="K1208" s="240"/>
      <c r="L1208" s="72" t="s">
        <v>16</v>
      </c>
      <c r="M1208" s="237"/>
      <c r="N1208" s="237"/>
      <c r="O1208" s="237"/>
      <c r="P1208" s="237"/>
      <c r="Q1208" s="245" t="e">
        <f>VLOOKUP(Exome[[#This Row],[SID]],#REF!,2,FALSE)</f>
        <v>#REF!</v>
      </c>
      <c r="R1208" s="237"/>
      <c r="S1208" s="237"/>
      <c r="T1208" s="237"/>
      <c r="U1208" s="237"/>
      <c r="V1208" s="237"/>
      <c r="W1208" s="237"/>
      <c r="X1208" s="237"/>
      <c r="Y1208" s="237"/>
      <c r="Z1208" s="237" t="e">
        <f>VLOOKUP(Exome[[#This Row],[SID]],#REF!,2,FALSE)</f>
        <v>#REF!</v>
      </c>
      <c r="AA1208" s="337" t="e">
        <f>VLOOKUP(Exome[[#This Row],[SID]],#REF!,2,FALSE)</f>
        <v>#REF!</v>
      </c>
      <c r="AB1208" s="237"/>
      <c r="AC1208" s="237"/>
    </row>
    <row r="1209" spans="2:29" ht="13.5" customHeight="1">
      <c r="B1209" s="339"/>
      <c r="C1209" s="237"/>
      <c r="D1209" s="263"/>
      <c r="E1209" s="237"/>
      <c r="F1209" s="237"/>
      <c r="G1209" s="255"/>
      <c r="H1209" s="237"/>
      <c r="I1209" s="237"/>
      <c r="J1209" s="237"/>
      <c r="K1209" s="240"/>
      <c r="L1209" s="243" t="s">
        <v>93</v>
      </c>
      <c r="M1209" s="237"/>
      <c r="N1209" s="237"/>
      <c r="O1209" s="237"/>
      <c r="P1209" s="237"/>
      <c r="Q1209" s="245" t="e">
        <f>VLOOKUP(Exome[[#This Row],[SID]],#REF!,2,FALSE)</f>
        <v>#REF!</v>
      </c>
      <c r="R1209" s="237"/>
      <c r="S1209" s="237"/>
      <c r="T1209" s="237"/>
      <c r="U1209" s="237"/>
      <c r="V1209" s="237"/>
      <c r="W1209" s="237"/>
      <c r="X1209" s="237"/>
      <c r="Y1209" s="237"/>
      <c r="Z1209" s="237" t="e">
        <f>VLOOKUP(Exome[[#This Row],[SID]],#REF!,2,FALSE)</f>
        <v>#REF!</v>
      </c>
      <c r="AA1209" s="337" t="e">
        <f>VLOOKUP(Exome[[#This Row],[SID]],#REF!,2,FALSE)</f>
        <v>#REF!</v>
      </c>
      <c r="AB1209" s="237"/>
      <c r="AC1209" s="237"/>
    </row>
    <row r="1210" spans="2:29" ht="13.5" customHeight="1">
      <c r="B1210" s="339"/>
      <c r="C1210" s="237"/>
      <c r="D1210" s="263"/>
      <c r="E1210" s="237"/>
      <c r="F1210" s="237"/>
      <c r="G1210" s="255"/>
      <c r="H1210" s="237"/>
      <c r="I1210" s="237"/>
      <c r="J1210" s="237"/>
      <c r="K1210" s="240"/>
      <c r="L1210" s="72" t="s">
        <v>10</v>
      </c>
      <c r="M1210" s="237"/>
      <c r="N1210" s="237"/>
      <c r="O1210" s="237"/>
      <c r="P1210" s="237"/>
      <c r="Q1210" s="245" t="e">
        <f>VLOOKUP(Exome[[#This Row],[SID]],#REF!,2,FALSE)</f>
        <v>#REF!</v>
      </c>
      <c r="R1210" s="237"/>
      <c r="S1210" s="237"/>
      <c r="T1210" s="237"/>
      <c r="U1210" s="237"/>
      <c r="V1210" s="237"/>
      <c r="W1210" s="237"/>
      <c r="X1210" s="237"/>
      <c r="Y1210" s="237"/>
      <c r="Z1210" s="237" t="e">
        <f>VLOOKUP(Exome[[#This Row],[SID]],#REF!,2,FALSE)</f>
        <v>#REF!</v>
      </c>
      <c r="AA1210" s="337" t="e">
        <f>VLOOKUP(Exome[[#This Row],[SID]],#REF!,2,FALSE)</f>
        <v>#REF!</v>
      </c>
      <c r="AB1210" s="237"/>
      <c r="AC1210" s="237"/>
    </row>
    <row r="1211" spans="2:29" ht="13.5" customHeight="1">
      <c r="B1211" s="339"/>
      <c r="C1211" s="237"/>
      <c r="D1211" s="263"/>
      <c r="E1211" s="237"/>
      <c r="F1211" s="237"/>
      <c r="G1211" s="255"/>
      <c r="H1211" s="237"/>
      <c r="I1211" s="237"/>
      <c r="J1211" s="237"/>
      <c r="K1211" s="240"/>
      <c r="L1211" s="317" t="s">
        <v>65</v>
      </c>
      <c r="M1211" s="237"/>
      <c r="N1211" s="237"/>
      <c r="O1211" s="237"/>
      <c r="P1211" s="237"/>
      <c r="Q1211" s="245" t="e">
        <f>VLOOKUP(Exome[[#This Row],[SID]],#REF!,2,FALSE)</f>
        <v>#REF!</v>
      </c>
      <c r="R1211" s="237"/>
      <c r="S1211" s="237"/>
      <c r="T1211" s="237"/>
      <c r="U1211" s="237"/>
      <c r="V1211" s="237"/>
      <c r="W1211" s="237"/>
      <c r="X1211" s="237"/>
      <c r="Y1211" s="237"/>
      <c r="Z1211" s="237" t="e">
        <f>VLOOKUP(Exome[[#This Row],[SID]],#REF!,2,FALSE)</f>
        <v>#REF!</v>
      </c>
      <c r="AA1211" s="337" t="e">
        <f>VLOOKUP(Exome[[#This Row],[SID]],#REF!,2,FALSE)</f>
        <v>#REF!</v>
      </c>
      <c r="AB1211" s="237"/>
      <c r="AC1211" s="237"/>
    </row>
    <row r="1212" spans="2:29" ht="13.5" customHeight="1">
      <c r="B1212" s="339"/>
      <c r="C1212" s="237"/>
      <c r="D1212" s="263"/>
      <c r="E1212" s="237"/>
      <c r="F1212" s="237"/>
      <c r="G1212" s="255"/>
      <c r="H1212" s="237"/>
      <c r="I1212" s="237"/>
      <c r="J1212" s="237"/>
      <c r="K1212" s="240"/>
      <c r="L1212" s="72" t="s">
        <v>16</v>
      </c>
      <c r="M1212" s="237"/>
      <c r="N1212" s="237"/>
      <c r="O1212" s="237"/>
      <c r="P1212" s="237"/>
      <c r="Q1212" s="245" t="e">
        <f>VLOOKUP(Exome[[#This Row],[SID]],#REF!,2,FALSE)</f>
        <v>#REF!</v>
      </c>
      <c r="R1212" s="237"/>
      <c r="S1212" s="237"/>
      <c r="T1212" s="237"/>
      <c r="U1212" s="237"/>
      <c r="V1212" s="237"/>
      <c r="W1212" s="237"/>
      <c r="X1212" s="237"/>
      <c r="Y1212" s="237"/>
      <c r="Z1212" s="237" t="e">
        <f>VLOOKUP(Exome[[#This Row],[SID]],#REF!,2,FALSE)</f>
        <v>#REF!</v>
      </c>
      <c r="AA1212" s="337" t="e">
        <f>VLOOKUP(Exome[[#This Row],[SID]],#REF!,2,FALSE)</f>
        <v>#REF!</v>
      </c>
      <c r="AB1212" s="237"/>
      <c r="AC1212" s="237"/>
    </row>
    <row r="1213" spans="2:29" ht="13.5" customHeight="1">
      <c r="B1213" s="339"/>
      <c r="C1213" s="237"/>
      <c r="D1213" s="263"/>
      <c r="E1213" s="237"/>
      <c r="F1213" s="237"/>
      <c r="G1213" s="255"/>
      <c r="H1213" s="237"/>
      <c r="I1213" s="237"/>
      <c r="J1213" s="237"/>
      <c r="K1213" s="240"/>
      <c r="L1213" s="72" t="s">
        <v>13</v>
      </c>
      <c r="M1213" s="237"/>
      <c r="N1213" s="237"/>
      <c r="O1213" s="237"/>
      <c r="P1213" s="237"/>
      <c r="Q1213" s="245" t="e">
        <f>VLOOKUP(Exome[[#This Row],[SID]],#REF!,2,FALSE)</f>
        <v>#REF!</v>
      </c>
      <c r="R1213" s="237"/>
      <c r="S1213" s="237"/>
      <c r="T1213" s="237"/>
      <c r="U1213" s="237"/>
      <c r="V1213" s="237"/>
      <c r="W1213" s="237"/>
      <c r="X1213" s="237"/>
      <c r="Y1213" s="237"/>
      <c r="Z1213" s="237" t="e">
        <f>VLOOKUP(Exome[[#This Row],[SID]],#REF!,2,FALSE)</f>
        <v>#REF!</v>
      </c>
      <c r="AA1213" s="337" t="e">
        <f>VLOOKUP(Exome[[#This Row],[SID]],#REF!,2,FALSE)</f>
        <v>#REF!</v>
      </c>
      <c r="AB1213" s="237"/>
      <c r="AC1213" s="237"/>
    </row>
    <row r="1214" spans="2:29" ht="13.5" customHeight="1">
      <c r="B1214" s="339"/>
      <c r="C1214" s="237"/>
      <c r="D1214" s="263"/>
      <c r="E1214" s="237"/>
      <c r="F1214" s="237"/>
      <c r="G1214" s="255"/>
      <c r="H1214" s="237"/>
      <c r="I1214" s="237"/>
      <c r="J1214" s="237"/>
      <c r="K1214" s="240"/>
      <c r="L1214" s="317" t="s">
        <v>21</v>
      </c>
      <c r="M1214" s="237"/>
      <c r="N1214" s="237"/>
      <c r="O1214" s="237"/>
      <c r="P1214" s="237"/>
      <c r="Q1214" s="245" t="e">
        <f>VLOOKUP(Exome[[#This Row],[SID]],#REF!,2,FALSE)</f>
        <v>#REF!</v>
      </c>
      <c r="R1214" s="237"/>
      <c r="S1214" s="237"/>
      <c r="T1214" s="237"/>
      <c r="U1214" s="237"/>
      <c r="V1214" s="237"/>
      <c r="W1214" s="237"/>
      <c r="X1214" s="237"/>
      <c r="Y1214" s="237"/>
      <c r="Z1214" s="237" t="e">
        <f>VLOOKUP(Exome[[#This Row],[SID]],#REF!,2,FALSE)</f>
        <v>#REF!</v>
      </c>
      <c r="AA1214" s="337" t="e">
        <f>VLOOKUP(Exome[[#This Row],[SID]],#REF!,2,FALSE)</f>
        <v>#REF!</v>
      </c>
      <c r="AB1214" s="237"/>
      <c r="AC1214" s="237"/>
    </row>
    <row r="1215" spans="2:29" ht="13.5" customHeight="1">
      <c r="B1215" s="339"/>
      <c r="C1215" s="237"/>
      <c r="D1215" s="263"/>
      <c r="E1215" s="237"/>
      <c r="F1215" s="237"/>
      <c r="G1215" s="255"/>
      <c r="H1215" s="237"/>
      <c r="I1215" s="237"/>
      <c r="J1215" s="237"/>
      <c r="K1215" s="240"/>
      <c r="L1215" s="72" t="s">
        <v>21</v>
      </c>
      <c r="M1215" s="237"/>
      <c r="N1215" s="237"/>
      <c r="O1215" s="237"/>
      <c r="P1215" s="237"/>
      <c r="Q1215" s="245" t="e">
        <f>VLOOKUP(Exome[[#This Row],[SID]],#REF!,2,FALSE)</f>
        <v>#REF!</v>
      </c>
      <c r="R1215" s="237"/>
      <c r="S1215" s="237"/>
      <c r="T1215" s="237"/>
      <c r="U1215" s="237"/>
      <c r="V1215" s="237"/>
      <c r="W1215" s="237"/>
      <c r="X1215" s="237"/>
      <c r="Y1215" s="237"/>
      <c r="Z1215" s="237" t="e">
        <f>VLOOKUP(Exome[[#This Row],[SID]],#REF!,2,FALSE)</f>
        <v>#REF!</v>
      </c>
      <c r="AA1215" s="337" t="e">
        <f>VLOOKUP(Exome[[#This Row],[SID]],#REF!,2,FALSE)</f>
        <v>#REF!</v>
      </c>
      <c r="AB1215" s="237"/>
      <c r="AC1215" s="237"/>
    </row>
    <row r="1216" spans="2:29" ht="13.5" customHeight="1">
      <c r="B1216" s="339"/>
      <c r="C1216" s="237"/>
      <c r="D1216" s="263"/>
      <c r="E1216" s="237"/>
      <c r="F1216" s="237"/>
      <c r="G1216" s="255"/>
      <c r="H1216" s="237"/>
      <c r="I1216" s="237"/>
      <c r="J1216" s="237"/>
      <c r="K1216" s="240"/>
      <c r="L1216" s="72" t="s">
        <v>21</v>
      </c>
      <c r="M1216" s="237"/>
      <c r="N1216" s="237"/>
      <c r="O1216" s="237"/>
      <c r="P1216" s="237"/>
      <c r="Q1216" s="245" t="e">
        <f>VLOOKUP(Exome[[#This Row],[SID]],#REF!,2,FALSE)</f>
        <v>#REF!</v>
      </c>
      <c r="R1216" s="237"/>
      <c r="S1216" s="237"/>
      <c r="T1216" s="237"/>
      <c r="U1216" s="237"/>
      <c r="V1216" s="237"/>
      <c r="W1216" s="237"/>
      <c r="X1216" s="237"/>
      <c r="Y1216" s="237"/>
      <c r="Z1216" s="237" t="e">
        <f>VLOOKUP(Exome[[#This Row],[SID]],#REF!,2,FALSE)</f>
        <v>#REF!</v>
      </c>
      <c r="AA1216" s="337" t="e">
        <f>VLOOKUP(Exome[[#This Row],[SID]],#REF!,2,FALSE)</f>
        <v>#REF!</v>
      </c>
      <c r="AB1216" s="237"/>
      <c r="AC1216" s="237"/>
    </row>
    <row r="1217" spans="2:29" ht="13.5" customHeight="1">
      <c r="B1217" s="339"/>
      <c r="C1217" s="237"/>
      <c r="D1217" s="263"/>
      <c r="E1217" s="237"/>
      <c r="F1217" s="237"/>
      <c r="G1217" s="255"/>
      <c r="H1217" s="237"/>
      <c r="I1217" s="237"/>
      <c r="J1217" s="237"/>
      <c r="K1217" s="240"/>
      <c r="L1217" s="72" t="s">
        <v>65</v>
      </c>
      <c r="M1217" s="237"/>
      <c r="N1217" s="237"/>
      <c r="O1217" s="237"/>
      <c r="P1217" s="237"/>
      <c r="Q1217" s="245" t="e">
        <f>VLOOKUP(Exome[[#This Row],[SID]],#REF!,2,FALSE)</f>
        <v>#REF!</v>
      </c>
      <c r="R1217" s="237"/>
      <c r="S1217" s="237"/>
      <c r="T1217" s="237"/>
      <c r="U1217" s="237"/>
      <c r="V1217" s="237"/>
      <c r="W1217" s="237"/>
      <c r="X1217" s="237"/>
      <c r="Y1217" s="237"/>
      <c r="Z1217" s="237" t="e">
        <f>VLOOKUP(Exome[[#This Row],[SID]],#REF!,2,FALSE)</f>
        <v>#REF!</v>
      </c>
      <c r="AA1217" s="337" t="e">
        <f>VLOOKUP(Exome[[#This Row],[SID]],#REF!,2,FALSE)</f>
        <v>#REF!</v>
      </c>
      <c r="AB1217" s="237"/>
      <c r="AC1217" s="237"/>
    </row>
    <row r="1218" spans="2:29" ht="13.5" customHeight="1">
      <c r="B1218" s="339"/>
      <c r="C1218" s="237"/>
      <c r="D1218" s="263"/>
      <c r="E1218" s="237"/>
      <c r="F1218" s="237"/>
      <c r="G1218" s="255"/>
      <c r="H1218" s="237"/>
      <c r="I1218" s="237"/>
      <c r="J1218" s="237"/>
      <c r="K1218" s="240"/>
      <c r="L1218" s="72" t="s">
        <v>21</v>
      </c>
      <c r="M1218" s="237"/>
      <c r="N1218" s="237"/>
      <c r="O1218" s="237"/>
      <c r="P1218" s="237"/>
      <c r="Q1218" s="245" t="e">
        <f>VLOOKUP(Exome[[#This Row],[SID]],#REF!,2,FALSE)</f>
        <v>#REF!</v>
      </c>
      <c r="R1218" s="237"/>
      <c r="S1218" s="237"/>
      <c r="T1218" s="237"/>
      <c r="U1218" s="237"/>
      <c r="V1218" s="237"/>
      <c r="W1218" s="237"/>
      <c r="X1218" s="237"/>
      <c r="Y1218" s="237"/>
      <c r="Z1218" s="237" t="e">
        <f>VLOOKUP(Exome[[#This Row],[SID]],#REF!,2,FALSE)</f>
        <v>#REF!</v>
      </c>
      <c r="AA1218" s="337" t="e">
        <f>VLOOKUP(Exome[[#This Row],[SID]],#REF!,2,FALSE)</f>
        <v>#REF!</v>
      </c>
      <c r="AB1218" s="237"/>
      <c r="AC1218" s="237"/>
    </row>
  </sheetData>
  <conditionalFormatting sqref="F1:G2">
    <cfRule type="containsText" dxfId="856" priority="380" operator="containsText" text="Female">
      <formula>NOT(ISERROR(SEARCH("Female",F1)))</formula>
    </cfRule>
  </conditionalFormatting>
  <conditionalFormatting sqref="G1249:G1048576 G1:G113 G115:G241 G243:G271 G273:G513 G515:G631 G778:G1218">
    <cfRule type="duplicateValues" dxfId="855" priority="4478"/>
  </conditionalFormatting>
  <conditionalFormatting sqref="C514">
    <cfRule type="duplicateValues" dxfId="854" priority="99"/>
  </conditionalFormatting>
  <conditionalFormatting sqref="C514">
    <cfRule type="duplicateValues" dxfId="853" priority="98"/>
  </conditionalFormatting>
  <conditionalFormatting sqref="G514">
    <cfRule type="duplicateValues" dxfId="852" priority="100"/>
  </conditionalFormatting>
  <conditionalFormatting sqref="D514">
    <cfRule type="duplicateValues" dxfId="851" priority="101"/>
  </conditionalFormatting>
  <conditionalFormatting sqref="C514">
    <cfRule type="duplicateValues" dxfId="850" priority="102"/>
    <cfRule type="duplicateValues" dxfId="849" priority="103"/>
  </conditionalFormatting>
  <conditionalFormatting sqref="C1249:C1048576 C1:C113 C115:C241 C243:C271 C273:C513 C515:C631 C778:C1218">
    <cfRule type="duplicateValues" dxfId="848" priority="4491"/>
  </conditionalFormatting>
  <conditionalFormatting sqref="C1249:C1048576 C1:C113 C115:C241 C243:C271 C273:C513 C515:C631 C778:C1218">
    <cfRule type="duplicateValues" dxfId="847" priority="4499"/>
  </conditionalFormatting>
  <conditionalFormatting sqref="D1249:D1048576 D1:D113 D115:D241 D243:D271 D273:D513 D515:D631 D778:D1218">
    <cfRule type="duplicateValues" dxfId="846" priority="4519"/>
  </conditionalFormatting>
  <conditionalFormatting sqref="C1249:C1048576 C1:C113 C115:C241 C243:C271 C273:C513 C515:C631 C778:C1218">
    <cfRule type="duplicateValues" dxfId="845" priority="4526"/>
    <cfRule type="duplicateValues" dxfId="844" priority="4527"/>
  </conditionalFormatting>
  <conditionalFormatting sqref="C3:C113 C115:C241 C243:C271 C273:C513 C515:C631 C778:C791 C816:C1218">
    <cfRule type="duplicateValues" dxfId="843" priority="4540"/>
  </conditionalFormatting>
  <conditionalFormatting sqref="G728">
    <cfRule type="duplicateValues" dxfId="842" priority="80"/>
  </conditionalFormatting>
  <conditionalFormatting sqref="G732">
    <cfRule type="duplicateValues" dxfId="841" priority="79"/>
  </conditionalFormatting>
  <conditionalFormatting sqref="G733">
    <cfRule type="duplicateValues" dxfId="840" priority="78"/>
  </conditionalFormatting>
  <conditionalFormatting sqref="G744">
    <cfRule type="duplicateValues" dxfId="839" priority="77"/>
  </conditionalFormatting>
  <conditionalFormatting sqref="G745">
    <cfRule type="duplicateValues" dxfId="838" priority="76"/>
  </conditionalFormatting>
  <conditionalFormatting sqref="G747">
    <cfRule type="duplicateValues" dxfId="837" priority="75"/>
  </conditionalFormatting>
  <conditionalFormatting sqref="G748">
    <cfRule type="duplicateValues" dxfId="836" priority="74"/>
  </conditionalFormatting>
  <conditionalFormatting sqref="G751">
    <cfRule type="duplicateValues" dxfId="835" priority="73"/>
  </conditionalFormatting>
  <conditionalFormatting sqref="G752">
    <cfRule type="duplicateValues" dxfId="834" priority="72"/>
  </conditionalFormatting>
  <conditionalFormatting sqref="G753">
    <cfRule type="duplicateValues" dxfId="833" priority="71"/>
  </conditionalFormatting>
  <conditionalFormatting sqref="G754">
    <cfRule type="duplicateValues" dxfId="832" priority="69"/>
  </conditionalFormatting>
  <conditionalFormatting sqref="G759">
    <cfRule type="duplicateValues" dxfId="831" priority="68"/>
  </conditionalFormatting>
  <conditionalFormatting sqref="H694">
    <cfRule type="containsText" dxfId="830" priority="67" operator="containsText" text="Control">
      <formula>NOT(ISERROR(SEARCH("Control",H694)))</formula>
    </cfRule>
  </conditionalFormatting>
  <conditionalFormatting sqref="C658">
    <cfRule type="duplicateValues" dxfId="829" priority="62"/>
  </conditionalFormatting>
  <conditionalFormatting sqref="C658">
    <cfRule type="duplicateValues" dxfId="828" priority="61"/>
  </conditionalFormatting>
  <conditionalFormatting sqref="G658">
    <cfRule type="duplicateValues" dxfId="827" priority="63"/>
  </conditionalFormatting>
  <conditionalFormatting sqref="D658">
    <cfRule type="duplicateValues" dxfId="826" priority="64"/>
  </conditionalFormatting>
  <conditionalFormatting sqref="C658">
    <cfRule type="duplicateValues" dxfId="825" priority="65"/>
    <cfRule type="duplicateValues" dxfId="824" priority="66"/>
  </conditionalFormatting>
  <conditionalFormatting sqref="C659">
    <cfRule type="duplicateValues" dxfId="823" priority="56"/>
  </conditionalFormatting>
  <conditionalFormatting sqref="C659">
    <cfRule type="duplicateValues" dxfId="822" priority="55"/>
  </conditionalFormatting>
  <conditionalFormatting sqref="G659">
    <cfRule type="duplicateValues" dxfId="821" priority="57"/>
  </conditionalFormatting>
  <conditionalFormatting sqref="D659">
    <cfRule type="duplicateValues" dxfId="820" priority="58"/>
  </conditionalFormatting>
  <conditionalFormatting sqref="C659">
    <cfRule type="duplicateValues" dxfId="819" priority="59"/>
    <cfRule type="duplicateValues" dxfId="818" priority="60"/>
  </conditionalFormatting>
  <conditionalFormatting sqref="C660">
    <cfRule type="duplicateValues" dxfId="817" priority="50"/>
  </conditionalFormatting>
  <conditionalFormatting sqref="C660">
    <cfRule type="duplicateValues" dxfId="816" priority="49"/>
  </conditionalFormatting>
  <conditionalFormatting sqref="G660">
    <cfRule type="duplicateValues" dxfId="815" priority="51"/>
  </conditionalFormatting>
  <conditionalFormatting sqref="D660">
    <cfRule type="duplicateValues" dxfId="814" priority="52"/>
  </conditionalFormatting>
  <conditionalFormatting sqref="C660">
    <cfRule type="duplicateValues" dxfId="813" priority="53"/>
    <cfRule type="duplicateValues" dxfId="812" priority="54"/>
  </conditionalFormatting>
  <conditionalFormatting sqref="C675">
    <cfRule type="duplicateValues" dxfId="811" priority="44"/>
  </conditionalFormatting>
  <conditionalFormatting sqref="C675">
    <cfRule type="duplicateValues" dxfId="810" priority="43"/>
  </conditionalFormatting>
  <conditionalFormatting sqref="G675">
    <cfRule type="duplicateValues" dxfId="809" priority="45"/>
  </conditionalFormatting>
  <conditionalFormatting sqref="D675">
    <cfRule type="duplicateValues" dxfId="808" priority="46"/>
  </conditionalFormatting>
  <conditionalFormatting sqref="C675">
    <cfRule type="duplicateValues" dxfId="807" priority="47"/>
    <cfRule type="duplicateValues" dxfId="806" priority="48"/>
  </conditionalFormatting>
  <conditionalFormatting sqref="C763">
    <cfRule type="duplicateValues" dxfId="805" priority="37"/>
  </conditionalFormatting>
  <conditionalFormatting sqref="C763">
    <cfRule type="duplicateValues" dxfId="804" priority="36"/>
  </conditionalFormatting>
  <conditionalFormatting sqref="G763">
    <cfRule type="duplicateValues" dxfId="803" priority="38"/>
  </conditionalFormatting>
  <conditionalFormatting sqref="D763">
    <cfRule type="duplicateValues" dxfId="802" priority="39"/>
  </conditionalFormatting>
  <conditionalFormatting sqref="C763">
    <cfRule type="duplicateValues" dxfId="801" priority="40"/>
    <cfRule type="duplicateValues" dxfId="800" priority="41"/>
  </conditionalFormatting>
  <conditionalFormatting sqref="C661:C674">
    <cfRule type="duplicateValues" dxfId="799" priority="87"/>
  </conditionalFormatting>
  <conditionalFormatting sqref="G764:G777 G729:G731 G734:G743 G746 G749:G750 G755:G758 G760:G762 G632:G657 G676:G727 G661:G674">
    <cfRule type="duplicateValues" dxfId="798" priority="4611"/>
  </conditionalFormatting>
  <conditionalFormatting sqref="C764:C777 C632:C657 C661:C674 C676:C762">
    <cfRule type="duplicateValues" dxfId="797" priority="4622"/>
  </conditionalFormatting>
  <conditionalFormatting sqref="C764:C777 C632:C657 C661:C674 C676:C762">
    <cfRule type="duplicateValues" dxfId="796" priority="4627"/>
  </conditionalFormatting>
  <conditionalFormatting sqref="D764:D777 D632:D657 D661:D674 D676:D762">
    <cfRule type="duplicateValues" dxfId="795" priority="4632"/>
  </conditionalFormatting>
  <conditionalFormatting sqref="C764:C777 C632:C657 C661:C674 C676:C762">
    <cfRule type="duplicateValues" dxfId="794" priority="4637"/>
    <cfRule type="duplicateValues" dxfId="793" priority="4638"/>
  </conditionalFormatting>
  <conditionalFormatting sqref="C114">
    <cfRule type="duplicateValues" dxfId="792" priority="30"/>
  </conditionalFormatting>
  <conditionalFormatting sqref="C114">
    <cfRule type="duplicateValues" dxfId="791" priority="29"/>
  </conditionalFormatting>
  <conditionalFormatting sqref="G114">
    <cfRule type="duplicateValues" dxfId="790" priority="31"/>
  </conditionalFormatting>
  <conditionalFormatting sqref="D114">
    <cfRule type="duplicateValues" dxfId="789" priority="32"/>
  </conditionalFormatting>
  <conditionalFormatting sqref="C114">
    <cfRule type="duplicateValues" dxfId="788" priority="33"/>
    <cfRule type="duplicateValues" dxfId="787" priority="34"/>
  </conditionalFormatting>
  <conditionalFormatting sqref="C242">
    <cfRule type="duplicateValues" dxfId="786" priority="23"/>
  </conditionalFormatting>
  <conditionalFormatting sqref="C242">
    <cfRule type="duplicateValues" dxfId="785" priority="22"/>
  </conditionalFormatting>
  <conditionalFormatting sqref="G242">
    <cfRule type="duplicateValues" dxfId="784" priority="24"/>
  </conditionalFormatting>
  <conditionalFormatting sqref="D242">
    <cfRule type="duplicateValues" dxfId="783" priority="25"/>
  </conditionalFormatting>
  <conditionalFormatting sqref="C242">
    <cfRule type="duplicateValues" dxfId="782" priority="26"/>
    <cfRule type="duplicateValues" dxfId="781" priority="27"/>
  </conditionalFormatting>
  <conditionalFormatting sqref="C272">
    <cfRule type="duplicateValues" dxfId="780" priority="16"/>
  </conditionalFormatting>
  <conditionalFormatting sqref="C272">
    <cfRule type="duplicateValues" dxfId="779" priority="15"/>
  </conditionalFormatting>
  <conditionalFormatting sqref="G272">
    <cfRule type="duplicateValues" dxfId="778" priority="17"/>
  </conditionalFormatting>
  <conditionalFormatting sqref="D272">
    <cfRule type="duplicateValues" dxfId="777" priority="18"/>
  </conditionalFormatting>
  <conditionalFormatting sqref="C272">
    <cfRule type="duplicateValues" dxfId="776" priority="19"/>
    <cfRule type="duplicateValues" dxfId="775" priority="20"/>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34F2E-7603-41C9-A6BA-FE52541747F4}">
  <dimension ref="A1:AY98"/>
  <sheetViews>
    <sheetView topLeftCell="A26" workbookViewId="0">
      <selection activeCell="K38" sqref="K38"/>
    </sheetView>
  </sheetViews>
  <sheetFormatPr defaultRowHeight="15"/>
  <cols>
    <col min="1" max="3" width="9.140625" style="72"/>
    <col min="4" max="4" width="16" style="72" customWidth="1"/>
    <col min="5" max="6" width="9.140625" style="72"/>
    <col min="7" max="7" width="13.140625" style="72" customWidth="1"/>
    <col min="8" max="8" width="17.85546875" style="72" customWidth="1"/>
    <col min="9" max="9" width="12.5703125" style="72" customWidth="1"/>
    <col min="10" max="10" width="21.28515625" style="72" customWidth="1"/>
    <col min="11" max="11" width="22.28515625" style="72" customWidth="1"/>
    <col min="12" max="15" width="9.140625" style="72"/>
    <col min="16" max="16" width="16.28515625" style="72" customWidth="1"/>
    <col min="17" max="24" width="9.140625" style="72"/>
    <col min="25" max="25" width="29" style="72" customWidth="1"/>
    <col min="26" max="16384" width="9.140625" style="72"/>
  </cols>
  <sheetData>
    <row r="1" spans="1:51" ht="48.75">
      <c r="A1" s="281" t="s">
        <v>4384</v>
      </c>
      <c r="B1" s="2" t="s">
        <v>196</v>
      </c>
      <c r="C1" s="217" t="s">
        <v>197</v>
      </c>
      <c r="D1" s="1" t="s">
        <v>198</v>
      </c>
      <c r="E1" s="1" t="s">
        <v>199</v>
      </c>
      <c r="F1" s="1" t="s">
        <v>200</v>
      </c>
      <c r="G1" s="1" t="s">
        <v>201</v>
      </c>
      <c r="H1" s="67" t="s">
        <v>202</v>
      </c>
      <c r="I1" s="67" t="s">
        <v>203</v>
      </c>
      <c r="J1" s="67" t="s">
        <v>204</v>
      </c>
      <c r="K1" s="67" t="s">
        <v>4403</v>
      </c>
      <c r="L1" s="67" t="s">
        <v>207</v>
      </c>
      <c r="M1" s="1" t="s">
        <v>208</v>
      </c>
      <c r="N1" s="1" t="s">
        <v>209</v>
      </c>
      <c r="O1" s="2" t="s">
        <v>210</v>
      </c>
      <c r="P1" s="18" t="s">
        <v>4404</v>
      </c>
      <c r="Q1" s="169" t="s">
        <v>212</v>
      </c>
      <c r="R1" s="169" t="s">
        <v>213</v>
      </c>
      <c r="S1" s="1" t="s">
        <v>214</v>
      </c>
      <c r="T1" s="1" t="s">
        <v>215</v>
      </c>
      <c r="U1" s="3" t="s">
        <v>216</v>
      </c>
      <c r="V1" s="4" t="s">
        <v>217</v>
      </c>
      <c r="W1" s="68" t="s">
        <v>218</v>
      </c>
      <c r="X1" s="5" t="s">
        <v>219</v>
      </c>
      <c r="Y1" s="2" t="s">
        <v>4385</v>
      </c>
      <c r="AA1" s="282"/>
    </row>
    <row r="2" spans="1:51">
      <c r="A2" s="16"/>
      <c r="B2" s="16" t="s">
        <v>4405</v>
      </c>
      <c r="C2" s="16"/>
      <c r="D2" s="16"/>
      <c r="E2" s="16">
        <v>4</v>
      </c>
      <c r="F2" s="16" t="s">
        <v>424</v>
      </c>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row>
    <row r="3" spans="1:51">
      <c r="A3" s="16"/>
      <c r="B3" s="16" t="s">
        <v>4406</v>
      </c>
      <c r="C3" s="16"/>
      <c r="D3" s="16"/>
      <c r="E3" s="16">
        <v>4</v>
      </c>
      <c r="F3" s="16" t="s">
        <v>424</v>
      </c>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row>
    <row r="4" spans="1:51">
      <c r="A4" s="16"/>
      <c r="B4" s="16" t="s">
        <v>4407</v>
      </c>
      <c r="C4" s="16"/>
      <c r="D4" s="16"/>
      <c r="E4" s="16">
        <v>4</v>
      </c>
      <c r="F4" s="16" t="s">
        <v>424</v>
      </c>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row>
    <row r="5" spans="1:51">
      <c r="A5" s="16"/>
      <c r="B5" s="16" t="s">
        <v>4408</v>
      </c>
      <c r="C5" s="16"/>
      <c r="D5" s="16"/>
      <c r="E5" s="16">
        <v>4</v>
      </c>
      <c r="F5" s="16" t="s">
        <v>75</v>
      </c>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row>
    <row r="6" spans="1:51">
      <c r="A6" s="16"/>
      <c r="B6" s="16" t="s">
        <v>4409</v>
      </c>
      <c r="C6" s="16"/>
      <c r="D6" s="16"/>
      <c r="E6" s="16">
        <v>11</v>
      </c>
      <c r="F6" s="16" t="s">
        <v>75</v>
      </c>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row>
    <row r="7" spans="1:51">
      <c r="A7" s="16"/>
      <c r="B7" s="16" t="s">
        <v>4410</v>
      </c>
      <c r="C7" s="16"/>
      <c r="D7" s="16"/>
      <c r="E7" s="16">
        <v>9</v>
      </c>
      <c r="F7" s="16" t="s">
        <v>75</v>
      </c>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row>
    <row r="8" spans="1:51">
      <c r="A8" s="16"/>
      <c r="B8" s="16" t="s">
        <v>4411</v>
      </c>
      <c r="C8" s="16"/>
      <c r="D8" s="16"/>
      <c r="E8" s="16">
        <v>5</v>
      </c>
      <c r="F8" s="16" t="s">
        <v>75</v>
      </c>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row>
    <row r="9" spans="1:51">
      <c r="A9" s="16"/>
      <c r="B9" s="16" t="s">
        <v>4412</v>
      </c>
      <c r="C9" s="16"/>
      <c r="D9" s="16"/>
      <c r="E9" s="16">
        <v>5</v>
      </c>
      <c r="F9" s="16" t="s">
        <v>75</v>
      </c>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row>
    <row r="10" spans="1:51" ht="15.75">
      <c r="A10" s="16"/>
      <c r="B10" s="13">
        <v>58</v>
      </c>
      <c r="C10" s="225" t="s">
        <v>4413</v>
      </c>
      <c r="D10" s="153" t="s">
        <v>4414</v>
      </c>
      <c r="E10" s="153">
        <v>13</v>
      </c>
      <c r="F10" s="153" t="s">
        <v>60</v>
      </c>
      <c r="G10" s="153" t="s">
        <v>4415</v>
      </c>
      <c r="H10" s="114" t="s">
        <v>188</v>
      </c>
      <c r="I10" s="114"/>
      <c r="J10" s="16"/>
      <c r="K10" s="114" t="s">
        <v>231</v>
      </c>
      <c r="L10" s="171" t="s">
        <v>228</v>
      </c>
      <c r="M10" s="153" t="s">
        <v>228</v>
      </c>
      <c r="N10" s="153" t="s">
        <v>228</v>
      </c>
      <c r="O10" s="153" t="s">
        <v>231</v>
      </c>
      <c r="P10" s="170">
        <v>44905</v>
      </c>
      <c r="Q10" s="153" t="s">
        <v>309</v>
      </c>
      <c r="R10" s="153" t="s">
        <v>233</v>
      </c>
      <c r="S10" s="153">
        <v>8.6</v>
      </c>
      <c r="T10" s="153" t="s">
        <v>234</v>
      </c>
      <c r="U10" s="153" t="s">
        <v>235</v>
      </c>
      <c r="V10" s="172" t="s">
        <v>228</v>
      </c>
      <c r="W10" s="153" t="s">
        <v>4416</v>
      </c>
      <c r="X10" s="153" t="s">
        <v>237</v>
      </c>
      <c r="Y10" s="153" t="s">
        <v>4417</v>
      </c>
    </row>
    <row r="11" spans="1:51" ht="15.75">
      <c r="A11" s="16"/>
      <c r="B11" s="13">
        <v>74</v>
      </c>
      <c r="C11" s="225" t="s">
        <v>4418</v>
      </c>
      <c r="D11" s="153" t="s">
        <v>4419</v>
      </c>
      <c r="E11" s="153">
        <v>15</v>
      </c>
      <c r="F11" s="153" t="s">
        <v>75</v>
      </c>
      <c r="G11" s="153" t="s">
        <v>4420</v>
      </c>
      <c r="H11" s="114" t="s">
        <v>188</v>
      </c>
      <c r="I11" s="114"/>
      <c r="J11" s="16"/>
      <c r="K11" s="114" t="s">
        <v>231</v>
      </c>
      <c r="L11" s="171" t="s">
        <v>228</v>
      </c>
      <c r="M11" s="153" t="s">
        <v>228</v>
      </c>
      <c r="N11" s="153" t="s">
        <v>228</v>
      </c>
      <c r="O11" s="153" t="s">
        <v>231</v>
      </c>
      <c r="P11" s="170">
        <v>44929</v>
      </c>
      <c r="Q11" s="153" t="s">
        <v>309</v>
      </c>
      <c r="R11" s="153" t="s">
        <v>233</v>
      </c>
      <c r="S11" s="153">
        <v>8.1999999999999993</v>
      </c>
      <c r="T11" s="153" t="s">
        <v>234</v>
      </c>
      <c r="U11" s="153" t="s">
        <v>235</v>
      </c>
      <c r="V11" s="172" t="s">
        <v>228</v>
      </c>
      <c r="W11" s="153" t="s">
        <v>4421</v>
      </c>
      <c r="X11" s="153" t="s">
        <v>237</v>
      </c>
      <c r="Y11" s="153" t="s">
        <v>4422</v>
      </c>
    </row>
    <row r="12" spans="1:51" ht="15.75">
      <c r="A12" s="16"/>
      <c r="B12" s="13">
        <v>75</v>
      </c>
      <c r="C12" s="225" t="s">
        <v>4423</v>
      </c>
      <c r="D12" s="153" t="s">
        <v>4424</v>
      </c>
      <c r="E12" s="153">
        <v>11</v>
      </c>
      <c r="F12" s="153" t="s">
        <v>75</v>
      </c>
      <c r="G12" s="153" t="s">
        <v>4425</v>
      </c>
      <c r="H12" s="114" t="s">
        <v>188</v>
      </c>
      <c r="I12" s="114"/>
      <c r="J12" s="16"/>
      <c r="K12" s="114" t="s">
        <v>231</v>
      </c>
      <c r="L12" s="171" t="s">
        <v>228</v>
      </c>
      <c r="M12" s="153" t="s">
        <v>228</v>
      </c>
      <c r="N12" s="153" t="s">
        <v>228</v>
      </c>
      <c r="O12" s="153" t="s">
        <v>231</v>
      </c>
      <c r="P12" s="170">
        <v>44929</v>
      </c>
      <c r="Q12" s="153" t="s">
        <v>309</v>
      </c>
      <c r="R12" s="153" t="s">
        <v>233</v>
      </c>
      <c r="S12" s="153">
        <v>8.3000000000000007</v>
      </c>
      <c r="T12" s="153" t="s">
        <v>234</v>
      </c>
      <c r="U12" s="153" t="s">
        <v>235</v>
      </c>
      <c r="V12" s="172" t="s">
        <v>228</v>
      </c>
      <c r="W12" s="153" t="s">
        <v>4426</v>
      </c>
      <c r="X12" s="153" t="s">
        <v>237</v>
      </c>
      <c r="Y12" s="153" t="s">
        <v>4427</v>
      </c>
    </row>
    <row r="13" spans="1:51">
      <c r="A13" s="16"/>
      <c r="B13" s="13">
        <v>231</v>
      </c>
      <c r="C13" s="114" t="s">
        <v>595</v>
      </c>
      <c r="D13" s="153" t="s">
        <v>4428</v>
      </c>
      <c r="E13" s="153">
        <v>10</v>
      </c>
      <c r="F13" s="153" t="s">
        <v>60</v>
      </c>
      <c r="G13" s="153" t="s">
        <v>4429</v>
      </c>
      <c r="H13" s="114" t="s">
        <v>27</v>
      </c>
      <c r="I13" s="114"/>
      <c r="J13" s="16" t="s">
        <v>433</v>
      </c>
      <c r="K13" s="114" t="s">
        <v>167</v>
      </c>
      <c r="L13" s="114" t="s">
        <v>32</v>
      </c>
      <c r="M13" s="153"/>
      <c r="N13" s="153"/>
      <c r="O13" s="153"/>
      <c r="P13" s="170">
        <v>45556</v>
      </c>
      <c r="Q13" s="153" t="s">
        <v>309</v>
      </c>
      <c r="R13" s="153" t="s">
        <v>233</v>
      </c>
      <c r="S13" s="153">
        <v>8.1</v>
      </c>
      <c r="T13" s="153" t="s">
        <v>298</v>
      </c>
      <c r="U13" s="153" t="s">
        <v>235</v>
      </c>
      <c r="V13" s="172">
        <v>45593</v>
      </c>
      <c r="W13" s="153" t="s">
        <v>4430</v>
      </c>
      <c r="X13" s="153" t="s">
        <v>237</v>
      </c>
      <c r="Y13" s="153" t="s">
        <v>4431</v>
      </c>
    </row>
    <row r="14" spans="1:51" ht="15.75">
      <c r="A14" s="16"/>
      <c r="B14" s="13"/>
      <c r="C14" s="225" t="s">
        <v>4432</v>
      </c>
      <c r="D14" s="153" t="s">
        <v>4433</v>
      </c>
      <c r="E14" s="153">
        <v>17</v>
      </c>
      <c r="F14" s="153" t="s">
        <v>60</v>
      </c>
      <c r="G14" s="153" t="s">
        <v>4434</v>
      </c>
      <c r="H14" s="114" t="s">
        <v>27</v>
      </c>
      <c r="I14" s="114"/>
      <c r="J14" s="16" t="s">
        <v>433</v>
      </c>
      <c r="K14" s="114" t="s">
        <v>32</v>
      </c>
      <c r="L14" s="114" t="s">
        <v>32</v>
      </c>
      <c r="M14" s="153"/>
      <c r="N14" s="153"/>
      <c r="O14" s="153"/>
      <c r="P14" s="170">
        <v>45670</v>
      </c>
      <c r="Q14" s="153" t="s">
        <v>309</v>
      </c>
      <c r="R14" s="153" t="s">
        <v>233</v>
      </c>
      <c r="S14" s="153" t="s">
        <v>228</v>
      </c>
      <c r="T14" s="153" t="s">
        <v>234</v>
      </c>
      <c r="U14" s="153" t="s">
        <v>652</v>
      </c>
      <c r="V14" s="172">
        <v>45947</v>
      </c>
      <c r="W14" s="153" t="s">
        <v>4435</v>
      </c>
      <c r="X14" s="153" t="s">
        <v>237</v>
      </c>
      <c r="Y14" s="153" t="s">
        <v>4436</v>
      </c>
    </row>
    <row r="15" spans="1:51" ht="15.75">
      <c r="A15" s="16"/>
      <c r="B15" s="13"/>
      <c r="C15" s="153" t="s">
        <v>601</v>
      </c>
      <c r="D15" s="114" t="s">
        <v>4437</v>
      </c>
      <c r="E15" s="153">
        <v>10</v>
      </c>
      <c r="F15" s="153" t="s">
        <v>60</v>
      </c>
      <c r="G15" s="226" t="s">
        <v>4438</v>
      </c>
      <c r="H15" s="153" t="s">
        <v>188</v>
      </c>
      <c r="I15" s="114"/>
      <c r="J15" s="16"/>
      <c r="K15" s="114" t="s">
        <v>231</v>
      </c>
      <c r="L15" s="114" t="s">
        <v>231</v>
      </c>
      <c r="M15" s="153" t="e">
        <v>#N/A</v>
      </c>
      <c r="N15" s="153" t="e">
        <v>#N/A</v>
      </c>
      <c r="O15" s="153" t="e">
        <v>#N/A</v>
      </c>
      <c r="P15" s="170" t="e">
        <v>#N/A</v>
      </c>
      <c r="Q15" s="153" t="s">
        <v>309</v>
      </c>
      <c r="R15" s="153" t="s">
        <v>233</v>
      </c>
      <c r="S15" s="153"/>
      <c r="T15" s="153" t="e">
        <v>#N/A</v>
      </c>
      <c r="U15" s="153" t="e">
        <v>#N/A</v>
      </c>
      <c r="V15" s="153" t="e">
        <v>#N/A</v>
      </c>
      <c r="W15" s="153" t="e">
        <v>#N/A</v>
      </c>
      <c r="X15" s="153" t="e">
        <v>#N/A</v>
      </c>
      <c r="Y15" s="153"/>
    </row>
    <row r="16" spans="1:51" ht="15.75">
      <c r="B16" s="8">
        <v>2</v>
      </c>
      <c r="C16" s="109" t="s">
        <v>4439</v>
      </c>
      <c r="D16" s="110" t="s">
        <v>4440</v>
      </c>
      <c r="E16" s="110">
        <v>32</v>
      </c>
      <c r="F16" s="110" t="s">
        <v>60</v>
      </c>
      <c r="G16" s="110" t="s">
        <v>2971</v>
      </c>
      <c r="H16" s="109" t="s">
        <v>188</v>
      </c>
      <c r="I16" s="109"/>
      <c r="K16" s="109" t="s">
        <v>231</v>
      </c>
      <c r="L16" s="111" t="s">
        <v>228</v>
      </c>
      <c r="M16" s="110" t="s">
        <v>228</v>
      </c>
      <c r="N16" s="110" t="s">
        <v>228</v>
      </c>
      <c r="O16" s="110"/>
      <c r="P16" s="112">
        <v>44692</v>
      </c>
      <c r="Q16" s="110" t="s">
        <v>232</v>
      </c>
      <c r="R16" s="110" t="s">
        <v>233</v>
      </c>
      <c r="S16" s="110" t="s">
        <v>228</v>
      </c>
      <c r="T16" s="110" t="s">
        <v>298</v>
      </c>
      <c r="U16" s="110" t="s">
        <v>235</v>
      </c>
      <c r="V16" s="113" t="s">
        <v>228</v>
      </c>
      <c r="W16" s="110" t="s">
        <v>4441</v>
      </c>
      <c r="X16" s="110" t="s">
        <v>237</v>
      </c>
      <c r="Y16" s="110" t="s">
        <v>4442</v>
      </c>
      <c r="AA16" s="361"/>
    </row>
    <row r="17" spans="2:27" ht="15.75">
      <c r="B17" s="8">
        <v>82</v>
      </c>
      <c r="C17" s="109" t="s">
        <v>4443</v>
      </c>
      <c r="D17" s="110" t="s">
        <v>3602</v>
      </c>
      <c r="E17" s="110">
        <v>63</v>
      </c>
      <c r="F17" s="110" t="s">
        <v>75</v>
      </c>
      <c r="G17" s="110" t="s">
        <v>4444</v>
      </c>
      <c r="H17" s="109" t="s">
        <v>188</v>
      </c>
      <c r="I17" s="284" t="s">
        <v>39</v>
      </c>
      <c r="K17" s="109" t="s">
        <v>231</v>
      </c>
      <c r="L17" s="109" t="s">
        <v>4445</v>
      </c>
      <c r="M17" s="110" t="s">
        <v>4446</v>
      </c>
      <c r="N17" s="110" t="s">
        <v>228</v>
      </c>
      <c r="O17" s="110" t="s">
        <v>231</v>
      </c>
      <c r="P17" s="112">
        <v>44935</v>
      </c>
      <c r="Q17" s="110" t="s">
        <v>309</v>
      </c>
      <c r="R17" s="110" t="s">
        <v>233</v>
      </c>
      <c r="S17" s="110">
        <v>8.5</v>
      </c>
      <c r="T17" s="110" t="s">
        <v>298</v>
      </c>
      <c r="U17" s="110" t="s">
        <v>235</v>
      </c>
      <c r="V17" s="113" t="s">
        <v>228</v>
      </c>
      <c r="W17" s="110" t="s">
        <v>4447</v>
      </c>
      <c r="X17" s="110" t="s">
        <v>237</v>
      </c>
      <c r="Y17" s="110" t="s">
        <v>228</v>
      </c>
      <c r="AA17" s="361"/>
    </row>
    <row r="18" spans="2:27" ht="15.75">
      <c r="B18" s="8">
        <v>125</v>
      </c>
      <c r="C18" s="109" t="s">
        <v>4448</v>
      </c>
      <c r="D18" s="110" t="s">
        <v>437</v>
      </c>
      <c r="E18" s="110">
        <v>73</v>
      </c>
      <c r="F18" s="110" t="s">
        <v>60</v>
      </c>
      <c r="G18" s="110" t="s">
        <v>438</v>
      </c>
      <c r="H18" s="109" t="s">
        <v>15</v>
      </c>
      <c r="I18" s="284" t="s">
        <v>39</v>
      </c>
      <c r="K18" s="109" t="s">
        <v>152</v>
      </c>
      <c r="L18" s="111" t="s">
        <v>228</v>
      </c>
      <c r="M18" s="110" t="s">
        <v>4449</v>
      </c>
      <c r="N18" s="110" t="s">
        <v>228</v>
      </c>
      <c r="O18" s="110" t="s">
        <v>231</v>
      </c>
      <c r="P18" s="112">
        <v>44975</v>
      </c>
      <c r="Q18" s="110" t="s">
        <v>309</v>
      </c>
      <c r="R18" s="110" t="s">
        <v>233</v>
      </c>
      <c r="S18" s="110">
        <v>8.5</v>
      </c>
      <c r="T18" s="110" t="s">
        <v>234</v>
      </c>
      <c r="U18" s="110" t="s">
        <v>235</v>
      </c>
      <c r="V18" s="113" t="s">
        <v>228</v>
      </c>
      <c r="W18" s="110" t="s">
        <v>4450</v>
      </c>
      <c r="X18" s="110" t="s">
        <v>237</v>
      </c>
      <c r="Y18" s="110" t="s">
        <v>4451</v>
      </c>
      <c r="AA18" s="361"/>
    </row>
    <row r="19" spans="2:27" ht="15.75">
      <c r="B19" s="8">
        <v>165</v>
      </c>
      <c r="C19" s="109" t="s">
        <v>4452</v>
      </c>
      <c r="D19" s="110" t="s">
        <v>3615</v>
      </c>
      <c r="E19" s="110">
        <v>39</v>
      </c>
      <c r="F19" s="110" t="s">
        <v>60</v>
      </c>
      <c r="G19" s="110" t="s">
        <v>4453</v>
      </c>
      <c r="H19" s="109" t="s">
        <v>188</v>
      </c>
      <c r="I19" s="109"/>
      <c r="K19" s="109" t="s">
        <v>231</v>
      </c>
      <c r="L19" s="111" t="s">
        <v>228</v>
      </c>
      <c r="M19" s="110" t="s">
        <v>228</v>
      </c>
      <c r="N19" s="110" t="s">
        <v>228</v>
      </c>
      <c r="O19" s="110" t="s">
        <v>231</v>
      </c>
      <c r="P19" s="112">
        <v>45224</v>
      </c>
      <c r="Q19" s="110" t="s">
        <v>309</v>
      </c>
      <c r="R19" s="110" t="s">
        <v>233</v>
      </c>
      <c r="S19" s="110">
        <v>8.4</v>
      </c>
      <c r="T19" s="110" t="s">
        <v>234</v>
      </c>
      <c r="U19" s="110" t="s">
        <v>235</v>
      </c>
      <c r="V19" s="113">
        <v>45268</v>
      </c>
      <c r="W19" s="110" t="s">
        <v>4454</v>
      </c>
      <c r="X19" s="110" t="s">
        <v>237</v>
      </c>
      <c r="Y19" s="110" t="s">
        <v>4455</v>
      </c>
      <c r="AA19" s="361"/>
    </row>
    <row r="20" spans="2:27" ht="15.75">
      <c r="B20" s="8">
        <v>158</v>
      </c>
      <c r="C20" s="109" t="s">
        <v>4456</v>
      </c>
      <c r="D20" s="110" t="s">
        <v>3808</v>
      </c>
      <c r="E20" s="110">
        <v>27</v>
      </c>
      <c r="F20" s="110" t="s">
        <v>60</v>
      </c>
      <c r="G20" s="110" t="s">
        <v>4457</v>
      </c>
      <c r="H20" s="109" t="s">
        <v>188</v>
      </c>
      <c r="I20" s="109"/>
      <c r="K20" s="109" t="s">
        <v>231</v>
      </c>
      <c r="L20" s="111" t="s">
        <v>228</v>
      </c>
      <c r="M20" s="110" t="s">
        <v>228</v>
      </c>
      <c r="N20" s="110" t="s">
        <v>228</v>
      </c>
      <c r="O20" s="110" t="s">
        <v>231</v>
      </c>
      <c r="P20" s="112">
        <v>45132</v>
      </c>
      <c r="Q20" s="110" t="s">
        <v>309</v>
      </c>
      <c r="R20" s="110" t="s">
        <v>233</v>
      </c>
      <c r="S20" s="110">
        <v>8.9</v>
      </c>
      <c r="T20" s="110" t="s">
        <v>234</v>
      </c>
      <c r="U20" s="110" t="s">
        <v>235</v>
      </c>
      <c r="V20" s="113">
        <v>45155</v>
      </c>
      <c r="W20" s="110" t="s">
        <v>4458</v>
      </c>
      <c r="X20" s="110" t="s">
        <v>237</v>
      </c>
      <c r="Y20" s="110" t="s">
        <v>4459</v>
      </c>
      <c r="AA20" s="361"/>
    </row>
    <row r="21" spans="2:27" ht="15.75">
      <c r="B21" s="8">
        <v>18</v>
      </c>
      <c r="C21" s="109" t="s">
        <v>4460</v>
      </c>
      <c r="D21" s="110" t="s">
        <v>3727</v>
      </c>
      <c r="E21" s="110">
        <v>55</v>
      </c>
      <c r="F21" s="110" t="s">
        <v>60</v>
      </c>
      <c r="G21" s="110" t="s">
        <v>812</v>
      </c>
      <c r="H21" s="109" t="s">
        <v>188</v>
      </c>
      <c r="I21" s="109"/>
      <c r="K21" s="109" t="s">
        <v>231</v>
      </c>
      <c r="L21" s="111" t="s">
        <v>228</v>
      </c>
      <c r="M21" s="110" t="s">
        <v>228</v>
      </c>
      <c r="N21" s="110" t="s">
        <v>228</v>
      </c>
      <c r="O21" s="110"/>
      <c r="P21" s="112">
        <v>45294</v>
      </c>
      <c r="Q21" s="110" t="s">
        <v>309</v>
      </c>
      <c r="R21" s="110" t="s">
        <v>233</v>
      </c>
      <c r="S21" s="110">
        <v>8.1999999999999993</v>
      </c>
      <c r="T21" s="110" t="s">
        <v>234</v>
      </c>
      <c r="U21" s="110" t="s">
        <v>235</v>
      </c>
      <c r="V21" s="113">
        <v>45323</v>
      </c>
      <c r="W21" s="110" t="s">
        <v>4461</v>
      </c>
      <c r="X21" s="110" t="s">
        <v>237</v>
      </c>
      <c r="Y21" s="110" t="s">
        <v>4462</v>
      </c>
      <c r="AA21" s="361"/>
    </row>
    <row r="22" spans="2:27" ht="15.75">
      <c r="B22" s="8">
        <v>181</v>
      </c>
      <c r="C22" s="109" t="s">
        <v>4463</v>
      </c>
      <c r="D22" s="110" t="s">
        <v>3743</v>
      </c>
      <c r="E22" s="110">
        <v>49</v>
      </c>
      <c r="F22" s="110" t="s">
        <v>60</v>
      </c>
      <c r="G22" s="110" t="s">
        <v>4464</v>
      </c>
      <c r="H22" s="109" t="s">
        <v>15</v>
      </c>
      <c r="I22" s="109"/>
      <c r="K22" s="109" t="s">
        <v>159</v>
      </c>
      <c r="L22" s="111" t="s">
        <v>228</v>
      </c>
      <c r="M22" s="110" t="s">
        <v>228</v>
      </c>
      <c r="N22" s="110" t="s">
        <v>228</v>
      </c>
      <c r="O22" s="110"/>
      <c r="P22" s="112">
        <v>45297</v>
      </c>
      <c r="Q22" s="110" t="s">
        <v>309</v>
      </c>
      <c r="R22" s="110" t="s">
        <v>233</v>
      </c>
      <c r="S22" s="110">
        <v>8.6999999999999993</v>
      </c>
      <c r="T22" s="110" t="s">
        <v>234</v>
      </c>
      <c r="U22" s="110" t="s">
        <v>235</v>
      </c>
      <c r="V22" s="113">
        <v>45323</v>
      </c>
      <c r="W22" s="110" t="s">
        <v>4465</v>
      </c>
      <c r="X22" s="110" t="s">
        <v>237</v>
      </c>
      <c r="Y22" s="110" t="s">
        <v>4466</v>
      </c>
      <c r="AA22" s="361"/>
    </row>
    <row r="23" spans="2:27" ht="15.75">
      <c r="B23" s="8">
        <v>182</v>
      </c>
      <c r="C23" s="109" t="s">
        <v>4467</v>
      </c>
      <c r="D23" s="110" t="s">
        <v>2612</v>
      </c>
      <c r="E23" s="110">
        <v>49</v>
      </c>
      <c r="F23" s="110" t="s">
        <v>60</v>
      </c>
      <c r="G23" s="110" t="s">
        <v>2613</v>
      </c>
      <c r="H23" s="109" t="s">
        <v>188</v>
      </c>
      <c r="I23" s="109"/>
      <c r="K23" s="109" t="s">
        <v>231</v>
      </c>
      <c r="L23" s="111" t="s">
        <v>228</v>
      </c>
      <c r="M23" s="110" t="s">
        <v>228</v>
      </c>
      <c r="N23" s="110" t="s">
        <v>228</v>
      </c>
      <c r="O23" s="110"/>
      <c r="P23" s="112">
        <v>45297</v>
      </c>
      <c r="Q23" s="110" t="s">
        <v>309</v>
      </c>
      <c r="R23" s="110" t="s">
        <v>233</v>
      </c>
      <c r="S23" s="110">
        <v>8.1999999999999993</v>
      </c>
      <c r="T23" s="110" t="s">
        <v>234</v>
      </c>
      <c r="U23" s="110" t="s">
        <v>235</v>
      </c>
      <c r="V23" s="113">
        <v>45323</v>
      </c>
      <c r="W23" s="110" t="s">
        <v>4468</v>
      </c>
      <c r="X23" s="110" t="s">
        <v>237</v>
      </c>
      <c r="Y23" s="110" t="s">
        <v>4469</v>
      </c>
      <c r="AA23" s="361"/>
    </row>
    <row r="24" spans="2:27" ht="15.75">
      <c r="B24" s="8">
        <v>183</v>
      </c>
      <c r="C24" s="109" t="s">
        <v>4470</v>
      </c>
      <c r="D24" s="110" t="s">
        <v>2238</v>
      </c>
      <c r="E24" s="110">
        <v>79</v>
      </c>
      <c r="F24" s="110" t="s">
        <v>75</v>
      </c>
      <c r="G24" s="110" t="s">
        <v>2239</v>
      </c>
      <c r="H24" s="284" t="s">
        <v>188</v>
      </c>
      <c r="I24" s="284" t="s">
        <v>39</v>
      </c>
      <c r="K24" s="109" t="s">
        <v>231</v>
      </c>
      <c r="L24" s="109" t="s">
        <v>32</v>
      </c>
      <c r="M24" s="110" t="s">
        <v>228</v>
      </c>
      <c r="N24" s="110" t="s">
        <v>228</v>
      </c>
      <c r="O24" s="110"/>
      <c r="P24" s="112">
        <v>45297</v>
      </c>
      <c r="Q24" s="110" t="s">
        <v>309</v>
      </c>
      <c r="R24" s="110" t="s">
        <v>233</v>
      </c>
      <c r="S24" s="110">
        <v>9.1</v>
      </c>
      <c r="T24" s="110" t="s">
        <v>234</v>
      </c>
      <c r="U24" s="110" t="s">
        <v>235</v>
      </c>
      <c r="V24" s="113">
        <v>45323</v>
      </c>
      <c r="W24" s="110" t="s">
        <v>4471</v>
      </c>
      <c r="X24" s="110" t="s">
        <v>237</v>
      </c>
      <c r="Y24" s="110" t="s">
        <v>4472</v>
      </c>
      <c r="AA24" s="361"/>
    </row>
    <row r="25" spans="2:27" ht="15.75">
      <c r="B25" s="8">
        <v>212</v>
      </c>
      <c r="C25" s="109" t="s">
        <v>4473</v>
      </c>
      <c r="D25" s="110" t="s">
        <v>816</v>
      </c>
      <c r="E25" s="110">
        <v>52</v>
      </c>
      <c r="F25" s="110" t="s">
        <v>75</v>
      </c>
      <c r="G25" s="110" t="s">
        <v>817</v>
      </c>
      <c r="H25" s="109" t="s">
        <v>188</v>
      </c>
      <c r="I25" s="109"/>
      <c r="K25" s="109" t="s">
        <v>231</v>
      </c>
      <c r="L25" s="111" t="s">
        <v>228</v>
      </c>
      <c r="M25" s="110"/>
      <c r="N25" s="110"/>
      <c r="O25" s="110"/>
      <c r="P25" s="112">
        <v>45497</v>
      </c>
      <c r="Q25" s="110" t="s">
        <v>309</v>
      </c>
      <c r="R25" s="110" t="s">
        <v>233</v>
      </c>
      <c r="S25" s="110" t="s">
        <v>427</v>
      </c>
      <c r="T25" s="110" t="s">
        <v>298</v>
      </c>
      <c r="U25" s="110" t="s">
        <v>235</v>
      </c>
      <c r="V25" s="113">
        <v>45530</v>
      </c>
      <c r="W25" s="110" t="s">
        <v>4474</v>
      </c>
      <c r="X25" s="110" t="s">
        <v>237</v>
      </c>
      <c r="Y25" s="110" t="s">
        <v>4475</v>
      </c>
      <c r="AA25" s="361"/>
    </row>
    <row r="26" spans="2:27" ht="15.75">
      <c r="B26" s="8"/>
      <c r="C26" s="107" t="s">
        <v>4476</v>
      </c>
      <c r="D26" s="110" t="s">
        <v>2254</v>
      </c>
      <c r="E26" s="110">
        <v>42</v>
      </c>
      <c r="F26" s="110" t="s">
        <v>75</v>
      </c>
      <c r="G26" s="110" t="s">
        <v>2255</v>
      </c>
      <c r="H26" s="109" t="s">
        <v>27</v>
      </c>
      <c r="I26" s="109"/>
      <c r="J26" s="72" t="s">
        <v>433</v>
      </c>
      <c r="K26" s="109" t="s">
        <v>231</v>
      </c>
      <c r="L26" s="109" t="s">
        <v>231</v>
      </c>
      <c r="M26" s="110"/>
      <c r="N26" s="110"/>
      <c r="O26" s="110"/>
      <c r="P26" s="112">
        <v>45891</v>
      </c>
      <c r="Q26" s="110" t="s">
        <v>309</v>
      </c>
      <c r="R26" s="110" t="s">
        <v>233</v>
      </c>
      <c r="S26" s="110" t="s">
        <v>228</v>
      </c>
      <c r="T26" s="110" t="s">
        <v>234</v>
      </c>
      <c r="U26" s="110" t="s">
        <v>652</v>
      </c>
      <c r="V26" s="113">
        <v>45933</v>
      </c>
      <c r="W26" s="110" t="s">
        <v>4477</v>
      </c>
      <c r="X26" s="110" t="s">
        <v>237</v>
      </c>
      <c r="Y26" s="110" t="s">
        <v>4478</v>
      </c>
    </row>
    <row r="27" spans="2:27" ht="15.75">
      <c r="B27" s="8"/>
      <c r="C27" s="107" t="s">
        <v>4479</v>
      </c>
      <c r="D27" s="110" t="s">
        <v>2155</v>
      </c>
      <c r="E27" s="110">
        <v>64</v>
      </c>
      <c r="F27" s="110" t="s">
        <v>60</v>
      </c>
      <c r="G27" s="110" t="s">
        <v>2156</v>
      </c>
      <c r="H27" s="109" t="s">
        <v>27</v>
      </c>
      <c r="I27" s="109"/>
      <c r="J27" s="72" t="s">
        <v>433</v>
      </c>
      <c r="K27" s="109" t="s">
        <v>231</v>
      </c>
      <c r="L27" s="109" t="s">
        <v>231</v>
      </c>
      <c r="M27" s="110"/>
      <c r="N27" s="110"/>
      <c r="O27" s="110"/>
      <c r="P27" s="112">
        <v>45847</v>
      </c>
      <c r="Q27" s="110" t="s">
        <v>309</v>
      </c>
      <c r="R27" s="110" t="s">
        <v>233</v>
      </c>
      <c r="S27" s="110" t="s">
        <v>228</v>
      </c>
      <c r="T27" s="110" t="s">
        <v>234</v>
      </c>
      <c r="U27" s="110" t="s">
        <v>473</v>
      </c>
      <c r="V27" s="113">
        <v>45918</v>
      </c>
      <c r="W27" s="110" t="s">
        <v>4480</v>
      </c>
      <c r="X27" s="110" t="s">
        <v>588</v>
      </c>
      <c r="Y27" s="110" t="s">
        <v>4481</v>
      </c>
    </row>
    <row r="28" spans="2:27">
      <c r="B28" s="8"/>
      <c r="C28" s="216" t="s">
        <v>4482</v>
      </c>
      <c r="D28" s="110" t="s">
        <v>718</v>
      </c>
      <c r="E28" s="110">
        <v>38</v>
      </c>
      <c r="F28" s="110" t="s">
        <v>75</v>
      </c>
      <c r="G28" s="110" t="s">
        <v>719</v>
      </c>
      <c r="H28" s="109" t="s">
        <v>188</v>
      </c>
      <c r="I28" s="109"/>
      <c r="K28" s="109" t="s">
        <v>231</v>
      </c>
      <c r="L28" s="109" t="s">
        <v>231</v>
      </c>
      <c r="M28" s="110"/>
      <c r="N28" s="110"/>
      <c r="O28" s="110"/>
      <c r="P28" s="112">
        <v>45754</v>
      </c>
      <c r="Q28" s="110" t="s">
        <v>309</v>
      </c>
      <c r="R28" s="110" t="s">
        <v>233</v>
      </c>
      <c r="S28" s="110" t="s">
        <v>228</v>
      </c>
      <c r="T28" s="110" t="s">
        <v>234</v>
      </c>
      <c r="U28" s="110" t="s">
        <v>652</v>
      </c>
      <c r="V28" s="113">
        <v>45947</v>
      </c>
      <c r="W28" s="110" t="s">
        <v>4483</v>
      </c>
      <c r="X28" s="110" t="s">
        <v>237</v>
      </c>
      <c r="Y28" s="110" t="s">
        <v>4484</v>
      </c>
    </row>
    <row r="29" spans="2:27">
      <c r="B29" s="8"/>
      <c r="C29" s="216" t="s">
        <v>4485</v>
      </c>
      <c r="D29" s="110" t="s">
        <v>4486</v>
      </c>
      <c r="E29" s="110">
        <v>46</v>
      </c>
      <c r="F29" s="110" t="s">
        <v>75</v>
      </c>
      <c r="G29" s="110" t="s">
        <v>3848</v>
      </c>
      <c r="H29" s="109" t="s">
        <v>188</v>
      </c>
      <c r="I29" s="109"/>
      <c r="K29" s="109" t="s">
        <v>231</v>
      </c>
      <c r="L29" s="109" t="s">
        <v>231</v>
      </c>
      <c r="M29" s="110"/>
      <c r="N29" s="110"/>
      <c r="O29" s="110"/>
      <c r="P29" s="112">
        <v>45769</v>
      </c>
      <c r="Q29" s="110" t="s">
        <v>309</v>
      </c>
      <c r="R29" s="110" t="s">
        <v>233</v>
      </c>
      <c r="S29" s="110" t="s">
        <v>228</v>
      </c>
      <c r="T29" s="110" t="s">
        <v>234</v>
      </c>
      <c r="U29" s="110" t="s">
        <v>652</v>
      </c>
      <c r="V29" s="113">
        <v>45947</v>
      </c>
      <c r="W29" s="110" t="s">
        <v>4487</v>
      </c>
      <c r="X29" s="110" t="s">
        <v>237</v>
      </c>
      <c r="Y29" s="110" t="s">
        <v>4488</v>
      </c>
    </row>
    <row r="30" spans="2:27">
      <c r="B30" s="8"/>
      <c r="C30" s="216" t="s">
        <v>4489</v>
      </c>
      <c r="D30" s="110" t="s">
        <v>4089</v>
      </c>
      <c r="E30" s="110">
        <v>23</v>
      </c>
      <c r="F30" s="110" t="s">
        <v>60</v>
      </c>
      <c r="G30" s="110" t="s">
        <v>4090</v>
      </c>
      <c r="H30" s="109" t="s">
        <v>188</v>
      </c>
      <c r="I30" s="109"/>
      <c r="K30" s="109" t="s">
        <v>231</v>
      </c>
      <c r="L30" s="109" t="s">
        <v>231</v>
      </c>
      <c r="M30" s="110"/>
      <c r="N30" s="110"/>
      <c r="O30" s="110"/>
      <c r="P30" s="112">
        <v>45758</v>
      </c>
      <c r="Q30" s="110" t="s">
        <v>309</v>
      </c>
      <c r="R30" s="110" t="s">
        <v>233</v>
      </c>
      <c r="S30" s="110" t="s">
        <v>228</v>
      </c>
      <c r="T30" s="110" t="s">
        <v>234</v>
      </c>
      <c r="U30" s="110" t="s">
        <v>652</v>
      </c>
      <c r="V30" s="113">
        <v>45947</v>
      </c>
      <c r="W30" s="110" t="s">
        <v>4490</v>
      </c>
      <c r="X30" s="110" t="s">
        <v>237</v>
      </c>
      <c r="Y30" s="110" t="s">
        <v>4491</v>
      </c>
    </row>
    <row r="31" spans="2:27">
      <c r="B31" s="8" t="s">
        <v>4492</v>
      </c>
      <c r="C31" s="216" t="s">
        <v>4493</v>
      </c>
      <c r="D31" s="110" t="s">
        <v>2248</v>
      </c>
      <c r="E31" s="110">
        <v>38</v>
      </c>
      <c r="F31" s="110" t="s">
        <v>60</v>
      </c>
      <c r="G31" s="110" t="s">
        <v>2249</v>
      </c>
      <c r="H31" s="109" t="s">
        <v>188</v>
      </c>
      <c r="I31" s="109"/>
      <c r="K31" s="109" t="s">
        <v>231</v>
      </c>
      <c r="L31" s="111" t="s">
        <v>228</v>
      </c>
      <c r="M31" s="110"/>
      <c r="N31" s="110"/>
      <c r="O31" s="110"/>
      <c r="P31" s="112">
        <v>45735</v>
      </c>
      <c r="Q31" s="110" t="s">
        <v>309</v>
      </c>
      <c r="R31" s="110" t="s">
        <v>233</v>
      </c>
      <c r="S31" s="110" t="s">
        <v>228</v>
      </c>
      <c r="T31" s="110" t="s">
        <v>234</v>
      </c>
      <c r="U31" s="110" t="s">
        <v>652</v>
      </c>
      <c r="V31" s="113">
        <v>45947</v>
      </c>
      <c r="W31" s="110" t="s">
        <v>4494</v>
      </c>
      <c r="X31" s="110" t="s">
        <v>237</v>
      </c>
      <c r="Y31" s="110" t="s">
        <v>4495</v>
      </c>
    </row>
    <row r="32" spans="2:27">
      <c r="B32" s="8"/>
      <c r="C32" s="216" t="s">
        <v>4496</v>
      </c>
      <c r="D32" s="110" t="s">
        <v>2974</v>
      </c>
      <c r="E32" s="110">
        <v>32</v>
      </c>
      <c r="F32" s="110" t="s">
        <v>60</v>
      </c>
      <c r="G32" s="110" t="s">
        <v>2975</v>
      </c>
      <c r="H32" s="109" t="s">
        <v>188</v>
      </c>
      <c r="I32" s="109"/>
      <c r="K32" s="109" t="s">
        <v>231</v>
      </c>
      <c r="L32" s="109" t="s">
        <v>231</v>
      </c>
      <c r="M32" s="110"/>
      <c r="N32" s="110"/>
      <c r="O32" s="110"/>
      <c r="P32" s="112">
        <v>45758</v>
      </c>
      <c r="Q32" s="110" t="s">
        <v>309</v>
      </c>
      <c r="R32" s="110" t="s">
        <v>233</v>
      </c>
      <c r="S32" s="110" t="s">
        <v>228</v>
      </c>
      <c r="T32" s="110" t="s">
        <v>234</v>
      </c>
      <c r="U32" s="110" t="s">
        <v>652</v>
      </c>
      <c r="V32" s="113">
        <v>45947</v>
      </c>
      <c r="W32" s="110" t="s">
        <v>4497</v>
      </c>
      <c r="X32" s="110" t="s">
        <v>237</v>
      </c>
      <c r="Y32" s="110" t="s">
        <v>4498</v>
      </c>
    </row>
    <row r="33" spans="2:27" ht="21" customHeight="1">
      <c r="B33" s="8">
        <v>26</v>
      </c>
      <c r="C33" s="216" t="s">
        <v>354</v>
      </c>
      <c r="D33" s="110" t="s">
        <v>2285</v>
      </c>
      <c r="E33" s="110">
        <v>55</v>
      </c>
      <c r="F33" s="110" t="s">
        <v>75</v>
      </c>
      <c r="G33" s="110" t="s">
        <v>3193</v>
      </c>
      <c r="H33" s="109" t="s">
        <v>18</v>
      </c>
      <c r="I33" s="362" t="s">
        <v>3194</v>
      </c>
      <c r="K33" s="109" t="s">
        <v>231</v>
      </c>
      <c r="L33" s="109" t="s">
        <v>31</v>
      </c>
      <c r="M33" s="156" t="s">
        <v>4499</v>
      </c>
      <c r="N33" s="110" t="s">
        <v>228</v>
      </c>
      <c r="O33" s="110"/>
      <c r="P33" s="112">
        <v>45479</v>
      </c>
      <c r="Q33" s="110" t="s">
        <v>309</v>
      </c>
      <c r="R33" s="110" t="s">
        <v>233</v>
      </c>
      <c r="S33" s="110" t="s">
        <v>389</v>
      </c>
      <c r="T33" s="110" t="s">
        <v>298</v>
      </c>
      <c r="U33" s="110" t="s">
        <v>235</v>
      </c>
      <c r="V33" s="113">
        <v>45510</v>
      </c>
      <c r="W33" s="110" t="s">
        <v>4500</v>
      </c>
      <c r="X33" s="110" t="s">
        <v>237</v>
      </c>
      <c r="Y33" s="110" t="s">
        <v>4501</v>
      </c>
    </row>
    <row r="34" spans="2:27">
      <c r="B34" s="8"/>
      <c r="C34" s="216" t="s">
        <v>4502</v>
      </c>
      <c r="D34" s="110" t="s">
        <v>2935</v>
      </c>
      <c r="E34" s="110">
        <v>33</v>
      </c>
      <c r="F34" s="110" t="s">
        <v>60</v>
      </c>
      <c r="G34" s="110" t="s">
        <v>2936</v>
      </c>
      <c r="H34" s="109" t="s">
        <v>188</v>
      </c>
      <c r="I34" s="109"/>
      <c r="K34" s="109" t="s">
        <v>231</v>
      </c>
      <c r="L34" s="109" t="s">
        <v>231</v>
      </c>
      <c r="M34" s="110"/>
      <c r="N34" s="110"/>
      <c r="O34" s="110"/>
      <c r="P34" s="112">
        <v>45799</v>
      </c>
      <c r="Q34" s="110" t="s">
        <v>309</v>
      </c>
      <c r="R34" s="110" t="s">
        <v>233</v>
      </c>
      <c r="S34" s="110" t="s">
        <v>228</v>
      </c>
      <c r="T34" s="110" t="s">
        <v>234</v>
      </c>
      <c r="U34" s="110" t="s">
        <v>473</v>
      </c>
      <c r="V34" s="113">
        <v>45918</v>
      </c>
      <c r="W34" s="110" t="s">
        <v>4503</v>
      </c>
      <c r="X34" s="110" t="s">
        <v>588</v>
      </c>
      <c r="Y34" s="110" t="s">
        <v>4504</v>
      </c>
    </row>
    <row r="35" spans="2:27">
      <c r="B35" s="8">
        <v>13</v>
      </c>
      <c r="C35" s="109" t="s">
        <v>4505</v>
      </c>
      <c r="D35" s="110" t="s">
        <v>1809</v>
      </c>
      <c r="E35" s="110" t="s">
        <v>246</v>
      </c>
      <c r="F35" s="110" t="s">
        <v>60</v>
      </c>
      <c r="G35" s="110" t="s">
        <v>1810</v>
      </c>
      <c r="H35" s="109" t="s">
        <v>4</v>
      </c>
      <c r="I35" s="109"/>
      <c r="K35" s="109" t="s">
        <v>85</v>
      </c>
      <c r="L35" s="111" t="s">
        <v>228</v>
      </c>
      <c r="M35" s="110" t="s">
        <v>228</v>
      </c>
      <c r="N35" s="110" t="s">
        <v>228</v>
      </c>
      <c r="O35" s="110" t="s">
        <v>231</v>
      </c>
      <c r="P35" s="112">
        <v>44718</v>
      </c>
      <c r="Q35" s="110" t="s">
        <v>232</v>
      </c>
      <c r="R35" s="110" t="s">
        <v>233</v>
      </c>
      <c r="S35" s="110" t="s">
        <v>228</v>
      </c>
      <c r="T35" s="110" t="s">
        <v>234</v>
      </c>
      <c r="U35" s="110" t="s">
        <v>235</v>
      </c>
      <c r="V35" s="113" t="s">
        <v>228</v>
      </c>
      <c r="W35" s="110" t="s">
        <v>4506</v>
      </c>
      <c r="X35" s="110" t="s">
        <v>237</v>
      </c>
      <c r="Y35" s="110" t="s">
        <v>4507</v>
      </c>
    </row>
    <row r="36" spans="2:27" ht="16.5" customHeight="1">
      <c r="B36" s="8">
        <v>195</v>
      </c>
      <c r="C36" s="109" t="s">
        <v>4508</v>
      </c>
      <c r="D36" s="110" t="s">
        <v>992</v>
      </c>
      <c r="E36" s="110">
        <v>54</v>
      </c>
      <c r="F36" s="110" t="s">
        <v>75</v>
      </c>
      <c r="G36" s="110" t="s">
        <v>993</v>
      </c>
      <c r="H36" s="109" t="s">
        <v>4</v>
      </c>
      <c r="I36" s="109"/>
      <c r="K36" s="109" t="s">
        <v>19</v>
      </c>
      <c r="L36" s="111" t="s">
        <v>228</v>
      </c>
      <c r="M36" s="156" t="s">
        <v>4509</v>
      </c>
      <c r="N36" s="110" t="s">
        <v>228</v>
      </c>
      <c r="O36" s="110" t="s">
        <v>1312</v>
      </c>
      <c r="P36" s="112">
        <v>45397</v>
      </c>
      <c r="Q36" s="110" t="s">
        <v>309</v>
      </c>
      <c r="R36" s="110" t="s">
        <v>233</v>
      </c>
      <c r="S36" s="110" t="s">
        <v>4510</v>
      </c>
      <c r="T36" s="110" t="s">
        <v>298</v>
      </c>
      <c r="U36" s="110" t="s">
        <v>235</v>
      </c>
      <c r="V36" s="113">
        <v>45435</v>
      </c>
      <c r="W36" s="110" t="s">
        <v>4511</v>
      </c>
      <c r="X36" s="110" t="s">
        <v>237</v>
      </c>
      <c r="Y36" s="110" t="s">
        <v>4512</v>
      </c>
    </row>
    <row r="37" spans="2:27">
      <c r="B37" s="222">
        <v>216</v>
      </c>
      <c r="C37" s="223" t="s">
        <v>362</v>
      </c>
      <c r="D37" s="154" t="s">
        <v>1660</v>
      </c>
      <c r="E37" s="110">
        <v>50</v>
      </c>
      <c r="F37" s="110" t="s">
        <v>75</v>
      </c>
      <c r="G37" s="110" t="s">
        <v>4513</v>
      </c>
      <c r="H37" s="109" t="s">
        <v>4</v>
      </c>
      <c r="I37" s="109"/>
      <c r="K37" s="109" t="s">
        <v>81</v>
      </c>
      <c r="L37" s="111" t="s">
        <v>228</v>
      </c>
      <c r="M37" s="110"/>
      <c r="N37" s="110"/>
      <c r="O37" s="110"/>
      <c r="P37" s="112">
        <v>45539</v>
      </c>
      <c r="Q37" s="154" t="s">
        <v>309</v>
      </c>
      <c r="R37" s="154" t="s">
        <v>4514</v>
      </c>
      <c r="S37" s="154">
        <v>7.8</v>
      </c>
      <c r="T37" s="154" t="s">
        <v>298</v>
      </c>
      <c r="U37" s="154" t="s">
        <v>235</v>
      </c>
      <c r="V37" s="224">
        <v>45594</v>
      </c>
      <c r="W37" s="154" t="s">
        <v>4515</v>
      </c>
      <c r="X37" s="154" t="s">
        <v>237</v>
      </c>
      <c r="Y37" s="154" t="s">
        <v>4516</v>
      </c>
      <c r="Z37" s="317"/>
      <c r="AA37" s="317"/>
    </row>
    <row r="38" spans="2:27">
      <c r="B38" s="8">
        <v>253</v>
      </c>
      <c r="C38" s="109" t="s">
        <v>445</v>
      </c>
      <c r="D38" s="110" t="s">
        <v>3775</v>
      </c>
      <c r="E38" s="110">
        <v>75</v>
      </c>
      <c r="F38" s="110" t="s">
        <v>75</v>
      </c>
      <c r="G38" s="110" t="s">
        <v>4517</v>
      </c>
      <c r="H38" s="109" t="s">
        <v>4</v>
      </c>
      <c r="I38" s="109"/>
      <c r="K38" s="109" t="s">
        <v>134</v>
      </c>
      <c r="L38" s="111" t="s">
        <v>228</v>
      </c>
      <c r="M38" s="110"/>
      <c r="N38" s="110"/>
      <c r="O38" s="110"/>
      <c r="P38" s="112">
        <v>45600</v>
      </c>
      <c r="Q38" s="110" t="s">
        <v>309</v>
      </c>
      <c r="R38" s="110" t="s">
        <v>233</v>
      </c>
      <c r="S38" s="110">
        <v>7.7</v>
      </c>
      <c r="T38" s="110" t="s">
        <v>298</v>
      </c>
      <c r="U38" s="110" t="s">
        <v>235</v>
      </c>
      <c r="V38" s="113">
        <v>45665</v>
      </c>
      <c r="W38" s="110" t="s">
        <v>4518</v>
      </c>
      <c r="X38" s="110" t="s">
        <v>237</v>
      </c>
      <c r="Y38" s="110" t="s">
        <v>4519</v>
      </c>
    </row>
    <row r="39" spans="2:27">
      <c r="B39" s="8"/>
      <c r="C39" s="216" t="s">
        <v>4520</v>
      </c>
      <c r="D39" s="110" t="s">
        <v>3775</v>
      </c>
      <c r="E39" s="110">
        <v>75</v>
      </c>
      <c r="F39" s="110" t="s">
        <v>75</v>
      </c>
      <c r="G39" s="110" t="s">
        <v>4517</v>
      </c>
      <c r="H39" s="109" t="s">
        <v>4</v>
      </c>
      <c r="I39" s="109"/>
      <c r="K39" s="109" t="s">
        <v>134</v>
      </c>
      <c r="L39" s="111" t="s">
        <v>228</v>
      </c>
      <c r="M39" s="110"/>
      <c r="N39" s="110"/>
      <c r="O39" s="110"/>
      <c r="P39" s="112">
        <v>45699</v>
      </c>
      <c r="Q39" s="110" t="s">
        <v>309</v>
      </c>
      <c r="R39" s="110" t="s">
        <v>233</v>
      </c>
      <c r="S39" s="110" t="s">
        <v>228</v>
      </c>
      <c r="T39" s="110" t="s">
        <v>298</v>
      </c>
      <c r="U39" s="110" t="s">
        <v>473</v>
      </c>
      <c r="V39" s="113">
        <v>45747</v>
      </c>
      <c r="W39" s="110" t="s">
        <v>4521</v>
      </c>
      <c r="X39" s="110" t="s">
        <v>237</v>
      </c>
      <c r="Y39" s="110" t="s">
        <v>4522</v>
      </c>
    </row>
    <row r="40" spans="2:27">
      <c r="B40" s="8">
        <v>92</v>
      </c>
      <c r="C40" s="109" t="s">
        <v>4523</v>
      </c>
      <c r="D40" s="110" t="s">
        <v>1844</v>
      </c>
      <c r="E40" s="110">
        <v>26</v>
      </c>
      <c r="F40" s="110" t="s">
        <v>75</v>
      </c>
      <c r="G40" s="110" t="s">
        <v>1845</v>
      </c>
      <c r="H40" s="109" t="s">
        <v>5</v>
      </c>
      <c r="I40" s="109"/>
      <c r="K40" s="109" t="s">
        <v>99</v>
      </c>
      <c r="L40" s="111" t="s">
        <v>228</v>
      </c>
      <c r="M40" s="110" t="s">
        <v>228</v>
      </c>
      <c r="N40" s="110" t="s">
        <v>228</v>
      </c>
      <c r="O40" s="110" t="s">
        <v>231</v>
      </c>
      <c r="P40" s="112">
        <v>44943</v>
      </c>
      <c r="Q40" s="110" t="s">
        <v>309</v>
      </c>
      <c r="R40" s="110" t="s">
        <v>233</v>
      </c>
      <c r="S40" s="110">
        <v>8.1999999999999993</v>
      </c>
      <c r="T40" s="110" t="s">
        <v>234</v>
      </c>
      <c r="U40" s="110" t="s">
        <v>235</v>
      </c>
      <c r="V40" s="113" t="s">
        <v>228</v>
      </c>
      <c r="W40" s="110" t="s">
        <v>4524</v>
      </c>
      <c r="X40" s="110" t="s">
        <v>237</v>
      </c>
      <c r="Y40" s="110" t="s">
        <v>4525</v>
      </c>
    </row>
    <row r="41" spans="2:27">
      <c r="B41" s="8">
        <v>186</v>
      </c>
      <c r="C41" s="109" t="s">
        <v>4198</v>
      </c>
      <c r="D41" s="110" t="s">
        <v>4196</v>
      </c>
      <c r="E41" s="110">
        <v>41</v>
      </c>
      <c r="F41" s="110" t="s">
        <v>75</v>
      </c>
      <c r="G41" s="110" t="s">
        <v>4197</v>
      </c>
      <c r="H41" s="109" t="s">
        <v>5</v>
      </c>
      <c r="I41" s="109"/>
      <c r="K41" s="109" t="s">
        <v>115</v>
      </c>
      <c r="L41" s="109" t="s">
        <v>441</v>
      </c>
      <c r="M41" s="110" t="s">
        <v>4526</v>
      </c>
      <c r="N41" s="110" t="s">
        <v>228</v>
      </c>
      <c r="O41" s="110"/>
      <c r="P41" s="112">
        <v>45307</v>
      </c>
      <c r="Q41" s="110" t="s">
        <v>309</v>
      </c>
      <c r="R41" s="110" t="s">
        <v>233</v>
      </c>
      <c r="S41" s="110">
        <v>9.1</v>
      </c>
      <c r="T41" s="110" t="s">
        <v>298</v>
      </c>
      <c r="U41" s="110" t="s">
        <v>235</v>
      </c>
      <c r="V41" s="113">
        <v>45341</v>
      </c>
      <c r="W41" s="110" t="s">
        <v>4527</v>
      </c>
      <c r="X41" s="110" t="s">
        <v>237</v>
      </c>
      <c r="Y41" s="110" t="s">
        <v>4528</v>
      </c>
    </row>
    <row r="42" spans="2:27">
      <c r="B42" s="8">
        <v>242</v>
      </c>
      <c r="C42" s="109" t="s">
        <v>392</v>
      </c>
      <c r="D42" s="110" t="s">
        <v>1832</v>
      </c>
      <c r="E42" s="110">
        <v>71</v>
      </c>
      <c r="F42" s="110" t="s">
        <v>75</v>
      </c>
      <c r="G42" s="110" t="s">
        <v>1833</v>
      </c>
      <c r="H42" s="109" t="s">
        <v>5</v>
      </c>
      <c r="I42" s="109"/>
      <c r="K42" s="109" t="s">
        <v>19</v>
      </c>
      <c r="L42" s="109" t="s">
        <v>426</v>
      </c>
      <c r="M42" s="110"/>
      <c r="N42" s="110"/>
      <c r="O42" s="110"/>
      <c r="P42" s="112">
        <v>45584</v>
      </c>
      <c r="Q42" s="110" t="s">
        <v>309</v>
      </c>
      <c r="R42" s="110" t="s">
        <v>233</v>
      </c>
      <c r="S42" s="110">
        <v>8</v>
      </c>
      <c r="T42" s="110" t="s">
        <v>298</v>
      </c>
      <c r="U42" s="110" t="s">
        <v>235</v>
      </c>
      <c r="V42" s="113">
        <v>45631</v>
      </c>
      <c r="W42" s="110" t="s">
        <v>4529</v>
      </c>
      <c r="X42" s="110" t="s">
        <v>237</v>
      </c>
      <c r="Y42" s="110" t="s">
        <v>4530</v>
      </c>
    </row>
    <row r="43" spans="2:27">
      <c r="B43" s="8"/>
      <c r="C43" s="109" t="s">
        <v>500</v>
      </c>
      <c r="D43" s="110" t="s">
        <v>1849</v>
      </c>
      <c r="E43" s="110">
        <v>33</v>
      </c>
      <c r="F43" s="110" t="s">
        <v>75</v>
      </c>
      <c r="G43" s="110" t="s">
        <v>1850</v>
      </c>
      <c r="H43" s="109" t="s">
        <v>5</v>
      </c>
      <c r="I43" s="109"/>
      <c r="K43" s="109" t="s">
        <v>16</v>
      </c>
      <c r="L43" s="111" t="s">
        <v>228</v>
      </c>
      <c r="M43" s="110"/>
      <c r="N43" s="110"/>
      <c r="O43" s="110"/>
      <c r="P43" s="112">
        <v>45693</v>
      </c>
      <c r="Q43" s="110" t="s">
        <v>309</v>
      </c>
      <c r="R43" s="110" t="s">
        <v>233</v>
      </c>
      <c r="S43" s="110" t="s">
        <v>228</v>
      </c>
      <c r="T43" s="110" t="s">
        <v>234</v>
      </c>
      <c r="U43" s="110" t="s">
        <v>473</v>
      </c>
      <c r="V43" s="113">
        <v>45747</v>
      </c>
      <c r="W43" s="110" t="s">
        <v>4531</v>
      </c>
      <c r="X43" s="110" t="s">
        <v>237</v>
      </c>
      <c r="Y43" s="110" t="s">
        <v>4532</v>
      </c>
    </row>
    <row r="44" spans="2:27" ht="15.75">
      <c r="B44" s="8">
        <v>18</v>
      </c>
      <c r="C44" s="107" t="s">
        <v>4533</v>
      </c>
      <c r="D44" s="110" t="s">
        <v>1849</v>
      </c>
      <c r="E44" s="110">
        <v>31</v>
      </c>
      <c r="F44" s="110" t="s">
        <v>75</v>
      </c>
      <c r="G44" s="110" t="s">
        <v>1850</v>
      </c>
      <c r="H44" s="109" t="s">
        <v>5</v>
      </c>
      <c r="I44" s="109"/>
      <c r="K44" s="109" t="s">
        <v>89</v>
      </c>
      <c r="L44" s="111" t="s">
        <v>228</v>
      </c>
      <c r="M44" s="110" t="s">
        <v>4534</v>
      </c>
      <c r="N44" s="110" t="s">
        <v>228</v>
      </c>
      <c r="O44" s="110" t="s">
        <v>231</v>
      </c>
      <c r="P44" s="112">
        <v>44831</v>
      </c>
      <c r="Q44" s="110" t="s">
        <v>232</v>
      </c>
      <c r="R44" s="110" t="s">
        <v>233</v>
      </c>
      <c r="S44" s="110" t="s">
        <v>228</v>
      </c>
      <c r="T44" s="110" t="s">
        <v>234</v>
      </c>
      <c r="U44" s="110" t="s">
        <v>235</v>
      </c>
      <c r="V44" s="113" t="s">
        <v>228</v>
      </c>
      <c r="W44" s="110" t="s">
        <v>4535</v>
      </c>
      <c r="X44" s="110" t="s">
        <v>237</v>
      </c>
      <c r="Y44" s="110" t="s">
        <v>4536</v>
      </c>
    </row>
    <row r="45" spans="2:27" ht="15.75">
      <c r="B45" s="8">
        <v>133</v>
      </c>
      <c r="C45" s="107" t="s">
        <v>4537</v>
      </c>
      <c r="D45" s="110" t="s">
        <v>1832</v>
      </c>
      <c r="E45" s="110">
        <v>70</v>
      </c>
      <c r="F45" s="110" t="s">
        <v>75</v>
      </c>
      <c r="G45" s="110" t="s">
        <v>1833</v>
      </c>
      <c r="H45" s="109" t="s">
        <v>5</v>
      </c>
      <c r="I45" s="109"/>
      <c r="K45" s="109" t="s">
        <v>19</v>
      </c>
      <c r="L45" s="111" t="s">
        <v>228</v>
      </c>
      <c r="M45" s="110" t="s">
        <v>228</v>
      </c>
      <c r="N45" s="110" t="s">
        <v>228</v>
      </c>
      <c r="O45" s="110" t="s">
        <v>231</v>
      </c>
      <c r="P45" s="112">
        <v>44982</v>
      </c>
      <c r="Q45" s="110" t="s">
        <v>309</v>
      </c>
      <c r="R45" s="110" t="s">
        <v>233</v>
      </c>
      <c r="S45" s="110">
        <v>8.6999999999999993</v>
      </c>
      <c r="T45" s="110" t="s">
        <v>234</v>
      </c>
      <c r="U45" s="110" t="s">
        <v>235</v>
      </c>
      <c r="V45" s="113" t="s">
        <v>228</v>
      </c>
      <c r="W45" s="110" t="s">
        <v>4538</v>
      </c>
      <c r="X45" s="110" t="s">
        <v>237</v>
      </c>
      <c r="Y45" s="110" t="s">
        <v>4539</v>
      </c>
    </row>
    <row r="46" spans="2:27">
      <c r="B46" s="8">
        <v>168</v>
      </c>
      <c r="C46" s="109" t="s">
        <v>2673</v>
      </c>
      <c r="D46" s="110" t="s">
        <v>2669</v>
      </c>
      <c r="E46" s="110">
        <v>42</v>
      </c>
      <c r="F46" s="110" t="s">
        <v>75</v>
      </c>
      <c r="G46" s="110" t="s">
        <v>2670</v>
      </c>
      <c r="H46" s="109" t="s">
        <v>15</v>
      </c>
      <c r="I46" s="109"/>
      <c r="K46" s="109" t="s">
        <v>4540</v>
      </c>
      <c r="L46" s="111" t="s">
        <v>228</v>
      </c>
      <c r="M46" s="110" t="s">
        <v>4541</v>
      </c>
      <c r="N46" s="110" t="s">
        <v>228</v>
      </c>
      <c r="O46" s="110" t="s">
        <v>231</v>
      </c>
      <c r="P46" s="112">
        <v>45261</v>
      </c>
      <c r="Q46" s="110" t="s">
        <v>309</v>
      </c>
      <c r="R46" s="110" t="s">
        <v>233</v>
      </c>
      <c r="S46" s="110">
        <v>8.9</v>
      </c>
      <c r="T46" s="110" t="s">
        <v>298</v>
      </c>
      <c r="U46" s="110" t="s">
        <v>235</v>
      </c>
      <c r="V46" s="113">
        <v>45279</v>
      </c>
      <c r="W46" s="110" t="s">
        <v>906</v>
      </c>
      <c r="X46" s="110" t="s">
        <v>237</v>
      </c>
      <c r="Y46" s="110" t="s">
        <v>4542</v>
      </c>
    </row>
    <row r="47" spans="2:27">
      <c r="B47" s="8">
        <v>214</v>
      </c>
      <c r="C47" s="109" t="s">
        <v>3647</v>
      </c>
      <c r="D47" s="110" t="s">
        <v>3643</v>
      </c>
      <c r="E47" s="110">
        <v>37</v>
      </c>
      <c r="F47" s="110" t="s">
        <v>75</v>
      </c>
      <c r="G47" s="110" t="s">
        <v>4543</v>
      </c>
      <c r="H47" s="109" t="s">
        <v>15</v>
      </c>
      <c r="I47" s="109"/>
      <c r="K47" s="109" t="s">
        <v>155</v>
      </c>
      <c r="L47" s="109" t="s">
        <v>184</v>
      </c>
      <c r="M47" s="110"/>
      <c r="N47" s="110"/>
      <c r="O47" s="110"/>
      <c r="P47" s="112">
        <v>45525</v>
      </c>
      <c r="Q47" s="110" t="s">
        <v>309</v>
      </c>
      <c r="R47" s="110" t="s">
        <v>233</v>
      </c>
      <c r="S47" s="110" t="s">
        <v>389</v>
      </c>
      <c r="T47" s="110" t="s">
        <v>298</v>
      </c>
      <c r="U47" s="110" t="s">
        <v>235</v>
      </c>
      <c r="V47" s="113">
        <v>45569</v>
      </c>
      <c r="W47" s="110" t="s">
        <v>4544</v>
      </c>
      <c r="X47" s="110" t="s">
        <v>237</v>
      </c>
      <c r="Y47" s="110" t="s">
        <v>4545</v>
      </c>
    </row>
    <row r="48" spans="2:27">
      <c r="B48" s="8"/>
      <c r="C48" s="109" t="s">
        <v>4546</v>
      </c>
      <c r="D48" s="110" t="s">
        <v>3643</v>
      </c>
      <c r="E48" s="110">
        <v>37</v>
      </c>
      <c r="F48" s="110" t="s">
        <v>75</v>
      </c>
      <c r="G48" s="110" t="s">
        <v>4543</v>
      </c>
      <c r="H48" s="109" t="s">
        <v>15</v>
      </c>
      <c r="I48" s="109"/>
      <c r="K48" s="109" t="s">
        <v>97</v>
      </c>
      <c r="L48" s="109" t="s">
        <v>184</v>
      </c>
      <c r="M48" s="110"/>
      <c r="N48" s="110"/>
      <c r="O48" s="110"/>
      <c r="P48" s="112">
        <v>45689</v>
      </c>
      <c r="Q48" s="110" t="s">
        <v>309</v>
      </c>
      <c r="R48" s="110" t="s">
        <v>233</v>
      </c>
      <c r="S48" s="110" t="s">
        <v>228</v>
      </c>
      <c r="T48" s="110" t="s">
        <v>234</v>
      </c>
      <c r="U48" s="110" t="s">
        <v>652</v>
      </c>
      <c r="V48" s="113">
        <v>45971</v>
      </c>
      <c r="W48" s="110" t="s">
        <v>4547</v>
      </c>
      <c r="X48" s="110" t="s">
        <v>588</v>
      </c>
      <c r="Y48" s="110" t="s">
        <v>4548</v>
      </c>
    </row>
    <row r="49" spans="2:27" ht="15.75">
      <c r="B49" s="8">
        <v>177</v>
      </c>
      <c r="C49" s="107" t="s">
        <v>4079</v>
      </c>
      <c r="D49" s="110" t="s">
        <v>4073</v>
      </c>
      <c r="E49" s="110">
        <v>60</v>
      </c>
      <c r="F49" s="110" t="s">
        <v>60</v>
      </c>
      <c r="G49" s="110" t="s">
        <v>4074</v>
      </c>
      <c r="H49" s="109" t="s">
        <v>18</v>
      </c>
      <c r="I49" s="109" t="s">
        <v>4075</v>
      </c>
      <c r="K49" s="109" t="s">
        <v>90</v>
      </c>
      <c r="L49" s="109" t="s">
        <v>4549</v>
      </c>
      <c r="M49" s="110" t="s">
        <v>4550</v>
      </c>
      <c r="N49" s="110" t="s">
        <v>228</v>
      </c>
      <c r="O49" s="110" t="s">
        <v>231</v>
      </c>
      <c r="P49" s="112">
        <v>45285</v>
      </c>
      <c r="Q49" s="110" t="s">
        <v>232</v>
      </c>
      <c r="R49" s="110" t="s">
        <v>233</v>
      </c>
      <c r="S49" s="110">
        <v>9</v>
      </c>
      <c r="T49" s="110" t="s">
        <v>298</v>
      </c>
      <c r="U49" s="110" t="s">
        <v>235</v>
      </c>
      <c r="V49" s="113">
        <v>45320</v>
      </c>
      <c r="W49" s="110" t="s">
        <v>4053</v>
      </c>
      <c r="X49" s="110" t="s">
        <v>237</v>
      </c>
      <c r="Y49" s="110" t="s">
        <v>4551</v>
      </c>
    </row>
    <row r="50" spans="2:27" ht="15.75">
      <c r="B50" s="8">
        <v>236</v>
      </c>
      <c r="C50" s="107" t="s">
        <v>4552</v>
      </c>
      <c r="D50" s="110" t="s">
        <v>2604</v>
      </c>
      <c r="E50" s="110">
        <v>51</v>
      </c>
      <c r="F50" s="110" t="s">
        <v>75</v>
      </c>
      <c r="G50" s="110" t="s">
        <v>2605</v>
      </c>
      <c r="H50" s="109" t="s">
        <v>15</v>
      </c>
      <c r="I50" s="109" t="s">
        <v>15</v>
      </c>
      <c r="K50" s="109" t="s">
        <v>231</v>
      </c>
      <c r="L50" s="109" t="s">
        <v>32</v>
      </c>
      <c r="M50" s="110"/>
      <c r="N50" s="110"/>
      <c r="O50" s="110"/>
      <c r="P50" s="112">
        <v>45583</v>
      </c>
      <c r="Q50" s="110" t="s">
        <v>309</v>
      </c>
      <c r="R50" s="110" t="s">
        <v>233</v>
      </c>
      <c r="S50" s="110">
        <v>8.1999999999999993</v>
      </c>
      <c r="T50" s="110" t="s">
        <v>234</v>
      </c>
      <c r="U50" s="110" t="s">
        <v>235</v>
      </c>
      <c r="V50" s="113">
        <v>45624</v>
      </c>
      <c r="W50" s="110" t="s">
        <v>4553</v>
      </c>
      <c r="X50" s="110" t="s">
        <v>237</v>
      </c>
      <c r="Y50" s="110" t="s">
        <v>4554</v>
      </c>
    </row>
    <row r="51" spans="2:27" ht="15.75">
      <c r="B51" s="8"/>
      <c r="C51" s="107" t="s">
        <v>4555</v>
      </c>
      <c r="D51" s="110" t="s">
        <v>2270</v>
      </c>
      <c r="E51" s="110">
        <v>45</v>
      </c>
      <c r="F51" s="110" t="s">
        <v>424</v>
      </c>
      <c r="G51" s="110" t="s">
        <v>2271</v>
      </c>
      <c r="H51" s="109" t="s">
        <v>27</v>
      </c>
      <c r="I51" s="109"/>
      <c r="J51" s="72" t="s">
        <v>433</v>
      </c>
      <c r="K51" s="109" t="s">
        <v>2113</v>
      </c>
      <c r="L51" s="109" t="s">
        <v>4556</v>
      </c>
      <c r="M51" s="110"/>
      <c r="N51" s="110"/>
      <c r="O51" s="110"/>
      <c r="P51" s="112">
        <v>45723</v>
      </c>
      <c r="Q51" s="110" t="s">
        <v>309</v>
      </c>
      <c r="R51" s="110" t="s">
        <v>233</v>
      </c>
      <c r="S51" s="110" t="s">
        <v>228</v>
      </c>
      <c r="T51" s="110" t="s">
        <v>234</v>
      </c>
      <c r="U51" s="110" t="s">
        <v>473</v>
      </c>
      <c r="V51" s="113">
        <v>45933</v>
      </c>
      <c r="W51" s="110" t="s">
        <v>4557</v>
      </c>
      <c r="X51" s="110" t="s">
        <v>237</v>
      </c>
      <c r="Y51" s="110" t="s">
        <v>4558</v>
      </c>
    </row>
    <row r="52" spans="2:27" ht="15.75">
      <c r="B52" s="8" t="s">
        <v>4559</v>
      </c>
      <c r="C52" s="107" t="s">
        <v>4560</v>
      </c>
      <c r="D52" s="110" t="s">
        <v>4561</v>
      </c>
      <c r="E52" s="110">
        <v>73</v>
      </c>
      <c r="F52" s="110" t="s">
        <v>60</v>
      </c>
      <c r="G52" s="110" t="s">
        <v>2260</v>
      </c>
      <c r="H52" s="109" t="s">
        <v>27</v>
      </c>
      <c r="I52" s="109"/>
      <c r="J52" s="72" t="s">
        <v>433</v>
      </c>
      <c r="K52" s="109" t="s">
        <v>168</v>
      </c>
      <c r="L52" s="111" t="s">
        <v>228</v>
      </c>
      <c r="M52" s="110"/>
      <c r="N52" s="110"/>
      <c r="O52" s="110"/>
      <c r="P52" s="112">
        <v>45728</v>
      </c>
      <c r="Q52" s="110" t="s">
        <v>309</v>
      </c>
      <c r="R52" s="110" t="s">
        <v>233</v>
      </c>
      <c r="S52" s="110" t="s">
        <v>228</v>
      </c>
      <c r="T52" s="110" t="s">
        <v>234</v>
      </c>
      <c r="U52" s="110" t="s">
        <v>473</v>
      </c>
      <c r="V52" s="113">
        <v>45933</v>
      </c>
      <c r="W52" s="110" t="s">
        <v>4562</v>
      </c>
      <c r="X52" s="110" t="s">
        <v>237</v>
      </c>
      <c r="Y52" s="110" t="s">
        <v>4563</v>
      </c>
    </row>
    <row r="53" spans="2:27" ht="15.75">
      <c r="B53" s="8" t="s">
        <v>4564</v>
      </c>
      <c r="C53" s="107" t="s">
        <v>4565</v>
      </c>
      <c r="D53" s="110" t="s">
        <v>4566</v>
      </c>
      <c r="E53" s="110">
        <v>40</v>
      </c>
      <c r="F53" s="110" t="s">
        <v>75</v>
      </c>
      <c r="G53" s="110" t="s">
        <v>2244</v>
      </c>
      <c r="H53" s="109" t="s">
        <v>27</v>
      </c>
      <c r="I53" s="109"/>
      <c r="J53" s="72" t="s">
        <v>433</v>
      </c>
      <c r="K53" s="109" t="s">
        <v>183</v>
      </c>
      <c r="L53" s="111" t="s">
        <v>228</v>
      </c>
      <c r="M53" s="110"/>
      <c r="N53" s="110"/>
      <c r="O53" s="110"/>
      <c r="P53" s="112">
        <v>45729</v>
      </c>
      <c r="Q53" s="110" t="s">
        <v>309</v>
      </c>
      <c r="R53" s="110" t="s">
        <v>233</v>
      </c>
      <c r="S53" s="110" t="s">
        <v>228</v>
      </c>
      <c r="T53" s="110" t="s">
        <v>234</v>
      </c>
      <c r="U53" s="110" t="s">
        <v>473</v>
      </c>
      <c r="V53" s="113">
        <v>45933</v>
      </c>
      <c r="W53" s="110" t="s">
        <v>4567</v>
      </c>
      <c r="X53" s="110" t="s">
        <v>237</v>
      </c>
      <c r="Y53" s="110" t="s">
        <v>4568</v>
      </c>
    </row>
    <row r="54" spans="2:27" ht="15.75">
      <c r="B54" s="8" t="s">
        <v>4569</v>
      </c>
      <c r="C54" s="107" t="s">
        <v>4570</v>
      </c>
      <c r="D54" s="110" t="s">
        <v>2692</v>
      </c>
      <c r="E54" s="110">
        <v>23</v>
      </c>
      <c r="F54" s="110" t="s">
        <v>60</v>
      </c>
      <c r="G54" s="110" t="s">
        <v>2693</v>
      </c>
      <c r="H54" s="109" t="s">
        <v>188</v>
      </c>
      <c r="I54" s="109"/>
      <c r="K54" s="109" t="s">
        <v>231</v>
      </c>
      <c r="L54" s="111" t="s">
        <v>228</v>
      </c>
      <c r="M54" s="110"/>
      <c r="N54" s="110"/>
      <c r="O54" s="110"/>
      <c r="P54" s="112">
        <v>45695</v>
      </c>
      <c r="Q54" s="110" t="s">
        <v>309</v>
      </c>
      <c r="R54" s="110" t="s">
        <v>233</v>
      </c>
      <c r="S54" s="110" t="s">
        <v>228</v>
      </c>
      <c r="T54" s="110" t="s">
        <v>234</v>
      </c>
      <c r="U54" s="110" t="s">
        <v>652</v>
      </c>
      <c r="V54" s="113">
        <v>45971</v>
      </c>
      <c r="W54" s="110" t="s">
        <v>4571</v>
      </c>
      <c r="X54" s="110" t="s">
        <v>588</v>
      </c>
      <c r="Y54" s="110" t="s">
        <v>4572</v>
      </c>
    </row>
    <row r="55" spans="2:27" ht="15.75">
      <c r="B55" s="8"/>
      <c r="C55" s="107" t="s">
        <v>4573</v>
      </c>
      <c r="D55" s="110" t="s">
        <v>2921</v>
      </c>
      <c r="E55" s="110">
        <v>28</v>
      </c>
      <c r="F55" s="110" t="s">
        <v>60</v>
      </c>
      <c r="G55" s="110" t="s">
        <v>2922</v>
      </c>
      <c r="H55" s="109" t="s">
        <v>188</v>
      </c>
      <c r="I55" s="109"/>
      <c r="K55" s="109" t="s">
        <v>231</v>
      </c>
      <c r="L55" s="109" t="s">
        <v>231</v>
      </c>
      <c r="M55" s="110"/>
      <c r="N55" s="110"/>
      <c r="O55" s="110"/>
      <c r="P55" s="112">
        <v>45697</v>
      </c>
      <c r="Q55" s="110" t="s">
        <v>309</v>
      </c>
      <c r="R55" s="110" t="s">
        <v>233</v>
      </c>
      <c r="S55" s="110" t="s">
        <v>228</v>
      </c>
      <c r="T55" s="110" t="s">
        <v>234</v>
      </c>
      <c r="U55" s="110" t="s">
        <v>652</v>
      </c>
      <c r="V55" s="113">
        <v>45986</v>
      </c>
      <c r="W55" s="110">
        <v>0</v>
      </c>
      <c r="X55" s="110">
        <v>0</v>
      </c>
      <c r="Y55" s="110" t="s">
        <v>4574</v>
      </c>
    </row>
    <row r="56" spans="2:27" ht="15.75">
      <c r="B56" s="8"/>
      <c r="C56" s="107" t="s">
        <v>4575</v>
      </c>
      <c r="D56" s="110" t="s">
        <v>2951</v>
      </c>
      <c r="E56" s="110">
        <v>27</v>
      </c>
      <c r="F56" s="110" t="s">
        <v>75</v>
      </c>
      <c r="G56" s="110" t="s">
        <v>2952</v>
      </c>
      <c r="H56" s="109" t="s">
        <v>188</v>
      </c>
      <c r="I56" s="109"/>
      <c r="K56" s="109" t="s">
        <v>231</v>
      </c>
      <c r="L56" s="109" t="s">
        <v>231</v>
      </c>
      <c r="M56" s="110"/>
      <c r="N56" s="110"/>
      <c r="O56" s="110"/>
      <c r="P56" s="112">
        <v>45901</v>
      </c>
      <c r="Q56" s="110" t="s">
        <v>309</v>
      </c>
      <c r="R56" s="110" t="s">
        <v>233</v>
      </c>
      <c r="S56" s="110" t="s">
        <v>228</v>
      </c>
      <c r="T56" s="110" t="s">
        <v>234</v>
      </c>
      <c r="U56" s="110" t="s">
        <v>652</v>
      </c>
      <c r="V56" s="113">
        <v>45986</v>
      </c>
      <c r="W56" s="110">
        <v>0</v>
      </c>
      <c r="X56" s="110">
        <v>0</v>
      </c>
      <c r="Y56" s="110" t="s">
        <v>4576</v>
      </c>
    </row>
    <row r="57" spans="2:27" ht="15.75">
      <c r="B57" s="72">
        <v>0</v>
      </c>
      <c r="C57" s="107" t="s">
        <v>4577</v>
      </c>
      <c r="D57" s="108" t="s">
        <v>3638</v>
      </c>
      <c r="E57" s="108">
        <v>38</v>
      </c>
      <c r="F57" s="108" t="s">
        <v>60</v>
      </c>
      <c r="G57" s="6" t="s">
        <v>3639</v>
      </c>
      <c r="H57" s="109" t="s">
        <v>27</v>
      </c>
      <c r="I57" s="109"/>
      <c r="J57" s="72" t="s">
        <v>4578</v>
      </c>
      <c r="K57" s="109" t="s">
        <v>231</v>
      </c>
      <c r="L57" s="109" t="s">
        <v>231</v>
      </c>
      <c r="M57" s="110"/>
      <c r="N57" s="110"/>
      <c r="O57" s="110"/>
      <c r="P57" s="112">
        <v>0</v>
      </c>
      <c r="Q57" s="110" t="s">
        <v>309</v>
      </c>
      <c r="R57" s="110" t="s">
        <v>233</v>
      </c>
      <c r="S57" s="110" t="s">
        <v>228</v>
      </c>
      <c r="T57" s="110" t="s">
        <v>234</v>
      </c>
      <c r="U57" s="110" t="s">
        <v>228</v>
      </c>
      <c r="V57" s="110" t="s">
        <v>228</v>
      </c>
      <c r="W57" s="110" t="s">
        <v>228</v>
      </c>
      <c r="X57" s="110" t="s">
        <v>228</v>
      </c>
      <c r="Y57" s="110" t="s">
        <v>4579</v>
      </c>
    </row>
    <row r="58" spans="2:27" ht="15.75">
      <c r="B58" s="8"/>
      <c r="C58" s="110" t="s">
        <v>4580</v>
      </c>
      <c r="D58" s="109" t="s">
        <v>4209</v>
      </c>
      <c r="E58" s="110">
        <v>59</v>
      </c>
      <c r="F58" s="110" t="s">
        <v>60</v>
      </c>
      <c r="G58" s="280" t="s">
        <v>4581</v>
      </c>
      <c r="H58" s="110" t="s">
        <v>188</v>
      </c>
      <c r="I58" s="109"/>
      <c r="J58" s="72" t="s">
        <v>3932</v>
      </c>
      <c r="K58" s="55"/>
      <c r="L58" s="109" t="s">
        <v>231</v>
      </c>
      <c r="M58" s="109" t="s">
        <v>231</v>
      </c>
      <c r="N58" s="110"/>
      <c r="O58" s="110"/>
      <c r="P58" s="110"/>
      <c r="Q58" s="112"/>
      <c r="R58" s="110" t="s">
        <v>309</v>
      </c>
      <c r="S58" s="110" t="s">
        <v>4514</v>
      </c>
      <c r="T58" s="110"/>
      <c r="U58" s="110" t="e">
        <v>#N/A</v>
      </c>
      <c r="V58" s="110" t="e">
        <v>#N/A</v>
      </c>
      <c r="W58" s="110" t="e">
        <v>#N/A</v>
      </c>
      <c r="X58" s="110" t="e">
        <v>#N/A</v>
      </c>
      <c r="Y58" s="110" t="e">
        <v>#N/A</v>
      </c>
      <c r="Z58" s="110"/>
    </row>
    <row r="59" spans="2:27" ht="15.75">
      <c r="B59" s="72">
        <v>0</v>
      </c>
      <c r="C59" s="107" t="s">
        <v>4582</v>
      </c>
      <c r="D59" s="108" t="s">
        <v>3718</v>
      </c>
      <c r="E59" s="108">
        <v>72</v>
      </c>
      <c r="F59" s="108" t="s">
        <v>75</v>
      </c>
      <c r="G59" s="108" t="s">
        <v>4583</v>
      </c>
      <c r="H59" s="110" t="s">
        <v>4</v>
      </c>
      <c r="I59" s="110"/>
      <c r="K59" s="110"/>
      <c r="L59" s="110"/>
      <c r="M59" s="110"/>
      <c r="N59" s="110"/>
      <c r="O59" s="110"/>
      <c r="P59" s="112">
        <v>45962</v>
      </c>
      <c r="Q59" s="110" t="s">
        <v>309</v>
      </c>
      <c r="R59" s="110" t="s">
        <v>4514</v>
      </c>
      <c r="S59" s="110" t="s">
        <v>228</v>
      </c>
      <c r="T59" s="110" t="s">
        <v>298</v>
      </c>
      <c r="U59" s="110" t="s">
        <v>228</v>
      </c>
      <c r="V59" s="110" t="s">
        <v>228</v>
      </c>
      <c r="W59" s="110" t="s">
        <v>228</v>
      </c>
      <c r="X59" s="110" t="s">
        <v>228</v>
      </c>
      <c r="Y59" s="110" t="s">
        <v>4584</v>
      </c>
    </row>
    <row r="60" spans="2:27" ht="15.75">
      <c r="B60" s="72">
        <v>0</v>
      </c>
      <c r="C60" s="107" t="s">
        <v>4585</v>
      </c>
      <c r="D60" s="108" t="s">
        <v>3723</v>
      </c>
      <c r="E60" s="108">
        <v>43</v>
      </c>
      <c r="F60" s="108" t="s">
        <v>60</v>
      </c>
      <c r="G60" s="108">
        <v>0</v>
      </c>
      <c r="H60" s="110" t="s">
        <v>188</v>
      </c>
      <c r="I60" s="110"/>
      <c r="K60" s="110"/>
      <c r="L60" s="110"/>
      <c r="M60" s="110"/>
      <c r="N60" s="110"/>
      <c r="O60" s="110"/>
      <c r="P60" s="112">
        <v>45966</v>
      </c>
      <c r="Q60" s="110" t="s">
        <v>309</v>
      </c>
      <c r="R60" s="110" t="s">
        <v>4514</v>
      </c>
      <c r="S60" s="110">
        <v>0</v>
      </c>
      <c r="T60" s="110" t="s">
        <v>298</v>
      </c>
      <c r="U60" s="110" t="s">
        <v>228</v>
      </c>
      <c r="V60" s="110" t="s">
        <v>228</v>
      </c>
      <c r="W60" s="110" t="s">
        <v>228</v>
      </c>
      <c r="X60" s="110" t="s">
        <v>228</v>
      </c>
      <c r="Y60" s="110" t="s">
        <v>4586</v>
      </c>
    </row>
    <row r="61" spans="2:27" ht="15.75">
      <c r="B61" s="72" t="s">
        <v>4587</v>
      </c>
      <c r="C61" s="107" t="s">
        <v>4588</v>
      </c>
      <c r="D61" s="108" t="s">
        <v>3727</v>
      </c>
      <c r="E61" s="108">
        <v>57</v>
      </c>
      <c r="F61" s="108" t="s">
        <v>60</v>
      </c>
      <c r="G61" s="108" t="s">
        <v>4589</v>
      </c>
      <c r="H61" s="110" t="s">
        <v>188</v>
      </c>
      <c r="I61" s="110"/>
      <c r="K61" s="110"/>
      <c r="L61" s="110"/>
      <c r="M61" s="110"/>
      <c r="N61" s="110"/>
      <c r="O61" s="110"/>
      <c r="P61" s="112">
        <v>45966</v>
      </c>
      <c r="Q61" s="110" t="s">
        <v>309</v>
      </c>
      <c r="R61" s="110" t="s">
        <v>4514</v>
      </c>
      <c r="S61" s="110">
        <v>0</v>
      </c>
      <c r="T61" s="110" t="s">
        <v>234</v>
      </c>
      <c r="U61" s="110" t="s">
        <v>228</v>
      </c>
      <c r="V61" s="110" t="s">
        <v>228</v>
      </c>
      <c r="W61" s="110" t="s">
        <v>228</v>
      </c>
      <c r="X61" s="110" t="s">
        <v>228</v>
      </c>
      <c r="Y61" s="110" t="s">
        <v>4590</v>
      </c>
    </row>
    <row r="62" spans="2:27" ht="15.75">
      <c r="B62" s="72">
        <v>0</v>
      </c>
      <c r="C62" s="109" t="s">
        <v>4591</v>
      </c>
      <c r="D62" s="108" t="s">
        <v>3798</v>
      </c>
      <c r="E62" s="108">
        <v>27</v>
      </c>
      <c r="F62" s="108" t="s">
        <v>60</v>
      </c>
      <c r="G62" s="108" t="s">
        <v>4592</v>
      </c>
      <c r="H62" s="287" t="s">
        <v>188</v>
      </c>
      <c r="I62" s="110"/>
      <c r="K62" s="110"/>
      <c r="L62" s="110"/>
      <c r="M62" s="110"/>
      <c r="N62" s="110"/>
      <c r="O62" s="110"/>
      <c r="P62" s="112">
        <v>45992</v>
      </c>
      <c r="Q62" s="110" t="s">
        <v>309</v>
      </c>
      <c r="R62" s="110" t="s">
        <v>4514</v>
      </c>
      <c r="S62" s="110">
        <v>0</v>
      </c>
      <c r="T62" s="110" t="s">
        <v>298</v>
      </c>
      <c r="U62" s="110" t="s">
        <v>228</v>
      </c>
      <c r="V62" s="110" t="s">
        <v>228</v>
      </c>
      <c r="W62" s="110" t="s">
        <v>228</v>
      </c>
      <c r="X62" s="110" t="s">
        <v>228</v>
      </c>
      <c r="Y62" s="110" t="s">
        <v>4593</v>
      </c>
    </row>
    <row r="63" spans="2:27" ht="15.75">
      <c r="B63" s="8">
        <v>5</v>
      </c>
      <c r="C63" s="109" t="s">
        <v>548</v>
      </c>
      <c r="D63" s="110" t="s">
        <v>4594</v>
      </c>
      <c r="E63" s="110">
        <v>50</v>
      </c>
      <c r="F63" s="110" t="s">
        <v>75</v>
      </c>
      <c r="G63" s="110" t="s">
        <v>817</v>
      </c>
      <c r="H63" s="109" t="s">
        <v>188</v>
      </c>
      <c r="I63" s="109"/>
      <c r="K63" s="109" t="s">
        <v>231</v>
      </c>
      <c r="L63" s="111" t="s">
        <v>228</v>
      </c>
      <c r="M63" s="110" t="s">
        <v>228</v>
      </c>
      <c r="N63" s="110" t="s">
        <v>228</v>
      </c>
      <c r="O63" s="110" t="s">
        <v>231</v>
      </c>
      <c r="P63" s="112">
        <v>44905</v>
      </c>
      <c r="Q63" s="110" t="s">
        <v>309</v>
      </c>
      <c r="R63" s="110" t="s">
        <v>233</v>
      </c>
      <c r="S63" s="110">
        <v>9</v>
      </c>
      <c r="T63" s="110" t="s">
        <v>234</v>
      </c>
      <c r="U63" s="110" t="s">
        <v>235</v>
      </c>
      <c r="V63" s="113" t="s">
        <v>228</v>
      </c>
      <c r="W63" s="110" t="s">
        <v>4595</v>
      </c>
      <c r="X63" s="110" t="s">
        <v>237</v>
      </c>
      <c r="Y63" s="110" t="s">
        <v>4596</v>
      </c>
      <c r="AA63" s="363"/>
    </row>
    <row r="64" spans="2:27" ht="15.75">
      <c r="B64" s="8">
        <v>41</v>
      </c>
      <c r="C64" s="107" t="s">
        <v>4597</v>
      </c>
      <c r="D64" s="110" t="s">
        <v>4598</v>
      </c>
      <c r="E64" s="110">
        <v>47</v>
      </c>
      <c r="F64" s="110" t="s">
        <v>60</v>
      </c>
      <c r="G64" s="110" t="s">
        <v>2613</v>
      </c>
      <c r="H64" s="109" t="s">
        <v>188</v>
      </c>
      <c r="I64" s="109"/>
      <c r="K64" s="109" t="s">
        <v>231</v>
      </c>
      <c r="L64" s="111" t="s">
        <v>228</v>
      </c>
      <c r="M64" s="110" t="s">
        <v>4599</v>
      </c>
      <c r="N64" s="110" t="s">
        <v>228</v>
      </c>
      <c r="O64" s="110" t="s">
        <v>231</v>
      </c>
      <c r="P64" s="112">
        <v>44758</v>
      </c>
      <c r="Q64" s="110" t="s">
        <v>232</v>
      </c>
      <c r="R64" s="110" t="s">
        <v>233</v>
      </c>
      <c r="S64" s="110">
        <v>6.2</v>
      </c>
      <c r="T64" s="110" t="s">
        <v>234</v>
      </c>
      <c r="U64" s="110" t="s">
        <v>235</v>
      </c>
      <c r="V64" s="113" t="s">
        <v>228</v>
      </c>
      <c r="W64" s="110" t="s">
        <v>4600</v>
      </c>
      <c r="X64" s="110" t="s">
        <v>237</v>
      </c>
      <c r="Y64" s="110" t="s">
        <v>4601</v>
      </c>
    </row>
    <row r="65" spans="1:51" ht="15.75">
      <c r="B65" s="8">
        <v>3</v>
      </c>
      <c r="C65" s="107" t="s">
        <v>4602</v>
      </c>
      <c r="D65" s="110" t="s">
        <v>4603</v>
      </c>
      <c r="E65" s="110">
        <v>44</v>
      </c>
      <c r="F65" s="110" t="s">
        <v>75</v>
      </c>
      <c r="G65" s="110" t="s">
        <v>3848</v>
      </c>
      <c r="H65" s="109" t="s">
        <v>188</v>
      </c>
      <c r="I65" s="109"/>
      <c r="K65" s="109" t="s">
        <v>231</v>
      </c>
      <c r="L65" s="111" t="s">
        <v>228</v>
      </c>
      <c r="M65" s="110" t="s">
        <v>228</v>
      </c>
      <c r="N65" s="110" t="s">
        <v>228</v>
      </c>
      <c r="O65" s="110" t="s">
        <v>231</v>
      </c>
      <c r="P65" s="112">
        <v>44833</v>
      </c>
      <c r="Q65" s="110" t="s">
        <v>232</v>
      </c>
      <c r="R65" s="110" t="s">
        <v>233</v>
      </c>
      <c r="S65" s="110" t="s">
        <v>228</v>
      </c>
      <c r="T65" s="110" t="s">
        <v>234</v>
      </c>
      <c r="U65" s="110" t="s">
        <v>235</v>
      </c>
      <c r="V65" s="113" t="s">
        <v>228</v>
      </c>
      <c r="W65" s="110" t="s">
        <v>4604</v>
      </c>
      <c r="X65" s="110" t="s">
        <v>237</v>
      </c>
      <c r="Y65" s="110" t="s">
        <v>4605</v>
      </c>
    </row>
    <row r="66" spans="1:51" ht="15.75">
      <c r="B66" s="72">
        <v>310</v>
      </c>
      <c r="C66" s="107" t="s">
        <v>464</v>
      </c>
      <c r="D66" s="108" t="s">
        <v>3019</v>
      </c>
      <c r="E66" s="108">
        <v>58</v>
      </c>
      <c r="F66" s="108" t="s">
        <v>60</v>
      </c>
      <c r="G66" s="108" t="s">
        <v>3020</v>
      </c>
      <c r="H66" s="109" t="s">
        <v>188</v>
      </c>
      <c r="I66" s="109"/>
      <c r="K66" s="109" t="s">
        <v>231</v>
      </c>
      <c r="L66" s="109" t="s">
        <v>4606</v>
      </c>
      <c r="M66" s="110"/>
      <c r="N66" s="110"/>
      <c r="O66" s="110"/>
      <c r="P66" s="112">
        <v>45631</v>
      </c>
      <c r="Q66" s="110" t="s">
        <v>309</v>
      </c>
      <c r="R66" s="110" t="s">
        <v>4514</v>
      </c>
      <c r="S66" s="110" t="s">
        <v>228</v>
      </c>
      <c r="T66" s="110" t="s">
        <v>298</v>
      </c>
      <c r="U66" s="110" t="s">
        <v>228</v>
      </c>
      <c r="V66" s="110" t="s">
        <v>228</v>
      </c>
      <c r="W66" s="110" t="s">
        <v>228</v>
      </c>
      <c r="X66" s="110" t="s">
        <v>228</v>
      </c>
      <c r="Y66" s="110" t="s">
        <v>4607</v>
      </c>
    </row>
    <row r="67" spans="1:51">
      <c r="A67" s="235"/>
      <c r="B67" s="237"/>
      <c r="C67" s="256" t="s">
        <v>4608</v>
      </c>
      <c r="D67" s="237" t="s">
        <v>4609</v>
      </c>
      <c r="E67" s="237">
        <v>29</v>
      </c>
      <c r="F67" s="237" t="s">
        <v>75</v>
      </c>
      <c r="G67" s="237" t="s">
        <v>1931</v>
      </c>
      <c r="H67" s="243" t="s">
        <v>18</v>
      </c>
      <c r="I67" s="243"/>
      <c r="J67" s="235"/>
      <c r="K67" s="240" t="s">
        <v>157</v>
      </c>
      <c r="L67" s="243" t="s">
        <v>157</v>
      </c>
      <c r="M67" s="243" t="s">
        <v>231</v>
      </c>
      <c r="N67" s="237"/>
      <c r="O67" s="237"/>
      <c r="P67" s="244">
        <v>45464</v>
      </c>
      <c r="Q67" s="237" t="s">
        <v>309</v>
      </c>
      <c r="R67" s="237" t="s">
        <v>233</v>
      </c>
      <c r="S67" s="237" t="s">
        <v>228</v>
      </c>
      <c r="T67" s="237" t="s">
        <v>234</v>
      </c>
      <c r="U67" s="237" t="s">
        <v>652</v>
      </c>
      <c r="V67" s="245">
        <v>45947</v>
      </c>
      <c r="W67" s="237" t="s">
        <v>4610</v>
      </c>
      <c r="X67" s="237" t="s">
        <v>237</v>
      </c>
      <c r="Y67" s="237" t="s">
        <v>4611</v>
      </c>
    </row>
    <row r="68" spans="1:51">
      <c r="A68" s="235"/>
      <c r="B68" s="237">
        <v>227</v>
      </c>
      <c r="C68" s="243" t="s">
        <v>4612</v>
      </c>
      <c r="D68" s="237" t="s">
        <v>4613</v>
      </c>
      <c r="E68" s="237">
        <v>43</v>
      </c>
      <c r="F68" s="237" t="s">
        <v>60</v>
      </c>
      <c r="G68" s="237" t="s">
        <v>4204</v>
      </c>
      <c r="H68" s="243" t="s">
        <v>27</v>
      </c>
      <c r="I68" s="243"/>
      <c r="J68" s="235" t="s">
        <v>3603</v>
      </c>
      <c r="K68" s="240"/>
      <c r="L68" s="243" t="s">
        <v>231</v>
      </c>
      <c r="M68" s="243" t="s">
        <v>32</v>
      </c>
      <c r="N68" s="237"/>
      <c r="O68" s="237"/>
      <c r="P68" s="244">
        <v>45551</v>
      </c>
      <c r="Q68" s="237" t="s">
        <v>309</v>
      </c>
      <c r="R68" s="237" t="s">
        <v>233</v>
      </c>
      <c r="S68" s="237">
        <v>8.6999999999999993</v>
      </c>
      <c r="T68" s="237" t="s">
        <v>234</v>
      </c>
      <c r="U68" s="237" t="s">
        <v>235</v>
      </c>
      <c r="V68" s="245">
        <v>45593</v>
      </c>
      <c r="W68" s="237" t="s">
        <v>4614</v>
      </c>
      <c r="X68" s="237" t="s">
        <v>228</v>
      </c>
      <c r="Y68" s="237" t="s">
        <v>4615</v>
      </c>
      <c r="Z68" s="235"/>
      <c r="AB68" s="235"/>
      <c r="AC68" s="235"/>
    </row>
    <row r="69" spans="1:51" ht="15.75">
      <c r="A69" s="235"/>
      <c r="B69" s="235">
        <v>366</v>
      </c>
      <c r="C69" s="255" t="s">
        <v>4616</v>
      </c>
      <c r="D69" s="235" t="s">
        <v>4617</v>
      </c>
      <c r="E69" s="235">
        <v>68</v>
      </c>
      <c r="F69" s="235" t="s">
        <v>75</v>
      </c>
      <c r="G69" s="235" t="s">
        <v>4618</v>
      </c>
      <c r="H69" s="243" t="s">
        <v>3</v>
      </c>
      <c r="I69" s="240"/>
      <c r="J69" s="235" t="s">
        <v>620</v>
      </c>
      <c r="K69" s="240" t="s">
        <v>57</v>
      </c>
      <c r="L69" s="243" t="s">
        <v>57</v>
      </c>
      <c r="M69" s="246" t="s">
        <v>228</v>
      </c>
      <c r="N69" s="237"/>
      <c r="O69" s="237"/>
      <c r="P69" s="237"/>
      <c r="Q69" s="244">
        <v>45630</v>
      </c>
      <c r="R69" s="264" t="s">
        <v>4619</v>
      </c>
      <c r="S69" s="264" t="s">
        <v>4620</v>
      </c>
      <c r="T69" s="237">
        <v>8.6</v>
      </c>
      <c r="U69" s="237" t="s">
        <v>234</v>
      </c>
      <c r="V69" s="237" t="s">
        <v>228</v>
      </c>
      <c r="W69" s="244" t="s">
        <v>228</v>
      </c>
      <c r="X69" s="237" t="s">
        <v>228</v>
      </c>
      <c r="Y69" s="237" t="s">
        <v>228</v>
      </c>
      <c r="Z69" s="237" t="s">
        <v>228</v>
      </c>
      <c r="AA69" s="237" t="s">
        <v>4621</v>
      </c>
      <c r="AB69" s="301"/>
      <c r="AC69" s="297"/>
      <c r="AD69" s="297"/>
      <c r="AE69" s="297"/>
      <c r="AF69" s="297"/>
      <c r="AG69" s="297"/>
      <c r="AH69" s="297"/>
      <c r="AI69" s="297"/>
      <c r="AJ69" s="297"/>
      <c r="AK69" s="297"/>
      <c r="AL69" s="297"/>
      <c r="AM69" s="297"/>
      <c r="AN69" s="297"/>
      <c r="AO69" s="297"/>
      <c r="AP69" s="297"/>
      <c r="AQ69" s="297"/>
      <c r="AR69" s="297"/>
      <c r="AS69" s="297"/>
      <c r="AT69" s="297"/>
      <c r="AU69" s="297"/>
      <c r="AV69" s="297"/>
      <c r="AW69" s="297"/>
      <c r="AX69" s="297"/>
      <c r="AY69" s="302"/>
    </row>
    <row r="70" spans="1:51" ht="15.75">
      <c r="A70" s="235"/>
      <c r="B70" s="235">
        <v>387</v>
      </c>
      <c r="C70" s="255" t="s">
        <v>4622</v>
      </c>
      <c r="D70" s="235" t="s">
        <v>4623</v>
      </c>
      <c r="E70" s="235">
        <v>82</v>
      </c>
      <c r="F70" s="235" t="s">
        <v>60</v>
      </c>
      <c r="G70" s="235" t="s">
        <v>4624</v>
      </c>
      <c r="H70" s="243" t="s">
        <v>3</v>
      </c>
      <c r="I70" s="243"/>
      <c r="J70" s="235" t="s">
        <v>620</v>
      </c>
      <c r="K70" s="240" t="s">
        <v>161</v>
      </c>
      <c r="L70" s="243" t="s">
        <v>3690</v>
      </c>
      <c r="M70" s="246" t="s">
        <v>228</v>
      </c>
      <c r="N70" s="237"/>
      <c r="O70" s="237"/>
      <c r="P70" s="237"/>
      <c r="Q70" s="244">
        <v>45642</v>
      </c>
      <c r="R70" s="264" t="s">
        <v>4619</v>
      </c>
      <c r="S70" s="264" t="s">
        <v>4620</v>
      </c>
      <c r="T70" s="237" t="s">
        <v>228</v>
      </c>
      <c r="U70" s="237" t="s">
        <v>234</v>
      </c>
      <c r="V70" s="237" t="s">
        <v>228</v>
      </c>
      <c r="W70" s="244" t="s">
        <v>228</v>
      </c>
      <c r="X70" s="237" t="s">
        <v>228</v>
      </c>
      <c r="Y70" s="237" t="s">
        <v>228</v>
      </c>
      <c r="Z70" s="237" t="s">
        <v>228</v>
      </c>
      <c r="AA70" s="237" t="s">
        <v>4625</v>
      </c>
      <c r="AB70" s="301"/>
      <c r="AC70" s="297"/>
      <c r="AD70" s="297"/>
      <c r="AE70" s="297"/>
      <c r="AF70" s="297"/>
      <c r="AG70" s="297"/>
      <c r="AH70" s="297"/>
      <c r="AI70" s="297"/>
      <c r="AJ70" s="297"/>
      <c r="AK70" s="297"/>
      <c r="AL70" s="297"/>
      <c r="AM70" s="297"/>
      <c r="AN70" s="297"/>
      <c r="AO70" s="297"/>
      <c r="AP70" s="297"/>
      <c r="AQ70" s="297"/>
      <c r="AR70" s="297"/>
      <c r="AS70" s="297"/>
      <c r="AT70" s="297"/>
      <c r="AU70" s="297"/>
      <c r="AV70" s="297"/>
      <c r="AW70" s="297"/>
      <c r="AX70" s="297"/>
      <c r="AY70" s="302"/>
    </row>
    <row r="71" spans="1:51" ht="15.75">
      <c r="A71" s="235"/>
      <c r="B71" s="235">
        <v>394</v>
      </c>
      <c r="C71" s="255" t="s">
        <v>4626</v>
      </c>
      <c r="D71" s="235" t="s">
        <v>4627</v>
      </c>
      <c r="E71" s="235">
        <v>42</v>
      </c>
      <c r="F71" s="235" t="s">
        <v>60</v>
      </c>
      <c r="G71" s="235" t="s">
        <v>4628</v>
      </c>
      <c r="H71" s="243" t="s">
        <v>3</v>
      </c>
      <c r="I71" s="243"/>
      <c r="J71" s="235" t="s">
        <v>620</v>
      </c>
      <c r="K71" s="240" t="s">
        <v>123</v>
      </c>
      <c r="L71" s="243" t="s">
        <v>1642</v>
      </c>
      <c r="M71" s="246" t="s">
        <v>228</v>
      </c>
      <c r="N71" s="237"/>
      <c r="O71" s="237"/>
      <c r="P71" s="237"/>
      <c r="Q71" s="244">
        <v>45653</v>
      </c>
      <c r="R71" s="264" t="s">
        <v>4619</v>
      </c>
      <c r="S71" s="264" t="s">
        <v>4620</v>
      </c>
      <c r="T71" s="237" t="s">
        <v>228</v>
      </c>
      <c r="U71" s="237" t="s">
        <v>234</v>
      </c>
      <c r="V71" s="237" t="s">
        <v>228</v>
      </c>
      <c r="W71" s="244" t="s">
        <v>228</v>
      </c>
      <c r="X71" s="237" t="s">
        <v>228</v>
      </c>
      <c r="Y71" s="237" t="s">
        <v>228</v>
      </c>
      <c r="Z71" s="237" t="s">
        <v>228</v>
      </c>
      <c r="AA71" s="237" t="s">
        <v>4629</v>
      </c>
      <c r="AB71" s="301"/>
      <c r="AC71" s="297"/>
      <c r="AD71" s="297"/>
      <c r="AE71" s="297"/>
      <c r="AF71" s="297"/>
      <c r="AG71" s="297"/>
      <c r="AH71" s="297"/>
      <c r="AI71" s="297"/>
      <c r="AJ71" s="297"/>
      <c r="AK71" s="297"/>
      <c r="AL71" s="297"/>
      <c r="AM71" s="297"/>
      <c r="AN71" s="297"/>
      <c r="AO71" s="297"/>
      <c r="AP71" s="297"/>
      <c r="AQ71" s="297"/>
      <c r="AR71" s="297"/>
      <c r="AS71" s="297"/>
      <c r="AT71" s="297"/>
      <c r="AU71" s="297"/>
      <c r="AV71" s="297"/>
      <c r="AW71" s="297"/>
      <c r="AX71" s="297"/>
      <c r="AY71" s="302"/>
    </row>
    <row r="72" spans="1:51">
      <c r="A72" s="235"/>
      <c r="B72" s="237"/>
      <c r="C72" s="237" t="s">
        <v>4630</v>
      </c>
      <c r="D72" s="243" t="s">
        <v>4631</v>
      </c>
      <c r="E72" s="237">
        <v>61</v>
      </c>
      <c r="F72" s="237" t="s">
        <v>75</v>
      </c>
      <c r="G72" s="237" t="s">
        <v>4632</v>
      </c>
      <c r="H72" s="237" t="s">
        <v>4</v>
      </c>
      <c r="I72" s="243" t="s">
        <v>3026</v>
      </c>
      <c r="J72" s="240" t="s">
        <v>886</v>
      </c>
      <c r="K72" s="240" t="s">
        <v>4633</v>
      </c>
      <c r="L72" s="288" t="s">
        <v>19</v>
      </c>
      <c r="M72" s="243" t="s">
        <v>231</v>
      </c>
      <c r="N72" s="237"/>
      <c r="O72" s="237"/>
      <c r="P72" s="237"/>
      <c r="Q72" s="244"/>
      <c r="R72" s="264" t="s">
        <v>4619</v>
      </c>
      <c r="S72" s="264" t="s">
        <v>4620</v>
      </c>
      <c r="T72" s="237"/>
      <c r="U72" s="237"/>
      <c r="V72" s="237"/>
      <c r="W72" s="244"/>
      <c r="X72" s="237"/>
      <c r="Y72" s="237"/>
      <c r="Z72" s="237" t="e">
        <v>#N/A</v>
      </c>
      <c r="AA72" s="237"/>
      <c r="AB72" s="301"/>
      <c r="AC72" s="297"/>
      <c r="AD72" s="297"/>
      <c r="AE72" s="297"/>
      <c r="AF72" s="297"/>
      <c r="AG72" s="297"/>
      <c r="AH72" s="297"/>
      <c r="AI72" s="297"/>
      <c r="AJ72" s="297"/>
      <c r="AK72" s="297"/>
      <c r="AL72" s="297"/>
      <c r="AM72" s="297"/>
      <c r="AN72" s="297"/>
      <c r="AO72" s="297"/>
      <c r="AP72" s="297"/>
      <c r="AQ72" s="297"/>
      <c r="AR72" s="297"/>
      <c r="AS72" s="297"/>
      <c r="AT72" s="297"/>
      <c r="AU72" s="297"/>
      <c r="AV72" s="297"/>
      <c r="AW72" s="297"/>
      <c r="AX72" s="297"/>
      <c r="AY72" s="302"/>
    </row>
    <row r="73" spans="1:51">
      <c r="A73" s="235"/>
      <c r="B73" s="237"/>
      <c r="C73" s="237" t="s">
        <v>4634</v>
      </c>
      <c r="D73" s="243" t="s">
        <v>4635</v>
      </c>
      <c r="E73" s="237">
        <v>31</v>
      </c>
      <c r="F73" s="237" t="s">
        <v>75</v>
      </c>
      <c r="G73" s="237" t="s">
        <v>4636</v>
      </c>
      <c r="H73" s="237" t="s">
        <v>3</v>
      </c>
      <c r="I73" s="243" t="s">
        <v>3026</v>
      </c>
      <c r="J73" s="240" t="s">
        <v>886</v>
      </c>
      <c r="K73" s="290" t="s">
        <v>4637</v>
      </c>
      <c r="L73" s="289" t="s">
        <v>231</v>
      </c>
      <c r="M73" s="243" t="s">
        <v>231</v>
      </c>
      <c r="N73" s="237"/>
      <c r="O73" s="237"/>
      <c r="P73" s="237"/>
      <c r="Q73" s="244"/>
      <c r="R73" s="264" t="s">
        <v>4619</v>
      </c>
      <c r="S73" s="264" t="s">
        <v>4620</v>
      </c>
      <c r="T73" s="237"/>
      <c r="U73" s="237"/>
      <c r="V73" s="237"/>
      <c r="W73" s="244"/>
      <c r="X73" s="237"/>
      <c r="Y73" s="237"/>
      <c r="Z73" s="237" t="e">
        <v>#N/A</v>
      </c>
      <c r="AA73" s="237"/>
      <c r="AB73" s="301"/>
      <c r="AC73" s="297"/>
      <c r="AD73" s="297"/>
      <c r="AE73" s="297"/>
      <c r="AF73" s="297"/>
      <c r="AG73" s="297"/>
      <c r="AH73" s="297"/>
      <c r="AI73" s="297"/>
      <c r="AJ73" s="297"/>
      <c r="AK73" s="297"/>
      <c r="AL73" s="297"/>
      <c r="AM73" s="297"/>
      <c r="AN73" s="297"/>
      <c r="AO73" s="297"/>
      <c r="AP73" s="297"/>
      <c r="AQ73" s="297"/>
      <c r="AR73" s="297"/>
      <c r="AS73" s="297"/>
      <c r="AT73" s="297"/>
      <c r="AU73" s="297"/>
      <c r="AV73" s="297"/>
      <c r="AW73" s="297"/>
      <c r="AX73" s="297"/>
      <c r="AY73" s="302"/>
    </row>
    <row r="74" spans="1:51" ht="15.75">
      <c r="A74" s="235"/>
      <c r="B74" s="237"/>
      <c r="C74" s="237" t="s">
        <v>4638</v>
      </c>
      <c r="D74" s="243" t="s">
        <v>4639</v>
      </c>
      <c r="E74" s="237">
        <v>78</v>
      </c>
      <c r="F74" s="255" t="s">
        <v>424</v>
      </c>
      <c r="G74" s="255" t="s">
        <v>4640</v>
      </c>
      <c r="H74" s="237" t="s">
        <v>15</v>
      </c>
      <c r="I74" s="243"/>
      <c r="J74" s="235" t="s">
        <v>620</v>
      </c>
      <c r="K74" s="240" t="s">
        <v>160</v>
      </c>
      <c r="L74" s="243" t="s">
        <v>4641</v>
      </c>
      <c r="M74" s="243" t="s">
        <v>231</v>
      </c>
      <c r="N74" s="237"/>
      <c r="O74" s="237"/>
      <c r="P74" s="237"/>
      <c r="Q74" s="244"/>
      <c r="R74" s="237" t="s">
        <v>4619</v>
      </c>
      <c r="S74" s="237" t="s">
        <v>4620</v>
      </c>
      <c r="T74" s="237"/>
      <c r="U74" s="237"/>
      <c r="V74" s="237"/>
      <c r="W74" s="244"/>
      <c r="X74" s="237"/>
      <c r="Y74" s="237"/>
      <c r="Z74" s="237" t="e">
        <v>#N/A</v>
      </c>
      <c r="AA74" s="237"/>
      <c r="AB74" s="301"/>
      <c r="AC74" s="297"/>
      <c r="AD74" s="297"/>
      <c r="AE74" s="297"/>
      <c r="AF74" s="297"/>
      <c r="AG74" s="297"/>
      <c r="AH74" s="297"/>
      <c r="AI74" s="297"/>
      <c r="AJ74" s="297"/>
      <c r="AK74" s="297"/>
      <c r="AL74" s="297"/>
      <c r="AM74" s="297"/>
      <c r="AN74" s="297"/>
      <c r="AO74" s="297"/>
      <c r="AP74" s="297"/>
      <c r="AQ74" s="297"/>
      <c r="AR74" s="297"/>
      <c r="AS74" s="297"/>
      <c r="AT74" s="297"/>
      <c r="AU74" s="297"/>
      <c r="AV74" s="297"/>
      <c r="AW74" s="297"/>
      <c r="AX74" s="297"/>
      <c r="AY74" s="302"/>
    </row>
    <row r="75" spans="1:51" ht="15.75">
      <c r="A75" s="235"/>
      <c r="B75" s="237"/>
      <c r="C75" s="237" t="s">
        <v>4642</v>
      </c>
      <c r="D75" s="243" t="s">
        <v>4643</v>
      </c>
      <c r="E75" s="237">
        <v>77</v>
      </c>
      <c r="F75" s="237" t="s">
        <v>75</v>
      </c>
      <c r="G75" s="255" t="s">
        <v>4644</v>
      </c>
      <c r="H75" s="237" t="s">
        <v>188</v>
      </c>
      <c r="I75" s="243"/>
      <c r="J75" s="235"/>
      <c r="K75" s="240"/>
      <c r="L75" s="243" t="s">
        <v>231</v>
      </c>
      <c r="M75" s="243" t="s">
        <v>231</v>
      </c>
      <c r="N75" s="237"/>
      <c r="O75" s="237"/>
      <c r="P75" s="237"/>
      <c r="Q75" s="244"/>
      <c r="R75" s="264" t="s">
        <v>4619</v>
      </c>
      <c r="S75" s="264" t="s">
        <v>4620</v>
      </c>
      <c r="T75" s="237"/>
      <c r="U75" s="237"/>
      <c r="V75" s="237"/>
      <c r="W75" s="244"/>
      <c r="X75" s="237"/>
      <c r="Y75" s="237"/>
      <c r="Z75" s="237" t="e">
        <v>#N/A</v>
      </c>
      <c r="AA75" s="237"/>
      <c r="AB75" s="301"/>
      <c r="AC75" s="297"/>
      <c r="AD75" s="297"/>
      <c r="AE75" s="297"/>
      <c r="AF75" s="297"/>
      <c r="AG75" s="297"/>
      <c r="AH75" s="297"/>
      <c r="AI75" s="297"/>
      <c r="AJ75" s="297"/>
      <c r="AK75" s="297"/>
      <c r="AL75" s="297"/>
      <c r="AM75" s="297"/>
      <c r="AN75" s="297"/>
      <c r="AO75" s="297"/>
      <c r="AP75" s="297"/>
      <c r="AQ75" s="297"/>
      <c r="AR75" s="297"/>
      <c r="AS75" s="297"/>
      <c r="AT75" s="297"/>
      <c r="AU75" s="297"/>
      <c r="AV75" s="297"/>
      <c r="AW75" s="297"/>
      <c r="AX75" s="297"/>
      <c r="AY75" s="302"/>
    </row>
    <row r="76" spans="1:51">
      <c r="A76" s="343"/>
      <c r="B76" s="343">
        <v>65</v>
      </c>
      <c r="C76" s="353" t="s">
        <v>4645</v>
      </c>
      <c r="D76" s="343" t="s">
        <v>4646</v>
      </c>
      <c r="E76" s="343">
        <v>42</v>
      </c>
      <c r="F76" s="343" t="s">
        <v>60</v>
      </c>
      <c r="G76" s="343" t="s">
        <v>4647</v>
      </c>
      <c r="H76" s="353" t="s">
        <v>4</v>
      </c>
      <c r="I76" s="353"/>
      <c r="J76" s="352" t="s">
        <v>886</v>
      </c>
      <c r="K76" s="352" t="s">
        <v>3056</v>
      </c>
      <c r="L76" s="359" t="s">
        <v>62</v>
      </c>
      <c r="M76" s="353" t="s">
        <v>231</v>
      </c>
      <c r="N76" s="346" t="s">
        <v>228</v>
      </c>
      <c r="O76" s="346" t="s">
        <v>228</v>
      </c>
      <c r="P76" s="346" t="s">
        <v>231</v>
      </c>
      <c r="Q76" s="522">
        <v>44903</v>
      </c>
      <c r="R76" s="346" t="s">
        <v>309</v>
      </c>
      <c r="S76" s="358" t="s">
        <v>4648</v>
      </c>
      <c r="T76" s="346" t="s">
        <v>228</v>
      </c>
      <c r="U76" s="346" t="s">
        <v>234</v>
      </c>
      <c r="V76" s="346" t="s">
        <v>235</v>
      </c>
      <c r="W76" s="354" t="s">
        <v>228</v>
      </c>
      <c r="X76" s="346" t="s">
        <v>228</v>
      </c>
      <c r="Y76" s="346" t="s">
        <v>1772</v>
      </c>
      <c r="Z76" s="346">
        <v>0</v>
      </c>
      <c r="AA76" s="346" t="s">
        <v>228</v>
      </c>
      <c r="AB76" s="346"/>
      <c r="AC76" s="346"/>
      <c r="AD76" s="350"/>
      <c r="AE76" s="350"/>
      <c r="AF76" s="350"/>
      <c r="AG76" s="350"/>
      <c r="AH76" s="350"/>
      <c r="AI76" s="350"/>
      <c r="AJ76" s="350"/>
      <c r="AK76" s="350"/>
      <c r="AL76" s="350"/>
      <c r="AM76" s="350"/>
      <c r="AN76" s="350"/>
      <c r="AO76" s="350"/>
      <c r="AP76" s="350"/>
      <c r="AQ76" s="350"/>
      <c r="AR76" s="350"/>
      <c r="AS76" s="350"/>
      <c r="AT76" s="350"/>
      <c r="AU76" s="350"/>
      <c r="AV76" s="350"/>
      <c r="AW76" s="350"/>
      <c r="AX76" s="350"/>
      <c r="AY76" s="349"/>
    </row>
    <row r="77" spans="1:51" ht="15.75">
      <c r="A77" s="343"/>
      <c r="B77" s="343" t="s">
        <v>4649</v>
      </c>
      <c r="C77" s="345" t="s">
        <v>4650</v>
      </c>
      <c r="D77" s="343" t="s">
        <v>4651</v>
      </c>
      <c r="E77" s="343">
        <v>22</v>
      </c>
      <c r="F77" s="343" t="s">
        <v>75</v>
      </c>
      <c r="G77" s="343" t="s">
        <v>4652</v>
      </c>
      <c r="H77" s="353" t="s">
        <v>188</v>
      </c>
      <c r="I77" s="353"/>
      <c r="J77" s="343"/>
      <c r="K77" s="352"/>
      <c r="L77" s="353" t="s">
        <v>231</v>
      </c>
      <c r="M77" s="357" t="s">
        <v>228</v>
      </c>
      <c r="N77" s="346"/>
      <c r="O77" s="346"/>
      <c r="P77" s="346"/>
      <c r="Q77" s="522">
        <v>45667</v>
      </c>
      <c r="R77" s="346" t="s">
        <v>309</v>
      </c>
      <c r="S77" s="358" t="s">
        <v>4648</v>
      </c>
      <c r="T77" s="346" t="s">
        <v>228</v>
      </c>
      <c r="U77" s="346" t="s">
        <v>234</v>
      </c>
      <c r="V77" s="346" t="s">
        <v>228</v>
      </c>
      <c r="W77" s="354" t="s">
        <v>228</v>
      </c>
      <c r="X77" s="346" t="s">
        <v>228</v>
      </c>
      <c r="Y77" s="346" t="s">
        <v>228</v>
      </c>
      <c r="Z77" s="346" t="s">
        <v>228</v>
      </c>
      <c r="AA77" s="346" t="s">
        <v>4653</v>
      </c>
      <c r="AB77" s="346"/>
      <c r="AC77" s="346"/>
      <c r="AD77" s="350"/>
      <c r="AE77" s="350"/>
      <c r="AF77" s="350"/>
      <c r="AG77" s="350"/>
      <c r="AH77" s="350"/>
      <c r="AI77" s="350"/>
      <c r="AJ77" s="350"/>
      <c r="AK77" s="350"/>
      <c r="AL77" s="350"/>
      <c r="AM77" s="350"/>
      <c r="AN77" s="350"/>
      <c r="AO77" s="350"/>
      <c r="AP77" s="350"/>
      <c r="AQ77" s="350"/>
      <c r="AR77" s="350"/>
      <c r="AS77" s="350"/>
      <c r="AT77" s="350"/>
      <c r="AU77" s="350"/>
      <c r="AV77" s="350"/>
      <c r="AW77" s="350"/>
      <c r="AX77" s="350"/>
      <c r="AY77" s="349"/>
    </row>
    <row r="78" spans="1:51" ht="15.75">
      <c r="A78" s="343"/>
      <c r="B78" s="343">
        <v>0</v>
      </c>
      <c r="C78" s="345" t="s">
        <v>4654</v>
      </c>
      <c r="D78" s="343" t="s">
        <v>4655</v>
      </c>
      <c r="E78" s="343">
        <v>38</v>
      </c>
      <c r="F78" s="343" t="s">
        <v>75</v>
      </c>
      <c r="G78" s="343" t="s">
        <v>4656</v>
      </c>
      <c r="H78" s="346" t="s">
        <v>188</v>
      </c>
      <c r="I78" s="346"/>
      <c r="J78" s="343"/>
      <c r="K78" s="352"/>
      <c r="L78" s="346"/>
      <c r="M78" s="346"/>
      <c r="N78" s="346"/>
      <c r="O78" s="346"/>
      <c r="P78" s="346"/>
      <c r="Q78" s="522">
        <v>45988</v>
      </c>
      <c r="R78" s="347" t="s">
        <v>309</v>
      </c>
      <c r="S78" s="348" t="s">
        <v>4648</v>
      </c>
      <c r="T78" s="355">
        <v>0</v>
      </c>
      <c r="U78" s="346" t="s">
        <v>298</v>
      </c>
      <c r="V78" s="346" t="s">
        <v>228</v>
      </c>
      <c r="W78" s="354" t="s">
        <v>228</v>
      </c>
      <c r="X78" s="346" t="s">
        <v>228</v>
      </c>
      <c r="Y78" s="346" t="s">
        <v>228</v>
      </c>
      <c r="Z78" s="346" t="s">
        <v>228</v>
      </c>
      <c r="AA78" s="346" t="s">
        <v>4657</v>
      </c>
      <c r="AB78" s="346"/>
      <c r="AC78" s="346"/>
      <c r="AD78" s="350"/>
      <c r="AE78" s="350"/>
      <c r="AF78" s="350"/>
      <c r="AG78" s="350"/>
      <c r="AH78" s="350"/>
      <c r="AI78" s="350"/>
      <c r="AJ78" s="350"/>
      <c r="AK78" s="350"/>
      <c r="AL78" s="350"/>
      <c r="AM78" s="350"/>
      <c r="AN78" s="350"/>
      <c r="AO78" s="350"/>
      <c r="AP78" s="350"/>
      <c r="AQ78" s="350"/>
      <c r="AR78" s="350"/>
      <c r="AS78" s="350"/>
      <c r="AT78" s="350"/>
      <c r="AU78" s="350"/>
      <c r="AV78" s="350"/>
      <c r="AW78" s="350"/>
      <c r="AX78" s="350"/>
      <c r="AY78" s="349"/>
    </row>
    <row r="79" spans="1:51" ht="15.75">
      <c r="A79" s="343"/>
      <c r="B79" s="343">
        <v>0</v>
      </c>
      <c r="C79" s="345" t="s">
        <v>4658</v>
      </c>
      <c r="D79" s="343" t="s">
        <v>4659</v>
      </c>
      <c r="E79" s="343">
        <v>36</v>
      </c>
      <c r="F79" s="343" t="s">
        <v>75</v>
      </c>
      <c r="G79" s="343" t="s">
        <v>4660</v>
      </c>
      <c r="H79" s="346" t="s">
        <v>188</v>
      </c>
      <c r="I79" s="346"/>
      <c r="J79" s="343"/>
      <c r="K79" s="352"/>
      <c r="L79" s="346"/>
      <c r="M79" s="346"/>
      <c r="N79" s="346"/>
      <c r="O79" s="346"/>
      <c r="P79" s="346"/>
      <c r="Q79" s="522">
        <v>45988</v>
      </c>
      <c r="R79" s="347" t="s">
        <v>309</v>
      </c>
      <c r="S79" s="348" t="s">
        <v>4648</v>
      </c>
      <c r="T79" s="355">
        <v>0</v>
      </c>
      <c r="U79" s="346" t="s">
        <v>298</v>
      </c>
      <c r="V79" s="346" t="s">
        <v>228</v>
      </c>
      <c r="W79" s="354" t="s">
        <v>228</v>
      </c>
      <c r="X79" s="346" t="s">
        <v>228</v>
      </c>
      <c r="Y79" s="346" t="s">
        <v>228</v>
      </c>
      <c r="Z79" s="346" t="s">
        <v>228</v>
      </c>
      <c r="AA79" s="346" t="s">
        <v>4661</v>
      </c>
      <c r="AB79" s="346"/>
      <c r="AC79" s="346"/>
      <c r="AD79" s="350"/>
      <c r="AE79" s="350"/>
      <c r="AF79" s="350"/>
      <c r="AG79" s="350"/>
      <c r="AH79" s="350"/>
      <c r="AI79" s="350"/>
      <c r="AJ79" s="350"/>
      <c r="AK79" s="350"/>
      <c r="AL79" s="350"/>
      <c r="AM79" s="350"/>
      <c r="AN79" s="350"/>
      <c r="AO79" s="350"/>
      <c r="AP79" s="350"/>
      <c r="AQ79" s="350"/>
      <c r="AR79" s="350"/>
      <c r="AS79" s="350"/>
      <c r="AT79" s="350"/>
      <c r="AU79" s="350"/>
      <c r="AV79" s="350"/>
      <c r="AW79" s="350"/>
      <c r="AX79" s="350"/>
      <c r="AY79" s="349"/>
    </row>
    <row r="80" spans="1:51" ht="15.75">
      <c r="A80" s="343"/>
      <c r="B80" s="343">
        <v>0</v>
      </c>
      <c r="C80" s="345" t="s">
        <v>4662</v>
      </c>
      <c r="D80" s="343" t="s">
        <v>4663</v>
      </c>
      <c r="E80" s="343">
        <v>34</v>
      </c>
      <c r="F80" s="343" t="s">
        <v>60</v>
      </c>
      <c r="G80" s="343" t="s">
        <v>4664</v>
      </c>
      <c r="H80" s="346" t="s">
        <v>188</v>
      </c>
      <c r="I80" s="346"/>
      <c r="J80" s="343"/>
      <c r="K80" s="352"/>
      <c r="L80" s="346"/>
      <c r="M80" s="346"/>
      <c r="N80" s="346"/>
      <c r="O80" s="346"/>
      <c r="P80" s="346"/>
      <c r="Q80" s="522">
        <v>45988</v>
      </c>
      <c r="R80" s="347" t="s">
        <v>309</v>
      </c>
      <c r="S80" s="348" t="s">
        <v>4648</v>
      </c>
      <c r="T80" s="355">
        <v>0</v>
      </c>
      <c r="U80" s="346" t="s">
        <v>298</v>
      </c>
      <c r="V80" s="346" t="s">
        <v>228</v>
      </c>
      <c r="W80" s="354" t="s">
        <v>228</v>
      </c>
      <c r="X80" s="346" t="s">
        <v>228</v>
      </c>
      <c r="Y80" s="346" t="s">
        <v>228</v>
      </c>
      <c r="Z80" s="346" t="s">
        <v>228</v>
      </c>
      <c r="AA80" s="346" t="s">
        <v>4665</v>
      </c>
      <c r="AB80" s="346"/>
      <c r="AC80" s="346"/>
      <c r="AD80" s="350"/>
      <c r="AE80" s="350"/>
      <c r="AF80" s="350"/>
      <c r="AG80" s="350"/>
      <c r="AH80" s="350"/>
      <c r="AI80" s="350"/>
      <c r="AJ80" s="350"/>
      <c r="AK80" s="350"/>
      <c r="AL80" s="350"/>
      <c r="AM80" s="350"/>
      <c r="AN80" s="350"/>
      <c r="AO80" s="350"/>
      <c r="AP80" s="350"/>
      <c r="AQ80" s="350"/>
      <c r="AR80" s="350"/>
      <c r="AS80" s="350"/>
      <c r="AT80" s="350"/>
      <c r="AU80" s="350"/>
      <c r="AV80" s="350"/>
      <c r="AW80" s="350"/>
      <c r="AX80" s="350"/>
      <c r="AY80" s="349"/>
    </row>
    <row r="81" spans="1:51" ht="15.75">
      <c r="A81" s="343"/>
      <c r="B81" s="343">
        <v>0</v>
      </c>
      <c r="C81" s="345" t="s">
        <v>4666</v>
      </c>
      <c r="D81" s="343" t="s">
        <v>4667</v>
      </c>
      <c r="E81" s="343">
        <v>44</v>
      </c>
      <c r="F81" s="343" t="s">
        <v>60</v>
      </c>
      <c r="G81" s="343" t="s">
        <v>4668</v>
      </c>
      <c r="H81" s="346" t="s">
        <v>188</v>
      </c>
      <c r="I81" s="346"/>
      <c r="J81" s="343"/>
      <c r="K81" s="352"/>
      <c r="L81" s="346"/>
      <c r="M81" s="346"/>
      <c r="N81" s="346"/>
      <c r="O81" s="346"/>
      <c r="P81" s="346"/>
      <c r="Q81" s="522">
        <v>45988</v>
      </c>
      <c r="R81" s="347" t="s">
        <v>309</v>
      </c>
      <c r="S81" s="348" t="s">
        <v>4648</v>
      </c>
      <c r="T81" s="355">
        <v>0</v>
      </c>
      <c r="U81" s="346" t="s">
        <v>298</v>
      </c>
      <c r="V81" s="346" t="s">
        <v>228</v>
      </c>
      <c r="W81" s="354" t="s">
        <v>228</v>
      </c>
      <c r="X81" s="346" t="s">
        <v>228</v>
      </c>
      <c r="Y81" s="346" t="s">
        <v>228</v>
      </c>
      <c r="Z81" s="346" t="s">
        <v>228</v>
      </c>
      <c r="AA81" s="346" t="s">
        <v>4669</v>
      </c>
      <c r="AB81" s="346"/>
      <c r="AC81" s="346"/>
      <c r="AD81" s="350"/>
      <c r="AE81" s="350"/>
      <c r="AF81" s="350"/>
      <c r="AG81" s="350"/>
      <c r="AH81" s="350"/>
      <c r="AI81" s="350"/>
      <c r="AJ81" s="350"/>
      <c r="AK81" s="350"/>
      <c r="AL81" s="350"/>
      <c r="AM81" s="350"/>
      <c r="AN81" s="350"/>
      <c r="AO81" s="350"/>
      <c r="AP81" s="350"/>
      <c r="AQ81" s="350"/>
      <c r="AR81" s="350"/>
      <c r="AS81" s="350"/>
      <c r="AT81" s="350"/>
      <c r="AU81" s="350"/>
      <c r="AV81" s="350"/>
      <c r="AW81" s="350"/>
      <c r="AX81" s="350"/>
      <c r="AY81" s="349"/>
    </row>
    <row r="82" spans="1:51" ht="15.75">
      <c r="A82" s="343"/>
      <c r="B82" s="343">
        <v>0</v>
      </c>
      <c r="C82" s="345" t="s">
        <v>4670</v>
      </c>
      <c r="D82" s="343" t="s">
        <v>4671</v>
      </c>
      <c r="E82" s="343">
        <v>47</v>
      </c>
      <c r="F82" s="343" t="s">
        <v>75</v>
      </c>
      <c r="G82" s="343" t="s">
        <v>4672</v>
      </c>
      <c r="H82" s="346" t="s">
        <v>188</v>
      </c>
      <c r="I82" s="346"/>
      <c r="J82" s="343"/>
      <c r="K82" s="352"/>
      <c r="L82" s="346"/>
      <c r="M82" s="346"/>
      <c r="N82" s="346"/>
      <c r="O82" s="346"/>
      <c r="P82" s="346"/>
      <c r="Q82" s="522">
        <v>0</v>
      </c>
      <c r="R82" s="347" t="s">
        <v>309</v>
      </c>
      <c r="S82" s="348" t="s">
        <v>4648</v>
      </c>
      <c r="T82" s="355">
        <v>0</v>
      </c>
      <c r="U82" s="346" t="s">
        <v>298</v>
      </c>
      <c r="V82" s="346" t="s">
        <v>228</v>
      </c>
      <c r="W82" s="354" t="s">
        <v>228</v>
      </c>
      <c r="X82" s="346" t="s">
        <v>228</v>
      </c>
      <c r="Y82" s="346" t="s">
        <v>228</v>
      </c>
      <c r="Z82" s="346" t="s">
        <v>228</v>
      </c>
      <c r="AA82" s="346" t="s">
        <v>4673</v>
      </c>
      <c r="AB82" s="346"/>
      <c r="AC82" s="346"/>
      <c r="AD82" s="350"/>
      <c r="AE82" s="350"/>
      <c r="AF82" s="350"/>
      <c r="AG82" s="350"/>
      <c r="AH82" s="350"/>
      <c r="AI82" s="350"/>
      <c r="AJ82" s="350"/>
      <c r="AK82" s="350"/>
      <c r="AL82" s="350"/>
      <c r="AM82" s="350"/>
      <c r="AN82" s="350"/>
      <c r="AO82" s="350"/>
      <c r="AP82" s="350"/>
      <c r="AQ82" s="350"/>
      <c r="AR82" s="350"/>
      <c r="AS82" s="350"/>
      <c r="AT82" s="350"/>
      <c r="AU82" s="350"/>
      <c r="AV82" s="350"/>
      <c r="AW82" s="350"/>
      <c r="AX82" s="350"/>
      <c r="AY82" s="349"/>
    </row>
    <row r="83" spans="1:51" ht="15.75">
      <c r="A83" s="343"/>
      <c r="B83" s="343">
        <v>0</v>
      </c>
      <c r="C83" s="345" t="s">
        <v>4674</v>
      </c>
      <c r="D83" s="343" t="s">
        <v>4675</v>
      </c>
      <c r="E83" s="343">
        <v>40</v>
      </c>
      <c r="F83" s="343" t="s">
        <v>75</v>
      </c>
      <c r="G83" s="343" t="s">
        <v>4676</v>
      </c>
      <c r="H83" s="346" t="s">
        <v>188</v>
      </c>
      <c r="I83" s="346"/>
      <c r="J83" s="343"/>
      <c r="K83" s="352"/>
      <c r="L83" s="346"/>
      <c r="M83" s="346"/>
      <c r="N83" s="346"/>
      <c r="O83" s="346"/>
      <c r="P83" s="346"/>
      <c r="Q83" s="522">
        <v>0</v>
      </c>
      <c r="R83" s="347" t="s">
        <v>309</v>
      </c>
      <c r="S83" s="348" t="s">
        <v>4648</v>
      </c>
      <c r="T83" s="355">
        <v>0</v>
      </c>
      <c r="U83" s="346" t="s">
        <v>298</v>
      </c>
      <c r="V83" s="346" t="s">
        <v>228</v>
      </c>
      <c r="W83" s="354" t="s">
        <v>228</v>
      </c>
      <c r="X83" s="346" t="s">
        <v>228</v>
      </c>
      <c r="Y83" s="346" t="s">
        <v>228</v>
      </c>
      <c r="Z83" s="346" t="s">
        <v>228</v>
      </c>
      <c r="AA83" s="346" t="s">
        <v>4677</v>
      </c>
      <c r="AB83" s="346"/>
      <c r="AC83" s="346"/>
      <c r="AD83" s="350"/>
      <c r="AE83" s="350"/>
      <c r="AF83" s="350"/>
      <c r="AG83" s="350"/>
      <c r="AH83" s="350"/>
      <c r="AI83" s="350"/>
      <c r="AJ83" s="350"/>
      <c r="AK83" s="350"/>
      <c r="AL83" s="350"/>
      <c r="AM83" s="350"/>
      <c r="AN83" s="350"/>
      <c r="AO83" s="350"/>
      <c r="AP83" s="350"/>
      <c r="AQ83" s="350"/>
      <c r="AR83" s="350"/>
      <c r="AS83" s="350"/>
      <c r="AT83" s="350"/>
      <c r="AU83" s="350"/>
      <c r="AV83" s="350"/>
      <c r="AW83" s="350"/>
      <c r="AX83" s="350"/>
      <c r="AY83" s="349"/>
    </row>
    <row r="84" spans="1:51" ht="15.75">
      <c r="A84" s="343"/>
      <c r="B84" s="343">
        <v>0</v>
      </c>
      <c r="C84" s="345" t="s">
        <v>4678</v>
      </c>
      <c r="D84" s="343" t="s">
        <v>4679</v>
      </c>
      <c r="E84" s="343">
        <v>41</v>
      </c>
      <c r="F84" s="343" t="s">
        <v>75</v>
      </c>
      <c r="G84" s="343" t="s">
        <v>4680</v>
      </c>
      <c r="H84" s="346" t="s">
        <v>188</v>
      </c>
      <c r="I84" s="346"/>
      <c r="J84" s="343"/>
      <c r="K84" s="352"/>
      <c r="L84" s="346"/>
      <c r="M84" s="346"/>
      <c r="N84" s="346"/>
      <c r="O84" s="346"/>
      <c r="P84" s="346"/>
      <c r="Q84" s="522">
        <v>0</v>
      </c>
      <c r="R84" s="347" t="s">
        <v>309</v>
      </c>
      <c r="S84" s="348" t="s">
        <v>4648</v>
      </c>
      <c r="T84" s="355">
        <v>0</v>
      </c>
      <c r="U84" s="346" t="s">
        <v>298</v>
      </c>
      <c r="V84" s="346" t="s">
        <v>228</v>
      </c>
      <c r="W84" s="354" t="s">
        <v>228</v>
      </c>
      <c r="X84" s="346" t="s">
        <v>228</v>
      </c>
      <c r="Y84" s="346" t="s">
        <v>228</v>
      </c>
      <c r="Z84" s="346" t="s">
        <v>228</v>
      </c>
      <c r="AA84" s="346" t="s">
        <v>4681</v>
      </c>
      <c r="AB84" s="346"/>
      <c r="AC84" s="346"/>
      <c r="AD84" s="350"/>
      <c r="AE84" s="350"/>
      <c r="AF84" s="350"/>
      <c r="AG84" s="350"/>
      <c r="AH84" s="350"/>
      <c r="AI84" s="350"/>
      <c r="AJ84" s="350"/>
      <c r="AK84" s="350"/>
      <c r="AL84" s="350"/>
      <c r="AM84" s="350"/>
      <c r="AN84" s="350"/>
      <c r="AO84" s="350"/>
      <c r="AP84" s="350"/>
      <c r="AQ84" s="350"/>
      <c r="AR84" s="350"/>
      <c r="AS84" s="350"/>
      <c r="AT84" s="350"/>
      <c r="AU84" s="350"/>
      <c r="AV84" s="350"/>
      <c r="AW84" s="350"/>
      <c r="AX84" s="350"/>
      <c r="AY84" s="349"/>
    </row>
    <row r="85" spans="1:51" ht="15.75">
      <c r="A85" s="343"/>
      <c r="B85" s="343">
        <v>0</v>
      </c>
      <c r="C85" s="345" t="s">
        <v>4682</v>
      </c>
      <c r="D85" s="343" t="s">
        <v>4683</v>
      </c>
      <c r="E85" s="343">
        <v>35</v>
      </c>
      <c r="F85" s="343" t="s">
        <v>75</v>
      </c>
      <c r="G85" s="343" t="s">
        <v>4684</v>
      </c>
      <c r="H85" s="346" t="s">
        <v>188</v>
      </c>
      <c r="I85" s="346"/>
      <c r="J85" s="343"/>
      <c r="K85" s="352"/>
      <c r="L85" s="346"/>
      <c r="M85" s="346"/>
      <c r="N85" s="346"/>
      <c r="O85" s="346"/>
      <c r="P85" s="346"/>
      <c r="Q85" s="522">
        <v>0</v>
      </c>
      <c r="R85" s="347" t="s">
        <v>309</v>
      </c>
      <c r="S85" s="348" t="s">
        <v>4648</v>
      </c>
      <c r="T85" s="355">
        <v>0</v>
      </c>
      <c r="U85" s="346" t="s">
        <v>298</v>
      </c>
      <c r="V85" s="346" t="s">
        <v>228</v>
      </c>
      <c r="W85" s="354" t="s">
        <v>228</v>
      </c>
      <c r="X85" s="346" t="s">
        <v>228</v>
      </c>
      <c r="Y85" s="346" t="s">
        <v>228</v>
      </c>
      <c r="Z85" s="346" t="s">
        <v>228</v>
      </c>
      <c r="AA85" s="346" t="s">
        <v>4685</v>
      </c>
      <c r="AB85" s="346"/>
      <c r="AC85" s="346"/>
      <c r="AD85" s="350"/>
      <c r="AE85" s="350"/>
      <c r="AF85" s="350"/>
      <c r="AG85" s="350"/>
      <c r="AH85" s="350"/>
      <c r="AI85" s="350"/>
      <c r="AJ85" s="350"/>
      <c r="AK85" s="350"/>
      <c r="AL85" s="350"/>
      <c r="AM85" s="350"/>
      <c r="AN85" s="350"/>
      <c r="AO85" s="350"/>
      <c r="AP85" s="350"/>
      <c r="AQ85" s="350"/>
      <c r="AR85" s="350"/>
      <c r="AS85" s="350"/>
      <c r="AT85" s="350"/>
      <c r="AU85" s="350"/>
      <c r="AV85" s="350"/>
      <c r="AW85" s="350"/>
      <c r="AX85" s="350"/>
      <c r="AY85" s="349"/>
    </row>
    <row r="86" spans="1:51" ht="15.75">
      <c r="A86" s="343"/>
      <c r="B86" s="343">
        <v>0</v>
      </c>
      <c r="C86" s="345" t="s">
        <v>4686</v>
      </c>
      <c r="D86" s="343" t="s">
        <v>4687</v>
      </c>
      <c r="E86" s="343">
        <v>58</v>
      </c>
      <c r="F86" s="343" t="s">
        <v>60</v>
      </c>
      <c r="G86" s="343" t="s">
        <v>4688</v>
      </c>
      <c r="H86" s="346" t="s">
        <v>15</v>
      </c>
      <c r="I86" s="346"/>
      <c r="J86" s="343"/>
      <c r="K86" s="352"/>
      <c r="L86" s="346"/>
      <c r="M86" s="346" t="s">
        <v>4689</v>
      </c>
      <c r="N86" s="346"/>
      <c r="O86" s="346"/>
      <c r="P86" s="346"/>
      <c r="Q86" s="522">
        <v>45988</v>
      </c>
      <c r="R86" s="347" t="s">
        <v>309</v>
      </c>
      <c r="S86" s="348" t="s">
        <v>4648</v>
      </c>
      <c r="T86" s="355">
        <v>0</v>
      </c>
      <c r="U86" s="346" t="s">
        <v>298</v>
      </c>
      <c r="V86" s="346" t="s">
        <v>228</v>
      </c>
      <c r="W86" s="354" t="s">
        <v>228</v>
      </c>
      <c r="X86" s="346" t="s">
        <v>228</v>
      </c>
      <c r="Y86" s="346" t="s">
        <v>228</v>
      </c>
      <c r="Z86" s="346" t="s">
        <v>228</v>
      </c>
      <c r="AA86" s="346" t="s">
        <v>4690</v>
      </c>
      <c r="AB86" s="346"/>
      <c r="AC86" s="346"/>
      <c r="AD86" s="350"/>
      <c r="AE86" s="350"/>
      <c r="AF86" s="350"/>
      <c r="AG86" s="350"/>
      <c r="AH86" s="350"/>
      <c r="AI86" s="350"/>
      <c r="AJ86" s="350"/>
      <c r="AK86" s="350"/>
      <c r="AL86" s="350"/>
      <c r="AM86" s="350"/>
      <c r="AN86" s="350"/>
      <c r="AO86" s="350"/>
      <c r="AP86" s="350"/>
      <c r="AQ86" s="350"/>
      <c r="AR86" s="350"/>
      <c r="AS86" s="350"/>
      <c r="AT86" s="350"/>
      <c r="AU86" s="350"/>
      <c r="AV86" s="350"/>
      <c r="AW86" s="350"/>
      <c r="AX86" s="350"/>
      <c r="AY86" s="349"/>
    </row>
    <row r="87" spans="1:51" ht="15.75">
      <c r="A87" s="343"/>
      <c r="B87" s="346"/>
      <c r="C87" s="346" t="s">
        <v>4691</v>
      </c>
      <c r="D87" s="353" t="s">
        <v>4692</v>
      </c>
      <c r="E87" s="346">
        <v>43</v>
      </c>
      <c r="F87" s="346" t="s">
        <v>75</v>
      </c>
      <c r="G87" s="345" t="s">
        <v>4693</v>
      </c>
      <c r="H87" s="346" t="s">
        <v>188</v>
      </c>
      <c r="I87" s="353"/>
      <c r="J87" s="343"/>
      <c r="K87" s="352"/>
      <c r="L87" s="353" t="s">
        <v>231</v>
      </c>
      <c r="M87" s="353" t="s">
        <v>231</v>
      </c>
      <c r="N87" s="346"/>
      <c r="O87" s="346"/>
      <c r="P87" s="346"/>
      <c r="Q87" s="522"/>
      <c r="R87" s="347" t="s">
        <v>309</v>
      </c>
      <c r="S87" s="348" t="s">
        <v>4648</v>
      </c>
      <c r="T87" s="355"/>
      <c r="U87" s="346" t="e">
        <v>#N/A</v>
      </c>
      <c r="V87" s="346" t="e">
        <v>#N/A</v>
      </c>
      <c r="W87" s="354" t="e">
        <v>#N/A</v>
      </c>
      <c r="X87" s="346"/>
      <c r="Y87" s="346"/>
      <c r="Z87" s="346" t="e">
        <v>#N/A</v>
      </c>
      <c r="AA87" s="346"/>
      <c r="AB87" s="346"/>
      <c r="AC87" s="346"/>
      <c r="AD87" s="350"/>
      <c r="AE87" s="350"/>
      <c r="AF87" s="350"/>
      <c r="AG87" s="350"/>
      <c r="AH87" s="350"/>
      <c r="AI87" s="350"/>
      <c r="AJ87" s="350"/>
      <c r="AK87" s="350"/>
      <c r="AL87" s="350"/>
      <c r="AM87" s="350"/>
      <c r="AN87" s="350"/>
      <c r="AO87" s="350"/>
      <c r="AP87" s="350"/>
      <c r="AQ87" s="350"/>
      <c r="AR87" s="350"/>
      <c r="AS87" s="350"/>
      <c r="AT87" s="350"/>
      <c r="AU87" s="350"/>
      <c r="AV87" s="350"/>
      <c r="AW87" s="350"/>
      <c r="AX87" s="350"/>
      <c r="AY87" s="349"/>
    </row>
    <row r="88" spans="1:51" ht="15.75">
      <c r="A88" s="343"/>
      <c r="B88" s="346"/>
      <c r="C88" s="346" t="s">
        <v>4694</v>
      </c>
      <c r="D88" s="353" t="s">
        <v>4695</v>
      </c>
      <c r="E88" s="346">
        <v>31</v>
      </c>
      <c r="F88" s="346" t="s">
        <v>60</v>
      </c>
      <c r="G88" s="356" t="s">
        <v>802</v>
      </c>
      <c r="H88" s="346" t="s">
        <v>188</v>
      </c>
      <c r="I88" s="353"/>
      <c r="J88" s="343"/>
      <c r="K88" s="352"/>
      <c r="L88" s="353" t="s">
        <v>231</v>
      </c>
      <c r="M88" s="353" t="s">
        <v>231</v>
      </c>
      <c r="N88" s="346"/>
      <c r="O88" s="346"/>
      <c r="P88" s="346"/>
      <c r="Q88" s="522" t="e">
        <v>#N/A</v>
      </c>
      <c r="R88" s="347" t="s">
        <v>309</v>
      </c>
      <c r="S88" s="348" t="s">
        <v>4696</v>
      </c>
      <c r="T88" s="355"/>
      <c r="U88" s="346"/>
      <c r="V88" s="346"/>
      <c r="W88" s="354"/>
      <c r="X88" s="346"/>
      <c r="Y88" s="346"/>
      <c r="Z88" s="346" t="e">
        <v>#N/A</v>
      </c>
      <c r="AA88" s="346"/>
      <c r="AB88" s="346"/>
      <c r="AC88" s="346"/>
      <c r="AD88" s="350"/>
      <c r="AE88" s="350"/>
      <c r="AF88" s="350"/>
      <c r="AG88" s="350"/>
      <c r="AH88" s="350"/>
      <c r="AI88" s="350"/>
      <c r="AJ88" s="350"/>
      <c r="AK88" s="350"/>
      <c r="AL88" s="350"/>
      <c r="AM88" s="350"/>
      <c r="AN88" s="350"/>
      <c r="AO88" s="350"/>
      <c r="AP88" s="350"/>
      <c r="AQ88" s="350"/>
      <c r="AR88" s="350"/>
      <c r="AS88" s="350"/>
      <c r="AT88" s="350"/>
      <c r="AU88" s="350"/>
      <c r="AV88" s="350"/>
      <c r="AW88" s="350"/>
      <c r="AX88" s="350"/>
      <c r="AY88" s="349"/>
    </row>
    <row r="89" spans="1:51" ht="15.75">
      <c r="A89" s="343"/>
      <c r="B89" s="346"/>
      <c r="C89" s="346" t="s">
        <v>4697</v>
      </c>
      <c r="D89" s="353" t="s">
        <v>4698</v>
      </c>
      <c r="E89" s="346">
        <v>33</v>
      </c>
      <c r="F89" s="346" t="s">
        <v>60</v>
      </c>
      <c r="G89" s="345" t="s">
        <v>4699</v>
      </c>
      <c r="H89" s="346" t="s">
        <v>188</v>
      </c>
      <c r="I89" s="353"/>
      <c r="J89" s="343"/>
      <c r="K89" s="352"/>
      <c r="L89" s="353" t="s">
        <v>231</v>
      </c>
      <c r="M89" s="353" t="s">
        <v>231</v>
      </c>
      <c r="N89" s="346"/>
      <c r="O89" s="346"/>
      <c r="P89" s="346"/>
      <c r="Q89" s="522" t="e">
        <v>#N/A</v>
      </c>
      <c r="R89" s="347" t="s">
        <v>309</v>
      </c>
      <c r="S89" s="348" t="s">
        <v>4696</v>
      </c>
      <c r="T89" s="355"/>
      <c r="U89" s="346"/>
      <c r="V89" s="346"/>
      <c r="W89" s="354"/>
      <c r="X89" s="346"/>
      <c r="Y89" s="346"/>
      <c r="Z89" s="346" t="e">
        <v>#N/A</v>
      </c>
      <c r="AA89" s="346"/>
      <c r="AB89" s="346"/>
      <c r="AC89" s="346"/>
      <c r="AD89" s="350"/>
      <c r="AE89" s="350"/>
      <c r="AF89" s="350"/>
      <c r="AG89" s="350"/>
      <c r="AH89" s="350"/>
      <c r="AI89" s="350"/>
      <c r="AJ89" s="350"/>
      <c r="AK89" s="350"/>
      <c r="AL89" s="350"/>
      <c r="AM89" s="350"/>
      <c r="AN89" s="350"/>
      <c r="AO89" s="350"/>
      <c r="AP89" s="350"/>
      <c r="AQ89" s="350"/>
      <c r="AR89" s="350"/>
      <c r="AS89" s="350"/>
      <c r="AT89" s="350"/>
      <c r="AU89" s="350"/>
      <c r="AV89" s="350"/>
      <c r="AW89" s="350"/>
      <c r="AX89" s="350"/>
      <c r="AY89" s="349"/>
    </row>
    <row r="90" spans="1:51" ht="15.75">
      <c r="A90" s="343"/>
      <c r="B90" s="346"/>
      <c r="C90" s="346" t="s">
        <v>4700</v>
      </c>
      <c r="D90" s="353" t="s">
        <v>4701</v>
      </c>
      <c r="E90" s="346">
        <v>50</v>
      </c>
      <c r="F90" s="346" t="s">
        <v>60</v>
      </c>
      <c r="G90" s="345" t="s">
        <v>4702</v>
      </c>
      <c r="H90" s="346" t="s">
        <v>188</v>
      </c>
      <c r="I90" s="346"/>
      <c r="J90" s="343"/>
      <c r="K90" s="352"/>
      <c r="L90" s="353" t="s">
        <v>231</v>
      </c>
      <c r="M90" s="353" t="s">
        <v>231</v>
      </c>
      <c r="N90" s="346"/>
      <c r="O90" s="346"/>
      <c r="P90" s="346"/>
      <c r="Q90" s="522"/>
      <c r="R90" s="347" t="s">
        <v>309</v>
      </c>
      <c r="S90" s="348" t="s">
        <v>4648</v>
      </c>
      <c r="T90" s="355"/>
      <c r="U90" s="346"/>
      <c r="V90" s="346"/>
      <c r="W90" s="354"/>
      <c r="X90" s="346"/>
      <c r="Y90" s="346"/>
      <c r="Z90" s="346" t="e">
        <v>#N/A</v>
      </c>
      <c r="AA90" s="346"/>
      <c r="AB90" s="346"/>
      <c r="AC90" s="346"/>
      <c r="AD90" s="350"/>
      <c r="AE90" s="350"/>
      <c r="AF90" s="350"/>
      <c r="AG90" s="350"/>
      <c r="AH90" s="350"/>
      <c r="AI90" s="350"/>
      <c r="AJ90" s="350"/>
      <c r="AK90" s="350"/>
      <c r="AL90" s="350"/>
      <c r="AM90" s="350"/>
      <c r="AN90" s="350"/>
      <c r="AO90" s="350"/>
      <c r="AP90" s="350"/>
      <c r="AQ90" s="350"/>
      <c r="AR90" s="350"/>
      <c r="AS90" s="350"/>
      <c r="AT90" s="350"/>
      <c r="AU90" s="350"/>
      <c r="AV90" s="350"/>
      <c r="AW90" s="350"/>
      <c r="AX90" s="350"/>
      <c r="AY90" s="349"/>
    </row>
    <row r="91" spans="1:51" ht="15.75">
      <c r="A91" s="343"/>
      <c r="B91" s="346"/>
      <c r="C91" s="346" t="s">
        <v>4703</v>
      </c>
      <c r="D91" s="353" t="s">
        <v>4704</v>
      </c>
      <c r="E91" s="346">
        <v>56</v>
      </c>
      <c r="F91" s="346" t="s">
        <v>60</v>
      </c>
      <c r="G91" s="345" t="s">
        <v>4705</v>
      </c>
      <c r="H91" s="346" t="s">
        <v>20</v>
      </c>
      <c r="I91" s="346"/>
      <c r="J91" s="343"/>
      <c r="K91" s="352"/>
      <c r="L91" s="346"/>
      <c r="M91" s="346"/>
      <c r="N91" s="346"/>
      <c r="O91" s="346"/>
      <c r="P91" s="346"/>
      <c r="Q91" s="522"/>
      <c r="R91" s="347" t="s">
        <v>309</v>
      </c>
      <c r="S91" s="348" t="s">
        <v>4648</v>
      </c>
      <c r="T91" s="355"/>
      <c r="U91" s="346"/>
      <c r="V91" s="346"/>
      <c r="W91" s="354"/>
      <c r="X91" s="346"/>
      <c r="Y91" s="346"/>
      <c r="Z91" s="346" t="e">
        <v>#N/A</v>
      </c>
      <c r="AA91" s="346"/>
      <c r="AB91" s="346"/>
      <c r="AC91" s="346"/>
      <c r="AD91" s="350"/>
      <c r="AE91" s="350"/>
      <c r="AF91" s="350"/>
      <c r="AG91" s="350"/>
      <c r="AH91" s="350"/>
      <c r="AI91" s="350"/>
      <c r="AJ91" s="350"/>
      <c r="AK91" s="350"/>
      <c r="AL91" s="350"/>
      <c r="AM91" s="350"/>
      <c r="AN91" s="350"/>
      <c r="AO91" s="350"/>
      <c r="AP91" s="350"/>
      <c r="AQ91" s="350"/>
      <c r="AR91" s="350"/>
      <c r="AS91" s="350"/>
      <c r="AT91" s="350"/>
      <c r="AU91" s="350"/>
      <c r="AV91" s="350"/>
      <c r="AW91" s="350"/>
      <c r="AX91" s="350"/>
      <c r="AY91" s="349"/>
    </row>
    <row r="92" spans="1:51" ht="15.75">
      <c r="A92" s="343"/>
      <c r="B92" s="346"/>
      <c r="C92" s="346" t="s">
        <v>4706</v>
      </c>
      <c r="D92" s="353" t="s">
        <v>4707</v>
      </c>
      <c r="E92" s="346">
        <v>57</v>
      </c>
      <c r="F92" s="346" t="s">
        <v>60</v>
      </c>
      <c r="G92" s="345" t="s">
        <v>4708</v>
      </c>
      <c r="H92" s="346" t="s">
        <v>20</v>
      </c>
      <c r="I92" s="346"/>
      <c r="J92" s="343"/>
      <c r="K92" s="352"/>
      <c r="L92" s="346"/>
      <c r="M92" s="346"/>
      <c r="N92" s="346"/>
      <c r="O92" s="346"/>
      <c r="P92" s="346"/>
      <c r="Q92" s="522"/>
      <c r="R92" s="347" t="s">
        <v>309</v>
      </c>
      <c r="S92" s="348" t="s">
        <v>4648</v>
      </c>
      <c r="T92" s="355"/>
      <c r="U92" s="346"/>
      <c r="V92" s="346"/>
      <c r="W92" s="354"/>
      <c r="X92" s="346"/>
      <c r="Y92" s="346"/>
      <c r="Z92" s="346" t="s">
        <v>228</v>
      </c>
      <c r="AA92" s="346"/>
      <c r="AB92" s="346"/>
      <c r="AC92" s="346"/>
      <c r="AD92" s="350"/>
      <c r="AE92" s="350"/>
      <c r="AF92" s="350"/>
      <c r="AG92" s="350"/>
      <c r="AH92" s="350"/>
      <c r="AI92" s="350"/>
      <c r="AJ92" s="350"/>
      <c r="AK92" s="350"/>
      <c r="AL92" s="350"/>
      <c r="AM92" s="350"/>
      <c r="AN92" s="350"/>
      <c r="AO92" s="350"/>
      <c r="AP92" s="350"/>
      <c r="AQ92" s="350"/>
      <c r="AR92" s="350"/>
      <c r="AS92" s="350"/>
      <c r="AT92" s="350"/>
      <c r="AU92" s="350"/>
      <c r="AV92" s="350"/>
      <c r="AW92" s="350"/>
      <c r="AX92" s="350"/>
      <c r="AY92" s="349"/>
    </row>
    <row r="93" spans="1:51" ht="15.75">
      <c r="A93" s="343"/>
      <c r="B93" s="346"/>
      <c r="C93" s="346" t="s">
        <v>4709</v>
      </c>
      <c r="D93" s="353" t="s">
        <v>4710</v>
      </c>
      <c r="E93" s="346">
        <v>50</v>
      </c>
      <c r="F93" s="346" t="s">
        <v>60</v>
      </c>
      <c r="G93" s="345" t="s">
        <v>4711</v>
      </c>
      <c r="H93" s="346" t="s">
        <v>20</v>
      </c>
      <c r="I93" s="346"/>
      <c r="J93" s="343"/>
      <c r="K93" s="352"/>
      <c r="L93" s="346"/>
      <c r="M93" s="346"/>
      <c r="N93" s="346"/>
      <c r="O93" s="346"/>
      <c r="P93" s="346"/>
      <c r="Q93" s="522"/>
      <c r="R93" s="347" t="s">
        <v>309</v>
      </c>
      <c r="S93" s="348" t="s">
        <v>4648</v>
      </c>
      <c r="T93" s="355"/>
      <c r="U93" s="346"/>
      <c r="V93" s="346"/>
      <c r="W93" s="354"/>
      <c r="X93" s="346"/>
      <c r="Y93" s="346"/>
      <c r="Z93" s="346" t="e">
        <v>#N/A</v>
      </c>
      <c r="AA93" s="346"/>
      <c r="AB93" s="346"/>
      <c r="AC93" s="346"/>
      <c r="AD93" s="350"/>
      <c r="AE93" s="350"/>
      <c r="AF93" s="350"/>
      <c r="AG93" s="350"/>
      <c r="AH93" s="350"/>
      <c r="AI93" s="350"/>
      <c r="AJ93" s="350"/>
      <c r="AK93" s="350"/>
      <c r="AL93" s="350"/>
      <c r="AM93" s="350"/>
      <c r="AN93" s="350"/>
      <c r="AO93" s="350"/>
      <c r="AP93" s="350"/>
      <c r="AQ93" s="350"/>
      <c r="AR93" s="350"/>
      <c r="AS93" s="350"/>
      <c r="AT93" s="350"/>
      <c r="AU93" s="350"/>
      <c r="AV93" s="350"/>
      <c r="AW93" s="350"/>
      <c r="AX93" s="350"/>
      <c r="AY93" s="349"/>
    </row>
    <row r="94" spans="1:51" ht="15.75">
      <c r="A94" s="343"/>
      <c r="B94" s="343"/>
      <c r="C94" s="344" t="s">
        <v>4712</v>
      </c>
      <c r="D94" s="345" t="s">
        <v>4713</v>
      </c>
      <c r="E94" s="343"/>
      <c r="F94" s="343"/>
      <c r="G94" s="343"/>
      <c r="H94" s="343" t="s">
        <v>20</v>
      </c>
      <c r="I94" s="346"/>
      <c r="J94" s="343"/>
      <c r="K94" s="343"/>
      <c r="L94" s="343"/>
      <c r="M94" s="343"/>
      <c r="N94" s="343"/>
      <c r="O94" s="343"/>
      <c r="P94" s="343"/>
      <c r="Q94" s="523"/>
      <c r="R94" s="347"/>
      <c r="S94" s="348" t="s">
        <v>4714</v>
      </c>
      <c r="T94" s="349"/>
      <c r="U94" s="343"/>
      <c r="V94" s="343"/>
      <c r="W94" s="343"/>
      <c r="X94" s="343"/>
      <c r="Y94" s="343"/>
      <c r="Z94" s="343" t="e">
        <v>#N/A</v>
      </c>
      <c r="AA94" s="343"/>
      <c r="AB94" s="346"/>
      <c r="AC94" s="346"/>
      <c r="AD94" s="350"/>
      <c r="AE94" s="350"/>
      <c r="AF94" s="350"/>
      <c r="AG94" s="350"/>
      <c r="AH94" s="350"/>
      <c r="AI94" s="350"/>
      <c r="AJ94" s="350"/>
      <c r="AK94" s="350"/>
      <c r="AL94" s="350"/>
      <c r="AM94" s="350"/>
      <c r="AN94" s="350"/>
      <c r="AO94" s="350"/>
      <c r="AP94" s="350"/>
      <c r="AQ94" s="350"/>
      <c r="AR94" s="350"/>
      <c r="AS94" s="350"/>
      <c r="AT94" s="350"/>
      <c r="AU94" s="350"/>
      <c r="AV94" s="350"/>
      <c r="AW94" s="350"/>
      <c r="AX94" s="350"/>
      <c r="AY94" s="349"/>
    </row>
    <row r="95" spans="1:51" ht="15.75">
      <c r="A95" s="343"/>
      <c r="B95" s="343"/>
      <c r="C95" s="344" t="s">
        <v>4715</v>
      </c>
      <c r="D95" s="345" t="s">
        <v>4716</v>
      </c>
      <c r="E95" s="343"/>
      <c r="F95" s="343"/>
      <c r="G95" s="343"/>
      <c r="H95" s="343" t="s">
        <v>20</v>
      </c>
      <c r="I95" s="346"/>
      <c r="J95" s="343"/>
      <c r="K95" s="343"/>
      <c r="L95" s="343"/>
      <c r="M95" s="343"/>
      <c r="N95" s="343"/>
      <c r="O95" s="343"/>
      <c r="P95" s="343"/>
      <c r="Q95" s="523"/>
      <c r="R95" s="347"/>
      <c r="S95" s="348" t="s">
        <v>4714</v>
      </c>
      <c r="T95" s="349"/>
      <c r="U95" s="343"/>
      <c r="V95" s="343"/>
      <c r="W95" s="343"/>
      <c r="X95" s="343"/>
      <c r="Y95" s="343"/>
      <c r="Z95" s="343" t="e">
        <v>#N/A</v>
      </c>
      <c r="AA95" s="343"/>
      <c r="AB95" s="346"/>
      <c r="AC95" s="346"/>
      <c r="AD95" s="350"/>
      <c r="AE95" s="350"/>
      <c r="AF95" s="350"/>
      <c r="AG95" s="350"/>
      <c r="AH95" s="350"/>
      <c r="AI95" s="350"/>
      <c r="AJ95" s="350"/>
      <c r="AK95" s="350"/>
      <c r="AL95" s="350"/>
      <c r="AM95" s="350"/>
      <c r="AN95" s="350"/>
      <c r="AO95" s="350"/>
      <c r="AP95" s="350"/>
      <c r="AQ95" s="350"/>
      <c r="AR95" s="350"/>
      <c r="AS95" s="350"/>
      <c r="AT95" s="350"/>
      <c r="AU95" s="350"/>
      <c r="AV95" s="350"/>
      <c r="AW95" s="350"/>
      <c r="AX95" s="350"/>
      <c r="AY95" s="349"/>
    </row>
    <row r="96" spans="1:51" ht="15.75">
      <c r="A96" s="343"/>
      <c r="B96" s="343"/>
      <c r="C96" s="344" t="s">
        <v>4717</v>
      </c>
      <c r="D96" s="345" t="s">
        <v>4718</v>
      </c>
      <c r="E96" s="343"/>
      <c r="F96" s="343"/>
      <c r="G96" s="343"/>
      <c r="H96" s="343" t="s">
        <v>20</v>
      </c>
      <c r="I96" s="346"/>
      <c r="J96" s="343"/>
      <c r="K96" s="343"/>
      <c r="L96" s="343"/>
      <c r="M96" s="343"/>
      <c r="N96" s="343"/>
      <c r="O96" s="343"/>
      <c r="P96" s="343"/>
      <c r="Q96" s="523"/>
      <c r="R96" s="351"/>
      <c r="S96" s="348" t="s">
        <v>4714</v>
      </c>
      <c r="T96" s="349"/>
      <c r="U96" s="343"/>
      <c r="V96" s="343"/>
      <c r="W96" s="343"/>
      <c r="X96" s="343"/>
      <c r="Y96" s="343"/>
      <c r="Z96" s="343" t="e">
        <v>#N/A</v>
      </c>
      <c r="AA96" s="343"/>
      <c r="AB96" s="346"/>
      <c r="AC96" s="346"/>
      <c r="AD96" s="350"/>
      <c r="AE96" s="350"/>
      <c r="AF96" s="350"/>
      <c r="AG96" s="350"/>
      <c r="AH96" s="350"/>
      <c r="AI96" s="350"/>
      <c r="AJ96" s="350"/>
      <c r="AK96" s="350"/>
      <c r="AL96" s="350"/>
      <c r="AM96" s="350"/>
      <c r="AN96" s="350"/>
      <c r="AO96" s="350"/>
      <c r="AP96" s="350"/>
      <c r="AQ96" s="350"/>
      <c r="AR96" s="350"/>
      <c r="AS96" s="350"/>
      <c r="AT96" s="350"/>
      <c r="AU96" s="350"/>
      <c r="AV96" s="350"/>
      <c r="AW96" s="350"/>
      <c r="AX96" s="350"/>
      <c r="AY96" s="349"/>
    </row>
    <row r="97" spans="1:51" ht="15.75">
      <c r="A97" s="343"/>
      <c r="B97" s="343"/>
      <c r="C97" s="344" t="s">
        <v>4719</v>
      </c>
      <c r="D97" s="345" t="s">
        <v>4720</v>
      </c>
      <c r="E97" s="343"/>
      <c r="F97" s="343"/>
      <c r="G97" s="343"/>
      <c r="H97" s="343" t="s">
        <v>20</v>
      </c>
      <c r="I97" s="346"/>
      <c r="J97" s="343"/>
      <c r="K97" s="343"/>
      <c r="L97" s="343"/>
      <c r="M97" s="343"/>
      <c r="N97" s="343"/>
      <c r="O97" s="343"/>
      <c r="P97" s="343"/>
      <c r="Q97" s="523"/>
      <c r="R97" s="351"/>
      <c r="S97" s="348" t="s">
        <v>4714</v>
      </c>
      <c r="T97" s="349"/>
      <c r="U97" s="343"/>
      <c r="V97" s="343"/>
      <c r="W97" s="343"/>
      <c r="X97" s="343"/>
      <c r="Y97" s="343"/>
      <c r="Z97" s="343" t="e">
        <v>#N/A</v>
      </c>
      <c r="AA97" s="343"/>
      <c r="AB97" s="346"/>
      <c r="AC97" s="346"/>
      <c r="AD97" s="350"/>
      <c r="AE97" s="350"/>
      <c r="AF97" s="350"/>
      <c r="AG97" s="350"/>
      <c r="AH97" s="350"/>
      <c r="AI97" s="350"/>
      <c r="AJ97" s="350"/>
      <c r="AK97" s="350"/>
      <c r="AL97" s="350"/>
      <c r="AM97" s="350"/>
      <c r="AN97" s="350"/>
      <c r="AO97" s="350"/>
      <c r="AP97" s="350"/>
      <c r="AQ97" s="350"/>
      <c r="AR97" s="350"/>
      <c r="AS97" s="350"/>
      <c r="AT97" s="350"/>
      <c r="AU97" s="350"/>
      <c r="AV97" s="350"/>
      <c r="AW97" s="350"/>
      <c r="AX97" s="350"/>
      <c r="AY97" s="349"/>
    </row>
    <row r="98" spans="1:51" ht="15.75">
      <c r="A98" s="343"/>
      <c r="B98" s="343"/>
      <c r="C98" s="344" t="s">
        <v>4721</v>
      </c>
      <c r="D98" s="345" t="s">
        <v>4722</v>
      </c>
      <c r="E98" s="343"/>
      <c r="F98" s="343"/>
      <c r="G98" s="343"/>
      <c r="H98" s="343" t="s">
        <v>20</v>
      </c>
      <c r="I98" s="346"/>
      <c r="J98" s="352" t="s">
        <v>886</v>
      </c>
      <c r="K98" s="352" t="s">
        <v>106</v>
      </c>
      <c r="L98" s="346" t="s">
        <v>59</v>
      </c>
      <c r="M98" s="343"/>
      <c r="N98" s="343"/>
      <c r="O98" s="343"/>
      <c r="P98" s="343"/>
      <c r="Q98" s="523"/>
      <c r="R98" s="351"/>
      <c r="S98" s="348" t="s">
        <v>4714</v>
      </c>
      <c r="T98" s="349"/>
      <c r="U98" s="343"/>
      <c r="V98" s="343"/>
      <c r="W98" s="343"/>
      <c r="X98" s="343"/>
      <c r="Y98" s="343"/>
      <c r="Z98" s="343" t="e">
        <v>#N/A</v>
      </c>
      <c r="AA98" s="343"/>
      <c r="AB98" s="346"/>
      <c r="AC98" s="346"/>
      <c r="AD98" s="350"/>
      <c r="AE98" s="350"/>
      <c r="AF98" s="350"/>
      <c r="AG98" s="350"/>
      <c r="AH98" s="350"/>
      <c r="AI98" s="350"/>
      <c r="AJ98" s="350"/>
      <c r="AK98" s="350"/>
      <c r="AL98" s="350"/>
      <c r="AM98" s="350"/>
      <c r="AN98" s="350"/>
      <c r="AO98" s="350"/>
      <c r="AP98" s="350"/>
      <c r="AQ98" s="350"/>
      <c r="AR98" s="350"/>
      <c r="AS98" s="350"/>
      <c r="AT98" s="350"/>
      <c r="AU98" s="350"/>
      <c r="AV98" s="350"/>
      <c r="AW98" s="350"/>
      <c r="AX98" s="350"/>
      <c r="AY98" s="349"/>
    </row>
  </sheetData>
  <conditionalFormatting sqref="F1:G15">
    <cfRule type="containsText" dxfId="744" priority="566" operator="containsText" text="Female">
      <formula>NOT(ISERROR(SEARCH("Female",F1)))</formula>
    </cfRule>
  </conditionalFormatting>
  <conditionalFormatting sqref="C16">
    <cfRule type="duplicateValues" dxfId="743" priority="558"/>
  </conditionalFormatting>
  <conditionalFormatting sqref="C16">
    <cfRule type="duplicateValues" dxfId="742" priority="557"/>
  </conditionalFormatting>
  <conditionalFormatting sqref="C16">
    <cfRule type="duplicateValues" dxfId="741" priority="559"/>
  </conditionalFormatting>
  <conditionalFormatting sqref="G16">
    <cfRule type="duplicateValues" dxfId="740" priority="560"/>
  </conditionalFormatting>
  <conditionalFormatting sqref="D16">
    <cfRule type="duplicateValues" dxfId="739" priority="561"/>
  </conditionalFormatting>
  <conditionalFormatting sqref="C16">
    <cfRule type="duplicateValues" dxfId="738" priority="562"/>
    <cfRule type="duplicateValues" dxfId="737" priority="563"/>
  </conditionalFormatting>
  <conditionalFormatting sqref="C17">
    <cfRule type="duplicateValues" dxfId="736" priority="544"/>
  </conditionalFormatting>
  <conditionalFormatting sqref="C17">
    <cfRule type="duplicateValues" dxfId="735" priority="543"/>
  </conditionalFormatting>
  <conditionalFormatting sqref="G17">
    <cfRule type="duplicateValues" dxfId="734" priority="545"/>
  </conditionalFormatting>
  <conditionalFormatting sqref="D17">
    <cfRule type="duplicateValues" dxfId="733" priority="546"/>
  </conditionalFormatting>
  <conditionalFormatting sqref="C17">
    <cfRule type="duplicateValues" dxfId="732" priority="547"/>
    <cfRule type="duplicateValues" dxfId="731" priority="548"/>
  </conditionalFormatting>
  <conditionalFormatting sqref="C17">
    <cfRule type="duplicateValues" dxfId="730" priority="549"/>
  </conditionalFormatting>
  <conditionalFormatting sqref="C18">
    <cfRule type="duplicateValues" dxfId="729" priority="537"/>
  </conditionalFormatting>
  <conditionalFormatting sqref="C18">
    <cfRule type="duplicateValues" dxfId="728" priority="536"/>
  </conditionalFormatting>
  <conditionalFormatting sqref="G18">
    <cfRule type="duplicateValues" dxfId="727" priority="538"/>
  </conditionalFormatting>
  <conditionalFormatting sqref="D18">
    <cfRule type="duplicateValues" dxfId="726" priority="539"/>
  </conditionalFormatting>
  <conditionalFormatting sqref="C18">
    <cfRule type="duplicateValues" dxfId="725" priority="540"/>
    <cfRule type="duplicateValues" dxfId="724" priority="541"/>
  </conditionalFormatting>
  <conditionalFormatting sqref="C18">
    <cfRule type="duplicateValues" dxfId="723" priority="542"/>
  </conditionalFormatting>
  <conditionalFormatting sqref="C19">
    <cfRule type="duplicateValues" dxfId="722" priority="530"/>
  </conditionalFormatting>
  <conditionalFormatting sqref="C19">
    <cfRule type="duplicateValues" dxfId="721" priority="529"/>
  </conditionalFormatting>
  <conditionalFormatting sqref="G19">
    <cfRule type="duplicateValues" dxfId="720" priority="531"/>
  </conditionalFormatting>
  <conditionalFormatting sqref="D19">
    <cfRule type="duplicateValues" dxfId="719" priority="532"/>
  </conditionalFormatting>
  <conditionalFormatting sqref="C19">
    <cfRule type="duplicateValues" dxfId="718" priority="533"/>
    <cfRule type="duplicateValues" dxfId="717" priority="534"/>
  </conditionalFormatting>
  <conditionalFormatting sqref="C19">
    <cfRule type="duplicateValues" dxfId="716" priority="535"/>
  </conditionalFormatting>
  <conditionalFormatting sqref="C20">
    <cfRule type="duplicateValues" dxfId="715" priority="523"/>
  </conditionalFormatting>
  <conditionalFormatting sqref="C20">
    <cfRule type="duplicateValues" dxfId="714" priority="522"/>
  </conditionalFormatting>
  <conditionalFormatting sqref="G20">
    <cfRule type="duplicateValues" dxfId="713" priority="524"/>
  </conditionalFormatting>
  <conditionalFormatting sqref="D20">
    <cfRule type="duplicateValues" dxfId="712" priority="525"/>
  </conditionalFormatting>
  <conditionalFormatting sqref="C20">
    <cfRule type="duplicateValues" dxfId="711" priority="526"/>
    <cfRule type="duplicateValues" dxfId="710" priority="527"/>
  </conditionalFormatting>
  <conditionalFormatting sqref="C20">
    <cfRule type="duplicateValues" dxfId="709" priority="528"/>
  </conditionalFormatting>
  <conditionalFormatting sqref="C21:C24">
    <cfRule type="duplicateValues" dxfId="708" priority="516"/>
  </conditionalFormatting>
  <conditionalFormatting sqref="C21:C24">
    <cfRule type="duplicateValues" dxfId="707" priority="515"/>
  </conditionalFormatting>
  <conditionalFormatting sqref="G21:G24">
    <cfRule type="duplicateValues" dxfId="706" priority="517"/>
  </conditionalFormatting>
  <conditionalFormatting sqref="D21:D24">
    <cfRule type="duplicateValues" dxfId="705" priority="518"/>
  </conditionalFormatting>
  <conditionalFormatting sqref="C21:C24">
    <cfRule type="duplicateValues" dxfId="704" priority="519"/>
    <cfRule type="duplicateValues" dxfId="703" priority="520"/>
  </conditionalFormatting>
  <conditionalFormatting sqref="C21:C24">
    <cfRule type="duplicateValues" dxfId="702" priority="521"/>
  </conditionalFormatting>
  <conditionalFormatting sqref="C25">
    <cfRule type="duplicateValues" dxfId="701" priority="509"/>
  </conditionalFormatting>
  <conditionalFormatting sqref="C25">
    <cfRule type="duplicateValues" dxfId="700" priority="508"/>
  </conditionalFormatting>
  <conditionalFormatting sqref="G25">
    <cfRule type="duplicateValues" dxfId="699" priority="510"/>
  </conditionalFormatting>
  <conditionalFormatting sqref="D25">
    <cfRule type="duplicateValues" dxfId="698" priority="511"/>
  </conditionalFormatting>
  <conditionalFormatting sqref="C25">
    <cfRule type="duplicateValues" dxfId="697" priority="512"/>
    <cfRule type="duplicateValues" dxfId="696" priority="513"/>
  </conditionalFormatting>
  <conditionalFormatting sqref="C25">
    <cfRule type="duplicateValues" dxfId="695" priority="514"/>
  </conditionalFormatting>
  <conditionalFormatting sqref="C26">
    <cfRule type="duplicateValues" dxfId="694" priority="502"/>
  </conditionalFormatting>
  <conditionalFormatting sqref="C26">
    <cfRule type="duplicateValues" dxfId="693" priority="501"/>
  </conditionalFormatting>
  <conditionalFormatting sqref="G26">
    <cfRule type="duplicateValues" dxfId="692" priority="503"/>
  </conditionalFormatting>
  <conditionalFormatting sqref="D26">
    <cfRule type="duplicateValues" dxfId="691" priority="504"/>
  </conditionalFormatting>
  <conditionalFormatting sqref="C26">
    <cfRule type="duplicateValues" dxfId="690" priority="505"/>
    <cfRule type="duplicateValues" dxfId="689" priority="506"/>
  </conditionalFormatting>
  <conditionalFormatting sqref="C26">
    <cfRule type="duplicateValues" dxfId="688" priority="507"/>
  </conditionalFormatting>
  <conditionalFormatting sqref="C27">
    <cfRule type="duplicateValues" dxfId="687" priority="495"/>
  </conditionalFormatting>
  <conditionalFormatting sqref="C27">
    <cfRule type="duplicateValues" dxfId="686" priority="494"/>
  </conditionalFormatting>
  <conditionalFormatting sqref="G27">
    <cfRule type="duplicateValues" dxfId="685" priority="496"/>
  </conditionalFormatting>
  <conditionalFormatting sqref="D27">
    <cfRule type="duplicateValues" dxfId="684" priority="497"/>
  </conditionalFormatting>
  <conditionalFormatting sqref="C27">
    <cfRule type="duplicateValues" dxfId="683" priority="498"/>
    <cfRule type="duplicateValues" dxfId="682" priority="499"/>
  </conditionalFormatting>
  <conditionalFormatting sqref="C27">
    <cfRule type="duplicateValues" dxfId="681" priority="500"/>
  </conditionalFormatting>
  <conditionalFormatting sqref="C28">
    <cfRule type="duplicateValues" dxfId="680" priority="488"/>
  </conditionalFormatting>
  <conditionalFormatting sqref="C28">
    <cfRule type="duplicateValues" dxfId="679" priority="487"/>
  </conditionalFormatting>
  <conditionalFormatting sqref="G28">
    <cfRule type="duplicateValues" dxfId="678" priority="489"/>
  </conditionalFormatting>
  <conditionalFormatting sqref="D28">
    <cfRule type="duplicateValues" dxfId="677" priority="490"/>
  </conditionalFormatting>
  <conditionalFormatting sqref="C28">
    <cfRule type="duplicateValues" dxfId="676" priority="491"/>
    <cfRule type="duplicateValues" dxfId="675" priority="492"/>
  </conditionalFormatting>
  <conditionalFormatting sqref="C28">
    <cfRule type="duplicateValues" dxfId="674" priority="493"/>
  </conditionalFormatting>
  <conditionalFormatting sqref="C29:C30">
    <cfRule type="duplicateValues" dxfId="673" priority="481"/>
  </conditionalFormatting>
  <conditionalFormatting sqref="C29:C30">
    <cfRule type="duplicateValues" dxfId="672" priority="480"/>
  </conditionalFormatting>
  <conditionalFormatting sqref="G29:G30">
    <cfRule type="duplicateValues" dxfId="671" priority="482"/>
  </conditionalFormatting>
  <conditionalFormatting sqref="D29:D30">
    <cfRule type="duplicateValues" dxfId="670" priority="483"/>
  </conditionalFormatting>
  <conditionalFormatting sqref="C29:C30">
    <cfRule type="duplicateValues" dxfId="669" priority="484"/>
    <cfRule type="duplicateValues" dxfId="668" priority="485"/>
  </conditionalFormatting>
  <conditionalFormatting sqref="C29:C30">
    <cfRule type="duplicateValues" dxfId="667" priority="486"/>
  </conditionalFormatting>
  <conditionalFormatting sqref="C31">
    <cfRule type="duplicateValues" dxfId="666" priority="474"/>
  </conditionalFormatting>
  <conditionalFormatting sqref="C31">
    <cfRule type="duplicateValues" dxfId="665" priority="473"/>
  </conditionalFormatting>
  <conditionalFormatting sqref="G31">
    <cfRule type="duplicateValues" dxfId="664" priority="475"/>
  </conditionalFormatting>
  <conditionalFormatting sqref="D31">
    <cfRule type="duplicateValues" dxfId="663" priority="476"/>
  </conditionalFormatting>
  <conditionalFormatting sqref="C31">
    <cfRule type="duplicateValues" dxfId="662" priority="477"/>
    <cfRule type="duplicateValues" dxfId="661" priority="478"/>
  </conditionalFormatting>
  <conditionalFormatting sqref="C31">
    <cfRule type="duplicateValues" dxfId="660" priority="479"/>
  </conditionalFormatting>
  <conditionalFormatting sqref="C32">
    <cfRule type="duplicateValues" dxfId="659" priority="467"/>
  </conditionalFormatting>
  <conditionalFormatting sqref="C32">
    <cfRule type="duplicateValues" dxfId="658" priority="466"/>
  </conditionalFormatting>
  <conditionalFormatting sqref="G32">
    <cfRule type="duplicateValues" dxfId="657" priority="468"/>
  </conditionalFormatting>
  <conditionalFormatting sqref="D32">
    <cfRule type="duplicateValues" dxfId="656" priority="469"/>
  </conditionalFormatting>
  <conditionalFormatting sqref="C32">
    <cfRule type="duplicateValues" dxfId="655" priority="470"/>
    <cfRule type="duplicateValues" dxfId="654" priority="471"/>
  </conditionalFormatting>
  <conditionalFormatting sqref="C32">
    <cfRule type="duplicateValues" dxfId="653" priority="472"/>
  </conditionalFormatting>
  <conditionalFormatting sqref="C33">
    <cfRule type="duplicateValues" dxfId="652" priority="453"/>
  </conditionalFormatting>
  <conditionalFormatting sqref="C33">
    <cfRule type="duplicateValues" dxfId="651" priority="452"/>
  </conditionalFormatting>
  <conditionalFormatting sqref="G33">
    <cfRule type="duplicateValues" dxfId="650" priority="454"/>
  </conditionalFormatting>
  <conditionalFormatting sqref="D33">
    <cfRule type="duplicateValues" dxfId="649" priority="455"/>
  </conditionalFormatting>
  <conditionalFormatting sqref="C33">
    <cfRule type="duplicateValues" dxfId="648" priority="456"/>
    <cfRule type="duplicateValues" dxfId="647" priority="457"/>
  </conditionalFormatting>
  <conditionalFormatting sqref="C33">
    <cfRule type="duplicateValues" dxfId="646" priority="458"/>
  </conditionalFormatting>
  <conditionalFormatting sqref="C34">
    <cfRule type="duplicateValues" dxfId="645" priority="446"/>
  </conditionalFormatting>
  <conditionalFormatting sqref="C34">
    <cfRule type="duplicateValues" dxfId="644" priority="445"/>
  </conditionalFormatting>
  <conditionalFormatting sqref="G34">
    <cfRule type="duplicateValues" dxfId="643" priority="447"/>
  </conditionalFormatting>
  <conditionalFormatting sqref="D34">
    <cfRule type="duplicateValues" dxfId="642" priority="448"/>
  </conditionalFormatting>
  <conditionalFormatting sqref="C34">
    <cfRule type="duplicateValues" dxfId="641" priority="449"/>
    <cfRule type="duplicateValues" dxfId="640" priority="450"/>
  </conditionalFormatting>
  <conditionalFormatting sqref="C34">
    <cfRule type="duplicateValues" dxfId="639" priority="451"/>
  </conditionalFormatting>
  <conditionalFormatting sqref="C35">
    <cfRule type="duplicateValues" dxfId="638" priority="439"/>
  </conditionalFormatting>
  <conditionalFormatting sqref="C35">
    <cfRule type="duplicateValues" dxfId="637" priority="438"/>
  </conditionalFormatting>
  <conditionalFormatting sqref="G35">
    <cfRule type="duplicateValues" dxfId="636" priority="440"/>
  </conditionalFormatting>
  <conditionalFormatting sqref="D35">
    <cfRule type="duplicateValues" dxfId="635" priority="441"/>
  </conditionalFormatting>
  <conditionalFormatting sqref="C35">
    <cfRule type="duplicateValues" dxfId="634" priority="442"/>
    <cfRule type="duplicateValues" dxfId="633" priority="443"/>
  </conditionalFormatting>
  <conditionalFormatting sqref="C35">
    <cfRule type="duplicateValues" dxfId="632" priority="444"/>
  </conditionalFormatting>
  <conditionalFormatting sqref="C36">
    <cfRule type="duplicateValues" dxfId="631" priority="425"/>
  </conditionalFormatting>
  <conditionalFormatting sqref="C36">
    <cfRule type="duplicateValues" dxfId="630" priority="424"/>
  </conditionalFormatting>
  <conditionalFormatting sqref="G36">
    <cfRule type="duplicateValues" dxfId="629" priority="426"/>
  </conditionalFormatting>
  <conditionalFormatting sqref="D36">
    <cfRule type="duplicateValues" dxfId="628" priority="427"/>
  </conditionalFormatting>
  <conditionalFormatting sqref="C36">
    <cfRule type="duplicateValues" dxfId="627" priority="428"/>
    <cfRule type="duplicateValues" dxfId="626" priority="429"/>
  </conditionalFormatting>
  <conditionalFormatting sqref="C36">
    <cfRule type="duplicateValues" dxfId="625" priority="430"/>
  </conditionalFormatting>
  <conditionalFormatting sqref="C37:C38">
    <cfRule type="duplicateValues" dxfId="624" priority="418"/>
  </conditionalFormatting>
  <conditionalFormatting sqref="C37:C38">
    <cfRule type="duplicateValues" dxfId="623" priority="417"/>
  </conditionalFormatting>
  <conditionalFormatting sqref="G37:G38">
    <cfRule type="duplicateValues" dxfId="622" priority="419"/>
  </conditionalFormatting>
  <conditionalFormatting sqref="D37:D38">
    <cfRule type="duplicateValues" dxfId="621" priority="420"/>
  </conditionalFormatting>
  <conditionalFormatting sqref="C37:C38">
    <cfRule type="duplicateValues" dxfId="620" priority="421"/>
    <cfRule type="duplicateValues" dxfId="619" priority="422"/>
  </conditionalFormatting>
  <conditionalFormatting sqref="C37:C38">
    <cfRule type="duplicateValues" dxfId="618" priority="423"/>
  </conditionalFormatting>
  <conditionalFormatting sqref="C39">
    <cfRule type="duplicateValues" dxfId="617" priority="404"/>
  </conditionalFormatting>
  <conditionalFormatting sqref="C39">
    <cfRule type="duplicateValues" dxfId="616" priority="403"/>
  </conditionalFormatting>
  <conditionalFormatting sqref="G39">
    <cfRule type="duplicateValues" dxfId="615" priority="405"/>
  </conditionalFormatting>
  <conditionalFormatting sqref="D39">
    <cfRule type="duplicateValues" dxfId="614" priority="406"/>
  </conditionalFormatting>
  <conditionalFormatting sqref="C39">
    <cfRule type="duplicateValues" dxfId="613" priority="407"/>
    <cfRule type="duplicateValues" dxfId="612" priority="408"/>
  </conditionalFormatting>
  <conditionalFormatting sqref="C39">
    <cfRule type="duplicateValues" dxfId="611" priority="409"/>
  </conditionalFormatting>
  <conditionalFormatting sqref="C40">
    <cfRule type="duplicateValues" dxfId="610" priority="397"/>
  </conditionalFormatting>
  <conditionalFormatting sqref="C40">
    <cfRule type="duplicateValues" dxfId="609" priority="396"/>
  </conditionalFormatting>
  <conditionalFormatting sqref="G40">
    <cfRule type="duplicateValues" dxfId="608" priority="398"/>
  </conditionalFormatting>
  <conditionalFormatting sqref="D40">
    <cfRule type="duplicateValues" dxfId="607" priority="399"/>
  </conditionalFormatting>
  <conditionalFormatting sqref="C40">
    <cfRule type="duplicateValues" dxfId="606" priority="400"/>
    <cfRule type="duplicateValues" dxfId="605" priority="401"/>
  </conditionalFormatting>
  <conditionalFormatting sqref="C40">
    <cfRule type="duplicateValues" dxfId="604" priority="402"/>
  </conditionalFormatting>
  <conditionalFormatting sqref="C41:C42">
    <cfRule type="duplicateValues" dxfId="603" priority="390"/>
  </conditionalFormatting>
  <conditionalFormatting sqref="C41:C42">
    <cfRule type="duplicateValues" dxfId="602" priority="389"/>
  </conditionalFormatting>
  <conditionalFormatting sqref="G41:G42">
    <cfRule type="duplicateValues" dxfId="601" priority="391"/>
  </conditionalFormatting>
  <conditionalFormatting sqref="D41:D42">
    <cfRule type="duplicateValues" dxfId="600" priority="392"/>
  </conditionalFormatting>
  <conditionalFormatting sqref="C41:C42">
    <cfRule type="duplicateValues" dxfId="599" priority="393"/>
    <cfRule type="duplicateValues" dxfId="598" priority="394"/>
  </conditionalFormatting>
  <conditionalFormatting sqref="C41:C42">
    <cfRule type="duplicateValues" dxfId="597" priority="395"/>
  </conditionalFormatting>
  <conditionalFormatting sqref="C43">
    <cfRule type="duplicateValues" dxfId="596" priority="383"/>
  </conditionalFormatting>
  <conditionalFormatting sqref="C43">
    <cfRule type="duplicateValues" dxfId="595" priority="382"/>
  </conditionalFormatting>
  <conditionalFormatting sqref="G43">
    <cfRule type="duplicateValues" dxfId="594" priority="384"/>
  </conditionalFormatting>
  <conditionalFormatting sqref="D43">
    <cfRule type="duplicateValues" dxfId="593" priority="385"/>
  </conditionalFormatting>
  <conditionalFormatting sqref="C43">
    <cfRule type="duplicateValues" dxfId="592" priority="386"/>
    <cfRule type="duplicateValues" dxfId="591" priority="387"/>
  </conditionalFormatting>
  <conditionalFormatting sqref="C43">
    <cfRule type="duplicateValues" dxfId="590" priority="388"/>
  </conditionalFormatting>
  <conditionalFormatting sqref="C44:C45">
    <cfRule type="duplicateValues" dxfId="589" priority="376"/>
  </conditionalFormatting>
  <conditionalFormatting sqref="C44:C45">
    <cfRule type="duplicateValues" dxfId="588" priority="375"/>
  </conditionalFormatting>
  <conditionalFormatting sqref="G44:G45">
    <cfRule type="duplicateValues" dxfId="587" priority="377"/>
  </conditionalFormatting>
  <conditionalFormatting sqref="D44:D45">
    <cfRule type="duplicateValues" dxfId="586" priority="378"/>
  </conditionalFormatting>
  <conditionalFormatting sqref="C44:C45">
    <cfRule type="duplicateValues" dxfId="585" priority="379"/>
    <cfRule type="duplicateValues" dxfId="584" priority="380"/>
  </conditionalFormatting>
  <conditionalFormatting sqref="C44:C45">
    <cfRule type="duplicateValues" dxfId="583" priority="381"/>
  </conditionalFormatting>
  <conditionalFormatting sqref="C46:C47">
    <cfRule type="duplicateValues" dxfId="582" priority="369"/>
  </conditionalFormatting>
  <conditionalFormatting sqref="C46:C47">
    <cfRule type="duplicateValues" dxfId="581" priority="368"/>
  </conditionalFormatting>
  <conditionalFormatting sqref="G46:G47">
    <cfRule type="duplicateValues" dxfId="580" priority="370"/>
  </conditionalFormatting>
  <conditionalFormatting sqref="D46:D47">
    <cfRule type="duplicateValues" dxfId="579" priority="371"/>
  </conditionalFormatting>
  <conditionalFormatting sqref="C46:C47">
    <cfRule type="duplicateValues" dxfId="578" priority="372"/>
    <cfRule type="duplicateValues" dxfId="577" priority="373"/>
  </conditionalFormatting>
  <conditionalFormatting sqref="C46:C47">
    <cfRule type="duplicateValues" dxfId="576" priority="374"/>
  </conditionalFormatting>
  <conditionalFormatting sqref="C48">
    <cfRule type="duplicateValues" dxfId="575" priority="362"/>
  </conditionalFormatting>
  <conditionalFormatting sqref="C48">
    <cfRule type="duplicateValues" dxfId="574" priority="361"/>
  </conditionalFormatting>
  <conditionalFormatting sqref="G48">
    <cfRule type="duplicateValues" dxfId="573" priority="363"/>
  </conditionalFormatting>
  <conditionalFormatting sqref="D48">
    <cfRule type="duplicateValues" dxfId="572" priority="364"/>
  </conditionalFormatting>
  <conditionalFormatting sqref="C48">
    <cfRule type="duplicateValues" dxfId="571" priority="365"/>
    <cfRule type="duplicateValues" dxfId="570" priority="366"/>
  </conditionalFormatting>
  <conditionalFormatting sqref="C48">
    <cfRule type="duplicateValues" dxfId="569" priority="367"/>
  </conditionalFormatting>
  <conditionalFormatting sqref="C49:C50">
    <cfRule type="duplicateValues" dxfId="568" priority="355"/>
  </conditionalFormatting>
  <conditionalFormatting sqref="C49:C50">
    <cfRule type="duplicateValues" dxfId="567" priority="354"/>
  </conditionalFormatting>
  <conditionalFormatting sqref="G49:G50">
    <cfRule type="duplicateValues" dxfId="566" priority="356"/>
  </conditionalFormatting>
  <conditionalFormatting sqref="D49:D50">
    <cfRule type="duplicateValues" dxfId="565" priority="357"/>
  </conditionalFormatting>
  <conditionalFormatting sqref="C49:C50">
    <cfRule type="duplicateValues" dxfId="564" priority="358"/>
    <cfRule type="duplicateValues" dxfId="563" priority="359"/>
  </conditionalFormatting>
  <conditionalFormatting sqref="C49:C50">
    <cfRule type="duplicateValues" dxfId="562" priority="360"/>
  </conditionalFormatting>
  <conditionalFormatting sqref="C51">
    <cfRule type="duplicateValues" dxfId="561" priority="348"/>
  </conditionalFormatting>
  <conditionalFormatting sqref="C51">
    <cfRule type="duplicateValues" dxfId="560" priority="347"/>
  </conditionalFormatting>
  <conditionalFormatting sqref="G51">
    <cfRule type="duplicateValues" dxfId="559" priority="349"/>
  </conditionalFormatting>
  <conditionalFormatting sqref="D51">
    <cfRule type="duplicateValues" dxfId="558" priority="350"/>
  </conditionalFormatting>
  <conditionalFormatting sqref="C51">
    <cfRule type="duplicateValues" dxfId="557" priority="351"/>
    <cfRule type="duplicateValues" dxfId="556" priority="352"/>
  </conditionalFormatting>
  <conditionalFormatting sqref="C51">
    <cfRule type="duplicateValues" dxfId="555" priority="353"/>
  </conditionalFormatting>
  <conditionalFormatting sqref="C52">
    <cfRule type="duplicateValues" dxfId="554" priority="341"/>
  </conditionalFormatting>
  <conditionalFormatting sqref="C52">
    <cfRule type="duplicateValues" dxfId="553" priority="340"/>
  </conditionalFormatting>
  <conditionalFormatting sqref="G52">
    <cfRule type="duplicateValues" dxfId="552" priority="342"/>
  </conditionalFormatting>
  <conditionalFormatting sqref="D52">
    <cfRule type="duplicateValues" dxfId="551" priority="343"/>
  </conditionalFormatting>
  <conditionalFormatting sqref="C52">
    <cfRule type="duplicateValues" dxfId="550" priority="344"/>
    <cfRule type="duplicateValues" dxfId="549" priority="345"/>
  </conditionalFormatting>
  <conditionalFormatting sqref="C52">
    <cfRule type="duplicateValues" dxfId="548" priority="346"/>
  </conditionalFormatting>
  <conditionalFormatting sqref="C53">
    <cfRule type="duplicateValues" dxfId="547" priority="334"/>
  </conditionalFormatting>
  <conditionalFormatting sqref="C53">
    <cfRule type="duplicateValues" dxfId="546" priority="333"/>
  </conditionalFormatting>
  <conditionalFormatting sqref="G53">
    <cfRule type="duplicateValues" dxfId="545" priority="335"/>
  </conditionalFormatting>
  <conditionalFormatting sqref="D53">
    <cfRule type="duplicateValues" dxfId="544" priority="336"/>
  </conditionalFormatting>
  <conditionalFormatting sqref="C53">
    <cfRule type="duplicateValues" dxfId="543" priority="337"/>
    <cfRule type="duplicateValues" dxfId="542" priority="338"/>
  </conditionalFormatting>
  <conditionalFormatting sqref="C53">
    <cfRule type="duplicateValues" dxfId="541" priority="339"/>
  </conditionalFormatting>
  <conditionalFormatting sqref="C54">
    <cfRule type="duplicateValues" dxfId="540" priority="313"/>
  </conditionalFormatting>
  <conditionalFormatting sqref="C54">
    <cfRule type="duplicateValues" dxfId="539" priority="312"/>
  </conditionalFormatting>
  <conditionalFormatting sqref="G54">
    <cfRule type="duplicateValues" dxfId="538" priority="314"/>
  </conditionalFormatting>
  <conditionalFormatting sqref="D54">
    <cfRule type="duplicateValues" dxfId="537" priority="315"/>
  </conditionalFormatting>
  <conditionalFormatting sqref="C54">
    <cfRule type="duplicateValues" dxfId="536" priority="316"/>
    <cfRule type="duplicateValues" dxfId="535" priority="317"/>
  </conditionalFormatting>
  <conditionalFormatting sqref="C54">
    <cfRule type="duplicateValues" dxfId="534" priority="318"/>
  </conditionalFormatting>
  <conditionalFormatting sqref="C55">
    <cfRule type="duplicateValues" dxfId="533" priority="306"/>
  </conditionalFormatting>
  <conditionalFormatting sqref="C55">
    <cfRule type="duplicateValues" dxfId="532" priority="305"/>
  </conditionalFormatting>
  <conditionalFormatting sqref="G55">
    <cfRule type="duplicateValues" dxfId="531" priority="307"/>
  </conditionalFormatting>
  <conditionalFormatting sqref="D55">
    <cfRule type="duplicateValues" dxfId="530" priority="308"/>
  </conditionalFormatting>
  <conditionalFormatting sqref="C55">
    <cfRule type="duplicateValues" dxfId="529" priority="309"/>
    <cfRule type="duplicateValues" dxfId="528" priority="310"/>
  </conditionalFormatting>
  <conditionalFormatting sqref="C55">
    <cfRule type="duplicateValues" dxfId="527" priority="311"/>
  </conditionalFormatting>
  <conditionalFormatting sqref="C56">
    <cfRule type="duplicateValues" dxfId="526" priority="292"/>
  </conditionalFormatting>
  <conditionalFormatting sqref="C56">
    <cfRule type="duplicateValues" dxfId="525" priority="291"/>
  </conditionalFormatting>
  <conditionalFormatting sqref="G56">
    <cfRule type="duplicateValues" dxfId="524" priority="293"/>
  </conditionalFormatting>
  <conditionalFormatting sqref="D56">
    <cfRule type="duplicateValues" dxfId="523" priority="294"/>
  </conditionalFormatting>
  <conditionalFormatting sqref="C56">
    <cfRule type="duplicateValues" dxfId="522" priority="295"/>
    <cfRule type="duplicateValues" dxfId="521" priority="296"/>
  </conditionalFormatting>
  <conditionalFormatting sqref="C56">
    <cfRule type="duplicateValues" dxfId="520" priority="297"/>
  </conditionalFormatting>
  <conditionalFormatting sqref="C57">
    <cfRule type="duplicateValues" dxfId="519" priority="278"/>
  </conditionalFormatting>
  <conditionalFormatting sqref="C57">
    <cfRule type="duplicateValues" dxfId="518" priority="277"/>
  </conditionalFormatting>
  <conditionalFormatting sqref="G57">
    <cfRule type="duplicateValues" dxfId="517" priority="279"/>
  </conditionalFormatting>
  <conditionalFormatting sqref="D57">
    <cfRule type="duplicateValues" dxfId="516" priority="280"/>
  </conditionalFormatting>
  <conditionalFormatting sqref="C57">
    <cfRule type="duplicateValues" dxfId="515" priority="281"/>
    <cfRule type="duplicateValues" dxfId="514" priority="282"/>
  </conditionalFormatting>
  <conditionalFormatting sqref="C57">
    <cfRule type="duplicateValues" dxfId="513" priority="283"/>
  </conditionalFormatting>
  <conditionalFormatting sqref="C59:C61">
    <cfRule type="duplicateValues" dxfId="512" priority="264"/>
  </conditionalFormatting>
  <conditionalFormatting sqref="C59:C61">
    <cfRule type="duplicateValues" dxfId="511" priority="263"/>
  </conditionalFormatting>
  <conditionalFormatting sqref="G59:G61">
    <cfRule type="duplicateValues" dxfId="510" priority="265"/>
  </conditionalFormatting>
  <conditionalFormatting sqref="D59:D61">
    <cfRule type="duplicateValues" dxfId="509" priority="266"/>
  </conditionalFormatting>
  <conditionalFormatting sqref="C59:C61">
    <cfRule type="duplicateValues" dxfId="508" priority="267"/>
    <cfRule type="duplicateValues" dxfId="507" priority="268"/>
  </conditionalFormatting>
  <conditionalFormatting sqref="C59:C61">
    <cfRule type="duplicateValues" dxfId="506" priority="269"/>
  </conditionalFormatting>
  <conditionalFormatting sqref="C62">
    <cfRule type="duplicateValues" dxfId="505" priority="257"/>
  </conditionalFormatting>
  <conditionalFormatting sqref="C62">
    <cfRule type="duplicateValues" dxfId="504" priority="256"/>
  </conditionalFormatting>
  <conditionalFormatting sqref="G62">
    <cfRule type="duplicateValues" dxfId="503" priority="258"/>
  </conditionalFormatting>
  <conditionalFormatting sqref="D62">
    <cfRule type="duplicateValues" dxfId="502" priority="259"/>
  </conditionalFormatting>
  <conditionalFormatting sqref="C62">
    <cfRule type="duplicateValues" dxfId="501" priority="260"/>
    <cfRule type="duplicateValues" dxfId="500" priority="261"/>
  </conditionalFormatting>
  <conditionalFormatting sqref="C62">
    <cfRule type="duplicateValues" dxfId="499" priority="262"/>
  </conditionalFormatting>
  <conditionalFormatting sqref="C63">
    <cfRule type="duplicateValues" dxfId="498" priority="250"/>
  </conditionalFormatting>
  <conditionalFormatting sqref="C63">
    <cfRule type="duplicateValues" dxfId="497" priority="249"/>
  </conditionalFormatting>
  <conditionalFormatting sqref="G63">
    <cfRule type="duplicateValues" dxfId="496" priority="251"/>
  </conditionalFormatting>
  <conditionalFormatting sqref="D63">
    <cfRule type="duplicateValues" dxfId="495" priority="252"/>
  </conditionalFormatting>
  <conditionalFormatting sqref="C63">
    <cfRule type="duplicateValues" dxfId="494" priority="253"/>
    <cfRule type="duplicateValues" dxfId="493" priority="254"/>
  </conditionalFormatting>
  <conditionalFormatting sqref="C63">
    <cfRule type="duplicateValues" dxfId="492" priority="255"/>
  </conditionalFormatting>
  <conditionalFormatting sqref="C64">
    <cfRule type="duplicateValues" dxfId="491" priority="243"/>
  </conditionalFormatting>
  <conditionalFormatting sqref="C64">
    <cfRule type="duplicateValues" dxfId="490" priority="242"/>
  </conditionalFormatting>
  <conditionalFormatting sqref="G64">
    <cfRule type="duplicateValues" dxfId="489" priority="244"/>
  </conditionalFormatting>
  <conditionalFormatting sqref="D64">
    <cfRule type="duplicateValues" dxfId="488" priority="245"/>
  </conditionalFormatting>
  <conditionalFormatting sqref="C64">
    <cfRule type="duplicateValues" dxfId="487" priority="246"/>
    <cfRule type="duplicateValues" dxfId="486" priority="247"/>
  </conditionalFormatting>
  <conditionalFormatting sqref="C64">
    <cfRule type="duplicateValues" dxfId="485" priority="248"/>
  </conditionalFormatting>
  <conditionalFormatting sqref="C65">
    <cfRule type="duplicateValues" dxfId="484" priority="236"/>
  </conditionalFormatting>
  <conditionalFormatting sqref="C65">
    <cfRule type="duplicateValues" dxfId="483" priority="235"/>
  </conditionalFormatting>
  <conditionalFormatting sqref="G65">
    <cfRule type="duplicateValues" dxfId="482" priority="237"/>
  </conditionalFormatting>
  <conditionalFormatting sqref="D65">
    <cfRule type="duplicateValues" dxfId="481" priority="238"/>
  </conditionalFormatting>
  <conditionalFormatting sqref="C65">
    <cfRule type="duplicateValues" dxfId="480" priority="239"/>
    <cfRule type="duplicateValues" dxfId="479" priority="240"/>
  </conditionalFormatting>
  <conditionalFormatting sqref="C65">
    <cfRule type="duplicateValues" dxfId="478" priority="241"/>
  </conditionalFormatting>
  <conditionalFormatting sqref="C66">
    <cfRule type="duplicateValues" dxfId="477" priority="229"/>
  </conditionalFormatting>
  <conditionalFormatting sqref="C66">
    <cfRule type="duplicateValues" dxfId="476" priority="228"/>
  </conditionalFormatting>
  <conditionalFormatting sqref="G66">
    <cfRule type="duplicateValues" dxfId="475" priority="230"/>
  </conditionalFormatting>
  <conditionalFormatting sqref="D66">
    <cfRule type="duplicateValues" dxfId="474" priority="231"/>
  </conditionalFormatting>
  <conditionalFormatting sqref="C66">
    <cfRule type="duplicateValues" dxfId="473" priority="232"/>
    <cfRule type="duplicateValues" dxfId="472" priority="233"/>
  </conditionalFormatting>
  <conditionalFormatting sqref="C66">
    <cfRule type="duplicateValues" dxfId="471" priority="234"/>
  </conditionalFormatting>
  <conditionalFormatting sqref="C10:C12">
    <cfRule type="duplicateValues" dxfId="470" priority="222"/>
  </conditionalFormatting>
  <conditionalFormatting sqref="C10:C12">
    <cfRule type="duplicateValues" dxfId="469" priority="221"/>
  </conditionalFormatting>
  <conditionalFormatting sqref="G10:G12">
    <cfRule type="duplicateValues" dxfId="468" priority="223"/>
  </conditionalFormatting>
  <conditionalFormatting sqref="D10:D12">
    <cfRule type="duplicateValues" dxfId="467" priority="224"/>
  </conditionalFormatting>
  <conditionalFormatting sqref="C10:C12">
    <cfRule type="duplicateValues" dxfId="466" priority="225"/>
    <cfRule type="duplicateValues" dxfId="465" priority="226"/>
  </conditionalFormatting>
  <conditionalFormatting sqref="C10:C12">
    <cfRule type="duplicateValues" dxfId="464" priority="227"/>
  </conditionalFormatting>
  <conditionalFormatting sqref="C13">
    <cfRule type="duplicateValues" dxfId="463" priority="215"/>
  </conditionalFormatting>
  <conditionalFormatting sqref="C13">
    <cfRule type="duplicateValues" dxfId="462" priority="214"/>
  </conditionalFormatting>
  <conditionalFormatting sqref="G13">
    <cfRule type="duplicateValues" dxfId="461" priority="216"/>
  </conditionalFormatting>
  <conditionalFormatting sqref="D13">
    <cfRule type="duplicateValues" dxfId="460" priority="217"/>
  </conditionalFormatting>
  <conditionalFormatting sqref="C13">
    <cfRule type="duplicateValues" dxfId="459" priority="218"/>
    <cfRule type="duplicateValues" dxfId="458" priority="219"/>
  </conditionalFormatting>
  <conditionalFormatting sqref="C13">
    <cfRule type="duplicateValues" dxfId="457" priority="220"/>
  </conditionalFormatting>
  <conditionalFormatting sqref="C14">
    <cfRule type="duplicateValues" dxfId="456" priority="208"/>
  </conditionalFormatting>
  <conditionalFormatting sqref="C14">
    <cfRule type="duplicateValues" dxfId="455" priority="207"/>
  </conditionalFormatting>
  <conditionalFormatting sqref="G14">
    <cfRule type="duplicateValues" dxfId="454" priority="209"/>
  </conditionalFormatting>
  <conditionalFormatting sqref="D14">
    <cfRule type="duplicateValues" dxfId="453" priority="210"/>
  </conditionalFormatting>
  <conditionalFormatting sqref="C14">
    <cfRule type="duplicateValues" dxfId="452" priority="211"/>
    <cfRule type="duplicateValues" dxfId="451" priority="212"/>
  </conditionalFormatting>
  <conditionalFormatting sqref="C14">
    <cfRule type="duplicateValues" dxfId="450" priority="213"/>
  </conditionalFormatting>
  <conditionalFormatting sqref="C15">
    <cfRule type="duplicateValues" dxfId="449" priority="201"/>
  </conditionalFormatting>
  <conditionalFormatting sqref="C15">
    <cfRule type="duplicateValues" dxfId="448" priority="200"/>
  </conditionalFormatting>
  <conditionalFormatting sqref="G15">
    <cfRule type="duplicateValues" dxfId="447" priority="202"/>
  </conditionalFormatting>
  <conditionalFormatting sqref="D15">
    <cfRule type="duplicateValues" dxfId="446" priority="203"/>
  </conditionalFormatting>
  <conditionalFormatting sqref="C15">
    <cfRule type="duplicateValues" dxfId="445" priority="204"/>
    <cfRule type="duplicateValues" dxfId="444" priority="205"/>
  </conditionalFormatting>
  <conditionalFormatting sqref="C15">
    <cfRule type="duplicateValues" dxfId="443" priority="206"/>
  </conditionalFormatting>
  <conditionalFormatting sqref="C58">
    <cfRule type="duplicateValues" dxfId="442" priority="194"/>
  </conditionalFormatting>
  <conditionalFormatting sqref="C58">
    <cfRule type="duplicateValues" dxfId="441" priority="193"/>
  </conditionalFormatting>
  <conditionalFormatting sqref="G58">
    <cfRule type="duplicateValues" dxfId="440" priority="195"/>
  </conditionalFormatting>
  <conditionalFormatting sqref="D58">
    <cfRule type="duplicateValues" dxfId="439" priority="196"/>
  </conditionalFormatting>
  <conditionalFormatting sqref="C58">
    <cfRule type="duplicateValues" dxfId="438" priority="197"/>
    <cfRule type="duplicateValues" dxfId="437" priority="198"/>
  </conditionalFormatting>
  <conditionalFormatting sqref="C58">
    <cfRule type="duplicateValues" dxfId="436" priority="199"/>
  </conditionalFormatting>
  <conditionalFormatting sqref="G67">
    <cfRule type="duplicateValues" dxfId="435" priority="186"/>
  </conditionalFormatting>
  <conditionalFormatting sqref="C67">
    <cfRule type="duplicateValues" dxfId="434" priority="187"/>
  </conditionalFormatting>
  <conditionalFormatting sqref="C67">
    <cfRule type="duplicateValues" dxfId="433" priority="188"/>
  </conditionalFormatting>
  <conditionalFormatting sqref="D67">
    <cfRule type="duplicateValues" dxfId="432" priority="189"/>
  </conditionalFormatting>
  <conditionalFormatting sqref="C67">
    <cfRule type="duplicateValues" dxfId="431" priority="190"/>
    <cfRule type="duplicateValues" dxfId="430" priority="191"/>
  </conditionalFormatting>
  <conditionalFormatting sqref="C67">
    <cfRule type="duplicateValues" dxfId="429" priority="192"/>
  </conditionalFormatting>
  <conditionalFormatting sqref="G69">
    <cfRule type="duplicateValues" dxfId="428" priority="120"/>
  </conditionalFormatting>
  <conditionalFormatting sqref="C69">
    <cfRule type="duplicateValues" dxfId="427" priority="121"/>
  </conditionalFormatting>
  <conditionalFormatting sqref="C69">
    <cfRule type="duplicateValues" dxfId="426" priority="122"/>
  </conditionalFormatting>
  <conditionalFormatting sqref="D69">
    <cfRule type="duplicateValues" dxfId="425" priority="123"/>
  </conditionalFormatting>
  <conditionalFormatting sqref="C69">
    <cfRule type="duplicateValues" dxfId="424" priority="124"/>
    <cfRule type="duplicateValues" dxfId="423" priority="125"/>
  </conditionalFormatting>
  <conditionalFormatting sqref="C69">
    <cfRule type="duplicateValues" dxfId="422" priority="126"/>
  </conditionalFormatting>
  <conditionalFormatting sqref="G70">
    <cfRule type="duplicateValues" dxfId="421" priority="113"/>
  </conditionalFormatting>
  <conditionalFormatting sqref="C70">
    <cfRule type="duplicateValues" dxfId="420" priority="114"/>
  </conditionalFormatting>
  <conditionalFormatting sqref="C70">
    <cfRule type="duplicateValues" dxfId="419" priority="115"/>
  </conditionalFormatting>
  <conditionalFormatting sqref="D70">
    <cfRule type="duplicateValues" dxfId="418" priority="116"/>
  </conditionalFormatting>
  <conditionalFormatting sqref="C70">
    <cfRule type="duplicateValues" dxfId="417" priority="117"/>
    <cfRule type="duplicateValues" dxfId="416" priority="118"/>
  </conditionalFormatting>
  <conditionalFormatting sqref="C70">
    <cfRule type="duplicateValues" dxfId="415" priority="119"/>
  </conditionalFormatting>
  <conditionalFormatting sqref="G71">
    <cfRule type="duplicateValues" dxfId="414" priority="106"/>
  </conditionalFormatting>
  <conditionalFormatting sqref="C71">
    <cfRule type="duplicateValues" dxfId="413" priority="107"/>
  </conditionalFormatting>
  <conditionalFormatting sqref="C71">
    <cfRule type="duplicateValues" dxfId="412" priority="108"/>
  </conditionalFormatting>
  <conditionalFormatting sqref="D71">
    <cfRule type="duplicateValues" dxfId="411" priority="109"/>
  </conditionalFormatting>
  <conditionalFormatting sqref="C71">
    <cfRule type="duplicateValues" dxfId="410" priority="110"/>
    <cfRule type="duplicateValues" dxfId="409" priority="111"/>
  </conditionalFormatting>
  <conditionalFormatting sqref="C71">
    <cfRule type="duplicateValues" dxfId="408" priority="112"/>
  </conditionalFormatting>
  <conditionalFormatting sqref="G72">
    <cfRule type="duplicateValues" dxfId="407" priority="99"/>
  </conditionalFormatting>
  <conditionalFormatting sqref="C72">
    <cfRule type="duplicateValues" dxfId="406" priority="100"/>
  </conditionalFormatting>
  <conditionalFormatting sqref="C72">
    <cfRule type="duplicateValues" dxfId="405" priority="101"/>
  </conditionalFormatting>
  <conditionalFormatting sqref="D72">
    <cfRule type="duplicateValues" dxfId="404" priority="102"/>
  </conditionalFormatting>
  <conditionalFormatting sqref="C72">
    <cfRule type="duplicateValues" dxfId="403" priority="103"/>
    <cfRule type="duplicateValues" dxfId="402" priority="104"/>
  </conditionalFormatting>
  <conditionalFormatting sqref="C72">
    <cfRule type="duplicateValues" dxfId="401" priority="105"/>
  </conditionalFormatting>
  <conditionalFormatting sqref="G73">
    <cfRule type="duplicateValues" dxfId="400" priority="92"/>
  </conditionalFormatting>
  <conditionalFormatting sqref="C73">
    <cfRule type="duplicateValues" dxfId="399" priority="93"/>
  </conditionalFormatting>
  <conditionalFormatting sqref="C73">
    <cfRule type="duplicateValues" dxfId="398" priority="94"/>
  </conditionalFormatting>
  <conditionalFormatting sqref="D73">
    <cfRule type="duplicateValues" dxfId="397" priority="95"/>
  </conditionalFormatting>
  <conditionalFormatting sqref="C73">
    <cfRule type="duplicateValues" dxfId="396" priority="96"/>
    <cfRule type="duplicateValues" dxfId="395" priority="97"/>
  </conditionalFormatting>
  <conditionalFormatting sqref="C73">
    <cfRule type="duplicateValues" dxfId="394" priority="98"/>
  </conditionalFormatting>
  <conditionalFormatting sqref="G74">
    <cfRule type="duplicateValues" dxfId="393" priority="85"/>
  </conditionalFormatting>
  <conditionalFormatting sqref="C74">
    <cfRule type="duplicateValues" dxfId="392" priority="86"/>
  </conditionalFormatting>
  <conditionalFormatting sqref="C74">
    <cfRule type="duplicateValues" dxfId="391" priority="87"/>
  </conditionalFormatting>
  <conditionalFormatting sqref="D74">
    <cfRule type="duplicateValues" dxfId="390" priority="88"/>
  </conditionalFormatting>
  <conditionalFormatting sqref="C74">
    <cfRule type="duplicateValues" dxfId="389" priority="89"/>
    <cfRule type="duplicateValues" dxfId="388" priority="90"/>
  </conditionalFormatting>
  <conditionalFormatting sqref="C74">
    <cfRule type="duplicateValues" dxfId="387" priority="91"/>
  </conditionalFormatting>
  <conditionalFormatting sqref="G75">
    <cfRule type="duplicateValues" dxfId="386" priority="78"/>
  </conditionalFormatting>
  <conditionalFormatting sqref="C75">
    <cfRule type="duplicateValues" dxfId="385" priority="79"/>
  </conditionalFormatting>
  <conditionalFormatting sqref="C75">
    <cfRule type="duplicateValues" dxfId="384" priority="80"/>
  </conditionalFormatting>
  <conditionalFormatting sqref="D75">
    <cfRule type="duplicateValues" dxfId="383" priority="81"/>
  </conditionalFormatting>
  <conditionalFormatting sqref="C75">
    <cfRule type="duplicateValues" dxfId="382" priority="82"/>
    <cfRule type="duplicateValues" dxfId="381" priority="83"/>
  </conditionalFormatting>
  <conditionalFormatting sqref="C75">
    <cfRule type="duplicateValues" dxfId="380" priority="84"/>
  </conditionalFormatting>
  <conditionalFormatting sqref="C1">
    <cfRule type="duplicateValues" dxfId="379" priority="4832"/>
  </conditionalFormatting>
  <conditionalFormatting sqref="C1">
    <cfRule type="duplicateValues" dxfId="378" priority="4833"/>
  </conditionalFormatting>
  <conditionalFormatting sqref="G1">
    <cfRule type="duplicateValues" dxfId="377" priority="4834"/>
  </conditionalFormatting>
  <conditionalFormatting sqref="D1">
    <cfRule type="duplicateValues" dxfId="376" priority="4835"/>
  </conditionalFormatting>
  <conditionalFormatting sqref="C1">
    <cfRule type="duplicateValues" dxfId="375" priority="4836"/>
    <cfRule type="duplicateValues" dxfId="374" priority="4837"/>
  </conditionalFormatting>
  <conditionalFormatting sqref="G68">
    <cfRule type="duplicateValues" dxfId="373" priority="4838"/>
  </conditionalFormatting>
  <conditionalFormatting sqref="C68">
    <cfRule type="duplicateValues" dxfId="372" priority="4839"/>
  </conditionalFormatting>
  <conditionalFormatting sqref="C68">
    <cfRule type="duplicateValues" dxfId="371" priority="4840"/>
  </conditionalFormatting>
  <conditionalFormatting sqref="D68">
    <cfRule type="duplicateValues" dxfId="370" priority="4841"/>
  </conditionalFormatting>
  <conditionalFormatting sqref="C68">
    <cfRule type="duplicateValues" dxfId="369" priority="4842"/>
    <cfRule type="duplicateValues" dxfId="368" priority="4843"/>
  </conditionalFormatting>
  <conditionalFormatting sqref="G76">
    <cfRule type="duplicateValues" dxfId="367" priority="71"/>
  </conditionalFormatting>
  <conditionalFormatting sqref="C76">
    <cfRule type="duplicateValues" dxfId="366" priority="72"/>
  </conditionalFormatting>
  <conditionalFormatting sqref="C76">
    <cfRule type="duplicateValues" dxfId="365" priority="73"/>
  </conditionalFormatting>
  <conditionalFormatting sqref="D76">
    <cfRule type="duplicateValues" dxfId="364" priority="74"/>
  </conditionalFormatting>
  <conditionalFormatting sqref="C76">
    <cfRule type="duplicateValues" dxfId="363" priority="75"/>
    <cfRule type="duplicateValues" dxfId="362" priority="76"/>
  </conditionalFormatting>
  <conditionalFormatting sqref="C76">
    <cfRule type="duplicateValues" dxfId="361" priority="77"/>
  </conditionalFormatting>
  <conditionalFormatting sqref="G77">
    <cfRule type="duplicateValues" dxfId="360" priority="64"/>
  </conditionalFormatting>
  <conditionalFormatting sqref="C77">
    <cfRule type="duplicateValues" dxfId="359" priority="65"/>
  </conditionalFormatting>
  <conditionalFormatting sqref="C77">
    <cfRule type="duplicateValues" dxfId="358" priority="66"/>
  </conditionalFormatting>
  <conditionalFormatting sqref="D77">
    <cfRule type="duplicateValues" dxfId="357" priority="67"/>
  </conditionalFormatting>
  <conditionalFormatting sqref="C77">
    <cfRule type="duplicateValues" dxfId="356" priority="68"/>
    <cfRule type="duplicateValues" dxfId="355" priority="69"/>
  </conditionalFormatting>
  <conditionalFormatting sqref="C77">
    <cfRule type="duplicateValues" dxfId="354" priority="70"/>
  </conditionalFormatting>
  <conditionalFormatting sqref="C78:C86">
    <cfRule type="duplicateValues" dxfId="353" priority="57"/>
  </conditionalFormatting>
  <conditionalFormatting sqref="G78:G86">
    <cfRule type="duplicateValues" dxfId="352" priority="58"/>
  </conditionalFormatting>
  <conditionalFormatting sqref="C78:C86">
    <cfRule type="duplicateValues" dxfId="351" priority="59"/>
  </conditionalFormatting>
  <conditionalFormatting sqref="C78:C86">
    <cfRule type="duplicateValues" dxfId="350" priority="60"/>
  </conditionalFormatting>
  <conditionalFormatting sqref="D78:D86">
    <cfRule type="duplicateValues" dxfId="349" priority="61"/>
  </conditionalFormatting>
  <conditionalFormatting sqref="C78:C86">
    <cfRule type="duplicateValues" dxfId="348" priority="62"/>
    <cfRule type="duplicateValues" dxfId="347" priority="63"/>
  </conditionalFormatting>
  <conditionalFormatting sqref="G87">
    <cfRule type="duplicateValues" dxfId="346" priority="51"/>
  </conditionalFormatting>
  <conditionalFormatting sqref="C87">
    <cfRule type="duplicateValues" dxfId="345" priority="52"/>
  </conditionalFormatting>
  <conditionalFormatting sqref="C87">
    <cfRule type="duplicateValues" dxfId="344" priority="53"/>
  </conditionalFormatting>
  <conditionalFormatting sqref="D87">
    <cfRule type="duplicateValues" dxfId="343" priority="54"/>
  </conditionalFormatting>
  <conditionalFormatting sqref="C87">
    <cfRule type="duplicateValues" dxfId="342" priority="55"/>
    <cfRule type="duplicateValues" dxfId="341" priority="56"/>
  </conditionalFormatting>
  <conditionalFormatting sqref="G88">
    <cfRule type="duplicateValues" dxfId="340" priority="45"/>
  </conditionalFormatting>
  <conditionalFormatting sqref="C88">
    <cfRule type="duplicateValues" dxfId="339" priority="46"/>
  </conditionalFormatting>
  <conditionalFormatting sqref="C88">
    <cfRule type="duplicateValues" dxfId="338" priority="47"/>
  </conditionalFormatting>
  <conditionalFormatting sqref="D88">
    <cfRule type="duplicateValues" dxfId="337" priority="48"/>
  </conditionalFormatting>
  <conditionalFormatting sqref="C88">
    <cfRule type="duplicateValues" dxfId="336" priority="49"/>
    <cfRule type="duplicateValues" dxfId="335" priority="50"/>
  </conditionalFormatting>
  <conditionalFormatting sqref="G89">
    <cfRule type="duplicateValues" dxfId="334" priority="39"/>
  </conditionalFormatting>
  <conditionalFormatting sqref="C89">
    <cfRule type="duplicateValues" dxfId="333" priority="40"/>
  </conditionalFormatting>
  <conditionalFormatting sqref="C89">
    <cfRule type="duplicateValues" dxfId="332" priority="41"/>
  </conditionalFormatting>
  <conditionalFormatting sqref="D89">
    <cfRule type="duplicateValues" dxfId="331" priority="42"/>
  </conditionalFormatting>
  <conditionalFormatting sqref="C89">
    <cfRule type="duplicateValues" dxfId="330" priority="43"/>
    <cfRule type="duplicateValues" dxfId="329" priority="44"/>
  </conditionalFormatting>
  <conditionalFormatting sqref="G90">
    <cfRule type="duplicateValues" dxfId="328" priority="33"/>
  </conditionalFormatting>
  <conditionalFormatting sqref="C90">
    <cfRule type="duplicateValues" dxfId="327" priority="34"/>
  </conditionalFormatting>
  <conditionalFormatting sqref="C90">
    <cfRule type="duplicateValues" dxfId="326" priority="35"/>
  </conditionalFormatting>
  <conditionalFormatting sqref="D90">
    <cfRule type="duplicateValues" dxfId="325" priority="36"/>
  </conditionalFormatting>
  <conditionalFormatting sqref="C90">
    <cfRule type="duplicateValues" dxfId="324" priority="37"/>
    <cfRule type="duplicateValues" dxfId="323" priority="38"/>
  </conditionalFormatting>
  <conditionalFormatting sqref="G91">
    <cfRule type="duplicateValues" dxfId="322" priority="26"/>
  </conditionalFormatting>
  <conditionalFormatting sqref="C91">
    <cfRule type="duplicateValues" dxfId="321" priority="27"/>
  </conditionalFormatting>
  <conditionalFormatting sqref="C91">
    <cfRule type="duplicateValues" dxfId="320" priority="28"/>
  </conditionalFormatting>
  <conditionalFormatting sqref="D91">
    <cfRule type="duplicateValues" dxfId="319" priority="29"/>
  </conditionalFormatting>
  <conditionalFormatting sqref="C91">
    <cfRule type="duplicateValues" dxfId="318" priority="30"/>
    <cfRule type="duplicateValues" dxfId="317" priority="31"/>
  </conditionalFormatting>
  <conditionalFormatting sqref="C91">
    <cfRule type="duplicateValues" dxfId="316" priority="32"/>
  </conditionalFormatting>
  <conditionalFormatting sqref="G92">
    <cfRule type="duplicateValues" dxfId="315" priority="19"/>
  </conditionalFormatting>
  <conditionalFormatting sqref="C92">
    <cfRule type="duplicateValues" dxfId="314" priority="20"/>
  </conditionalFormatting>
  <conditionalFormatting sqref="C92">
    <cfRule type="duplicateValues" dxfId="313" priority="21"/>
  </conditionalFormatting>
  <conditionalFormatting sqref="D92">
    <cfRule type="duplicateValues" dxfId="312" priority="22"/>
  </conditionalFormatting>
  <conditionalFormatting sqref="C92">
    <cfRule type="duplicateValues" dxfId="311" priority="23"/>
    <cfRule type="duplicateValues" dxfId="310" priority="24"/>
  </conditionalFormatting>
  <conditionalFormatting sqref="C92">
    <cfRule type="duplicateValues" dxfId="309" priority="25"/>
  </conditionalFormatting>
  <conditionalFormatting sqref="G93">
    <cfRule type="duplicateValues" dxfId="308" priority="12"/>
  </conditionalFormatting>
  <conditionalFormatting sqref="C93">
    <cfRule type="duplicateValues" dxfId="307" priority="13"/>
  </conditionalFormatting>
  <conditionalFormatting sqref="C93">
    <cfRule type="duplicateValues" dxfId="306" priority="14"/>
  </conditionalFormatting>
  <conditionalFormatting sqref="D93">
    <cfRule type="duplicateValues" dxfId="305" priority="15"/>
  </conditionalFormatting>
  <conditionalFormatting sqref="C93">
    <cfRule type="duplicateValues" dxfId="304" priority="16"/>
    <cfRule type="duplicateValues" dxfId="303" priority="17"/>
  </conditionalFormatting>
  <conditionalFormatting sqref="C93">
    <cfRule type="duplicateValues" dxfId="302" priority="18"/>
  </conditionalFormatting>
  <conditionalFormatting sqref="C94:C95">
    <cfRule type="duplicateValues" dxfId="301" priority="4"/>
  </conditionalFormatting>
  <conditionalFormatting sqref="C94:C95">
    <cfRule type="duplicateValues" dxfId="300" priority="5"/>
  </conditionalFormatting>
  <conditionalFormatting sqref="C94:C95">
    <cfRule type="duplicateValues" dxfId="299" priority="6"/>
  </conditionalFormatting>
  <conditionalFormatting sqref="C96:C97">
    <cfRule type="duplicateValues" dxfId="298" priority="1"/>
  </conditionalFormatting>
  <conditionalFormatting sqref="C96:C97">
    <cfRule type="duplicateValues" dxfId="297" priority="2"/>
  </conditionalFormatting>
  <conditionalFormatting sqref="C96:C97">
    <cfRule type="duplicateValues" dxfId="296" priority="3"/>
  </conditionalFormatting>
  <conditionalFormatting sqref="C98">
    <cfRule type="duplicateValues" dxfId="295" priority="7"/>
  </conditionalFormatting>
  <conditionalFormatting sqref="G94:G98">
    <cfRule type="duplicateValues" dxfId="294" priority="8"/>
  </conditionalFormatting>
  <conditionalFormatting sqref="D94:D98">
    <cfRule type="duplicateValues" dxfId="293" priority="9"/>
  </conditionalFormatting>
  <conditionalFormatting sqref="C94:C98">
    <cfRule type="duplicateValues" dxfId="292" priority="10"/>
    <cfRule type="duplicateValues" dxfId="291" priority="1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31671-C764-4A39-A2C6-65D8164535DB}">
  <dimension ref="A1:H258"/>
  <sheetViews>
    <sheetView workbookViewId="0">
      <selection activeCell="A50" sqref="A50"/>
    </sheetView>
  </sheetViews>
  <sheetFormatPr defaultColWidth="21" defaultRowHeight="15"/>
  <sheetData>
    <row r="1" spans="1:8">
      <c r="A1" s="21" t="s">
        <v>4723</v>
      </c>
      <c r="B1" s="22" t="s">
        <v>4724</v>
      </c>
      <c r="D1" s="21" t="s">
        <v>4723</v>
      </c>
      <c r="E1" s="23" t="s">
        <v>4725</v>
      </c>
      <c r="F1" s="21"/>
      <c r="G1" s="21" t="s">
        <v>4723</v>
      </c>
      <c r="H1" s="24" t="s">
        <v>4726</v>
      </c>
    </row>
    <row r="2" spans="1:8">
      <c r="A2" s="21" t="s">
        <v>368</v>
      </c>
      <c r="B2" s="22">
        <v>25</v>
      </c>
      <c r="D2" s="21">
        <v>6</v>
      </c>
      <c r="E2" s="23">
        <v>50</v>
      </c>
      <c r="G2" s="21" t="s">
        <v>256</v>
      </c>
      <c r="H2" s="24">
        <v>63</v>
      </c>
    </row>
    <row r="3" spans="1:8">
      <c r="A3" s="21" t="s">
        <v>385</v>
      </c>
      <c r="B3" s="22">
        <v>27</v>
      </c>
      <c r="D3" s="21" t="s">
        <v>239</v>
      </c>
      <c r="E3" s="23">
        <v>45</v>
      </c>
      <c r="G3" s="21" t="s">
        <v>267</v>
      </c>
      <c r="H3" s="24">
        <v>62</v>
      </c>
    </row>
    <row r="4" spans="1:8">
      <c r="A4" s="21" t="s">
        <v>407</v>
      </c>
      <c r="B4" s="22">
        <v>26</v>
      </c>
      <c r="D4" s="21" t="s">
        <v>250</v>
      </c>
      <c r="E4" s="23">
        <v>52</v>
      </c>
      <c r="G4" s="21" t="s">
        <v>322</v>
      </c>
      <c r="H4" s="24">
        <v>64</v>
      </c>
    </row>
    <row r="5" spans="1:8">
      <c r="A5" s="21" t="s">
        <v>512</v>
      </c>
      <c r="B5" s="22">
        <v>18</v>
      </c>
      <c r="D5" s="21" t="s">
        <v>261</v>
      </c>
      <c r="E5" s="23">
        <v>38</v>
      </c>
      <c r="G5" s="21" t="s">
        <v>333</v>
      </c>
      <c r="H5" s="24">
        <v>62</v>
      </c>
    </row>
    <row r="6" spans="1:8">
      <c r="A6" s="21" t="s">
        <v>543</v>
      </c>
      <c r="B6" s="22">
        <v>30</v>
      </c>
      <c r="D6" s="21" t="s">
        <v>272</v>
      </c>
      <c r="E6" s="23">
        <v>35</v>
      </c>
      <c r="G6" s="21" t="s">
        <v>399</v>
      </c>
      <c r="H6" s="24">
        <v>67</v>
      </c>
    </row>
    <row r="7" spans="1:8">
      <c r="A7" s="21" t="s">
        <v>596</v>
      </c>
      <c r="B7" s="22">
        <v>22</v>
      </c>
      <c r="D7" s="21" t="s">
        <v>277</v>
      </c>
      <c r="E7" s="23">
        <v>37</v>
      </c>
      <c r="G7" s="21" t="s">
        <v>413</v>
      </c>
      <c r="H7" s="24">
        <v>68</v>
      </c>
    </row>
    <row r="8" spans="1:8">
      <c r="A8" s="21" t="s">
        <v>676</v>
      </c>
      <c r="B8" s="22">
        <v>22</v>
      </c>
      <c r="D8" s="21" t="s">
        <v>283</v>
      </c>
      <c r="E8" s="23">
        <v>35</v>
      </c>
      <c r="G8" s="21" t="s">
        <v>451</v>
      </c>
      <c r="H8" s="24">
        <v>64</v>
      </c>
    </row>
    <row r="9" spans="1:8">
      <c r="A9" s="21" t="s">
        <v>697</v>
      </c>
      <c r="B9" s="22">
        <v>23</v>
      </c>
      <c r="D9" s="21" t="s">
        <v>288</v>
      </c>
      <c r="E9" s="23">
        <v>50</v>
      </c>
      <c r="G9" s="21" t="s">
        <v>489</v>
      </c>
      <c r="H9" s="24">
        <v>77</v>
      </c>
    </row>
    <row r="10" spans="1:8">
      <c r="A10" s="21" t="s">
        <v>702</v>
      </c>
      <c r="B10" s="22">
        <v>23</v>
      </c>
      <c r="D10" s="21" t="s">
        <v>293</v>
      </c>
      <c r="E10" s="23">
        <v>52</v>
      </c>
      <c r="G10" s="21" t="s">
        <v>666</v>
      </c>
      <c r="H10" s="24">
        <v>70</v>
      </c>
    </row>
    <row r="11" spans="1:8">
      <c r="A11" s="21" t="s">
        <v>722</v>
      </c>
      <c r="B11" s="22">
        <v>23</v>
      </c>
      <c r="D11" s="21" t="s">
        <v>301</v>
      </c>
      <c r="E11" s="23">
        <v>55</v>
      </c>
      <c r="G11" s="21" t="s">
        <v>861</v>
      </c>
      <c r="H11" s="24">
        <v>76</v>
      </c>
    </row>
    <row r="12" spans="1:8">
      <c r="A12" s="21" t="s">
        <v>727</v>
      </c>
      <c r="B12" s="22">
        <v>25</v>
      </c>
      <c r="D12" s="21" t="s">
        <v>306</v>
      </c>
      <c r="E12" s="23">
        <v>42</v>
      </c>
      <c r="G12" s="21" t="s">
        <v>2311</v>
      </c>
      <c r="H12" s="24">
        <v>76</v>
      </c>
    </row>
    <row r="13" spans="1:8">
      <c r="A13" s="21" t="s">
        <v>732</v>
      </c>
      <c r="B13" s="22">
        <v>29</v>
      </c>
      <c r="D13" s="21" t="s">
        <v>312</v>
      </c>
      <c r="E13" s="23">
        <v>47</v>
      </c>
      <c r="G13" s="21" t="s">
        <v>2319</v>
      </c>
      <c r="H13" s="24">
        <v>64</v>
      </c>
    </row>
    <row r="14" spans="1:8">
      <c r="A14" s="21" t="s">
        <v>764</v>
      </c>
      <c r="B14" s="22">
        <v>24</v>
      </c>
      <c r="D14" s="21" t="s">
        <v>317</v>
      </c>
      <c r="E14" s="23">
        <v>57</v>
      </c>
      <c r="G14" s="21" t="s">
        <v>2335</v>
      </c>
      <c r="H14" s="24">
        <v>72</v>
      </c>
    </row>
    <row r="15" spans="1:8">
      <c r="A15" s="21" t="s">
        <v>774</v>
      </c>
      <c r="B15" s="22">
        <v>23</v>
      </c>
      <c r="D15" s="21" t="s">
        <v>327</v>
      </c>
      <c r="E15" s="23">
        <v>39</v>
      </c>
      <c r="G15" s="21" t="s">
        <v>2344</v>
      </c>
      <c r="H15" s="24">
        <v>69</v>
      </c>
    </row>
    <row r="16" spans="1:8">
      <c r="A16" s="21" t="s">
        <v>784</v>
      </c>
      <c r="B16" s="22">
        <v>25</v>
      </c>
      <c r="D16" s="21" t="s">
        <v>4727</v>
      </c>
      <c r="E16" s="23">
        <v>46</v>
      </c>
      <c r="G16" s="21" t="s">
        <v>2348</v>
      </c>
      <c r="H16" s="24">
        <v>64</v>
      </c>
    </row>
    <row r="17" spans="1:8">
      <c r="A17" s="21" t="s">
        <v>840</v>
      </c>
      <c r="B17" s="22">
        <v>24</v>
      </c>
      <c r="D17" s="21" t="s">
        <v>363</v>
      </c>
      <c r="E17" s="23">
        <v>56</v>
      </c>
      <c r="G17" s="21" t="s">
        <v>2424</v>
      </c>
      <c r="H17" s="24">
        <v>61</v>
      </c>
    </row>
    <row r="18" spans="1:8">
      <c r="A18" s="21" t="s">
        <v>851</v>
      </c>
      <c r="B18" s="22">
        <v>25</v>
      </c>
      <c r="D18" s="21" t="s">
        <v>393</v>
      </c>
      <c r="E18" s="23">
        <v>40</v>
      </c>
      <c r="G18" s="21" t="s">
        <v>2442</v>
      </c>
      <c r="H18" s="24">
        <v>67</v>
      </c>
    </row>
    <row r="19" spans="1:8">
      <c r="A19" s="21" t="s">
        <v>2340</v>
      </c>
      <c r="B19" s="22">
        <v>28</v>
      </c>
      <c r="D19" s="21" t="s">
        <v>422</v>
      </c>
      <c r="E19" s="23">
        <v>50</v>
      </c>
      <c r="G19" s="21" t="s">
        <v>2447</v>
      </c>
      <c r="H19" s="24">
        <v>69</v>
      </c>
    </row>
    <row r="20" spans="1:8">
      <c r="A20" s="21" t="s">
        <v>2402</v>
      </c>
      <c r="B20" s="22">
        <v>21</v>
      </c>
      <c r="D20" s="21" t="s">
        <v>465</v>
      </c>
      <c r="E20" s="23">
        <v>49</v>
      </c>
      <c r="G20" s="21" t="s">
        <v>2489</v>
      </c>
      <c r="H20" s="24">
        <v>62</v>
      </c>
    </row>
    <row r="21" spans="1:8">
      <c r="A21" s="21" t="s">
        <v>2411</v>
      </c>
      <c r="B21" s="22">
        <v>22</v>
      </c>
      <c r="D21" s="21" t="s">
        <v>469</v>
      </c>
      <c r="E21" s="23">
        <v>40</v>
      </c>
      <c r="G21" s="21" t="s">
        <v>2525</v>
      </c>
      <c r="H21" s="24">
        <v>63</v>
      </c>
    </row>
    <row r="22" spans="1:8">
      <c r="A22" s="21" t="s">
        <v>2416</v>
      </c>
      <c r="B22" s="22">
        <v>19</v>
      </c>
      <c r="D22" s="21" t="s">
        <v>475</v>
      </c>
      <c r="E22" s="23">
        <v>55</v>
      </c>
      <c r="G22" s="21" t="s">
        <v>2574</v>
      </c>
      <c r="H22" s="24">
        <v>72</v>
      </c>
    </row>
    <row r="23" spans="1:8">
      <c r="A23" s="21" t="s">
        <v>2453</v>
      </c>
      <c r="B23" s="22">
        <v>24</v>
      </c>
      <c r="D23" s="21" t="s">
        <v>479</v>
      </c>
      <c r="E23" s="23">
        <v>54</v>
      </c>
      <c r="G23" s="21" t="s">
        <v>2586</v>
      </c>
      <c r="H23" s="24">
        <v>61</v>
      </c>
    </row>
    <row r="24" spans="1:8">
      <c r="A24" s="21" t="s">
        <v>2458</v>
      </c>
      <c r="B24" s="22">
        <v>23</v>
      </c>
      <c r="D24" s="21" t="s">
        <v>483</v>
      </c>
      <c r="E24" s="23">
        <v>50</v>
      </c>
      <c r="G24" s="21" t="s">
        <v>2590</v>
      </c>
      <c r="H24" s="24">
        <v>68</v>
      </c>
    </row>
    <row r="25" spans="1:8">
      <c r="A25" s="21" t="s">
        <v>2463</v>
      </c>
      <c r="B25" s="22">
        <v>23</v>
      </c>
      <c r="D25" s="21" t="s">
        <v>494</v>
      </c>
      <c r="E25" s="23">
        <v>55</v>
      </c>
      <c r="G25" s="21" t="s">
        <v>2656</v>
      </c>
      <c r="H25" s="24">
        <v>66</v>
      </c>
    </row>
    <row r="26" spans="1:8">
      <c r="A26" s="21" t="s">
        <v>2468</v>
      </c>
      <c r="B26" s="22">
        <v>24</v>
      </c>
      <c r="D26" s="21" t="s">
        <v>501</v>
      </c>
      <c r="E26" s="23">
        <v>57</v>
      </c>
      <c r="G26" s="21" t="s">
        <v>2660</v>
      </c>
      <c r="H26" s="24">
        <v>64</v>
      </c>
    </row>
    <row r="27" spans="1:8">
      <c r="A27" s="21" t="s">
        <v>2473</v>
      </c>
      <c r="B27" s="22">
        <v>23</v>
      </c>
      <c r="D27" s="21" t="s">
        <v>507</v>
      </c>
      <c r="E27" s="23">
        <v>58</v>
      </c>
      <c r="G27" s="21" t="s">
        <v>2729</v>
      </c>
      <c r="H27" s="24">
        <v>64</v>
      </c>
    </row>
    <row r="28" spans="1:8">
      <c r="A28" s="21" t="s">
        <v>2509</v>
      </c>
      <c r="B28" s="22">
        <v>21</v>
      </c>
      <c r="D28" s="21" t="s">
        <v>518</v>
      </c>
      <c r="E28" s="23">
        <v>31</v>
      </c>
      <c r="G28" s="21" t="s">
        <v>2739</v>
      </c>
      <c r="H28" s="24">
        <v>73</v>
      </c>
    </row>
    <row r="29" spans="1:8">
      <c r="A29" s="21" t="s">
        <v>2533</v>
      </c>
      <c r="B29" s="22">
        <v>29</v>
      </c>
      <c r="D29" s="21" t="s">
        <v>538</v>
      </c>
      <c r="E29" s="23">
        <v>48</v>
      </c>
      <c r="G29" s="21" t="s">
        <v>2748</v>
      </c>
      <c r="H29" s="24">
        <v>71</v>
      </c>
    </row>
    <row r="30" spans="1:8">
      <c r="A30" s="21" t="s">
        <v>2594</v>
      </c>
      <c r="B30" s="22">
        <v>24</v>
      </c>
      <c r="D30" s="21" t="s">
        <v>549</v>
      </c>
      <c r="E30" s="23">
        <v>56</v>
      </c>
      <c r="G30" s="21" t="s">
        <v>2756</v>
      </c>
      <c r="H30" s="24">
        <v>79</v>
      </c>
    </row>
    <row r="31" spans="1:8">
      <c r="A31" s="21" t="s">
        <v>2599</v>
      </c>
      <c r="B31" s="22">
        <v>23</v>
      </c>
      <c r="D31" s="21" t="s">
        <v>555</v>
      </c>
      <c r="E31" s="23">
        <v>40</v>
      </c>
      <c r="G31" s="21" t="s">
        <v>2760</v>
      </c>
      <c r="H31" s="24">
        <v>84</v>
      </c>
    </row>
    <row r="32" spans="1:8">
      <c r="A32" s="21" t="s">
        <v>2615</v>
      </c>
      <c r="B32" s="22">
        <v>21</v>
      </c>
      <c r="D32" s="21" t="s">
        <v>567</v>
      </c>
      <c r="E32" s="23">
        <v>49</v>
      </c>
      <c r="G32" s="21" t="s">
        <v>3088</v>
      </c>
      <c r="H32" s="24">
        <v>65</v>
      </c>
    </row>
    <row r="33" spans="1:8">
      <c r="A33" s="21" t="s">
        <v>2640</v>
      </c>
      <c r="B33" s="22">
        <v>29</v>
      </c>
      <c r="D33" s="21" t="s">
        <v>572</v>
      </c>
      <c r="E33" s="23">
        <v>42</v>
      </c>
      <c r="G33" s="21" t="s">
        <v>3098</v>
      </c>
      <c r="H33" s="24">
        <v>64</v>
      </c>
    </row>
    <row r="34" spans="1:8">
      <c r="A34" s="21" t="s">
        <v>2691</v>
      </c>
      <c r="B34" s="22">
        <v>24</v>
      </c>
      <c r="D34" s="21" t="s">
        <v>577</v>
      </c>
      <c r="E34" s="23">
        <v>45</v>
      </c>
      <c r="G34" s="21" t="s">
        <v>3102</v>
      </c>
      <c r="H34" s="24">
        <v>65</v>
      </c>
    </row>
    <row r="35" spans="1:8">
      <c r="A35" s="21" t="s">
        <v>2695</v>
      </c>
      <c r="B35" s="22">
        <v>25</v>
      </c>
      <c r="D35" s="21" t="s">
        <v>582</v>
      </c>
      <c r="E35" s="23">
        <v>60</v>
      </c>
      <c r="G35" s="21" t="s">
        <v>3127</v>
      </c>
      <c r="H35" s="24">
        <v>73</v>
      </c>
    </row>
    <row r="36" spans="1:8">
      <c r="A36" s="21" t="s">
        <v>2850</v>
      </c>
      <c r="B36" s="22">
        <v>23</v>
      </c>
      <c r="D36" s="21" t="s">
        <v>590</v>
      </c>
      <c r="E36" s="23">
        <v>44</v>
      </c>
      <c r="G36" s="21" t="s">
        <v>3198</v>
      </c>
      <c r="H36" s="24">
        <v>73</v>
      </c>
    </row>
    <row r="37" spans="1:8">
      <c r="A37" s="21" t="s">
        <v>2855</v>
      </c>
      <c r="B37" s="22">
        <v>21</v>
      </c>
      <c r="D37" s="21" t="s">
        <v>602</v>
      </c>
      <c r="E37" s="23">
        <v>51</v>
      </c>
      <c r="G37" s="21" t="s">
        <v>3249</v>
      </c>
      <c r="H37" s="24">
        <v>73</v>
      </c>
    </row>
    <row r="38" spans="1:8">
      <c r="A38" s="21" t="s">
        <v>2860</v>
      </c>
      <c r="B38" s="22">
        <v>18</v>
      </c>
      <c r="D38" s="21" t="s">
        <v>617</v>
      </c>
      <c r="E38" s="23">
        <v>37</v>
      </c>
      <c r="G38" s="21" t="s">
        <v>3416</v>
      </c>
      <c r="H38" s="24">
        <v>63</v>
      </c>
    </row>
    <row r="39" spans="1:8">
      <c r="A39" s="21" t="s">
        <v>2865</v>
      </c>
      <c r="B39" s="22">
        <v>21</v>
      </c>
      <c r="D39" s="21" t="s">
        <v>623</v>
      </c>
      <c r="E39" s="23">
        <v>57</v>
      </c>
      <c r="G39" s="21" t="s">
        <v>3484</v>
      </c>
      <c r="H39" s="24">
        <v>62</v>
      </c>
    </row>
    <row r="40" spans="1:8">
      <c r="A40" s="21" t="s">
        <v>2870</v>
      </c>
      <c r="B40" s="22">
        <v>23</v>
      </c>
      <c r="D40" s="21" t="s">
        <v>628</v>
      </c>
      <c r="E40" s="23">
        <v>45</v>
      </c>
      <c r="G40" s="21" t="s">
        <v>3493</v>
      </c>
      <c r="H40" s="24">
        <v>65</v>
      </c>
    </row>
    <row r="41" spans="1:8">
      <c r="A41" s="21" t="s">
        <v>2875</v>
      </c>
      <c r="B41" s="22">
        <v>22</v>
      </c>
      <c r="D41" s="21" t="s">
        <v>649</v>
      </c>
      <c r="E41" s="23">
        <v>49</v>
      </c>
      <c r="G41" s="21" t="s">
        <v>3503</v>
      </c>
      <c r="H41" s="24">
        <v>69</v>
      </c>
    </row>
    <row r="42" spans="1:8">
      <c r="A42" s="21" t="s">
        <v>2880</v>
      </c>
      <c r="B42" s="22">
        <v>24</v>
      </c>
      <c r="D42" s="21" t="s">
        <v>661</v>
      </c>
      <c r="E42" s="23">
        <v>38</v>
      </c>
      <c r="G42" s="21" t="s">
        <v>3508</v>
      </c>
      <c r="H42" s="24">
        <v>67</v>
      </c>
    </row>
    <row r="43" spans="1:8">
      <c r="A43" s="21" t="s">
        <v>2885</v>
      </c>
      <c r="B43" s="22">
        <v>28</v>
      </c>
      <c r="D43" s="21" t="s">
        <v>671</v>
      </c>
      <c r="E43" s="23">
        <v>48</v>
      </c>
      <c r="G43" s="21" t="s">
        <v>3552</v>
      </c>
      <c r="H43" s="24">
        <v>73</v>
      </c>
    </row>
    <row r="44" spans="1:8">
      <c r="A44" s="21" t="s">
        <v>2890</v>
      </c>
      <c r="B44" s="22">
        <v>26</v>
      </c>
      <c r="D44" s="21" t="s">
        <v>682</v>
      </c>
      <c r="E44" s="23">
        <v>34</v>
      </c>
      <c r="G44" s="21" t="s">
        <v>3597</v>
      </c>
      <c r="H44" s="24">
        <v>83</v>
      </c>
    </row>
    <row r="45" spans="1:8">
      <c r="A45" s="21" t="s">
        <v>2895</v>
      </c>
      <c r="B45" s="22">
        <v>26</v>
      </c>
      <c r="D45" s="21" t="s">
        <v>687</v>
      </c>
      <c r="E45" s="23">
        <v>44</v>
      </c>
      <c r="G45" s="21" t="s">
        <v>3673</v>
      </c>
      <c r="H45" s="24">
        <v>62</v>
      </c>
    </row>
    <row r="46" spans="1:8">
      <c r="A46" s="21" t="s">
        <v>2900</v>
      </c>
      <c r="B46" s="22">
        <v>26</v>
      </c>
      <c r="D46" s="21" t="s">
        <v>692</v>
      </c>
      <c r="E46" s="23">
        <v>32</v>
      </c>
      <c r="G46" s="21" t="s">
        <v>3712</v>
      </c>
      <c r="H46" s="24">
        <v>77</v>
      </c>
    </row>
    <row r="47" spans="1:8">
      <c r="A47" s="21" t="s">
        <v>2905</v>
      </c>
      <c r="B47" s="22">
        <v>30</v>
      </c>
      <c r="D47" s="21" t="s">
        <v>707</v>
      </c>
      <c r="E47" s="23">
        <v>53</v>
      </c>
      <c r="G47" s="21" t="s">
        <v>3746</v>
      </c>
      <c r="H47" s="24">
        <v>66</v>
      </c>
    </row>
    <row r="48" spans="1:8">
      <c r="A48" s="21" t="s">
        <v>2910</v>
      </c>
      <c r="B48" s="22">
        <v>25</v>
      </c>
      <c r="D48" s="21" t="s">
        <v>712</v>
      </c>
      <c r="E48" s="23">
        <v>58</v>
      </c>
      <c r="G48" s="21" t="s">
        <v>3789</v>
      </c>
      <c r="H48" s="24">
        <v>63</v>
      </c>
    </row>
    <row r="49" spans="1:8">
      <c r="A49" s="21" t="s">
        <v>2915</v>
      </c>
      <c r="B49" s="22">
        <v>25</v>
      </c>
      <c r="D49" s="21" t="s">
        <v>717</v>
      </c>
      <c r="E49" s="23">
        <v>38</v>
      </c>
      <c r="G49" s="21" t="s">
        <v>3814</v>
      </c>
      <c r="H49" s="24">
        <v>64</v>
      </c>
    </row>
    <row r="50" spans="1:8">
      <c r="A50" s="21" t="s">
        <v>2920</v>
      </c>
      <c r="B50" s="22">
        <v>27</v>
      </c>
      <c r="D50" s="21" t="s">
        <v>738</v>
      </c>
      <c r="E50" s="23">
        <v>49</v>
      </c>
      <c r="G50" s="21" t="s">
        <v>3946</v>
      </c>
      <c r="H50" s="24">
        <v>61</v>
      </c>
    </row>
    <row r="51" spans="1:8">
      <c r="A51" s="21" t="s">
        <v>2925</v>
      </c>
      <c r="B51" s="22">
        <v>29</v>
      </c>
      <c r="D51" s="21" t="s">
        <v>743</v>
      </c>
      <c r="E51" s="23">
        <v>47</v>
      </c>
      <c r="G51" s="21" t="s">
        <v>3961</v>
      </c>
      <c r="H51" s="24">
        <v>65</v>
      </c>
    </row>
    <row r="52" spans="1:8">
      <c r="A52" s="21" t="s">
        <v>2930</v>
      </c>
      <c r="B52" s="22">
        <v>27</v>
      </c>
      <c r="D52" s="21" t="s">
        <v>748</v>
      </c>
      <c r="E52" s="23">
        <v>57</v>
      </c>
      <c r="G52" s="21" t="s">
        <v>3982</v>
      </c>
      <c r="H52" s="24">
        <v>76</v>
      </c>
    </row>
    <row r="53" spans="1:8">
      <c r="A53" s="21" t="s">
        <v>2950</v>
      </c>
      <c r="B53" s="22">
        <v>25</v>
      </c>
      <c r="D53" s="21" t="s">
        <v>754</v>
      </c>
      <c r="E53" s="23">
        <v>48</v>
      </c>
      <c r="G53" s="21" t="s">
        <v>4190</v>
      </c>
      <c r="H53" s="24">
        <v>68</v>
      </c>
    </row>
    <row r="54" spans="1:8">
      <c r="A54" s="21" t="s">
        <v>2989</v>
      </c>
      <c r="B54" s="22">
        <v>19</v>
      </c>
      <c r="D54" s="21" t="s">
        <v>759</v>
      </c>
      <c r="E54" s="23">
        <v>55</v>
      </c>
      <c r="G54" s="21" t="s">
        <v>4302</v>
      </c>
      <c r="H54" s="24">
        <v>62</v>
      </c>
    </row>
    <row r="55" spans="1:8">
      <c r="A55" s="21" t="s">
        <v>2998</v>
      </c>
      <c r="B55" s="22">
        <v>23</v>
      </c>
      <c r="D55" s="21" t="s">
        <v>769</v>
      </c>
      <c r="E55" s="23">
        <v>33</v>
      </c>
      <c r="G55" s="21" t="s">
        <v>4372</v>
      </c>
      <c r="H55" s="24">
        <v>70</v>
      </c>
    </row>
    <row r="56" spans="1:8">
      <c r="A56" s="21" t="s">
        <v>3003</v>
      </c>
      <c r="B56" s="22">
        <v>18</v>
      </c>
      <c r="D56" s="21" t="s">
        <v>779</v>
      </c>
      <c r="E56" s="23">
        <v>36</v>
      </c>
    </row>
    <row r="57" spans="1:8">
      <c r="A57" s="21" t="s">
        <v>3009</v>
      </c>
      <c r="B57" s="22">
        <v>20</v>
      </c>
      <c r="D57" s="21" t="s">
        <v>789</v>
      </c>
      <c r="E57" s="23">
        <v>57</v>
      </c>
    </row>
    <row r="58" spans="1:8">
      <c r="A58" s="21" t="s">
        <v>3014</v>
      </c>
      <c r="B58" s="22">
        <v>20</v>
      </c>
      <c r="D58" s="21" t="s">
        <v>800</v>
      </c>
      <c r="E58" s="23">
        <v>32</v>
      </c>
    </row>
    <row r="59" spans="1:8">
      <c r="A59" s="21" t="s">
        <v>3138</v>
      </c>
      <c r="B59" s="22">
        <v>28</v>
      </c>
      <c r="D59" s="21" t="s">
        <v>805</v>
      </c>
      <c r="E59" s="23">
        <v>45</v>
      </c>
    </row>
    <row r="60" spans="1:8">
      <c r="A60" s="21" t="s">
        <v>3162</v>
      </c>
      <c r="B60" s="22">
        <v>24</v>
      </c>
      <c r="D60" s="21" t="s">
        <v>810</v>
      </c>
      <c r="E60" s="23">
        <v>53</v>
      </c>
    </row>
    <row r="61" spans="1:8">
      <c r="A61" s="21" t="s">
        <v>3178</v>
      </c>
      <c r="B61" s="22">
        <v>21</v>
      </c>
      <c r="D61" s="21" t="s">
        <v>815</v>
      </c>
      <c r="E61" s="23">
        <v>50</v>
      </c>
    </row>
    <row r="62" spans="1:8">
      <c r="A62" s="21" t="s">
        <v>3203</v>
      </c>
      <c r="B62" s="22">
        <v>19</v>
      </c>
      <c r="D62" s="21" t="s">
        <v>830</v>
      </c>
      <c r="E62" s="23">
        <v>42</v>
      </c>
    </row>
    <row r="63" spans="1:8">
      <c r="A63" s="21" t="s">
        <v>3207</v>
      </c>
      <c r="B63" s="22">
        <v>27</v>
      </c>
      <c r="D63" s="21" t="s">
        <v>835</v>
      </c>
      <c r="E63" s="23">
        <v>33</v>
      </c>
    </row>
    <row r="64" spans="1:8">
      <c r="A64" s="21" t="s">
        <v>3239</v>
      </c>
      <c r="B64" s="22">
        <v>23</v>
      </c>
      <c r="D64" s="21" t="s">
        <v>846</v>
      </c>
      <c r="E64" s="23">
        <v>41</v>
      </c>
    </row>
    <row r="65" spans="1:5">
      <c r="A65" s="21" t="s">
        <v>3244</v>
      </c>
      <c r="B65" s="22">
        <v>29</v>
      </c>
      <c r="D65" s="21" t="s">
        <v>2046</v>
      </c>
      <c r="E65" s="23">
        <v>33</v>
      </c>
    </row>
    <row r="66" spans="1:5">
      <c r="A66" s="21" t="s">
        <v>3269</v>
      </c>
      <c r="B66" s="22">
        <v>29</v>
      </c>
      <c r="D66" s="21" t="s">
        <v>2051</v>
      </c>
      <c r="E66" s="23">
        <v>53</v>
      </c>
    </row>
    <row r="67" spans="1:5">
      <c r="A67" s="21" t="s">
        <v>3277</v>
      </c>
      <c r="B67" s="22">
        <v>22</v>
      </c>
      <c r="D67" s="21" t="s">
        <v>2307</v>
      </c>
      <c r="E67" s="23">
        <v>39</v>
      </c>
    </row>
    <row r="68" spans="1:5">
      <c r="A68" s="21" t="s">
        <v>3292</v>
      </c>
      <c r="B68" s="22">
        <v>29</v>
      </c>
      <c r="D68" s="21" t="s">
        <v>2315</v>
      </c>
      <c r="E68" s="23">
        <v>40</v>
      </c>
    </row>
    <row r="69" spans="1:5">
      <c r="A69" s="21" t="s">
        <v>3311</v>
      </c>
      <c r="B69" s="22">
        <v>30</v>
      </c>
      <c r="D69" s="21" t="s">
        <v>2323</v>
      </c>
      <c r="E69" s="23">
        <v>47</v>
      </c>
    </row>
    <row r="70" spans="1:5">
      <c r="A70" s="21" t="s">
        <v>3322</v>
      </c>
      <c r="B70" s="22">
        <v>27</v>
      </c>
      <c r="D70" s="21" t="s">
        <v>2327</v>
      </c>
      <c r="E70" s="23">
        <v>46</v>
      </c>
    </row>
    <row r="71" spans="1:5">
      <c r="A71" s="21" t="s">
        <v>3344</v>
      </c>
      <c r="B71" s="22">
        <v>29</v>
      </c>
      <c r="D71" s="21" t="s">
        <v>2331</v>
      </c>
      <c r="E71" s="23">
        <v>40</v>
      </c>
    </row>
    <row r="72" spans="1:5">
      <c r="A72" s="21" t="s">
        <v>3349</v>
      </c>
      <c r="B72" s="22">
        <v>26</v>
      </c>
      <c r="D72" s="21" t="s">
        <v>2352</v>
      </c>
      <c r="E72" s="23">
        <v>40</v>
      </c>
    </row>
    <row r="73" spans="1:5">
      <c r="A73" s="21" t="s">
        <v>3354</v>
      </c>
      <c r="B73" s="22">
        <v>29</v>
      </c>
      <c r="D73" s="21" t="s">
        <v>2356</v>
      </c>
      <c r="E73" s="23">
        <v>38</v>
      </c>
    </row>
    <row r="74" spans="1:5">
      <c r="A74" s="21" t="s">
        <v>3359</v>
      </c>
      <c r="B74" s="22">
        <v>25</v>
      </c>
      <c r="D74" s="21" t="s">
        <v>2360</v>
      </c>
      <c r="E74" s="23">
        <v>41</v>
      </c>
    </row>
    <row r="75" spans="1:5">
      <c r="A75" s="21" t="s">
        <v>3363</v>
      </c>
      <c r="B75" s="22">
        <v>25</v>
      </c>
      <c r="D75" s="21" t="s">
        <v>2364</v>
      </c>
      <c r="E75" s="23">
        <v>42</v>
      </c>
    </row>
    <row r="76" spans="1:5">
      <c r="A76" s="21" t="s">
        <v>3368</v>
      </c>
      <c r="B76" s="22">
        <v>27</v>
      </c>
      <c r="D76" s="21" t="s">
        <v>2369</v>
      </c>
      <c r="E76" s="23">
        <v>44</v>
      </c>
    </row>
    <row r="77" spans="1:5">
      <c r="A77" s="21" t="s">
        <v>3372</v>
      </c>
      <c r="B77" s="22">
        <v>28</v>
      </c>
      <c r="D77" s="21" t="s">
        <v>2373</v>
      </c>
      <c r="E77" s="23">
        <v>40</v>
      </c>
    </row>
    <row r="78" spans="1:5">
      <c r="A78" s="21" t="s">
        <v>3378</v>
      </c>
      <c r="B78" s="22">
        <v>24</v>
      </c>
      <c r="D78" s="21" t="s">
        <v>2377</v>
      </c>
      <c r="E78" s="23">
        <v>33</v>
      </c>
    </row>
    <row r="79" spans="1:5">
      <c r="A79" s="21" t="s">
        <v>3383</v>
      </c>
      <c r="B79" s="22">
        <v>30</v>
      </c>
      <c r="D79" s="21" t="s">
        <v>2381</v>
      </c>
      <c r="E79" s="23">
        <v>48</v>
      </c>
    </row>
    <row r="80" spans="1:5">
      <c r="A80" s="21" t="s">
        <v>3388</v>
      </c>
      <c r="B80" s="22">
        <v>20</v>
      </c>
      <c r="D80" s="21" t="s">
        <v>2385</v>
      </c>
      <c r="E80" s="23">
        <v>55</v>
      </c>
    </row>
    <row r="81" spans="1:5">
      <c r="A81" s="21" t="s">
        <v>3392</v>
      </c>
      <c r="B81" s="22">
        <v>21</v>
      </c>
      <c r="D81" s="21" t="s">
        <v>2389</v>
      </c>
      <c r="E81" s="23">
        <v>45</v>
      </c>
    </row>
    <row r="82" spans="1:5">
      <c r="A82" s="21" t="s">
        <v>3411</v>
      </c>
      <c r="B82" s="22">
        <v>29</v>
      </c>
      <c r="D82" s="21" t="s">
        <v>2393</v>
      </c>
      <c r="E82" s="23">
        <v>44</v>
      </c>
    </row>
    <row r="83" spans="1:5">
      <c r="A83" s="21" t="s">
        <v>3421</v>
      </c>
      <c r="B83" s="22">
        <v>29</v>
      </c>
      <c r="D83" s="21" t="s">
        <v>2397</v>
      </c>
      <c r="E83" s="23">
        <v>51</v>
      </c>
    </row>
    <row r="84" spans="1:5">
      <c r="A84" s="21" t="s">
        <v>3450</v>
      </c>
      <c r="B84" s="22">
        <v>30</v>
      </c>
      <c r="D84" s="21" t="s">
        <v>2406</v>
      </c>
      <c r="E84" s="23">
        <v>41</v>
      </c>
    </row>
    <row r="85" spans="1:5">
      <c r="A85" s="21" t="s">
        <v>3489</v>
      </c>
      <c r="B85" s="22">
        <v>26</v>
      </c>
      <c r="D85" s="21" t="s">
        <v>2420</v>
      </c>
      <c r="E85" s="23">
        <v>52</v>
      </c>
    </row>
    <row r="86" spans="1:5">
      <c r="A86" s="21" t="s">
        <v>3524</v>
      </c>
      <c r="B86" s="22">
        <v>22</v>
      </c>
      <c r="D86" s="21" t="s">
        <v>2428</v>
      </c>
      <c r="E86" s="23">
        <v>38</v>
      </c>
    </row>
    <row r="87" spans="1:5">
      <c r="A87" s="21" t="s">
        <v>3567</v>
      </c>
      <c r="B87" s="22">
        <v>20</v>
      </c>
      <c r="D87" s="21" t="s">
        <v>2432</v>
      </c>
      <c r="E87" s="23">
        <v>32</v>
      </c>
    </row>
    <row r="88" spans="1:5">
      <c r="A88" s="21" t="s">
        <v>3573</v>
      </c>
      <c r="B88" s="22">
        <v>21</v>
      </c>
      <c r="D88" s="21" t="s">
        <v>2437</v>
      </c>
      <c r="E88" s="23">
        <v>32</v>
      </c>
    </row>
    <row r="89" spans="1:5">
      <c r="A89" s="21" t="s">
        <v>3797</v>
      </c>
      <c r="B89" s="22">
        <v>27</v>
      </c>
      <c r="D89" s="21" t="s">
        <v>2477</v>
      </c>
      <c r="E89" s="23">
        <v>40</v>
      </c>
    </row>
    <row r="90" spans="1:5">
      <c r="A90" s="21" t="s">
        <v>3807</v>
      </c>
      <c r="B90" s="22">
        <v>29</v>
      </c>
      <c r="D90" s="21" t="s">
        <v>2481</v>
      </c>
      <c r="E90" s="23">
        <v>45</v>
      </c>
    </row>
    <row r="91" spans="1:5">
      <c r="A91" s="21" t="s">
        <v>4080</v>
      </c>
      <c r="B91" s="22">
        <v>25</v>
      </c>
      <c r="D91" s="21" t="s">
        <v>2485</v>
      </c>
      <c r="E91" s="23">
        <v>41</v>
      </c>
    </row>
    <row r="92" spans="1:5">
      <c r="A92" s="21" t="s">
        <v>4085</v>
      </c>
      <c r="B92" s="22">
        <v>21</v>
      </c>
      <c r="D92" s="21" t="s">
        <v>2493</v>
      </c>
      <c r="E92" s="23">
        <v>45</v>
      </c>
    </row>
    <row r="93" spans="1:5">
      <c r="A93" s="21" t="s">
        <v>4088</v>
      </c>
      <c r="B93" s="22">
        <v>22</v>
      </c>
      <c r="D93" s="21" t="s">
        <v>2497</v>
      </c>
      <c r="E93" s="23">
        <v>43</v>
      </c>
    </row>
    <row r="94" spans="1:5">
      <c r="A94" s="21" t="s">
        <v>4091</v>
      </c>
      <c r="B94" s="22">
        <v>18</v>
      </c>
      <c r="D94" s="21" t="s">
        <v>2501</v>
      </c>
      <c r="E94" s="23">
        <v>42</v>
      </c>
    </row>
    <row r="95" spans="1:5">
      <c r="A95" s="21" t="s">
        <v>4094</v>
      </c>
      <c r="B95" s="22">
        <v>23</v>
      </c>
      <c r="D95" s="21" t="s">
        <v>2505</v>
      </c>
      <c r="E95" s="23">
        <v>34</v>
      </c>
    </row>
    <row r="96" spans="1:5">
      <c r="A96" s="21" t="s">
        <v>4097</v>
      </c>
      <c r="B96" s="22">
        <v>24</v>
      </c>
      <c r="D96" s="21" t="s">
        <v>2513</v>
      </c>
      <c r="E96" s="23">
        <v>53</v>
      </c>
    </row>
    <row r="97" spans="1:5">
      <c r="A97" s="21" t="s">
        <v>4100</v>
      </c>
      <c r="B97" s="22">
        <v>18</v>
      </c>
      <c r="D97" s="21" t="s">
        <v>2517</v>
      </c>
      <c r="E97" s="23">
        <v>47</v>
      </c>
    </row>
    <row r="98" spans="1:5">
      <c r="A98" s="21" t="s">
        <v>4103</v>
      </c>
      <c r="B98" s="22">
        <v>18</v>
      </c>
      <c r="D98" s="21" t="s">
        <v>2521</v>
      </c>
      <c r="E98" s="23">
        <v>33</v>
      </c>
    </row>
    <row r="99" spans="1:5">
      <c r="A99" s="21" t="s">
        <v>4106</v>
      </c>
      <c r="B99" s="22">
        <v>23</v>
      </c>
      <c r="D99" s="21" t="s">
        <v>2529</v>
      </c>
      <c r="E99" s="23">
        <v>53</v>
      </c>
    </row>
    <row r="100" spans="1:5">
      <c r="A100" s="21" t="s">
        <v>4109</v>
      </c>
      <c r="B100" s="22">
        <v>18</v>
      </c>
      <c r="D100" s="21" t="s">
        <v>2537</v>
      </c>
      <c r="E100" s="23">
        <v>41</v>
      </c>
    </row>
    <row r="101" spans="1:5">
      <c r="A101" s="21" t="s">
        <v>4112</v>
      </c>
      <c r="B101" s="22">
        <v>29</v>
      </c>
      <c r="D101" s="21" t="s">
        <v>2541</v>
      </c>
      <c r="E101" s="23">
        <v>54</v>
      </c>
    </row>
    <row r="102" spans="1:5">
      <c r="A102" s="21" t="s">
        <v>4115</v>
      </c>
      <c r="B102" s="22">
        <v>27</v>
      </c>
      <c r="D102" s="21" t="s">
        <v>2545</v>
      </c>
      <c r="E102" s="23">
        <v>34</v>
      </c>
    </row>
    <row r="103" spans="1:5">
      <c r="A103" s="21" t="s">
        <v>4118</v>
      </c>
      <c r="B103" s="22">
        <v>24</v>
      </c>
      <c r="D103" s="21" t="s">
        <v>2549</v>
      </c>
      <c r="E103" s="23">
        <v>38</v>
      </c>
    </row>
    <row r="104" spans="1:5">
      <c r="A104" s="21" t="s">
        <v>4121</v>
      </c>
      <c r="B104" s="22">
        <v>25</v>
      </c>
      <c r="D104" s="21" t="s">
        <v>2553</v>
      </c>
      <c r="E104" s="23">
        <v>35</v>
      </c>
    </row>
    <row r="105" spans="1:5">
      <c r="A105" s="21" t="s">
        <v>4124</v>
      </c>
      <c r="B105" s="22">
        <v>25</v>
      </c>
      <c r="D105" s="21" t="s">
        <v>2557</v>
      </c>
      <c r="E105" s="23">
        <v>53</v>
      </c>
    </row>
    <row r="106" spans="1:5">
      <c r="A106" s="21" t="s">
        <v>4127</v>
      </c>
      <c r="B106" s="22">
        <v>25</v>
      </c>
      <c r="D106" s="21" t="s">
        <v>2566</v>
      </c>
      <c r="E106" s="23">
        <v>36</v>
      </c>
    </row>
    <row r="107" spans="1:5">
      <c r="A107" s="21" t="s">
        <v>4130</v>
      </c>
      <c r="B107" s="22">
        <v>25</v>
      </c>
      <c r="D107" s="21" t="s">
        <v>2570</v>
      </c>
      <c r="E107" s="23">
        <v>45</v>
      </c>
    </row>
    <row r="108" spans="1:5">
      <c r="A108" s="21" t="s">
        <v>4133</v>
      </c>
      <c r="B108" s="22">
        <v>25</v>
      </c>
      <c r="D108" s="21" t="s">
        <v>2578</v>
      </c>
      <c r="E108" s="23">
        <v>57</v>
      </c>
    </row>
    <row r="109" spans="1:5">
      <c r="A109" s="21" t="s">
        <v>4136</v>
      </c>
      <c r="B109" s="22">
        <v>29</v>
      </c>
      <c r="D109" s="21" t="s">
        <v>2582</v>
      </c>
      <c r="E109" s="23">
        <v>50</v>
      </c>
    </row>
    <row r="110" spans="1:5">
      <c r="A110" s="21" t="s">
        <v>4141</v>
      </c>
      <c r="B110" s="22">
        <v>27</v>
      </c>
      <c r="D110" s="21" t="s">
        <v>2607</v>
      </c>
      <c r="E110" s="23">
        <v>38</v>
      </c>
    </row>
    <row r="111" spans="1:5">
      <c r="A111" s="21" t="s">
        <v>4146</v>
      </c>
      <c r="B111" s="22">
        <v>28</v>
      </c>
      <c r="D111" s="21" t="s">
        <v>2611</v>
      </c>
      <c r="E111" s="23">
        <v>50</v>
      </c>
    </row>
    <row r="112" spans="1:5">
      <c r="A112" s="21" t="s">
        <v>4151</v>
      </c>
      <c r="B112" s="22">
        <v>29</v>
      </c>
      <c r="D112" s="21" t="s">
        <v>2619</v>
      </c>
      <c r="E112" s="23">
        <v>46</v>
      </c>
    </row>
    <row r="113" spans="1:5">
      <c r="A113" s="21" t="s">
        <v>4156</v>
      </c>
      <c r="B113" s="22">
        <v>29</v>
      </c>
      <c r="D113" s="21" t="s">
        <v>2623</v>
      </c>
      <c r="E113" s="23">
        <v>47</v>
      </c>
    </row>
    <row r="114" spans="1:5">
      <c r="A114" s="21" t="s">
        <v>4160</v>
      </c>
      <c r="B114" s="22">
        <v>25</v>
      </c>
      <c r="D114" s="21" t="s">
        <v>2627</v>
      </c>
      <c r="E114" s="23">
        <v>43</v>
      </c>
    </row>
    <row r="115" spans="1:5">
      <c r="A115" s="21" t="s">
        <v>4164</v>
      </c>
      <c r="B115" s="22">
        <v>25</v>
      </c>
      <c r="D115" s="21" t="s">
        <v>2631</v>
      </c>
      <c r="E115" s="23">
        <v>45</v>
      </c>
    </row>
    <row r="116" spans="1:5">
      <c r="A116" s="21" t="s">
        <v>4205</v>
      </c>
      <c r="B116" s="22">
        <v>22</v>
      </c>
      <c r="D116" s="21" t="s">
        <v>2635</v>
      </c>
      <c r="E116" s="23">
        <v>36</v>
      </c>
    </row>
    <row r="117" spans="1:5">
      <c r="A117" s="21" t="s">
        <v>4227</v>
      </c>
      <c r="B117" s="22">
        <v>28</v>
      </c>
      <c r="D117" s="21" t="s">
        <v>2644</v>
      </c>
      <c r="E117" s="23">
        <v>31</v>
      </c>
    </row>
    <row r="118" spans="1:5">
      <c r="A118" s="21" t="s">
        <v>4247</v>
      </c>
      <c r="B118" s="22">
        <v>29</v>
      </c>
      <c r="D118" s="21" t="s">
        <v>2648</v>
      </c>
      <c r="E118" s="23">
        <v>54</v>
      </c>
    </row>
    <row r="119" spans="1:5">
      <c r="A119" s="21" t="s">
        <v>4327</v>
      </c>
      <c r="B119" s="22">
        <v>18</v>
      </c>
      <c r="D119" s="21" t="s">
        <v>2652</v>
      </c>
      <c r="E119" s="23">
        <v>35</v>
      </c>
    </row>
    <row r="120" spans="1:5">
      <c r="A120" s="21" t="s">
        <v>4367</v>
      </c>
      <c r="B120" s="22">
        <v>25</v>
      </c>
      <c r="D120" s="21" t="s">
        <v>2703</v>
      </c>
      <c r="E120" s="23">
        <v>58</v>
      </c>
    </row>
    <row r="121" spans="1:5">
      <c r="D121" s="21" t="s">
        <v>2724</v>
      </c>
      <c r="E121" s="23">
        <v>57</v>
      </c>
    </row>
    <row r="122" spans="1:5">
      <c r="D122" s="21" t="s">
        <v>2744</v>
      </c>
      <c r="E122" s="23">
        <v>37</v>
      </c>
    </row>
    <row r="123" spans="1:5">
      <c r="D123" s="21" t="s">
        <v>2752</v>
      </c>
      <c r="E123" s="23">
        <v>59</v>
      </c>
    </row>
    <row r="124" spans="1:5">
      <c r="D124" s="21" t="s">
        <v>2780</v>
      </c>
      <c r="E124" s="23">
        <v>47</v>
      </c>
    </row>
    <row r="125" spans="1:5">
      <c r="D125" s="21" t="s">
        <v>2844</v>
      </c>
      <c r="E125" s="23">
        <v>40</v>
      </c>
    </row>
    <row r="126" spans="1:5">
      <c r="D126" s="21" t="s">
        <v>2934</v>
      </c>
      <c r="E126" s="23">
        <v>32</v>
      </c>
    </row>
    <row r="127" spans="1:5">
      <c r="D127" s="21" t="s">
        <v>2939</v>
      </c>
      <c r="E127" s="23">
        <v>31</v>
      </c>
    </row>
    <row r="128" spans="1:5">
      <c r="D128" s="21" t="s">
        <v>2944</v>
      </c>
      <c r="E128" s="23">
        <v>34</v>
      </c>
    </row>
    <row r="129" spans="4:5">
      <c r="D129" s="21" t="s">
        <v>2954</v>
      </c>
      <c r="E129" s="23">
        <v>33</v>
      </c>
    </row>
    <row r="130" spans="4:5">
      <c r="D130" s="21" t="s">
        <v>2959</v>
      </c>
      <c r="E130" s="23">
        <v>32</v>
      </c>
    </row>
    <row r="131" spans="4:5">
      <c r="D131" s="21" t="s">
        <v>2964</v>
      </c>
      <c r="E131" s="23">
        <v>32</v>
      </c>
    </row>
    <row r="132" spans="4:5">
      <c r="D132" s="21" t="s">
        <v>2969</v>
      </c>
      <c r="E132" s="23">
        <v>35</v>
      </c>
    </row>
    <row r="133" spans="4:5">
      <c r="D133" s="21" t="s">
        <v>2973</v>
      </c>
      <c r="E133" s="23">
        <v>31</v>
      </c>
    </row>
    <row r="134" spans="4:5">
      <c r="D134" s="21" t="s">
        <v>2978</v>
      </c>
      <c r="E134" s="23">
        <v>32</v>
      </c>
    </row>
    <row r="135" spans="4:5">
      <c r="D135" s="21" t="s">
        <v>2983</v>
      </c>
      <c r="E135" s="23">
        <v>34</v>
      </c>
    </row>
    <row r="136" spans="4:5">
      <c r="D136" s="21" t="s">
        <v>2993</v>
      </c>
      <c r="E136" s="23">
        <v>50</v>
      </c>
    </row>
    <row r="137" spans="4:5">
      <c r="D137" s="21" t="s">
        <v>3018</v>
      </c>
      <c r="E137" s="23">
        <v>56</v>
      </c>
    </row>
    <row r="138" spans="4:5">
      <c r="D138" s="21" t="s">
        <v>3093</v>
      </c>
      <c r="E138" s="23">
        <v>50</v>
      </c>
    </row>
    <row r="139" spans="4:5">
      <c r="D139" s="21" t="s">
        <v>3108</v>
      </c>
      <c r="E139" s="23">
        <v>34</v>
      </c>
    </row>
    <row r="140" spans="4:5">
      <c r="D140" s="21" t="s">
        <v>3112</v>
      </c>
      <c r="E140" s="23">
        <v>57</v>
      </c>
    </row>
    <row r="141" spans="4:5">
      <c r="D141" s="21" t="s">
        <v>3117</v>
      </c>
      <c r="E141" s="23">
        <v>52</v>
      </c>
    </row>
    <row r="142" spans="4:5">
      <c r="D142" s="21" t="s">
        <v>3122</v>
      </c>
      <c r="E142" s="23">
        <v>45</v>
      </c>
    </row>
    <row r="143" spans="4:5">
      <c r="D143" s="21" t="s">
        <v>3132</v>
      </c>
      <c r="E143" s="23">
        <v>35</v>
      </c>
    </row>
    <row r="144" spans="4:5">
      <c r="D144" s="21" t="s">
        <v>3142</v>
      </c>
      <c r="E144" s="23">
        <v>46</v>
      </c>
    </row>
    <row r="145" spans="4:5">
      <c r="D145" s="21" t="s">
        <v>3147</v>
      </c>
      <c r="E145" s="23">
        <v>38</v>
      </c>
    </row>
    <row r="146" spans="4:5">
      <c r="D146" s="21" t="s">
        <v>3152</v>
      </c>
      <c r="E146" s="23">
        <v>39</v>
      </c>
    </row>
    <row r="147" spans="4:5">
      <c r="D147" s="21" t="s">
        <v>3157</v>
      </c>
      <c r="E147" s="23">
        <v>55</v>
      </c>
    </row>
    <row r="148" spans="4:5">
      <c r="D148" s="21" t="s">
        <v>3167</v>
      </c>
      <c r="E148" s="23">
        <v>56</v>
      </c>
    </row>
    <row r="149" spans="4:5">
      <c r="D149" s="21" t="s">
        <v>3172</v>
      </c>
      <c r="E149" s="23">
        <v>50</v>
      </c>
    </row>
    <row r="150" spans="4:5">
      <c r="D150" s="21" t="s">
        <v>3182</v>
      </c>
      <c r="E150" s="23">
        <v>33</v>
      </c>
    </row>
    <row r="151" spans="4:5">
      <c r="D151" s="21" t="s">
        <v>3187</v>
      </c>
      <c r="E151" s="23">
        <v>38</v>
      </c>
    </row>
    <row r="152" spans="4:5">
      <c r="D152" s="21" t="s">
        <v>3212</v>
      </c>
      <c r="E152" s="23">
        <v>52</v>
      </c>
    </row>
    <row r="153" spans="4:5">
      <c r="D153" s="21" t="s">
        <v>3216</v>
      </c>
      <c r="E153" s="23">
        <v>31</v>
      </c>
    </row>
    <row r="154" spans="4:5">
      <c r="D154" s="21" t="s">
        <v>3220</v>
      </c>
      <c r="E154" s="23">
        <v>50</v>
      </c>
    </row>
    <row r="155" spans="4:5">
      <c r="D155" s="21" t="s">
        <v>3225</v>
      </c>
      <c r="E155" s="23">
        <v>38</v>
      </c>
    </row>
    <row r="156" spans="4:5">
      <c r="D156" s="21" t="s">
        <v>3230</v>
      </c>
      <c r="E156" s="23">
        <v>53</v>
      </c>
    </row>
    <row r="157" spans="4:5">
      <c r="D157" s="21" t="s">
        <v>3234</v>
      </c>
      <c r="E157" s="23">
        <v>46</v>
      </c>
    </row>
    <row r="158" spans="4:5">
      <c r="D158" s="21" t="s">
        <v>3253</v>
      </c>
      <c r="E158" s="23">
        <v>37</v>
      </c>
    </row>
    <row r="159" spans="4:5">
      <c r="D159" s="21" t="s">
        <v>3258</v>
      </c>
      <c r="E159" s="23">
        <v>31</v>
      </c>
    </row>
    <row r="160" spans="4:5">
      <c r="D160" s="21" t="s">
        <v>3263</v>
      </c>
      <c r="E160" s="23">
        <v>59</v>
      </c>
    </row>
    <row r="161" spans="4:5">
      <c r="D161" s="21" t="s">
        <v>3273</v>
      </c>
      <c r="E161" s="23">
        <v>34</v>
      </c>
    </row>
    <row r="162" spans="4:5">
      <c r="D162" s="21" t="s">
        <v>3281</v>
      </c>
      <c r="E162" s="23">
        <v>43</v>
      </c>
    </row>
    <row r="163" spans="4:5">
      <c r="D163" s="21" t="s">
        <v>3286</v>
      </c>
      <c r="E163" s="23">
        <v>37</v>
      </c>
    </row>
    <row r="164" spans="4:5">
      <c r="D164" s="21" t="s">
        <v>3296</v>
      </c>
      <c r="E164" s="23">
        <v>36</v>
      </c>
    </row>
    <row r="165" spans="4:5">
      <c r="D165" s="21" t="s">
        <v>3301</v>
      </c>
      <c r="E165" s="23">
        <v>41</v>
      </c>
    </row>
    <row r="166" spans="4:5">
      <c r="D166" s="21" t="s">
        <v>3306</v>
      </c>
      <c r="E166" s="23">
        <v>44</v>
      </c>
    </row>
    <row r="167" spans="4:5">
      <c r="D167" s="21" t="s">
        <v>3316</v>
      </c>
      <c r="E167" s="23">
        <v>37</v>
      </c>
    </row>
    <row r="168" spans="4:5">
      <c r="D168" s="21" t="s">
        <v>3326</v>
      </c>
      <c r="E168" s="23">
        <v>55</v>
      </c>
    </row>
    <row r="169" spans="4:5">
      <c r="D169" s="21" t="s">
        <v>3330</v>
      </c>
      <c r="E169" s="23">
        <v>32</v>
      </c>
    </row>
    <row r="170" spans="4:5">
      <c r="D170" s="21" t="s">
        <v>3334</v>
      </c>
      <c r="E170" s="23">
        <v>58</v>
      </c>
    </row>
    <row r="171" spans="4:5">
      <c r="D171" s="21" t="s">
        <v>3339</v>
      </c>
      <c r="E171" s="23">
        <v>38</v>
      </c>
    </row>
    <row r="172" spans="4:5">
      <c r="D172" s="21" t="s">
        <v>3397</v>
      </c>
      <c r="E172" s="23">
        <v>36</v>
      </c>
    </row>
    <row r="173" spans="4:5">
      <c r="D173" s="21" t="s">
        <v>3401</v>
      </c>
      <c r="E173" s="23">
        <v>31</v>
      </c>
    </row>
    <row r="174" spans="4:5">
      <c r="D174" s="21" t="s">
        <v>3406</v>
      </c>
      <c r="E174" s="23">
        <v>52</v>
      </c>
    </row>
    <row r="175" spans="4:5">
      <c r="D175" s="21" t="s">
        <v>3426</v>
      </c>
      <c r="E175" s="23">
        <v>58</v>
      </c>
    </row>
    <row r="176" spans="4:5">
      <c r="D176" s="21" t="s">
        <v>3431</v>
      </c>
      <c r="E176" s="23">
        <v>55</v>
      </c>
    </row>
    <row r="177" spans="4:5">
      <c r="D177" s="21" t="s">
        <v>3436</v>
      </c>
      <c r="E177" s="23">
        <v>40</v>
      </c>
    </row>
    <row r="178" spans="4:5">
      <c r="D178" s="21" t="s">
        <v>3440</v>
      </c>
      <c r="E178" s="23">
        <v>49</v>
      </c>
    </row>
    <row r="179" spans="4:5">
      <c r="D179" s="21" t="s">
        <v>3445</v>
      </c>
      <c r="E179" s="23">
        <v>56</v>
      </c>
    </row>
    <row r="180" spans="4:5">
      <c r="D180" s="21" t="s">
        <v>3455</v>
      </c>
      <c r="E180" s="23">
        <v>55</v>
      </c>
    </row>
    <row r="181" spans="4:5">
      <c r="D181" s="21" t="s">
        <v>3459</v>
      </c>
      <c r="E181" s="23">
        <v>53</v>
      </c>
    </row>
    <row r="182" spans="4:5">
      <c r="D182" s="21" t="s">
        <v>3464</v>
      </c>
      <c r="E182" s="23">
        <v>40</v>
      </c>
    </row>
    <row r="183" spans="4:5">
      <c r="D183" s="21" t="s">
        <v>3469</v>
      </c>
      <c r="E183" s="23">
        <v>39</v>
      </c>
    </row>
    <row r="184" spans="4:5">
      <c r="D184" s="21" t="s">
        <v>3474</v>
      </c>
      <c r="E184" s="23">
        <v>38</v>
      </c>
    </row>
    <row r="185" spans="4:5">
      <c r="D185" s="21" t="s">
        <v>3479</v>
      </c>
      <c r="E185" s="23">
        <v>36</v>
      </c>
    </row>
    <row r="186" spans="4:5">
      <c r="D186" s="21" t="s">
        <v>3498</v>
      </c>
      <c r="E186" s="23">
        <v>55</v>
      </c>
    </row>
    <row r="187" spans="4:5">
      <c r="D187" s="21" t="s">
        <v>3513</v>
      </c>
      <c r="E187" s="23">
        <v>52</v>
      </c>
    </row>
    <row r="188" spans="4:5">
      <c r="D188" s="21" t="s">
        <v>3518</v>
      </c>
      <c r="E188" s="23">
        <v>54</v>
      </c>
    </row>
    <row r="189" spans="4:5">
      <c r="D189" s="21" t="s">
        <v>3528</v>
      </c>
      <c r="E189" s="23">
        <v>56</v>
      </c>
    </row>
    <row r="190" spans="4:5">
      <c r="D190" s="21" t="s">
        <v>3533</v>
      </c>
      <c r="E190" s="23">
        <v>50</v>
      </c>
    </row>
    <row r="191" spans="4:5">
      <c r="D191" s="21" t="s">
        <v>3538</v>
      </c>
      <c r="E191" s="23">
        <v>53</v>
      </c>
    </row>
    <row r="192" spans="4:5">
      <c r="D192" s="21" t="s">
        <v>3543</v>
      </c>
      <c r="E192" s="23">
        <v>51</v>
      </c>
    </row>
    <row r="193" spans="4:5">
      <c r="D193" s="21" t="s">
        <v>3547</v>
      </c>
      <c r="E193" s="23">
        <v>39</v>
      </c>
    </row>
    <row r="194" spans="4:5">
      <c r="D194" s="21" t="s">
        <v>3557</v>
      </c>
      <c r="E194" s="23">
        <v>38</v>
      </c>
    </row>
    <row r="195" spans="4:5">
      <c r="D195" s="21" t="s">
        <v>3562</v>
      </c>
      <c r="E195" s="23">
        <v>43</v>
      </c>
    </row>
    <row r="196" spans="4:5">
      <c r="D196" s="21" t="s">
        <v>3577</v>
      </c>
      <c r="E196" s="23">
        <v>56</v>
      </c>
    </row>
    <row r="197" spans="4:5">
      <c r="D197" s="21" t="s">
        <v>3588</v>
      </c>
      <c r="E197" s="23">
        <v>55</v>
      </c>
    </row>
    <row r="198" spans="4:5">
      <c r="D198" s="21" t="s">
        <v>3592</v>
      </c>
      <c r="E198" s="23">
        <v>56</v>
      </c>
    </row>
    <row r="199" spans="4:5">
      <c r="D199" s="21" t="s">
        <v>3614</v>
      </c>
      <c r="E199" s="23">
        <v>41</v>
      </c>
    </row>
    <row r="200" spans="4:5">
      <c r="D200" s="21" t="s">
        <v>3627</v>
      </c>
      <c r="E200" s="23">
        <v>44</v>
      </c>
    </row>
    <row r="201" spans="4:5">
      <c r="D201" s="21" t="s">
        <v>3632</v>
      </c>
      <c r="E201" s="23">
        <v>55</v>
      </c>
    </row>
    <row r="202" spans="4:5">
      <c r="D202" s="21" t="s">
        <v>3658</v>
      </c>
      <c r="E202" s="23">
        <v>58</v>
      </c>
    </row>
    <row r="203" spans="4:5">
      <c r="D203" s="21" t="s">
        <v>3682</v>
      </c>
      <c r="E203" s="23">
        <v>54</v>
      </c>
    </row>
    <row r="204" spans="4:5">
      <c r="D204" s="21" t="s">
        <v>3726</v>
      </c>
      <c r="E204" s="23">
        <v>57</v>
      </c>
    </row>
    <row r="205" spans="4:5">
      <c r="D205" s="21" t="s">
        <v>3759</v>
      </c>
      <c r="E205" s="23">
        <v>55</v>
      </c>
    </row>
    <row r="206" spans="4:5">
      <c r="D206" s="21" t="s">
        <v>3770</v>
      </c>
      <c r="E206" s="23">
        <v>33</v>
      </c>
    </row>
    <row r="207" spans="4:5">
      <c r="D207" s="21" t="s">
        <v>3780</v>
      </c>
      <c r="E207" s="23">
        <v>57</v>
      </c>
    </row>
    <row r="208" spans="4:5">
      <c r="D208" s="21" t="s">
        <v>3811</v>
      </c>
      <c r="E208" s="23">
        <v>60</v>
      </c>
    </row>
    <row r="209" spans="4:5">
      <c r="D209" s="21" t="s">
        <v>3818</v>
      </c>
      <c r="E209" s="23">
        <v>58</v>
      </c>
    </row>
    <row r="210" spans="4:5">
      <c r="D210" s="21" t="s">
        <v>3846</v>
      </c>
      <c r="E210" s="23">
        <v>46</v>
      </c>
    </row>
    <row r="211" spans="4:5">
      <c r="D211" s="21" t="s">
        <v>3850</v>
      </c>
      <c r="E211" s="23">
        <v>41</v>
      </c>
    </row>
    <row r="212" spans="4:5">
      <c r="D212" s="21" t="s">
        <v>3854</v>
      </c>
      <c r="E212" s="23">
        <v>36</v>
      </c>
    </row>
    <row r="213" spans="4:5">
      <c r="D213" s="21" t="s">
        <v>3858</v>
      </c>
      <c r="E213" s="23">
        <v>36</v>
      </c>
    </row>
    <row r="214" spans="4:5">
      <c r="D214" s="21" t="s">
        <v>3862</v>
      </c>
      <c r="E214" s="23">
        <v>39</v>
      </c>
    </row>
    <row r="215" spans="4:5">
      <c r="D215" s="21" t="s">
        <v>3866</v>
      </c>
      <c r="E215" s="23">
        <v>51</v>
      </c>
    </row>
    <row r="216" spans="4:5">
      <c r="D216" s="21" t="s">
        <v>3876</v>
      </c>
      <c r="E216" s="23">
        <v>48</v>
      </c>
    </row>
    <row r="217" spans="4:5">
      <c r="D217" s="21" t="s">
        <v>3929</v>
      </c>
      <c r="E217" s="23">
        <v>38</v>
      </c>
    </row>
    <row r="218" spans="4:5">
      <c r="D218" s="21" t="s">
        <v>3934</v>
      </c>
      <c r="E218" s="23">
        <v>48</v>
      </c>
    </row>
    <row r="219" spans="4:5">
      <c r="D219" s="21" t="s">
        <v>3941</v>
      </c>
      <c r="E219" s="23">
        <v>49</v>
      </c>
    </row>
    <row r="220" spans="4:5">
      <c r="D220" s="21" t="s">
        <v>3951</v>
      </c>
      <c r="E220" s="23">
        <v>46</v>
      </c>
    </row>
    <row r="221" spans="4:5">
      <c r="D221" s="21" t="s">
        <v>3956</v>
      </c>
      <c r="E221" s="23">
        <v>41</v>
      </c>
    </row>
    <row r="222" spans="4:5">
      <c r="D222" s="21" t="s">
        <v>3966</v>
      </c>
      <c r="E222" s="23">
        <v>48</v>
      </c>
    </row>
    <row r="223" spans="4:5">
      <c r="D223" s="21" t="s">
        <v>3971</v>
      </c>
      <c r="E223" s="23">
        <v>45</v>
      </c>
    </row>
    <row r="224" spans="4:5">
      <c r="D224" s="21" t="s">
        <v>3977</v>
      </c>
      <c r="E224" s="23">
        <v>43</v>
      </c>
    </row>
    <row r="225" spans="4:5">
      <c r="D225" s="21" t="s">
        <v>3987</v>
      </c>
      <c r="E225" s="23">
        <v>39</v>
      </c>
    </row>
    <row r="226" spans="4:5">
      <c r="D226" s="21" t="s">
        <v>4008</v>
      </c>
      <c r="E226" s="23">
        <v>54</v>
      </c>
    </row>
    <row r="227" spans="4:5">
      <c r="D227" s="21" t="s">
        <v>4020</v>
      </c>
      <c r="E227" s="23">
        <v>56</v>
      </c>
    </row>
    <row r="228" spans="4:5">
      <c r="D228" s="21" t="s">
        <v>4025</v>
      </c>
      <c r="E228" s="23">
        <v>42</v>
      </c>
    </row>
    <row r="229" spans="4:5">
      <c r="D229" s="21" t="s">
        <v>4030</v>
      </c>
      <c r="E229" s="23">
        <v>31</v>
      </c>
    </row>
    <row r="230" spans="4:5">
      <c r="D230" s="21" t="s">
        <v>4035</v>
      </c>
      <c r="E230" s="23">
        <v>48</v>
      </c>
    </row>
    <row r="231" spans="4:5">
      <c r="D231" s="21" t="s">
        <v>4061</v>
      </c>
      <c r="E231" s="23">
        <v>37</v>
      </c>
    </row>
    <row r="232" spans="4:5">
      <c r="D232" s="21" t="s">
        <v>4064</v>
      </c>
      <c r="E232" s="23">
        <v>43</v>
      </c>
    </row>
    <row r="233" spans="4:5">
      <c r="D233" s="21" t="s">
        <v>4169</v>
      </c>
      <c r="E233" s="23">
        <v>32</v>
      </c>
    </row>
    <row r="234" spans="4:5">
      <c r="D234" s="21" t="s">
        <v>4174</v>
      </c>
      <c r="E234" s="23">
        <v>35</v>
      </c>
    </row>
    <row r="235" spans="4:5">
      <c r="D235" s="21" t="s">
        <v>4179</v>
      </c>
      <c r="E235" s="23">
        <v>48</v>
      </c>
    </row>
    <row r="236" spans="4:5">
      <c r="D236" s="21" t="s">
        <v>4184</v>
      </c>
      <c r="E236" s="23">
        <v>46</v>
      </c>
    </row>
    <row r="237" spans="4:5">
      <c r="D237" s="21" t="s">
        <v>4187</v>
      </c>
      <c r="E237" s="23">
        <v>48</v>
      </c>
    </row>
    <row r="238" spans="4:5">
      <c r="D238" s="21" t="s">
        <v>4199</v>
      </c>
      <c r="E238" s="23">
        <v>51</v>
      </c>
    </row>
    <row r="239" spans="4:5">
      <c r="D239" s="21" t="s">
        <v>4202</v>
      </c>
      <c r="E239" s="23">
        <v>43</v>
      </c>
    </row>
    <row r="240" spans="4:5">
      <c r="D240" s="21" t="s">
        <v>4208</v>
      </c>
      <c r="E240" s="23">
        <v>59</v>
      </c>
    </row>
    <row r="241" spans="4:5">
      <c r="D241" s="21" t="s">
        <v>4213</v>
      </c>
      <c r="E241" s="23">
        <v>41</v>
      </c>
    </row>
    <row r="242" spans="4:5">
      <c r="D242" s="21" t="s">
        <v>4224</v>
      </c>
      <c r="E242" s="23">
        <v>39</v>
      </c>
    </row>
    <row r="243" spans="4:5">
      <c r="D243" s="21" t="s">
        <v>4244</v>
      </c>
      <c r="E243" s="23">
        <v>35</v>
      </c>
    </row>
    <row r="244" spans="4:5">
      <c r="D244" s="21" t="s">
        <v>4250</v>
      </c>
      <c r="E244" s="23">
        <v>48</v>
      </c>
    </row>
    <row r="245" spans="4:5">
      <c r="D245" s="21" t="s">
        <v>4253</v>
      </c>
      <c r="E245" s="23">
        <v>46</v>
      </c>
    </row>
    <row r="246" spans="4:5">
      <c r="D246" s="21" t="s">
        <v>4728</v>
      </c>
      <c r="E246" s="23">
        <v>37</v>
      </c>
    </row>
    <row r="247" spans="4:5">
      <c r="D247" s="21" t="s">
        <v>4330</v>
      </c>
      <c r="E247" s="23">
        <v>35</v>
      </c>
    </row>
    <row r="248" spans="4:5">
      <c r="D248" s="21" t="s">
        <v>4333</v>
      </c>
      <c r="E248" s="23">
        <v>31</v>
      </c>
    </row>
    <row r="249" spans="4:5">
      <c r="D249" s="21" t="s">
        <v>4336</v>
      </c>
      <c r="E249" s="23">
        <v>55</v>
      </c>
    </row>
    <row r="250" spans="4:5">
      <c r="D250" s="21" t="s">
        <v>4339</v>
      </c>
      <c r="E250" s="23">
        <v>34</v>
      </c>
    </row>
    <row r="251" spans="4:5">
      <c r="D251" s="21" t="s">
        <v>4342</v>
      </c>
      <c r="E251" s="23">
        <v>56</v>
      </c>
    </row>
    <row r="252" spans="4:5">
      <c r="D252" s="21" t="s">
        <v>4349</v>
      </c>
      <c r="E252" s="23">
        <v>58</v>
      </c>
    </row>
    <row r="253" spans="4:5">
      <c r="D253" s="21" t="s">
        <v>4352</v>
      </c>
      <c r="E253" s="23">
        <v>50</v>
      </c>
    </row>
    <row r="254" spans="4:5">
      <c r="D254" s="21" t="s">
        <v>4355</v>
      </c>
      <c r="E254" s="23">
        <v>40</v>
      </c>
    </row>
    <row r="255" spans="4:5">
      <c r="D255" s="21" t="s">
        <v>4358</v>
      </c>
      <c r="E255" s="23">
        <v>53</v>
      </c>
    </row>
    <row r="256" spans="4:5">
      <c r="D256" s="21" t="s">
        <v>4361</v>
      </c>
      <c r="E256" s="23">
        <v>43</v>
      </c>
    </row>
    <row r="257" spans="4:5">
      <c r="D257" s="21" t="s">
        <v>4364</v>
      </c>
      <c r="E257" s="23">
        <v>43</v>
      </c>
    </row>
    <row r="258" spans="4:5">
      <c r="D258" s="21" t="s">
        <v>4370</v>
      </c>
      <c r="E258" s="23">
        <v>42</v>
      </c>
    </row>
  </sheetData>
  <pageMargins left="0.7" right="0.7" top="0.75" bottom="0.75" header="0.3" footer="0.3"/>
  <tableParts count="3">
    <tablePart r:id="rId1"/>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1FFD0-453E-4C5B-BF54-0A668D21CB5F}">
  <dimension ref="A1:H40"/>
  <sheetViews>
    <sheetView workbookViewId="0">
      <selection activeCell="G2" sqref="G2"/>
    </sheetView>
  </sheetViews>
  <sheetFormatPr defaultColWidth="23.7109375" defaultRowHeight="15"/>
  <cols>
    <col min="1" max="1" width="14" customWidth="1"/>
    <col min="2" max="2" width="11.140625" customWidth="1"/>
    <col min="3" max="3" width="7.7109375" customWidth="1"/>
    <col min="4" max="4" width="10.140625" customWidth="1"/>
    <col min="5" max="5" width="14.7109375" customWidth="1"/>
    <col min="6" max="6" width="7.28515625" customWidth="1"/>
    <col min="7" max="7" width="11.140625" customWidth="1"/>
    <col min="8" max="8" width="12.140625" customWidth="1"/>
  </cols>
  <sheetData>
    <row r="1" spans="1:8">
      <c r="A1" s="21" t="s">
        <v>4723</v>
      </c>
      <c r="B1" s="22" t="s">
        <v>4729</v>
      </c>
      <c r="C1" s="21"/>
      <c r="D1" s="21" t="s">
        <v>4723</v>
      </c>
      <c r="E1" s="23" t="s">
        <v>4730</v>
      </c>
      <c r="F1" s="21"/>
      <c r="G1" s="21" t="s">
        <v>4723</v>
      </c>
      <c r="H1" s="28" t="s">
        <v>4731</v>
      </c>
    </row>
    <row r="2" spans="1:8">
      <c r="A2" s="21" t="s">
        <v>866</v>
      </c>
      <c r="B2" s="22">
        <v>29</v>
      </c>
      <c r="D2" s="21" t="s">
        <v>875</v>
      </c>
      <c r="E2" s="23">
        <v>43</v>
      </c>
      <c r="G2" s="21" t="s">
        <v>531</v>
      </c>
      <c r="H2" s="28">
        <v>73</v>
      </c>
    </row>
    <row r="3" spans="1:8">
      <c r="A3" s="21" t="s">
        <v>1315</v>
      </c>
      <c r="B3" s="22">
        <v>26</v>
      </c>
      <c r="D3" s="21" t="s">
        <v>930</v>
      </c>
      <c r="E3" s="23">
        <v>39</v>
      </c>
      <c r="G3" s="21" t="s">
        <v>1307</v>
      </c>
      <c r="H3" s="28">
        <v>86</v>
      </c>
    </row>
    <row r="4" spans="1:8">
      <c r="A4" s="21" t="s">
        <v>1497</v>
      </c>
      <c r="B4" s="22">
        <v>26</v>
      </c>
      <c r="D4" s="21">
        <v>5</v>
      </c>
      <c r="E4" s="23">
        <v>60</v>
      </c>
      <c r="G4" s="21" t="s">
        <v>1341</v>
      </c>
      <c r="H4" s="28">
        <v>62</v>
      </c>
    </row>
    <row r="5" spans="1:8">
      <c r="A5" s="21" t="s">
        <v>4216</v>
      </c>
      <c r="B5" s="22">
        <v>21</v>
      </c>
      <c r="D5" s="21" t="s">
        <v>1321</v>
      </c>
      <c r="E5" s="23">
        <v>48</v>
      </c>
      <c r="G5" s="21" t="s">
        <v>1354</v>
      </c>
      <c r="H5" s="28">
        <v>72</v>
      </c>
    </row>
    <row r="6" spans="1:8">
      <c r="D6" s="21" t="s">
        <v>1326</v>
      </c>
      <c r="E6" s="23">
        <v>58</v>
      </c>
      <c r="G6" s="21" t="s">
        <v>1360</v>
      </c>
      <c r="H6" s="28">
        <v>70</v>
      </c>
    </row>
    <row r="7" spans="1:8">
      <c r="D7" s="21" t="s">
        <v>1334</v>
      </c>
      <c r="E7" s="23">
        <v>38</v>
      </c>
      <c r="G7" s="21" t="s">
        <v>1366</v>
      </c>
      <c r="H7" s="28">
        <v>65</v>
      </c>
    </row>
    <row r="8" spans="1:8">
      <c r="D8" s="21" t="s">
        <v>1347</v>
      </c>
      <c r="E8" s="23">
        <v>52</v>
      </c>
      <c r="G8" s="21" t="s">
        <v>1373</v>
      </c>
      <c r="H8" s="28">
        <v>71</v>
      </c>
    </row>
    <row r="9" spans="1:8">
      <c r="D9" s="21" t="s">
        <v>1386</v>
      </c>
      <c r="E9" s="23">
        <v>52</v>
      </c>
      <c r="G9" s="21" t="s">
        <v>1393</v>
      </c>
      <c r="H9" s="28">
        <v>70</v>
      </c>
    </row>
    <row r="10" spans="1:8">
      <c r="D10" s="21" t="s">
        <v>1409</v>
      </c>
      <c r="E10" s="23">
        <v>59</v>
      </c>
      <c r="G10" s="21" t="s">
        <v>1401</v>
      </c>
      <c r="H10" s="28">
        <v>72</v>
      </c>
    </row>
    <row r="11" spans="1:8">
      <c r="D11" s="21" t="s">
        <v>1416</v>
      </c>
      <c r="E11" s="23">
        <v>36</v>
      </c>
      <c r="G11" s="21" t="s">
        <v>1423</v>
      </c>
      <c r="H11" s="28">
        <v>75</v>
      </c>
    </row>
    <row r="12" spans="1:8">
      <c r="D12" s="21" t="s">
        <v>1450</v>
      </c>
      <c r="E12" s="23">
        <v>38</v>
      </c>
      <c r="G12" s="21" t="s">
        <v>1430</v>
      </c>
      <c r="H12" s="28">
        <v>75</v>
      </c>
    </row>
    <row r="13" spans="1:8">
      <c r="D13" s="21" t="s">
        <v>1469</v>
      </c>
      <c r="E13" s="23">
        <v>49</v>
      </c>
      <c r="G13" s="21" t="s">
        <v>1437</v>
      </c>
      <c r="H13" s="28">
        <v>69</v>
      </c>
    </row>
    <row r="14" spans="1:8">
      <c r="D14" s="21" t="s">
        <v>1490</v>
      </c>
      <c r="E14" s="23">
        <v>52</v>
      </c>
      <c r="G14" s="21" t="s">
        <v>1457</v>
      </c>
      <c r="H14" s="28">
        <v>65</v>
      </c>
    </row>
    <row r="15" spans="1:8">
      <c r="D15" s="21" t="s">
        <v>1504</v>
      </c>
      <c r="E15" s="23">
        <v>57</v>
      </c>
      <c r="G15" s="21" t="s">
        <v>1475</v>
      </c>
      <c r="H15" s="28">
        <v>72</v>
      </c>
    </row>
    <row r="16" spans="1:8">
      <c r="D16" s="21" t="s">
        <v>1524</v>
      </c>
      <c r="E16" s="23">
        <v>59</v>
      </c>
      <c r="G16" s="21" t="s">
        <v>1511</v>
      </c>
      <c r="H16" s="28">
        <v>71</v>
      </c>
    </row>
    <row r="17" spans="4:8">
      <c r="D17" s="21" t="s">
        <v>1558</v>
      </c>
      <c r="E17" s="23">
        <v>54</v>
      </c>
      <c r="G17" s="21" t="s">
        <v>1518</v>
      </c>
      <c r="H17" s="28">
        <v>65</v>
      </c>
    </row>
    <row r="18" spans="4:8">
      <c r="D18" s="21" t="s">
        <v>1573</v>
      </c>
      <c r="E18" s="23">
        <v>52</v>
      </c>
      <c r="G18" s="21" t="s">
        <v>1531</v>
      </c>
      <c r="H18" s="28">
        <v>67</v>
      </c>
    </row>
    <row r="19" spans="4:8">
      <c r="D19" s="21" t="s">
        <v>1589</v>
      </c>
      <c r="E19" s="23">
        <v>52</v>
      </c>
      <c r="G19" s="21" t="s">
        <v>1543</v>
      </c>
      <c r="H19" s="28">
        <v>70</v>
      </c>
    </row>
    <row r="20" spans="4:8">
      <c r="D20" s="21" t="s">
        <v>4732</v>
      </c>
      <c r="E20" s="23">
        <v>57</v>
      </c>
      <c r="G20" s="21" t="s">
        <v>1551</v>
      </c>
      <c r="H20" s="28">
        <v>67</v>
      </c>
    </row>
    <row r="21" spans="4:8">
      <c r="D21" s="21" t="s">
        <v>1606</v>
      </c>
      <c r="E21" s="23">
        <v>58</v>
      </c>
      <c r="G21" s="21" t="s">
        <v>1566</v>
      </c>
      <c r="H21" s="28">
        <v>67</v>
      </c>
    </row>
    <row r="22" spans="4:8">
      <c r="D22" s="21" t="s">
        <v>1623</v>
      </c>
      <c r="E22" s="23">
        <v>48</v>
      </c>
      <c r="G22" s="21" t="s">
        <v>1576</v>
      </c>
      <c r="H22" s="28">
        <v>64</v>
      </c>
    </row>
    <row r="23" spans="4:8">
      <c r="D23" s="21" t="s">
        <v>1629</v>
      </c>
      <c r="E23" s="23">
        <v>44</v>
      </c>
      <c r="G23" s="21" t="s">
        <v>1582</v>
      </c>
      <c r="H23" s="28">
        <v>83</v>
      </c>
    </row>
    <row r="24" spans="4:8">
      <c r="D24" s="21" t="s">
        <v>1702</v>
      </c>
      <c r="E24" s="23">
        <v>60</v>
      </c>
      <c r="G24" s="21" t="s">
        <v>1595</v>
      </c>
      <c r="H24" s="28">
        <v>62</v>
      </c>
    </row>
    <row r="25" spans="4:8">
      <c r="D25" s="21" t="s">
        <v>1858</v>
      </c>
      <c r="E25" s="23">
        <v>37</v>
      </c>
      <c r="G25" s="21" t="s">
        <v>1612</v>
      </c>
      <c r="H25" s="28">
        <v>64</v>
      </c>
    </row>
    <row r="26" spans="4:8">
      <c r="D26" s="21" t="s">
        <v>2787</v>
      </c>
      <c r="E26" s="23">
        <v>59</v>
      </c>
      <c r="G26" s="21" t="s">
        <v>1617</v>
      </c>
      <c r="H26" s="28">
        <v>65</v>
      </c>
    </row>
    <row r="27" spans="4:8">
      <c r="D27" s="21" t="s">
        <v>3036</v>
      </c>
      <c r="E27" s="23">
        <v>33</v>
      </c>
      <c r="G27" s="21" t="s">
        <v>1634</v>
      </c>
      <c r="H27" s="28">
        <v>65</v>
      </c>
    </row>
    <row r="28" spans="4:8">
      <c r="D28" s="21" t="s">
        <v>3042</v>
      </c>
      <c r="E28" s="23">
        <v>60</v>
      </c>
      <c r="G28" s="21" t="s">
        <v>1639</v>
      </c>
      <c r="H28" s="28">
        <v>62</v>
      </c>
    </row>
    <row r="29" spans="4:8">
      <c r="D29" s="21" t="s">
        <v>3053</v>
      </c>
      <c r="E29" s="23">
        <v>35</v>
      </c>
      <c r="G29" s="21" t="s">
        <v>1645</v>
      </c>
      <c r="H29" s="28">
        <v>65</v>
      </c>
    </row>
    <row r="30" spans="4:8">
      <c r="D30" s="21" t="s">
        <v>3065</v>
      </c>
      <c r="E30" s="23">
        <v>32</v>
      </c>
      <c r="G30" s="21" t="s">
        <v>1654</v>
      </c>
      <c r="H30" s="28">
        <v>76</v>
      </c>
    </row>
    <row r="31" spans="4:8">
      <c r="D31" s="21" t="s">
        <v>3076</v>
      </c>
      <c r="E31" s="23">
        <v>38</v>
      </c>
      <c r="G31" s="21" t="s">
        <v>1659</v>
      </c>
      <c r="H31" s="28">
        <v>61</v>
      </c>
    </row>
    <row r="32" spans="4:8">
      <c r="D32" s="21" t="s">
        <v>3722</v>
      </c>
      <c r="E32" s="23">
        <v>43</v>
      </c>
      <c r="G32" s="21" t="s">
        <v>1665</v>
      </c>
      <c r="H32" s="28">
        <v>72</v>
      </c>
    </row>
    <row r="33" spans="4:8">
      <c r="D33" s="21" t="s">
        <v>3729</v>
      </c>
      <c r="E33" s="23">
        <v>52</v>
      </c>
      <c r="G33" s="21">
        <v>4</v>
      </c>
      <c r="H33" s="28">
        <v>65</v>
      </c>
    </row>
    <row r="34" spans="4:8">
      <c r="D34" s="21" t="s">
        <v>4220</v>
      </c>
      <c r="E34" s="23">
        <v>46</v>
      </c>
      <c r="G34" s="21" t="s">
        <v>1808</v>
      </c>
      <c r="H34" s="28">
        <v>79</v>
      </c>
    </row>
    <row r="35" spans="4:8">
      <c r="D35" s="21" t="s">
        <v>4233</v>
      </c>
      <c r="E35" s="23">
        <v>50</v>
      </c>
      <c r="G35" s="21" t="s">
        <v>2714</v>
      </c>
      <c r="H35" s="28">
        <v>70</v>
      </c>
    </row>
    <row r="36" spans="4:8">
      <c r="D36" s="21" t="s">
        <v>4236</v>
      </c>
      <c r="E36" s="23">
        <v>53</v>
      </c>
      <c r="G36" s="21" t="s">
        <v>2764</v>
      </c>
      <c r="H36" s="28">
        <v>78</v>
      </c>
    </row>
    <row r="37" spans="4:8">
      <c r="D37" s="21" t="s">
        <v>4240</v>
      </c>
      <c r="E37" s="23">
        <v>53</v>
      </c>
      <c r="G37" s="21" t="s">
        <v>2797</v>
      </c>
      <c r="H37" s="28">
        <v>65</v>
      </c>
    </row>
    <row r="38" spans="4:8">
      <c r="G38" s="21" t="s">
        <v>3023</v>
      </c>
      <c r="H38" s="28">
        <v>62</v>
      </c>
    </row>
    <row r="39" spans="4:8">
      <c r="G39" s="21" t="s">
        <v>3059</v>
      </c>
      <c r="H39" s="28">
        <v>68</v>
      </c>
    </row>
    <row r="40" spans="4:8">
      <c r="G40" s="21" t="s">
        <v>3082</v>
      </c>
      <c r="H40" s="28">
        <v>62</v>
      </c>
    </row>
  </sheetData>
  <pageMargins left="0.7" right="0.7" top="0.75" bottom="0.75" header="0.3" footer="0.3"/>
  <tableParts count="3">
    <tablePart r:id="rId1"/>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2FA19-6191-45B4-888D-0F6740917156}">
  <dimension ref="A1:H54"/>
  <sheetViews>
    <sheetView workbookViewId="0">
      <selection activeCell="I4" sqref="I4"/>
    </sheetView>
  </sheetViews>
  <sheetFormatPr defaultColWidth="23.140625" defaultRowHeight="15"/>
  <cols>
    <col min="1" max="2" width="12.42578125" customWidth="1"/>
    <col min="3" max="3" width="10.140625" customWidth="1"/>
    <col min="4" max="4" width="11.42578125" customWidth="1"/>
    <col min="5" max="5" width="12.5703125" customWidth="1"/>
    <col min="6" max="6" width="8.28515625" customWidth="1"/>
    <col min="7" max="7" width="14" customWidth="1"/>
    <col min="8" max="8" width="11.7109375" customWidth="1"/>
  </cols>
  <sheetData>
    <row r="1" spans="1:8" ht="15.75">
      <c r="A1" s="21" t="s">
        <v>4723</v>
      </c>
      <c r="B1" s="25" t="s">
        <v>4729</v>
      </c>
      <c r="C1" s="21"/>
      <c r="D1" s="21" t="s">
        <v>4723</v>
      </c>
      <c r="E1" s="23" t="s">
        <v>4725</v>
      </c>
      <c r="F1" s="21"/>
      <c r="G1" s="26" t="s">
        <v>4723</v>
      </c>
      <c r="H1" s="27" t="s">
        <v>4731</v>
      </c>
    </row>
    <row r="2" spans="1:8" ht="15.75">
      <c r="A2" s="21" t="s">
        <v>968</v>
      </c>
      <c r="B2" s="25">
        <v>27</v>
      </c>
      <c r="D2" s="21" t="s">
        <v>883</v>
      </c>
      <c r="E2" s="23">
        <v>55</v>
      </c>
      <c r="G2" s="26" t="s">
        <v>900</v>
      </c>
      <c r="H2" s="27">
        <v>74</v>
      </c>
    </row>
    <row r="3" spans="1:8" ht="15.75">
      <c r="A3" s="21" t="s">
        <v>4733</v>
      </c>
      <c r="B3" s="25">
        <v>27</v>
      </c>
      <c r="D3" s="21" t="s">
        <v>892</v>
      </c>
      <c r="E3" s="23">
        <v>41</v>
      </c>
      <c r="G3" s="26" t="s">
        <v>921</v>
      </c>
      <c r="H3" s="27">
        <v>69</v>
      </c>
    </row>
    <row r="4" spans="1:8" ht="15.75">
      <c r="D4" s="21" t="s">
        <v>908</v>
      </c>
      <c r="E4" s="23">
        <v>48</v>
      </c>
      <c r="G4" s="26" t="s">
        <v>983</v>
      </c>
      <c r="H4" s="27">
        <v>61</v>
      </c>
    </row>
    <row r="5" spans="1:8" ht="15.75">
      <c r="D5" s="21" t="s">
        <v>914</v>
      </c>
      <c r="E5" s="23">
        <v>31</v>
      </c>
      <c r="G5" s="26" t="s">
        <v>1025</v>
      </c>
      <c r="H5" s="27">
        <v>64</v>
      </c>
    </row>
    <row r="6" spans="1:8" ht="15.75">
      <c r="D6" s="21" t="s">
        <v>937</v>
      </c>
      <c r="E6" s="23">
        <v>45</v>
      </c>
      <c r="G6" s="26" t="s">
        <v>1069</v>
      </c>
      <c r="H6" s="27">
        <v>62</v>
      </c>
    </row>
    <row r="7" spans="1:8" ht="15.75">
      <c r="D7" s="21" t="s">
        <v>945</v>
      </c>
      <c r="E7" s="23">
        <v>40</v>
      </c>
      <c r="G7" s="26" t="s">
        <v>4734</v>
      </c>
      <c r="H7" s="27">
        <v>76</v>
      </c>
    </row>
    <row r="8" spans="1:8" ht="15.75">
      <c r="D8" s="21" t="s">
        <v>952</v>
      </c>
      <c r="E8" s="23">
        <v>42</v>
      </c>
      <c r="G8" s="26" t="s">
        <v>1106</v>
      </c>
      <c r="H8" s="27">
        <v>77</v>
      </c>
    </row>
    <row r="9" spans="1:8" ht="15.75">
      <c r="D9" s="21" t="s">
        <v>960</v>
      </c>
      <c r="E9" s="23">
        <v>57</v>
      </c>
      <c r="G9" s="26" t="s">
        <v>1120</v>
      </c>
      <c r="H9" s="27">
        <v>67</v>
      </c>
    </row>
    <row r="10" spans="1:8" ht="15.75">
      <c r="D10" s="21" t="s">
        <v>975</v>
      </c>
      <c r="E10" s="23">
        <v>41</v>
      </c>
      <c r="G10" s="26" t="s">
        <v>1132</v>
      </c>
      <c r="H10" s="27">
        <v>72</v>
      </c>
    </row>
    <row r="11" spans="1:8" ht="15.75">
      <c r="D11" s="21" t="s">
        <v>991</v>
      </c>
      <c r="E11" s="23">
        <v>52</v>
      </c>
      <c r="G11" s="26" t="s">
        <v>1138</v>
      </c>
      <c r="H11" s="27">
        <v>71</v>
      </c>
    </row>
    <row r="12" spans="1:8" ht="15.75">
      <c r="D12" s="21" t="s">
        <v>999</v>
      </c>
      <c r="E12" s="23">
        <v>52</v>
      </c>
      <c r="G12" s="26" t="s">
        <v>1143</v>
      </c>
      <c r="H12" s="27">
        <v>70</v>
      </c>
    </row>
    <row r="13" spans="1:8" ht="15.75">
      <c r="D13" s="21" t="s">
        <v>1005</v>
      </c>
      <c r="E13" s="23">
        <v>38</v>
      </c>
      <c r="G13" s="26" t="s">
        <v>1154</v>
      </c>
      <c r="H13" s="27">
        <v>68</v>
      </c>
    </row>
    <row r="14" spans="1:8" ht="15.75">
      <c r="D14" s="21" t="s">
        <v>1011</v>
      </c>
      <c r="E14" s="23">
        <v>44</v>
      </c>
      <c r="G14" s="26" t="s">
        <v>1165</v>
      </c>
      <c r="H14" s="27">
        <v>64</v>
      </c>
    </row>
    <row r="15" spans="1:8" ht="15.75">
      <c r="D15" s="21" t="s">
        <v>1019</v>
      </c>
      <c r="E15" s="23">
        <v>44</v>
      </c>
      <c r="G15" s="26" t="s">
        <v>1175</v>
      </c>
      <c r="H15" s="27">
        <v>61</v>
      </c>
    </row>
    <row r="16" spans="1:8" ht="15.75">
      <c r="D16" s="21" t="s">
        <v>1031</v>
      </c>
      <c r="E16" s="23">
        <v>39</v>
      </c>
      <c r="G16" s="26" t="s">
        <v>1180</v>
      </c>
      <c r="H16" s="27">
        <v>70</v>
      </c>
    </row>
    <row r="17" spans="4:8" ht="15.75">
      <c r="D17" s="21" t="s">
        <v>1037</v>
      </c>
      <c r="E17" s="23">
        <v>52</v>
      </c>
      <c r="G17" s="26" t="s">
        <v>1186</v>
      </c>
      <c r="H17" s="27">
        <v>62</v>
      </c>
    </row>
    <row r="18" spans="4:8" ht="15.75">
      <c r="D18" s="21" t="s">
        <v>1042</v>
      </c>
      <c r="E18" s="23">
        <v>39</v>
      </c>
      <c r="G18" s="26" t="s">
        <v>1193</v>
      </c>
      <c r="H18" s="27">
        <v>68</v>
      </c>
    </row>
    <row r="19" spans="4:8" ht="15.75">
      <c r="D19" s="21" t="s">
        <v>1049</v>
      </c>
      <c r="E19" s="23">
        <v>52</v>
      </c>
      <c r="G19" s="26" t="s">
        <v>1204</v>
      </c>
      <c r="H19" s="27">
        <v>65</v>
      </c>
    </row>
    <row r="20" spans="4:8" ht="15.75">
      <c r="D20" s="21" t="s">
        <v>1055</v>
      </c>
      <c r="E20" s="23">
        <v>36</v>
      </c>
      <c r="G20" s="26" t="s">
        <v>1215</v>
      </c>
      <c r="H20" s="27">
        <v>78</v>
      </c>
    </row>
    <row r="21" spans="4:8" ht="15.75">
      <c r="D21" s="21" t="s">
        <v>1062</v>
      </c>
      <c r="E21" s="23">
        <v>54</v>
      </c>
      <c r="G21" s="26" t="s">
        <v>1236</v>
      </c>
      <c r="H21" s="27">
        <v>91</v>
      </c>
    </row>
    <row r="22" spans="4:8" ht="15.75">
      <c r="D22" s="21" t="s">
        <v>1086</v>
      </c>
      <c r="E22" s="23">
        <v>52</v>
      </c>
      <c r="G22" s="26" t="s">
        <v>1242</v>
      </c>
      <c r="H22" s="27">
        <v>68</v>
      </c>
    </row>
    <row r="23" spans="4:8" ht="15.75">
      <c r="D23" s="21" t="s">
        <v>1092</v>
      </c>
      <c r="E23" s="23">
        <v>35</v>
      </c>
      <c r="G23" s="26" t="s">
        <v>1248</v>
      </c>
      <c r="H23" s="27">
        <v>72</v>
      </c>
    </row>
    <row r="24" spans="4:8" ht="15.75">
      <c r="D24" s="21" t="s">
        <v>1097</v>
      </c>
      <c r="E24" s="23">
        <v>44</v>
      </c>
      <c r="G24" s="26" t="s">
        <v>1258</v>
      </c>
      <c r="H24" s="27">
        <v>69</v>
      </c>
    </row>
    <row r="25" spans="4:8" ht="15.75">
      <c r="D25" s="21" t="s">
        <v>1114</v>
      </c>
      <c r="E25" s="23">
        <v>45</v>
      </c>
      <c r="G25" s="26" t="s">
        <v>1274</v>
      </c>
      <c r="H25" s="27">
        <v>75</v>
      </c>
    </row>
    <row r="26" spans="4:8" ht="15.75">
      <c r="D26" s="21" t="s">
        <v>1126</v>
      </c>
      <c r="E26" s="23">
        <v>40</v>
      </c>
      <c r="G26" s="26" t="s">
        <v>1279</v>
      </c>
      <c r="H26" s="27">
        <v>77</v>
      </c>
    </row>
    <row r="27" spans="4:8" ht="15.75">
      <c r="D27" s="21" t="s">
        <v>1148</v>
      </c>
      <c r="E27" s="23">
        <v>53</v>
      </c>
      <c r="G27" s="26" t="s">
        <v>1284</v>
      </c>
      <c r="H27" s="27">
        <v>66</v>
      </c>
    </row>
    <row r="28" spans="4:8" ht="15.75">
      <c r="D28" s="21" t="s">
        <v>1160</v>
      </c>
      <c r="E28" s="23">
        <v>56</v>
      </c>
      <c r="G28" s="26" t="s">
        <v>1290</v>
      </c>
      <c r="H28" s="27">
        <v>76</v>
      </c>
    </row>
    <row r="29" spans="4:8" ht="15.75">
      <c r="D29" s="21" t="s">
        <v>1170</v>
      </c>
      <c r="E29" s="23">
        <v>60</v>
      </c>
      <c r="G29" s="26" t="s">
        <v>1482</v>
      </c>
      <c r="H29" s="27">
        <v>62</v>
      </c>
    </row>
    <row r="30" spans="4:8" ht="15.75">
      <c r="D30" s="21" t="s">
        <v>1198</v>
      </c>
      <c r="E30" s="23">
        <v>52</v>
      </c>
      <c r="G30" s="26" t="s">
        <v>2793</v>
      </c>
      <c r="H30" s="27">
        <v>68</v>
      </c>
    </row>
    <row r="31" spans="4:8" ht="15.75">
      <c r="D31" s="21" t="s">
        <v>1209</v>
      </c>
      <c r="E31" s="23">
        <v>45</v>
      </c>
      <c r="G31" s="26" t="s">
        <v>2817</v>
      </c>
      <c r="H31" s="27">
        <v>65</v>
      </c>
    </row>
    <row r="32" spans="4:8" ht="15.75">
      <c r="D32" s="21" t="s">
        <v>1220</v>
      </c>
      <c r="E32" s="23">
        <v>32</v>
      </c>
      <c r="G32" s="26" t="s">
        <v>2821</v>
      </c>
      <c r="H32" s="27">
        <v>63</v>
      </c>
    </row>
    <row r="33" spans="4:8" ht="15.75">
      <c r="D33" s="21" t="s">
        <v>1225</v>
      </c>
      <c r="E33" s="23">
        <v>47</v>
      </c>
      <c r="G33" s="26" t="s">
        <v>2831</v>
      </c>
      <c r="H33" s="27">
        <v>74</v>
      </c>
    </row>
    <row r="34" spans="4:8" ht="15.75">
      <c r="D34" s="21" t="s">
        <v>1231</v>
      </c>
      <c r="E34" s="23">
        <v>52</v>
      </c>
      <c r="G34" s="26" t="s">
        <v>3048</v>
      </c>
      <c r="H34" s="27">
        <v>65</v>
      </c>
    </row>
    <row r="35" spans="4:8" ht="15.75">
      <c r="D35" s="21" t="s">
        <v>1253</v>
      </c>
      <c r="E35" s="23">
        <v>55</v>
      </c>
      <c r="G35" s="26" t="s">
        <v>3071</v>
      </c>
      <c r="H35" s="27">
        <v>70</v>
      </c>
    </row>
    <row r="36" spans="4:8" ht="15.75">
      <c r="D36" s="21" t="s">
        <v>1263</v>
      </c>
      <c r="E36" s="23">
        <v>59</v>
      </c>
      <c r="G36" s="26" t="s">
        <v>3582</v>
      </c>
      <c r="H36" s="27">
        <v>66</v>
      </c>
    </row>
    <row r="37" spans="4:8" ht="15.75">
      <c r="D37" s="21" t="s">
        <v>1269</v>
      </c>
      <c r="E37" s="23">
        <v>56</v>
      </c>
      <c r="G37" s="26" t="s">
        <v>3687</v>
      </c>
      <c r="H37" s="27">
        <v>65</v>
      </c>
    </row>
    <row r="38" spans="4:8" ht="15.75">
      <c r="D38" s="21" t="s">
        <v>1379</v>
      </c>
      <c r="E38" s="23">
        <v>44</v>
      </c>
      <c r="G38" s="26" t="s">
        <v>3693</v>
      </c>
      <c r="H38" s="27">
        <v>72</v>
      </c>
    </row>
    <row r="39" spans="4:8" ht="15.75">
      <c r="D39" s="21" t="s">
        <v>1444</v>
      </c>
      <c r="E39" s="23">
        <v>52</v>
      </c>
      <c r="G39" s="26" t="s">
        <v>3717</v>
      </c>
      <c r="H39" s="27">
        <v>72</v>
      </c>
    </row>
    <row r="40" spans="4:8" ht="15.75">
      <c r="D40" s="21" t="s">
        <v>1463</v>
      </c>
      <c r="E40" s="23">
        <v>31</v>
      </c>
      <c r="G40" s="26" t="s">
        <v>3774</v>
      </c>
      <c r="H40" s="27">
        <v>76</v>
      </c>
    </row>
    <row r="41" spans="4:8" ht="15.75">
      <c r="D41" s="21" t="s">
        <v>2707</v>
      </c>
      <c r="E41" s="23">
        <v>47</v>
      </c>
      <c r="G41" s="26" t="s">
        <v>3870</v>
      </c>
      <c r="H41" s="27">
        <v>68</v>
      </c>
    </row>
    <row r="42" spans="4:8" ht="15.75">
      <c r="D42" s="21" t="s">
        <v>2802</v>
      </c>
      <c r="E42" s="23">
        <v>58</v>
      </c>
      <c r="G42" s="26" t="s">
        <v>4067</v>
      </c>
      <c r="H42" s="27">
        <v>70</v>
      </c>
    </row>
    <row r="43" spans="4:8" ht="15.75">
      <c r="D43" s="21" t="s">
        <v>2806</v>
      </c>
      <c r="E43" s="23">
        <v>36</v>
      </c>
      <c r="G43" s="26" t="s">
        <v>4259</v>
      </c>
      <c r="H43" s="27">
        <v>61</v>
      </c>
    </row>
    <row r="44" spans="4:8" ht="15.75">
      <c r="D44" s="21" t="s">
        <v>2811</v>
      </c>
      <c r="E44" s="23">
        <v>59</v>
      </c>
      <c r="G44" s="26" t="s">
        <v>4289</v>
      </c>
      <c r="H44" s="27">
        <v>75</v>
      </c>
    </row>
    <row r="45" spans="4:8" ht="15.75">
      <c r="D45" s="21" t="s">
        <v>2826</v>
      </c>
      <c r="E45" s="23">
        <v>32</v>
      </c>
      <c r="G45" s="26" t="s">
        <v>4295</v>
      </c>
      <c r="H45" s="27">
        <v>61</v>
      </c>
    </row>
    <row r="46" spans="4:8" ht="15.75">
      <c r="D46" s="21" t="s">
        <v>2835</v>
      </c>
      <c r="E46" s="23">
        <v>52</v>
      </c>
      <c r="G46" s="26" t="s">
        <v>4376</v>
      </c>
      <c r="H46" s="27">
        <v>75</v>
      </c>
    </row>
    <row r="47" spans="4:8" ht="15.75">
      <c r="D47" s="21" t="s">
        <v>3030</v>
      </c>
      <c r="E47" s="23">
        <v>42</v>
      </c>
      <c r="G47" s="26" t="s">
        <v>4382</v>
      </c>
      <c r="H47" s="27">
        <v>65</v>
      </c>
    </row>
    <row r="48" spans="4:8">
      <c r="D48" s="21" t="s">
        <v>3698</v>
      </c>
      <c r="E48" s="23">
        <v>46</v>
      </c>
    </row>
    <row r="49" spans="4:5">
      <c r="D49" s="21" t="s">
        <v>3763</v>
      </c>
      <c r="E49" s="23">
        <v>43</v>
      </c>
    </row>
    <row r="50" spans="4:5">
      <c r="D50" s="21" t="s">
        <v>4267</v>
      </c>
      <c r="E50" s="23">
        <v>42</v>
      </c>
    </row>
    <row r="51" spans="4:5">
      <c r="D51" s="21" t="s">
        <v>4282</v>
      </c>
      <c r="E51" s="23">
        <v>60</v>
      </c>
    </row>
    <row r="52" spans="4:5">
      <c r="D52" s="21" t="s">
        <v>4307</v>
      </c>
      <c r="E52" s="23">
        <v>43</v>
      </c>
    </row>
    <row r="53" spans="4:5">
      <c r="D53" s="21" t="s">
        <v>4378</v>
      </c>
      <c r="E53" s="23">
        <v>37</v>
      </c>
    </row>
    <row r="54" spans="4:5">
      <c r="D54" s="21" t="s">
        <v>4380</v>
      </c>
      <c r="E54" s="23">
        <v>45</v>
      </c>
    </row>
  </sheetData>
  <pageMargins left="0.7" right="0.7" top="0.75" bottom="0.75" header="0.3" footer="0.3"/>
  <tableParts count="3">
    <tablePart r:id="rId1"/>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C3046-BDDF-4E10-A5DA-3A3FFEBB572B}">
  <dimension ref="A1:H20"/>
  <sheetViews>
    <sheetView workbookViewId="0">
      <selection activeCell="I9" sqref="I9"/>
    </sheetView>
  </sheetViews>
  <sheetFormatPr defaultColWidth="36.140625" defaultRowHeight="15"/>
  <cols>
    <col min="1" max="1" width="14.140625" customWidth="1"/>
    <col min="2" max="2" width="12.85546875" customWidth="1"/>
    <col min="3" max="3" width="11.5703125" customWidth="1"/>
    <col min="4" max="4" width="16" customWidth="1"/>
    <col min="5" max="5" width="13.85546875" customWidth="1"/>
    <col min="6" max="7" width="10.7109375" customWidth="1"/>
    <col min="8" max="8" width="13.140625" customWidth="1"/>
  </cols>
  <sheetData>
    <row r="1" spans="1:8">
      <c r="A1" s="21" t="s">
        <v>4723</v>
      </c>
      <c r="B1" s="29" t="s">
        <v>4729</v>
      </c>
      <c r="C1" s="21"/>
      <c r="D1" s="21" t="s">
        <v>4723</v>
      </c>
      <c r="E1" s="23" t="s">
        <v>4730</v>
      </c>
      <c r="F1" s="21"/>
      <c r="G1" s="21" t="s">
        <v>4723</v>
      </c>
      <c r="H1" s="24" t="s">
        <v>4731</v>
      </c>
    </row>
    <row r="2" spans="1:8">
      <c r="A2" s="21" t="s">
        <v>1724</v>
      </c>
      <c r="B2" s="29">
        <v>22</v>
      </c>
      <c r="D2" s="21" t="s">
        <v>872</v>
      </c>
      <c r="E2" s="23">
        <v>32</v>
      </c>
      <c r="G2" s="21" t="s">
        <v>1538</v>
      </c>
      <c r="H2" s="24">
        <v>66</v>
      </c>
    </row>
    <row r="3" spans="1:8">
      <c r="A3" s="21" t="s">
        <v>1738</v>
      </c>
      <c r="B3" s="29">
        <v>27</v>
      </c>
      <c r="D3" s="21" t="s">
        <v>1651</v>
      </c>
      <c r="E3" s="23">
        <v>53</v>
      </c>
      <c r="G3" s="21" t="s">
        <v>1674</v>
      </c>
      <c r="H3" s="24">
        <v>67</v>
      </c>
    </row>
    <row r="4" spans="1:8">
      <c r="A4" s="21" t="s">
        <v>1788</v>
      </c>
      <c r="B4" s="29">
        <v>26</v>
      </c>
      <c r="D4" s="21">
        <v>8</v>
      </c>
      <c r="E4" s="23">
        <v>55</v>
      </c>
      <c r="G4" s="21" t="s">
        <v>1696</v>
      </c>
      <c r="H4" s="24">
        <v>72</v>
      </c>
    </row>
    <row r="5" spans="1:8">
      <c r="A5" s="21" t="s">
        <v>1843</v>
      </c>
      <c r="B5" s="29">
        <v>26</v>
      </c>
      <c r="D5" s="21" t="s">
        <v>1690</v>
      </c>
      <c r="E5" s="23">
        <v>49</v>
      </c>
      <c r="G5" s="21" t="s">
        <v>1732</v>
      </c>
      <c r="H5" s="24">
        <v>66</v>
      </c>
    </row>
    <row r="6" spans="1:8">
      <c r="D6" s="21" t="s">
        <v>1710</v>
      </c>
      <c r="E6" s="23">
        <v>48</v>
      </c>
      <c r="G6" s="21" t="s">
        <v>1751</v>
      </c>
      <c r="H6" s="24">
        <v>61</v>
      </c>
    </row>
    <row r="7" spans="1:8">
      <c r="D7" s="21" t="s">
        <v>1717</v>
      </c>
      <c r="E7" s="23">
        <v>44</v>
      </c>
      <c r="G7" s="21" t="s">
        <v>1757</v>
      </c>
      <c r="H7" s="24">
        <v>72</v>
      </c>
    </row>
    <row r="8" spans="1:8">
      <c r="D8" s="21" t="s">
        <v>1744</v>
      </c>
      <c r="E8" s="23">
        <v>33</v>
      </c>
      <c r="G8" s="21" t="s">
        <v>1768</v>
      </c>
      <c r="H8" s="24">
        <v>61</v>
      </c>
    </row>
    <row r="9" spans="1:8">
      <c r="D9" s="21" t="s">
        <v>1763</v>
      </c>
      <c r="E9" s="23">
        <v>54</v>
      </c>
      <c r="G9" s="21" t="s">
        <v>1781</v>
      </c>
      <c r="H9" s="24">
        <v>69</v>
      </c>
    </row>
    <row r="10" spans="1:8">
      <c r="D10" s="21" t="s">
        <v>1774</v>
      </c>
      <c r="E10" s="23">
        <v>55</v>
      </c>
      <c r="G10" s="21" t="s">
        <v>1795</v>
      </c>
      <c r="H10" s="24">
        <v>63</v>
      </c>
    </row>
    <row r="11" spans="1:8">
      <c r="D11" s="21" t="s">
        <v>1815</v>
      </c>
      <c r="E11" s="23">
        <v>50</v>
      </c>
      <c r="G11" s="21" t="s">
        <v>1803</v>
      </c>
      <c r="H11" s="24">
        <v>72</v>
      </c>
    </row>
    <row r="12" spans="1:8">
      <c r="D12" s="21" t="s">
        <v>1820</v>
      </c>
      <c r="E12" s="23">
        <v>53</v>
      </c>
      <c r="G12" s="21" t="s">
        <v>1826</v>
      </c>
      <c r="H12" s="24">
        <v>65</v>
      </c>
    </row>
    <row r="13" spans="1:8">
      <c r="D13" s="21" t="s">
        <v>1838</v>
      </c>
      <c r="E13" s="23">
        <v>60</v>
      </c>
      <c r="G13" s="21" t="s">
        <v>1831</v>
      </c>
      <c r="H13" s="24">
        <v>72</v>
      </c>
    </row>
    <row r="14" spans="1:8">
      <c r="D14" s="21" t="s">
        <v>1848</v>
      </c>
      <c r="E14" s="23">
        <v>32</v>
      </c>
      <c r="G14" s="21" t="s">
        <v>3735</v>
      </c>
      <c r="H14" s="24">
        <v>73</v>
      </c>
    </row>
    <row r="15" spans="1:8">
      <c r="D15" s="21" t="s">
        <v>1853</v>
      </c>
      <c r="E15" s="23">
        <v>35</v>
      </c>
      <c r="G15" s="21" t="s">
        <v>3992</v>
      </c>
      <c r="H15" s="24">
        <v>69</v>
      </c>
    </row>
    <row r="16" spans="1:8">
      <c r="D16" s="21" t="s">
        <v>2734</v>
      </c>
      <c r="E16" s="23">
        <v>49</v>
      </c>
      <c r="G16" s="21" t="s">
        <v>4012</v>
      </c>
      <c r="H16" s="24">
        <v>75</v>
      </c>
    </row>
    <row r="17" spans="4:8">
      <c r="D17" s="21" t="s">
        <v>3754</v>
      </c>
      <c r="E17" s="23">
        <v>53</v>
      </c>
      <c r="G17" s="21" t="s">
        <v>4042</v>
      </c>
      <c r="H17" s="24">
        <v>71</v>
      </c>
    </row>
    <row r="18" spans="4:8">
      <c r="D18" s="21" t="s">
        <v>4000</v>
      </c>
      <c r="E18" s="23">
        <v>52</v>
      </c>
      <c r="G18" s="21" t="s">
        <v>4049</v>
      </c>
      <c r="H18" s="24">
        <v>73</v>
      </c>
    </row>
    <row r="19" spans="4:8">
      <c r="D19" s="21" t="s">
        <v>4195</v>
      </c>
      <c r="E19" s="23">
        <v>41</v>
      </c>
    </row>
    <row r="20" spans="4:8">
      <c r="D20" s="21" t="s">
        <v>4274</v>
      </c>
      <c r="E20" s="23">
        <v>55</v>
      </c>
    </row>
  </sheetData>
  <pageMargins left="0.7" right="0.7" top="0.75" bottom="0.75" header="0.3" footer="0.3"/>
  <tableParts count="3">
    <tablePart r:id="rId1"/>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009AA-1CB7-42AD-A9C9-AB644BFC1695}">
  <dimension ref="A4:BO442"/>
  <sheetViews>
    <sheetView topLeftCell="A11" workbookViewId="0">
      <selection activeCell="BF12" sqref="BF12:BM85"/>
    </sheetView>
  </sheetViews>
  <sheetFormatPr defaultColWidth="18.5703125" defaultRowHeight="25.5" customHeight="1"/>
  <cols>
    <col min="7" max="7" width="24.28515625" customWidth="1"/>
    <col min="8" max="8" width="18.28515625" customWidth="1"/>
    <col min="64" max="64" width="22.7109375" customWidth="1"/>
  </cols>
  <sheetData>
    <row r="4" spans="1:67" ht="25.5" customHeight="1">
      <c r="AN4" t="s">
        <v>4735</v>
      </c>
    </row>
    <row r="5" spans="1:67" ht="25.5" customHeight="1">
      <c r="B5" s="30" t="s">
        <v>652</v>
      </c>
      <c r="C5" s="31" t="s">
        <v>4736</v>
      </c>
      <c r="D5" s="32"/>
      <c r="E5" s="33"/>
      <c r="F5" s="33"/>
      <c r="G5" s="33"/>
      <c r="H5" s="33"/>
      <c r="I5" s="33"/>
      <c r="J5" s="33"/>
      <c r="K5" s="33"/>
      <c r="L5" s="33"/>
      <c r="M5" s="33"/>
      <c r="N5" s="33"/>
      <c r="O5" s="33"/>
      <c r="P5" s="33"/>
      <c r="Q5" s="33"/>
      <c r="R5" s="33"/>
      <c r="S5" s="33"/>
      <c r="T5" s="33"/>
      <c r="U5" s="33"/>
      <c r="V5" s="33"/>
      <c r="W5" s="33"/>
      <c r="X5" s="33"/>
      <c r="Y5" s="33"/>
      <c r="Z5" s="33"/>
      <c r="AA5" s="33"/>
      <c r="AB5" s="33"/>
      <c r="AC5" s="33"/>
      <c r="AD5" s="33"/>
      <c r="AE5" s="34" t="s">
        <v>3891</v>
      </c>
      <c r="AF5" s="33" t="s">
        <v>187</v>
      </c>
      <c r="AG5" s="35" t="s">
        <v>4737</v>
      </c>
      <c r="AH5" s="34" t="s">
        <v>3898</v>
      </c>
      <c r="AI5" s="33" t="s">
        <v>187</v>
      </c>
      <c r="AJ5" s="35" t="s">
        <v>4737</v>
      </c>
      <c r="AK5" s="35"/>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row>
    <row r="6" spans="1:67" ht="25.5" customHeight="1">
      <c r="A6" s="30" t="s">
        <v>652</v>
      </c>
      <c r="B6" s="31" t="s">
        <v>4736</v>
      </c>
      <c r="C6" s="32"/>
      <c r="D6" s="33"/>
      <c r="E6" s="33"/>
      <c r="F6" s="33"/>
      <c r="G6" s="33"/>
      <c r="H6" s="33"/>
      <c r="I6" s="33"/>
      <c r="J6" s="33"/>
      <c r="K6" s="33"/>
      <c r="L6" s="33"/>
      <c r="M6" s="33"/>
      <c r="N6" s="33"/>
      <c r="O6" s="33"/>
      <c r="P6" s="33"/>
      <c r="Q6" s="33"/>
      <c r="R6" s="33"/>
      <c r="S6" s="33"/>
      <c r="T6" s="33"/>
      <c r="U6" s="33"/>
      <c r="V6" s="33"/>
      <c r="W6" s="33"/>
      <c r="X6" s="33"/>
      <c r="Y6" s="33"/>
      <c r="Z6" s="33"/>
      <c r="AA6" s="33"/>
      <c r="AB6" s="33"/>
      <c r="AC6" s="33"/>
      <c r="AD6" s="34" t="s">
        <v>3891</v>
      </c>
      <c r="AE6" s="33" t="s">
        <v>187</v>
      </c>
      <c r="AF6" s="35" t="s">
        <v>4737</v>
      </c>
      <c r="AG6" s="34" t="s">
        <v>3898</v>
      </c>
      <c r="AH6" s="33" t="s">
        <v>187</v>
      </c>
      <c r="AI6" s="35" t="s">
        <v>4737</v>
      </c>
      <c r="AJ6" s="35"/>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row>
    <row r="7" spans="1:67" ht="25.5" customHeight="1">
      <c r="A7" s="33" t="s">
        <v>235</v>
      </c>
      <c r="B7" s="36" t="s">
        <v>4738</v>
      </c>
      <c r="C7" s="36"/>
      <c r="D7" s="36"/>
      <c r="E7" s="36"/>
      <c r="F7" s="36"/>
      <c r="G7" s="36"/>
      <c r="H7" s="36"/>
      <c r="I7" s="37"/>
      <c r="J7" s="33"/>
      <c r="K7" s="33"/>
      <c r="L7" s="33"/>
      <c r="M7" s="33"/>
      <c r="N7" s="33"/>
      <c r="O7" s="33"/>
      <c r="P7" s="33"/>
      <c r="Q7" s="33"/>
      <c r="R7" s="33"/>
      <c r="S7" s="33"/>
      <c r="T7" s="33"/>
      <c r="U7" s="33"/>
      <c r="V7" s="33"/>
      <c r="W7" s="33"/>
      <c r="X7" s="33"/>
      <c r="Y7" s="33"/>
      <c r="Z7" s="33"/>
      <c r="AA7" s="33"/>
      <c r="AB7" s="33"/>
      <c r="AC7" s="33"/>
      <c r="AD7" s="34" t="s">
        <v>3922</v>
      </c>
      <c r="AE7" s="33" t="s">
        <v>187</v>
      </c>
      <c r="AF7" s="35" t="s">
        <v>4737</v>
      </c>
      <c r="AG7" s="34" t="s">
        <v>3903</v>
      </c>
      <c r="AH7" s="33" t="s">
        <v>187</v>
      </c>
      <c r="AI7" s="35" t="s">
        <v>4737</v>
      </c>
      <c r="AJ7" s="35"/>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row>
    <row r="8" spans="1:67" ht="25.5" customHeight="1">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4" t="s">
        <v>3915</v>
      </c>
      <c r="AE8" s="33" t="s">
        <v>187</v>
      </c>
      <c r="AF8" s="35" t="s">
        <v>4737</v>
      </c>
      <c r="AG8" s="34" t="s">
        <v>3908</v>
      </c>
      <c r="AH8" s="33" t="s">
        <v>187</v>
      </c>
      <c r="AI8" s="35" t="s">
        <v>4737</v>
      </c>
      <c r="AJ8" s="35"/>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row>
    <row r="9" spans="1:67" ht="25.5" customHeight="1">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8"/>
    </row>
    <row r="10" spans="1:67" ht="25.5" customHeight="1">
      <c r="A10" s="598" t="s">
        <v>4739</v>
      </c>
      <c r="B10" s="598"/>
      <c r="C10" s="598"/>
      <c r="D10" s="598"/>
      <c r="E10" s="597"/>
      <c r="F10" s="597"/>
      <c r="G10" s="597"/>
      <c r="H10" s="41"/>
      <c r="I10" s="38"/>
      <c r="J10" s="38"/>
      <c r="K10" s="598" t="s">
        <v>4740</v>
      </c>
      <c r="L10" s="598"/>
      <c r="M10" s="598"/>
      <c r="N10" s="598"/>
      <c r="O10" s="598"/>
      <c r="P10" s="598"/>
      <c r="Q10" s="598"/>
      <c r="R10" s="41"/>
      <c r="S10" s="38"/>
      <c r="T10" s="38"/>
      <c r="U10" s="598" t="s">
        <v>4741</v>
      </c>
      <c r="V10" s="598"/>
      <c r="W10" s="598"/>
      <c r="X10" s="598"/>
      <c r="Y10" s="598"/>
      <c r="Z10" s="598"/>
      <c r="AA10" s="598"/>
      <c r="AB10" s="39"/>
      <c r="AC10" s="42"/>
      <c r="AD10" s="38"/>
      <c r="AE10" s="598" t="s">
        <v>4742</v>
      </c>
      <c r="AF10" s="598"/>
      <c r="AG10" s="598"/>
      <c r="AH10" s="598"/>
      <c r="AI10" s="598"/>
      <c r="AJ10" s="598"/>
      <c r="AK10" s="598"/>
      <c r="AL10" s="41"/>
      <c r="AM10" s="38"/>
      <c r="AN10" s="598" t="s">
        <v>4743</v>
      </c>
      <c r="AO10" s="598"/>
      <c r="AP10" s="598"/>
      <c r="AQ10" s="598"/>
      <c r="AR10" s="598"/>
      <c r="AS10" s="598"/>
      <c r="AT10" s="598"/>
      <c r="AU10" s="41"/>
      <c r="AV10" s="38"/>
      <c r="AW10" s="598" t="s">
        <v>15</v>
      </c>
      <c r="AX10" s="598"/>
      <c r="AY10" s="598"/>
      <c r="AZ10" s="598"/>
      <c r="BA10" s="598"/>
      <c r="BB10" s="598"/>
      <c r="BC10" s="598"/>
      <c r="BD10" s="41"/>
      <c r="BE10" s="38"/>
      <c r="BF10" s="597" t="s">
        <v>4744</v>
      </c>
      <c r="BG10" s="597"/>
      <c r="BH10" s="597"/>
      <c r="BI10" s="597"/>
      <c r="BJ10" s="597"/>
      <c r="BK10" s="597"/>
      <c r="BL10" s="597"/>
      <c r="BM10" s="40"/>
      <c r="BN10" s="38"/>
      <c r="BO10" s="33"/>
    </row>
    <row r="11" spans="1:67" ht="25.5" customHeight="1">
      <c r="A11" s="43" t="s">
        <v>4745</v>
      </c>
      <c r="B11" s="43" t="s">
        <v>196</v>
      </c>
      <c r="C11" s="43" t="s">
        <v>4746</v>
      </c>
      <c r="D11" s="44" t="s">
        <v>4747</v>
      </c>
      <c r="E11" s="45" t="s">
        <v>35</v>
      </c>
      <c r="F11" s="45" t="s">
        <v>200</v>
      </c>
      <c r="G11" s="45" t="s">
        <v>4748</v>
      </c>
      <c r="H11" s="46" t="s">
        <v>4749</v>
      </c>
      <c r="I11" s="47"/>
      <c r="J11" s="33"/>
      <c r="K11" s="43" t="s">
        <v>4745</v>
      </c>
      <c r="L11" s="43" t="s">
        <v>196</v>
      </c>
      <c r="M11" s="43" t="s">
        <v>4746</v>
      </c>
      <c r="N11" s="48" t="s">
        <v>4747</v>
      </c>
      <c r="O11" s="48" t="s">
        <v>35</v>
      </c>
      <c r="P11" s="48" t="s">
        <v>200</v>
      </c>
      <c r="Q11" s="48" t="s">
        <v>4748</v>
      </c>
      <c r="R11" s="49" t="s">
        <v>4749</v>
      </c>
      <c r="S11" s="33"/>
      <c r="T11" s="33"/>
      <c r="U11" s="43" t="s">
        <v>4745</v>
      </c>
      <c r="V11" s="43" t="s">
        <v>196</v>
      </c>
      <c r="W11" s="43" t="s">
        <v>4746</v>
      </c>
      <c r="X11" s="43" t="s">
        <v>4747</v>
      </c>
      <c r="Y11" s="43" t="s">
        <v>35</v>
      </c>
      <c r="Z11" s="43" t="s">
        <v>200</v>
      </c>
      <c r="AA11" s="43" t="s">
        <v>4748</v>
      </c>
      <c r="AB11" s="50" t="s">
        <v>4749</v>
      </c>
      <c r="AC11" s="47"/>
      <c r="AD11" s="33"/>
      <c r="AE11" s="43" t="s">
        <v>4745</v>
      </c>
      <c r="AF11" s="43" t="s">
        <v>196</v>
      </c>
      <c r="AG11" s="43" t="s">
        <v>4746</v>
      </c>
      <c r="AH11" s="43" t="s">
        <v>4747</v>
      </c>
      <c r="AI11" s="43" t="s">
        <v>35</v>
      </c>
      <c r="AJ11" s="43" t="s">
        <v>200</v>
      </c>
      <c r="AK11" s="43" t="s">
        <v>4748</v>
      </c>
      <c r="AL11" s="50" t="s">
        <v>4749</v>
      </c>
      <c r="AM11" s="33"/>
      <c r="AN11" s="43" t="s">
        <v>4745</v>
      </c>
      <c r="AO11" s="43" t="s">
        <v>196</v>
      </c>
      <c r="AP11" s="43" t="s">
        <v>4746</v>
      </c>
      <c r="AQ11" s="43" t="s">
        <v>4747</v>
      </c>
      <c r="AR11" s="43" t="s">
        <v>35</v>
      </c>
      <c r="AS11" s="43" t="s">
        <v>200</v>
      </c>
      <c r="AT11" s="43" t="s">
        <v>4748</v>
      </c>
      <c r="AU11" s="50" t="s">
        <v>4749</v>
      </c>
      <c r="AV11" s="33"/>
      <c r="AW11" s="43" t="s">
        <v>4745</v>
      </c>
      <c r="AX11" s="43" t="s">
        <v>196</v>
      </c>
      <c r="AY11" s="43" t="s">
        <v>4746</v>
      </c>
      <c r="AZ11" s="43" t="s">
        <v>4747</v>
      </c>
      <c r="BA11" s="43" t="s">
        <v>35</v>
      </c>
      <c r="BB11" s="43" t="s">
        <v>200</v>
      </c>
      <c r="BC11" s="43" t="s">
        <v>4748</v>
      </c>
      <c r="BD11" s="50" t="s">
        <v>4749</v>
      </c>
      <c r="BE11" s="33"/>
      <c r="BF11" s="45" t="s">
        <v>4745</v>
      </c>
      <c r="BG11" s="45" t="s">
        <v>196</v>
      </c>
      <c r="BH11" s="45" t="s">
        <v>4746</v>
      </c>
      <c r="BI11" s="45" t="s">
        <v>4747</v>
      </c>
      <c r="BJ11" s="45" t="s">
        <v>35</v>
      </c>
      <c r="BK11" s="45" t="s">
        <v>200</v>
      </c>
      <c r="BL11" s="45" t="s">
        <v>4748</v>
      </c>
      <c r="BM11" s="51" t="s">
        <v>4749</v>
      </c>
      <c r="BN11" s="33"/>
      <c r="BO11" s="33"/>
    </row>
    <row r="12" spans="1:67" ht="25.5" customHeight="1">
      <c r="A12" s="52">
        <v>1</v>
      </c>
      <c r="B12" s="53">
        <v>6</v>
      </c>
      <c r="C12" s="54">
        <v>6</v>
      </c>
      <c r="D12" s="55" t="s">
        <v>229</v>
      </c>
      <c r="E12" s="55">
        <v>50</v>
      </c>
      <c r="F12" s="56" t="s">
        <v>60</v>
      </c>
      <c r="G12" s="52"/>
      <c r="H12" s="30" t="s">
        <v>236</v>
      </c>
      <c r="I12" s="47"/>
      <c r="J12" s="33"/>
      <c r="K12" s="525">
        <v>1</v>
      </c>
      <c r="L12" s="525">
        <v>61</v>
      </c>
      <c r="M12" s="525" t="s">
        <v>883</v>
      </c>
      <c r="N12" s="525" t="s">
        <v>884</v>
      </c>
      <c r="O12" s="525">
        <v>55</v>
      </c>
      <c r="P12" s="525" t="s">
        <v>75</v>
      </c>
      <c r="Q12" s="525"/>
      <c r="R12" s="30" t="s">
        <v>890</v>
      </c>
      <c r="S12" s="33"/>
      <c r="T12" s="33"/>
      <c r="U12" s="525">
        <v>1</v>
      </c>
      <c r="V12" s="525"/>
      <c r="W12" s="525" t="s">
        <v>531</v>
      </c>
      <c r="X12" s="525" t="s">
        <v>532</v>
      </c>
      <c r="Y12" s="525">
        <v>73</v>
      </c>
      <c r="Z12" s="525" t="s">
        <v>60</v>
      </c>
      <c r="AA12" s="525"/>
      <c r="AB12" s="30" t="s">
        <v>536</v>
      </c>
      <c r="AC12" s="33"/>
      <c r="AD12" s="33"/>
      <c r="AE12" s="525">
        <v>1</v>
      </c>
      <c r="AF12" s="525"/>
      <c r="AG12" s="526" t="s">
        <v>872</v>
      </c>
      <c r="AH12" s="525" t="s">
        <v>867</v>
      </c>
      <c r="AI12" s="525">
        <v>32</v>
      </c>
      <c r="AJ12" s="525" t="s">
        <v>424</v>
      </c>
      <c r="AK12" s="525"/>
      <c r="AL12" s="30" t="s">
        <v>873</v>
      </c>
      <c r="AM12" s="33"/>
      <c r="AN12" s="525">
        <v>1</v>
      </c>
      <c r="AO12" s="525">
        <v>144</v>
      </c>
      <c r="AP12" s="57" t="s">
        <v>1912</v>
      </c>
      <c r="AQ12" s="525" t="s">
        <v>294</v>
      </c>
      <c r="AR12" s="525">
        <v>50</v>
      </c>
      <c r="AS12" s="525" t="s">
        <v>60</v>
      </c>
      <c r="AT12" s="525"/>
      <c r="AU12" s="30" t="s">
        <v>1913</v>
      </c>
      <c r="AV12" s="33"/>
      <c r="AW12" s="525">
        <v>1</v>
      </c>
      <c r="AX12" s="525">
        <v>166</v>
      </c>
      <c r="AY12" s="57" t="s">
        <v>344</v>
      </c>
      <c r="AZ12" s="525" t="s">
        <v>345</v>
      </c>
      <c r="BA12" s="525">
        <v>74</v>
      </c>
      <c r="BB12" s="525" t="s">
        <v>60</v>
      </c>
      <c r="BC12" s="525"/>
      <c r="BD12" s="30" t="s">
        <v>351</v>
      </c>
      <c r="BE12" s="33"/>
      <c r="BF12" s="525">
        <v>1</v>
      </c>
      <c r="BG12" s="525">
        <v>249</v>
      </c>
      <c r="BH12" s="150" t="s">
        <v>430</v>
      </c>
      <c r="BI12" s="52" t="s">
        <v>431</v>
      </c>
      <c r="BJ12" s="151">
        <v>59</v>
      </c>
      <c r="BK12" s="151" t="s">
        <v>75</v>
      </c>
      <c r="BL12" s="152"/>
      <c r="BM12" s="30" t="s">
        <v>434</v>
      </c>
      <c r="BN12" s="33"/>
      <c r="BO12" s="33"/>
    </row>
    <row r="13" spans="1:67" ht="25.5" customHeight="1">
      <c r="A13" s="58">
        <v>2</v>
      </c>
      <c r="B13" s="62">
        <v>9</v>
      </c>
      <c r="C13" s="63" t="s">
        <v>239</v>
      </c>
      <c r="D13" s="64" t="s">
        <v>240</v>
      </c>
      <c r="E13" s="64">
        <v>45</v>
      </c>
      <c r="F13" s="65" t="s">
        <v>75</v>
      </c>
      <c r="G13" s="58"/>
      <c r="H13" s="30" t="s">
        <v>242</v>
      </c>
      <c r="I13" s="47"/>
      <c r="J13" s="33"/>
      <c r="K13" s="525">
        <v>2</v>
      </c>
      <c r="L13" s="525">
        <v>67</v>
      </c>
      <c r="M13" s="525" t="s">
        <v>892</v>
      </c>
      <c r="N13" s="525" t="s">
        <v>893</v>
      </c>
      <c r="O13" s="525">
        <v>41</v>
      </c>
      <c r="P13" s="525" t="s">
        <v>75</v>
      </c>
      <c r="Q13" s="525"/>
      <c r="R13" s="30" t="s">
        <v>898</v>
      </c>
      <c r="S13" s="33"/>
      <c r="T13" s="33"/>
      <c r="U13" s="525">
        <v>2</v>
      </c>
      <c r="V13" s="525">
        <v>28</v>
      </c>
      <c r="W13" s="525" t="s">
        <v>866</v>
      </c>
      <c r="X13" s="525" t="s">
        <v>867</v>
      </c>
      <c r="Y13" s="525">
        <v>29</v>
      </c>
      <c r="Z13" s="525" t="s">
        <v>60</v>
      </c>
      <c r="AA13" s="525"/>
      <c r="AB13" s="30" t="s">
        <v>870</v>
      </c>
      <c r="AC13" s="33"/>
      <c r="AD13" s="33"/>
      <c r="AE13" s="525">
        <v>2</v>
      </c>
      <c r="AF13" s="525">
        <v>68</v>
      </c>
      <c r="AG13" s="526" t="s">
        <v>1538</v>
      </c>
      <c r="AH13" s="525" t="s">
        <v>1539</v>
      </c>
      <c r="AI13" s="525">
        <v>66</v>
      </c>
      <c r="AJ13" s="525" t="s">
        <v>60</v>
      </c>
      <c r="AK13" s="525"/>
      <c r="AL13" s="30" t="s">
        <v>1542</v>
      </c>
      <c r="AM13" s="33"/>
      <c r="AN13" s="525">
        <v>2</v>
      </c>
      <c r="AO13" s="525">
        <v>397</v>
      </c>
      <c r="AP13" s="66" t="s">
        <v>1934</v>
      </c>
      <c r="AQ13" s="525" t="s">
        <v>1935</v>
      </c>
      <c r="AR13" s="525">
        <v>22</v>
      </c>
      <c r="AS13" s="525" t="s">
        <v>424</v>
      </c>
      <c r="AT13" s="525"/>
      <c r="AU13" s="30" t="s">
        <v>1938</v>
      </c>
      <c r="AV13" s="33"/>
      <c r="AW13" s="525">
        <v>2</v>
      </c>
      <c r="AX13" s="525">
        <v>167</v>
      </c>
      <c r="AY13" s="66" t="s">
        <v>355</v>
      </c>
      <c r="AZ13" s="525" t="s">
        <v>356</v>
      </c>
      <c r="BA13" s="525">
        <v>68</v>
      </c>
      <c r="BB13" s="525" t="s">
        <v>75</v>
      </c>
      <c r="BC13" s="525"/>
      <c r="BD13" s="30" t="s">
        <v>360</v>
      </c>
      <c r="BE13" s="33"/>
      <c r="BF13" s="525">
        <v>2</v>
      </c>
      <c r="BG13" s="525">
        <v>31</v>
      </c>
      <c r="BH13" s="59" t="s">
        <v>446</v>
      </c>
      <c r="BI13" s="58" t="s">
        <v>447</v>
      </c>
      <c r="BJ13" s="60">
        <v>26</v>
      </c>
      <c r="BK13" s="60" t="s">
        <v>60</v>
      </c>
      <c r="BL13" s="61"/>
      <c r="BM13" s="30" t="s">
        <v>449</v>
      </c>
      <c r="BN13" s="33"/>
      <c r="BO13" s="33"/>
    </row>
    <row r="14" spans="1:67" ht="25.5" customHeight="1">
      <c r="A14" s="58">
        <v>3</v>
      </c>
      <c r="B14" s="62">
        <v>11</v>
      </c>
      <c r="C14" s="63" t="s">
        <v>244</v>
      </c>
      <c r="D14" s="64" t="s">
        <v>245</v>
      </c>
      <c r="E14" s="64" t="s">
        <v>246</v>
      </c>
      <c r="F14" s="65" t="s">
        <v>75</v>
      </c>
      <c r="G14" s="58"/>
      <c r="H14" s="30" t="s">
        <v>248</v>
      </c>
      <c r="I14" s="47"/>
      <c r="J14" s="33"/>
      <c r="K14" s="525">
        <v>3</v>
      </c>
      <c r="L14" s="525">
        <v>76</v>
      </c>
      <c r="M14" s="525" t="s">
        <v>900</v>
      </c>
      <c r="N14" s="525" t="s">
        <v>901</v>
      </c>
      <c r="O14" s="525">
        <v>74</v>
      </c>
      <c r="P14" s="525" t="s">
        <v>60</v>
      </c>
      <c r="Q14" s="525"/>
      <c r="R14" s="30" t="s">
        <v>906</v>
      </c>
      <c r="S14" s="33"/>
      <c r="T14" s="33"/>
      <c r="U14" s="525">
        <v>3</v>
      </c>
      <c r="V14" s="525">
        <v>3</v>
      </c>
      <c r="W14" s="525" t="s">
        <v>875</v>
      </c>
      <c r="X14" s="525" t="s">
        <v>876</v>
      </c>
      <c r="Y14" s="525">
        <v>43</v>
      </c>
      <c r="Z14" s="525" t="s">
        <v>60</v>
      </c>
      <c r="AA14" s="525"/>
      <c r="AB14" s="30" t="s">
        <v>881</v>
      </c>
      <c r="AC14" s="33"/>
      <c r="AD14" s="33"/>
      <c r="AE14" s="525">
        <v>3</v>
      </c>
      <c r="AF14" s="525">
        <v>28</v>
      </c>
      <c r="AG14" s="526" t="s">
        <v>1651</v>
      </c>
      <c r="AH14" s="525" t="s">
        <v>294</v>
      </c>
      <c r="AI14" s="525">
        <v>53</v>
      </c>
      <c r="AJ14" s="525" t="s">
        <v>60</v>
      </c>
      <c r="AK14" s="525"/>
      <c r="AL14" s="30" t="s">
        <v>1652</v>
      </c>
      <c r="AM14" s="33"/>
      <c r="AN14" s="525">
        <v>3</v>
      </c>
      <c r="AO14" s="525">
        <v>361</v>
      </c>
      <c r="AP14" s="66" t="s">
        <v>3192</v>
      </c>
      <c r="AQ14" s="525" t="s">
        <v>2285</v>
      </c>
      <c r="AR14" s="525">
        <v>56</v>
      </c>
      <c r="AS14" s="525" t="s">
        <v>75</v>
      </c>
      <c r="AT14" s="525"/>
      <c r="AU14" s="30" t="s">
        <v>228</v>
      </c>
      <c r="AV14" s="33"/>
      <c r="AW14" s="525">
        <v>3</v>
      </c>
      <c r="AX14" s="525">
        <v>19</v>
      </c>
      <c r="AY14" s="66" t="s">
        <v>375</v>
      </c>
      <c r="AZ14" s="525" t="s">
        <v>376</v>
      </c>
      <c r="BA14" s="525">
        <v>56</v>
      </c>
      <c r="BB14" s="525" t="s">
        <v>60</v>
      </c>
      <c r="BC14" s="525"/>
      <c r="BD14" s="30" t="s">
        <v>383</v>
      </c>
      <c r="BE14" s="33"/>
      <c r="BF14" s="525">
        <v>3</v>
      </c>
      <c r="BG14" s="525"/>
      <c r="BH14" s="59" t="s">
        <v>607</v>
      </c>
      <c r="BI14" s="58" t="s">
        <v>608</v>
      </c>
      <c r="BJ14" s="60">
        <v>28</v>
      </c>
      <c r="BK14" s="60" t="s">
        <v>75</v>
      </c>
      <c r="BL14" s="61"/>
      <c r="BM14" s="30" t="s">
        <v>610</v>
      </c>
      <c r="BN14" s="33"/>
      <c r="BO14" s="33"/>
    </row>
    <row r="15" spans="1:67" ht="25.5" customHeight="1">
      <c r="A15" s="58">
        <v>4</v>
      </c>
      <c r="B15" s="62">
        <v>14</v>
      </c>
      <c r="C15" s="63" t="s">
        <v>250</v>
      </c>
      <c r="D15" s="64" t="s">
        <v>251</v>
      </c>
      <c r="E15" s="64">
        <v>52</v>
      </c>
      <c r="F15" s="65" t="s">
        <v>75</v>
      </c>
      <c r="G15" s="58"/>
      <c r="H15" s="30" t="s">
        <v>254</v>
      </c>
      <c r="I15" s="33"/>
      <c r="J15" s="33"/>
      <c r="K15" s="525">
        <v>4</v>
      </c>
      <c r="L15" s="525">
        <v>83</v>
      </c>
      <c r="M15" s="525" t="s">
        <v>908</v>
      </c>
      <c r="N15" s="525" t="s">
        <v>909</v>
      </c>
      <c r="O15" s="525">
        <v>48</v>
      </c>
      <c r="P15" s="525" t="s">
        <v>60</v>
      </c>
      <c r="Q15" s="525"/>
      <c r="R15" s="30" t="s">
        <v>913</v>
      </c>
      <c r="S15" s="33"/>
      <c r="T15" s="33"/>
      <c r="U15" s="525">
        <v>4</v>
      </c>
      <c r="V15" s="525">
        <v>114</v>
      </c>
      <c r="W15" s="525" t="s">
        <v>930</v>
      </c>
      <c r="X15" s="525" t="s">
        <v>931</v>
      </c>
      <c r="Y15" s="525">
        <v>39</v>
      </c>
      <c r="Z15" s="525" t="s">
        <v>60</v>
      </c>
      <c r="AA15" s="525"/>
      <c r="AB15" s="30" t="s">
        <v>935</v>
      </c>
      <c r="AC15" s="33"/>
      <c r="AD15" s="33"/>
      <c r="AE15" s="525">
        <v>4</v>
      </c>
      <c r="AF15" s="525">
        <v>188</v>
      </c>
      <c r="AG15" s="526" t="s">
        <v>1674</v>
      </c>
      <c r="AH15" s="525" t="s">
        <v>1671</v>
      </c>
      <c r="AI15" s="525">
        <v>67</v>
      </c>
      <c r="AJ15" s="525" t="s">
        <v>75</v>
      </c>
      <c r="AK15" s="525"/>
      <c r="AL15" s="30" t="s">
        <v>1679</v>
      </c>
      <c r="AM15" s="33"/>
      <c r="AN15" s="525">
        <v>4</v>
      </c>
      <c r="AO15" s="525"/>
      <c r="AP15" s="66" t="s">
        <v>4072</v>
      </c>
      <c r="AQ15" s="525" t="s">
        <v>4073</v>
      </c>
      <c r="AR15" s="525">
        <v>60</v>
      </c>
      <c r="AS15" s="525" t="s">
        <v>60</v>
      </c>
      <c r="AT15" s="525"/>
      <c r="AU15" s="30" t="s">
        <v>4077</v>
      </c>
      <c r="AV15" s="33"/>
      <c r="AW15" s="525">
        <v>4</v>
      </c>
      <c r="AX15" s="525">
        <v>276</v>
      </c>
      <c r="AY15" s="66" t="s">
        <v>436</v>
      </c>
      <c r="AZ15" s="525" t="s">
        <v>437</v>
      </c>
      <c r="BA15" s="525">
        <v>73</v>
      </c>
      <c r="BB15" s="525" t="s">
        <v>424</v>
      </c>
      <c r="BC15" s="525"/>
      <c r="BD15" s="30" t="s">
        <v>443</v>
      </c>
      <c r="BE15" s="33"/>
      <c r="BF15" s="525">
        <v>4</v>
      </c>
      <c r="BG15" s="525"/>
      <c r="BH15" s="59" t="s">
        <v>612</v>
      </c>
      <c r="BI15" s="58" t="s">
        <v>613</v>
      </c>
      <c r="BJ15" s="60">
        <v>43</v>
      </c>
      <c r="BK15" s="60" t="s">
        <v>75</v>
      </c>
      <c r="BL15" s="61"/>
      <c r="BM15" s="30" t="s">
        <v>615</v>
      </c>
      <c r="BN15" s="33"/>
      <c r="BO15" s="33"/>
    </row>
    <row r="16" spans="1:67" ht="25.5" customHeight="1">
      <c r="A16" s="58">
        <v>5</v>
      </c>
      <c r="B16" s="62">
        <v>24</v>
      </c>
      <c r="C16" s="63" t="s">
        <v>256</v>
      </c>
      <c r="D16" s="64" t="s">
        <v>257</v>
      </c>
      <c r="E16" s="64">
        <v>63</v>
      </c>
      <c r="F16" s="65" t="s">
        <v>75</v>
      </c>
      <c r="G16" s="58"/>
      <c r="H16" s="30" t="s">
        <v>259</v>
      </c>
      <c r="I16" s="33"/>
      <c r="J16" s="33"/>
      <c r="K16" s="525">
        <v>5</v>
      </c>
      <c r="L16" s="525">
        <v>99</v>
      </c>
      <c r="M16" s="525" t="s">
        <v>914</v>
      </c>
      <c r="N16" s="525" t="s">
        <v>915</v>
      </c>
      <c r="O16" s="525">
        <v>31</v>
      </c>
      <c r="P16" s="525" t="s">
        <v>60</v>
      </c>
      <c r="Q16" s="525"/>
      <c r="R16" s="30" t="s">
        <v>919</v>
      </c>
      <c r="S16" s="33"/>
      <c r="T16" s="33"/>
      <c r="U16" s="525">
        <v>5</v>
      </c>
      <c r="V16" s="525"/>
      <c r="W16" s="525">
        <v>5</v>
      </c>
      <c r="X16" s="525" t="s">
        <v>1303</v>
      </c>
      <c r="Y16" s="525">
        <v>60</v>
      </c>
      <c r="Z16" s="525" t="s">
        <v>60</v>
      </c>
      <c r="AA16" s="525"/>
      <c r="AB16" s="30" t="s">
        <v>231</v>
      </c>
      <c r="AC16" s="33"/>
      <c r="AD16" s="33"/>
      <c r="AE16" s="525">
        <v>5</v>
      </c>
      <c r="AF16" s="525"/>
      <c r="AG16" s="526">
        <v>8</v>
      </c>
      <c r="AH16" s="525" t="s">
        <v>1680</v>
      </c>
      <c r="AI16" s="525">
        <v>55</v>
      </c>
      <c r="AJ16" s="525" t="s">
        <v>60</v>
      </c>
      <c r="AK16" s="525"/>
      <c r="AL16" s="30" t="s">
        <v>1643</v>
      </c>
      <c r="AM16" s="33"/>
      <c r="AN16" s="33"/>
      <c r="AO16" s="33"/>
      <c r="AP16" s="33"/>
      <c r="AQ16" s="33"/>
      <c r="AR16" s="33"/>
      <c r="AS16" s="33"/>
      <c r="AT16" s="33"/>
      <c r="AU16" s="33"/>
      <c r="AV16" s="33"/>
      <c r="AW16" s="525">
        <v>5</v>
      </c>
      <c r="AX16" s="525">
        <v>359</v>
      </c>
      <c r="AY16" s="66" t="s">
        <v>456</v>
      </c>
      <c r="AZ16" s="525" t="s">
        <v>457</v>
      </c>
      <c r="BA16" s="525">
        <v>44</v>
      </c>
      <c r="BB16" s="525" t="s">
        <v>75</v>
      </c>
      <c r="BC16" s="525"/>
      <c r="BD16" s="30" t="s">
        <v>462</v>
      </c>
      <c r="BE16" s="33"/>
      <c r="BF16" s="525">
        <v>5</v>
      </c>
      <c r="BG16" s="525"/>
      <c r="BH16" s="59" t="s">
        <v>633</v>
      </c>
      <c r="BI16" s="58" t="s">
        <v>634</v>
      </c>
      <c r="BJ16" s="60">
        <v>20</v>
      </c>
      <c r="BK16" s="60" t="s">
        <v>60</v>
      </c>
      <c r="BL16" s="61"/>
      <c r="BM16" s="30" t="s">
        <v>636</v>
      </c>
      <c r="BN16" s="33"/>
      <c r="BO16" s="33"/>
    </row>
    <row r="17" spans="1:67" ht="25.5" customHeight="1">
      <c r="A17" s="58">
        <v>6</v>
      </c>
      <c r="B17" s="62">
        <v>27</v>
      </c>
      <c r="C17" s="63" t="s">
        <v>261</v>
      </c>
      <c r="D17" s="64" t="s">
        <v>262</v>
      </c>
      <c r="E17" s="64">
        <v>38</v>
      </c>
      <c r="F17" s="65" t="s">
        <v>60</v>
      </c>
      <c r="G17" s="58"/>
      <c r="H17" s="30" t="s">
        <v>265</v>
      </c>
      <c r="I17" s="33"/>
      <c r="J17" s="33"/>
      <c r="K17" s="525">
        <v>6</v>
      </c>
      <c r="L17" s="525">
        <v>16</v>
      </c>
      <c r="M17" s="525" t="s">
        <v>921</v>
      </c>
      <c r="N17" s="525" t="s">
        <v>922</v>
      </c>
      <c r="O17" s="525">
        <v>69</v>
      </c>
      <c r="P17" s="525" t="s">
        <v>60</v>
      </c>
      <c r="Q17" s="525"/>
      <c r="R17" s="30" t="s">
        <v>928</v>
      </c>
      <c r="S17" s="33"/>
      <c r="T17" s="33"/>
      <c r="U17" s="525">
        <v>6</v>
      </c>
      <c r="V17" s="525">
        <v>15</v>
      </c>
      <c r="W17" s="525" t="s">
        <v>1307</v>
      </c>
      <c r="X17" s="525" t="s">
        <v>1308</v>
      </c>
      <c r="Y17" s="525">
        <v>86</v>
      </c>
      <c r="Z17" s="525" t="s">
        <v>75</v>
      </c>
      <c r="AA17" s="525"/>
      <c r="AB17" s="30" t="s">
        <v>1313</v>
      </c>
      <c r="AC17" s="33"/>
      <c r="AD17" s="33"/>
      <c r="AE17" s="525">
        <v>6</v>
      </c>
      <c r="AF17" s="525">
        <v>19</v>
      </c>
      <c r="AG17" s="526" t="s">
        <v>1690</v>
      </c>
      <c r="AH17" s="525" t="s">
        <v>1691</v>
      </c>
      <c r="AI17" s="525">
        <v>49</v>
      </c>
      <c r="AJ17" s="525" t="s">
        <v>75</v>
      </c>
      <c r="AK17" s="525"/>
      <c r="AL17" s="30" t="s">
        <v>1694</v>
      </c>
      <c r="AM17" s="33"/>
      <c r="AN17" s="33"/>
      <c r="AO17" s="33"/>
      <c r="AP17" s="33"/>
      <c r="AQ17" s="33"/>
      <c r="AR17" s="33"/>
      <c r="AS17" s="33"/>
      <c r="AT17" s="33"/>
      <c r="AU17" s="33"/>
      <c r="AV17" s="33" t="s">
        <v>4750</v>
      </c>
      <c r="AW17" s="525">
        <v>6</v>
      </c>
      <c r="AX17" s="525"/>
      <c r="AY17" s="66" t="s">
        <v>523</v>
      </c>
      <c r="AZ17" s="525" t="s">
        <v>524</v>
      </c>
      <c r="BA17" s="525">
        <v>76</v>
      </c>
      <c r="BB17" s="525" t="s">
        <v>75</v>
      </c>
      <c r="BC17" s="525"/>
      <c r="BD17" s="30" t="s">
        <v>529</v>
      </c>
      <c r="BE17" s="33"/>
      <c r="BF17" s="525">
        <v>6</v>
      </c>
      <c r="BG17" s="525"/>
      <c r="BH17" s="59" t="s">
        <v>638</v>
      </c>
      <c r="BI17" s="58" t="s">
        <v>639</v>
      </c>
      <c r="BJ17" s="60">
        <v>46</v>
      </c>
      <c r="BK17" s="60" t="s">
        <v>75</v>
      </c>
      <c r="BL17" s="61"/>
      <c r="BM17" s="30" t="s">
        <v>641</v>
      </c>
      <c r="BN17" s="33"/>
      <c r="BO17" s="33"/>
    </row>
    <row r="18" spans="1:67" ht="25.5" customHeight="1">
      <c r="A18" s="58">
        <v>7</v>
      </c>
      <c r="B18" s="62">
        <v>32</v>
      </c>
      <c r="C18" s="63" t="s">
        <v>267</v>
      </c>
      <c r="D18" s="64" t="s">
        <v>268</v>
      </c>
      <c r="E18" s="64">
        <v>62</v>
      </c>
      <c r="F18" s="65" t="s">
        <v>75</v>
      </c>
      <c r="G18" s="58"/>
      <c r="H18" s="30" t="s">
        <v>270</v>
      </c>
      <c r="I18" s="33"/>
      <c r="J18" s="33"/>
      <c r="K18" s="525">
        <v>7</v>
      </c>
      <c r="L18" s="525">
        <v>115</v>
      </c>
      <c r="M18" s="525" t="s">
        <v>937</v>
      </c>
      <c r="N18" s="525" t="s">
        <v>938</v>
      </c>
      <c r="O18" s="525">
        <v>45</v>
      </c>
      <c r="P18" s="525" t="s">
        <v>75</v>
      </c>
      <c r="Q18" s="525"/>
      <c r="R18" s="30" t="s">
        <v>943</v>
      </c>
      <c r="S18" s="33"/>
      <c r="T18" s="33"/>
      <c r="U18" s="525">
        <v>7</v>
      </c>
      <c r="V18" s="525">
        <v>33</v>
      </c>
      <c r="W18" s="525" t="s">
        <v>1315</v>
      </c>
      <c r="X18" s="525" t="s">
        <v>1316</v>
      </c>
      <c r="Y18" s="525">
        <v>26</v>
      </c>
      <c r="Z18" s="525" t="s">
        <v>75</v>
      </c>
      <c r="AA18" s="525"/>
      <c r="AB18" s="30" t="s">
        <v>270</v>
      </c>
      <c r="AC18" s="33"/>
      <c r="AD18" s="33"/>
      <c r="AE18" s="525">
        <v>7</v>
      </c>
      <c r="AF18" s="525">
        <v>46</v>
      </c>
      <c r="AG18" s="526" t="s">
        <v>1696</v>
      </c>
      <c r="AH18" s="525" t="s">
        <v>1697</v>
      </c>
      <c r="AI18" s="525">
        <v>72</v>
      </c>
      <c r="AJ18" s="525" t="s">
        <v>60</v>
      </c>
      <c r="AK18" s="525"/>
      <c r="AL18" s="30" t="s">
        <v>1700</v>
      </c>
      <c r="AM18" s="33"/>
      <c r="AN18" s="33"/>
      <c r="AO18" s="33"/>
      <c r="AP18" s="33"/>
      <c r="AQ18" s="33"/>
      <c r="AR18" s="33"/>
      <c r="AS18" s="33"/>
      <c r="AT18" s="33"/>
      <c r="AU18" s="33"/>
      <c r="AV18" s="33"/>
      <c r="AW18" s="525">
        <v>7</v>
      </c>
      <c r="AX18" s="525"/>
      <c r="AY18" s="66" t="s">
        <v>560</v>
      </c>
      <c r="AZ18" s="525" t="s">
        <v>561</v>
      </c>
      <c r="BA18" s="525">
        <v>33</v>
      </c>
      <c r="BB18" s="525" t="s">
        <v>60</v>
      </c>
      <c r="BC18" s="525"/>
      <c r="BD18" s="30" t="s">
        <v>565</v>
      </c>
      <c r="BE18" s="33"/>
      <c r="BF18" s="525">
        <v>7</v>
      </c>
      <c r="BG18" s="525"/>
      <c r="BH18" s="59" t="s">
        <v>643</v>
      </c>
      <c r="BI18" s="58" t="s">
        <v>644</v>
      </c>
      <c r="BJ18" s="60">
        <v>46</v>
      </c>
      <c r="BK18" s="60" t="s">
        <v>75</v>
      </c>
      <c r="BL18" s="61"/>
      <c r="BM18" s="30" t="s">
        <v>647</v>
      </c>
      <c r="BN18" s="33"/>
      <c r="BO18" s="33"/>
    </row>
    <row r="19" spans="1:67" ht="25.5" customHeight="1">
      <c r="A19" s="58">
        <v>8</v>
      </c>
      <c r="B19" s="62">
        <v>34</v>
      </c>
      <c r="C19" s="63" t="s">
        <v>272</v>
      </c>
      <c r="D19" s="64" t="s">
        <v>273</v>
      </c>
      <c r="E19" s="64">
        <v>35</v>
      </c>
      <c r="F19" s="65" t="s">
        <v>75</v>
      </c>
      <c r="G19" s="58"/>
      <c r="H19" s="30" t="s">
        <v>275</v>
      </c>
      <c r="I19" s="33"/>
      <c r="J19" s="33"/>
      <c r="K19" s="525">
        <v>8</v>
      </c>
      <c r="L19" s="525">
        <v>116</v>
      </c>
      <c r="M19" s="525" t="s">
        <v>945</v>
      </c>
      <c r="N19" s="525" t="s">
        <v>946</v>
      </c>
      <c r="O19" s="525">
        <v>40</v>
      </c>
      <c r="P19" s="525" t="s">
        <v>60</v>
      </c>
      <c r="Q19" s="525"/>
      <c r="R19" s="30" t="s">
        <v>950</v>
      </c>
      <c r="S19" s="33"/>
      <c r="T19" s="33"/>
      <c r="U19" s="525">
        <v>8</v>
      </c>
      <c r="V19" s="525">
        <v>35</v>
      </c>
      <c r="W19" s="525" t="s">
        <v>1321</v>
      </c>
      <c r="X19" s="525" t="s">
        <v>1322</v>
      </c>
      <c r="Y19" s="525">
        <v>48</v>
      </c>
      <c r="Z19" s="525" t="s">
        <v>75</v>
      </c>
      <c r="AA19" s="525"/>
      <c r="AB19" s="30" t="s">
        <v>1324</v>
      </c>
      <c r="AC19" s="33"/>
      <c r="AD19" s="33"/>
      <c r="AE19" s="525">
        <v>8</v>
      </c>
      <c r="AF19" s="525">
        <v>55</v>
      </c>
      <c r="AG19" s="526" t="s">
        <v>1710</v>
      </c>
      <c r="AH19" s="525" t="s">
        <v>1711</v>
      </c>
      <c r="AI19" s="525">
        <v>48</v>
      </c>
      <c r="AJ19" s="525" t="s">
        <v>60</v>
      </c>
      <c r="AK19" s="525"/>
      <c r="AL19" s="30" t="s">
        <v>1715</v>
      </c>
      <c r="AM19" s="33"/>
      <c r="AN19" s="33"/>
      <c r="AO19" s="33"/>
      <c r="AP19" s="33"/>
      <c r="AQ19" s="33"/>
      <c r="AR19" s="33"/>
      <c r="AS19" s="33"/>
      <c r="AT19" s="33"/>
      <c r="AU19" s="33"/>
      <c r="AV19" s="33"/>
      <c r="AW19" s="525">
        <v>8</v>
      </c>
      <c r="AX19" s="525">
        <v>198</v>
      </c>
      <c r="AY19" s="66" t="s">
        <v>820</v>
      </c>
      <c r="AZ19" s="525" t="s">
        <v>821</v>
      </c>
      <c r="BA19" s="525">
        <v>40</v>
      </c>
      <c r="BB19" s="525" t="s">
        <v>60</v>
      </c>
      <c r="BC19" s="525"/>
      <c r="BD19" s="30" t="s">
        <v>828</v>
      </c>
      <c r="BE19" s="33"/>
      <c r="BF19" s="525">
        <v>8</v>
      </c>
      <c r="BG19" s="525"/>
      <c r="BH19" s="59" t="s">
        <v>655</v>
      </c>
      <c r="BI19" s="58" t="s">
        <v>656</v>
      </c>
      <c r="BJ19" s="60">
        <v>29</v>
      </c>
      <c r="BK19" s="60" t="s">
        <v>75</v>
      </c>
      <c r="BL19" s="61"/>
      <c r="BM19" s="30" t="s">
        <v>659</v>
      </c>
      <c r="BN19" s="33"/>
      <c r="BO19" s="33"/>
    </row>
    <row r="20" spans="1:67" ht="25.5" customHeight="1">
      <c r="A20" s="58">
        <v>9</v>
      </c>
      <c r="B20" s="62">
        <v>36</v>
      </c>
      <c r="C20" s="63" t="s">
        <v>277</v>
      </c>
      <c r="D20" s="64" t="s">
        <v>278</v>
      </c>
      <c r="E20" s="64">
        <v>37</v>
      </c>
      <c r="F20" s="65" t="s">
        <v>60</v>
      </c>
      <c r="G20" s="58"/>
      <c r="H20" s="30" t="s">
        <v>281</v>
      </c>
      <c r="I20" s="33"/>
      <c r="J20" s="33"/>
      <c r="K20" s="525">
        <v>9</v>
      </c>
      <c r="L20" s="525">
        <v>117</v>
      </c>
      <c r="M20" s="525" t="s">
        <v>952</v>
      </c>
      <c r="N20" s="525" t="s">
        <v>953</v>
      </c>
      <c r="O20" s="525">
        <v>42</v>
      </c>
      <c r="P20" s="525" t="s">
        <v>75</v>
      </c>
      <c r="Q20" s="525"/>
      <c r="R20" s="30" t="s">
        <v>958</v>
      </c>
      <c r="S20" s="33"/>
      <c r="T20" s="33"/>
      <c r="U20" s="525">
        <v>9</v>
      </c>
      <c r="V20" s="525">
        <v>42</v>
      </c>
      <c r="W20" s="525" t="s">
        <v>1326</v>
      </c>
      <c r="X20" s="525" t="s">
        <v>1327</v>
      </c>
      <c r="Y20" s="525">
        <v>58</v>
      </c>
      <c r="Z20" s="525" t="s">
        <v>75</v>
      </c>
      <c r="AA20" s="525"/>
      <c r="AB20" s="30" t="s">
        <v>1332</v>
      </c>
      <c r="AC20" s="33"/>
      <c r="AD20" s="33"/>
      <c r="AE20" s="525">
        <v>9</v>
      </c>
      <c r="AF20" s="525">
        <v>63</v>
      </c>
      <c r="AG20" s="526" t="s">
        <v>1717</v>
      </c>
      <c r="AH20" s="525" t="s">
        <v>1718</v>
      </c>
      <c r="AI20" s="525">
        <v>44</v>
      </c>
      <c r="AJ20" s="525" t="s">
        <v>75</v>
      </c>
      <c r="AK20" s="525"/>
      <c r="AL20" s="30" t="s">
        <v>1722</v>
      </c>
      <c r="AM20" s="33"/>
      <c r="AN20" s="33"/>
      <c r="AO20" s="33"/>
      <c r="AP20" s="33"/>
      <c r="AQ20" s="33"/>
      <c r="AR20" s="33"/>
      <c r="AS20" s="33"/>
      <c r="AT20" s="33"/>
      <c r="AU20" s="33"/>
      <c r="AV20" s="33"/>
      <c r="AW20" s="525">
        <v>9</v>
      </c>
      <c r="AX20" s="525">
        <v>16</v>
      </c>
      <c r="AY20" s="66" t="s">
        <v>1683</v>
      </c>
      <c r="AZ20" s="525" t="s">
        <v>1684</v>
      </c>
      <c r="BA20" s="525">
        <v>24</v>
      </c>
      <c r="BB20" s="525" t="s">
        <v>75</v>
      </c>
      <c r="BC20" s="525"/>
      <c r="BD20" s="30" t="s">
        <v>1688</v>
      </c>
      <c r="BE20" s="33"/>
      <c r="BF20" s="525">
        <v>9</v>
      </c>
      <c r="BG20" s="525"/>
      <c r="BH20" s="59" t="s">
        <v>794</v>
      </c>
      <c r="BI20" s="58" t="s">
        <v>795</v>
      </c>
      <c r="BJ20" s="60">
        <v>78</v>
      </c>
      <c r="BK20" s="60" t="s">
        <v>424</v>
      </c>
      <c r="BL20" s="61"/>
      <c r="BM20" s="30" t="s">
        <v>798</v>
      </c>
      <c r="BN20" s="33"/>
      <c r="BO20" s="33"/>
    </row>
    <row r="21" spans="1:67" ht="25.5" customHeight="1">
      <c r="A21" s="58">
        <v>10</v>
      </c>
      <c r="B21" s="62">
        <v>37</v>
      </c>
      <c r="C21" s="63" t="s">
        <v>283</v>
      </c>
      <c r="D21" s="64" t="s">
        <v>284</v>
      </c>
      <c r="E21" s="64">
        <v>35</v>
      </c>
      <c r="F21" s="65" t="s">
        <v>60</v>
      </c>
      <c r="G21" s="58"/>
      <c r="H21" s="30" t="s">
        <v>286</v>
      </c>
      <c r="I21" s="33"/>
      <c r="J21" s="33"/>
      <c r="K21" s="525">
        <v>10</v>
      </c>
      <c r="L21" s="525">
        <v>122</v>
      </c>
      <c r="M21" s="525" t="s">
        <v>960</v>
      </c>
      <c r="N21" s="525" t="s">
        <v>961</v>
      </c>
      <c r="O21" s="525">
        <v>57</v>
      </c>
      <c r="P21" s="525" t="s">
        <v>60</v>
      </c>
      <c r="Q21" s="525"/>
      <c r="R21" s="30" t="s">
        <v>966</v>
      </c>
      <c r="S21" s="33"/>
      <c r="T21" s="33"/>
      <c r="U21" s="525">
        <v>10</v>
      </c>
      <c r="V21" s="525">
        <v>48</v>
      </c>
      <c r="W21" s="525" t="s">
        <v>1334</v>
      </c>
      <c r="X21" s="525" t="s">
        <v>1335</v>
      </c>
      <c r="Y21" s="525">
        <v>38</v>
      </c>
      <c r="Z21" s="525" t="s">
        <v>60</v>
      </c>
      <c r="AA21" s="525"/>
      <c r="AB21" s="30" t="s">
        <v>1339</v>
      </c>
      <c r="AC21" s="33"/>
      <c r="AD21" s="33"/>
      <c r="AE21" s="525">
        <v>10</v>
      </c>
      <c r="AF21" s="525">
        <v>64</v>
      </c>
      <c r="AG21" s="526" t="s">
        <v>1724</v>
      </c>
      <c r="AH21" s="525" t="s">
        <v>1725</v>
      </c>
      <c r="AI21" s="525">
        <v>22</v>
      </c>
      <c r="AJ21" s="525" t="s">
        <v>60</v>
      </c>
      <c r="AK21" s="525"/>
      <c r="AL21" s="30" t="s">
        <v>1730</v>
      </c>
      <c r="AM21" s="33"/>
      <c r="AN21" s="33"/>
      <c r="AO21" s="33"/>
      <c r="AP21" s="33"/>
      <c r="AQ21" s="33"/>
      <c r="AR21" s="33"/>
      <c r="AS21" s="33"/>
      <c r="AT21" s="33"/>
      <c r="AU21" s="33"/>
      <c r="AV21" s="33"/>
      <c r="AW21" s="525">
        <v>10</v>
      </c>
      <c r="AX21" s="525">
        <v>25</v>
      </c>
      <c r="AY21" s="66" t="s">
        <v>1861</v>
      </c>
      <c r="AZ21" s="525" t="s">
        <v>1862</v>
      </c>
      <c r="BA21" s="525">
        <v>34</v>
      </c>
      <c r="BB21" s="525" t="s">
        <v>60</v>
      </c>
      <c r="BC21" s="525"/>
      <c r="BD21" s="30" t="s">
        <v>1865</v>
      </c>
      <c r="BE21" s="33"/>
      <c r="BF21" s="525">
        <v>10</v>
      </c>
      <c r="BG21" s="525"/>
      <c r="BH21" s="59" t="s">
        <v>856</v>
      </c>
      <c r="BI21" s="58" t="s">
        <v>857</v>
      </c>
      <c r="BJ21" s="60">
        <v>63</v>
      </c>
      <c r="BK21" s="60" t="s">
        <v>60</v>
      </c>
      <c r="BL21" s="61"/>
      <c r="BM21" s="30" t="s">
        <v>859</v>
      </c>
      <c r="BN21" s="33"/>
      <c r="BO21" s="33"/>
    </row>
    <row r="22" spans="1:67" ht="25.5" customHeight="1">
      <c r="A22" s="58">
        <v>11</v>
      </c>
      <c r="B22" s="62">
        <v>38</v>
      </c>
      <c r="C22" s="63" t="s">
        <v>288</v>
      </c>
      <c r="D22" s="64" t="s">
        <v>289</v>
      </c>
      <c r="E22" s="64">
        <v>50</v>
      </c>
      <c r="F22" s="65" t="s">
        <v>60</v>
      </c>
      <c r="G22" s="58"/>
      <c r="H22" s="30" t="s">
        <v>291</v>
      </c>
      <c r="I22" s="33"/>
      <c r="J22" s="33"/>
      <c r="K22" s="525">
        <v>11</v>
      </c>
      <c r="L22" s="525">
        <v>123</v>
      </c>
      <c r="M22" s="525" t="s">
        <v>968</v>
      </c>
      <c r="N22" s="525" t="s">
        <v>969</v>
      </c>
      <c r="O22" s="525">
        <v>27</v>
      </c>
      <c r="P22" s="525" t="s">
        <v>60</v>
      </c>
      <c r="Q22" s="525"/>
      <c r="R22" s="30" t="s">
        <v>973</v>
      </c>
      <c r="S22" s="33"/>
      <c r="T22" s="33"/>
      <c r="U22" s="525">
        <v>11</v>
      </c>
      <c r="V22" s="525">
        <v>51</v>
      </c>
      <c r="W22" s="525" t="s">
        <v>1341</v>
      </c>
      <c r="X22" s="525" t="s">
        <v>1342</v>
      </c>
      <c r="Y22" s="525">
        <v>62</v>
      </c>
      <c r="Z22" s="525" t="s">
        <v>75</v>
      </c>
      <c r="AA22" s="525"/>
      <c r="AB22" s="30" t="s">
        <v>434</v>
      </c>
      <c r="AC22" s="33"/>
      <c r="AD22" s="33"/>
      <c r="AE22" s="525">
        <v>11</v>
      </c>
      <c r="AF22" s="525">
        <v>66</v>
      </c>
      <c r="AG22" s="526" t="s">
        <v>1732</v>
      </c>
      <c r="AH22" s="525" t="s">
        <v>1733</v>
      </c>
      <c r="AI22" s="525">
        <v>66</v>
      </c>
      <c r="AJ22" s="525" t="s">
        <v>60</v>
      </c>
      <c r="AK22" s="525"/>
      <c r="AL22" s="30" t="s">
        <v>1736</v>
      </c>
      <c r="AM22" s="33"/>
      <c r="AN22" s="33"/>
      <c r="AO22" s="33"/>
      <c r="AP22" s="33"/>
      <c r="AQ22" s="33"/>
      <c r="AR22" s="33"/>
      <c r="AS22" s="33"/>
      <c r="AT22" s="33"/>
      <c r="AU22" s="33"/>
      <c r="AV22" s="33"/>
      <c r="AW22" s="525">
        <v>11</v>
      </c>
      <c r="AX22" s="525"/>
      <c r="AY22" s="66" t="s">
        <v>1867</v>
      </c>
      <c r="AZ22" s="525" t="s">
        <v>1868</v>
      </c>
      <c r="BA22" s="525">
        <v>45</v>
      </c>
      <c r="BB22" s="525" t="s">
        <v>75</v>
      </c>
      <c r="BC22" s="525"/>
      <c r="BD22" s="30" t="s">
        <v>1871</v>
      </c>
      <c r="BE22" s="33"/>
      <c r="BF22" s="525">
        <v>11</v>
      </c>
      <c r="BG22" s="525">
        <v>238</v>
      </c>
      <c r="BH22" s="59" t="s">
        <v>1940</v>
      </c>
      <c r="BI22" s="58" t="s">
        <v>1941</v>
      </c>
      <c r="BJ22" s="60">
        <v>40</v>
      </c>
      <c r="BK22" s="60" t="s">
        <v>75</v>
      </c>
      <c r="BL22" s="61"/>
      <c r="BM22" s="30" t="s">
        <v>1944</v>
      </c>
      <c r="BN22" s="33"/>
      <c r="BO22" s="33"/>
    </row>
    <row r="23" spans="1:67" ht="25.5" customHeight="1">
      <c r="A23" s="58">
        <v>12</v>
      </c>
      <c r="B23" s="62">
        <v>43</v>
      </c>
      <c r="C23" s="63" t="s">
        <v>293</v>
      </c>
      <c r="D23" s="64" t="s">
        <v>294</v>
      </c>
      <c r="E23" s="64">
        <v>52</v>
      </c>
      <c r="F23" s="65" t="s">
        <v>60</v>
      </c>
      <c r="G23" s="58"/>
      <c r="H23" s="30" t="s">
        <v>299</v>
      </c>
      <c r="I23" s="33"/>
      <c r="J23" s="33"/>
      <c r="K23" s="525">
        <v>12</v>
      </c>
      <c r="L23" s="525">
        <v>124</v>
      </c>
      <c r="M23" s="525" t="s">
        <v>975</v>
      </c>
      <c r="N23" s="525" t="s">
        <v>976</v>
      </c>
      <c r="O23" s="525">
        <v>41</v>
      </c>
      <c r="P23" s="525" t="s">
        <v>75</v>
      </c>
      <c r="Q23" s="525"/>
      <c r="R23" s="30" t="s">
        <v>981</v>
      </c>
      <c r="S23" s="33"/>
      <c r="T23" s="33"/>
      <c r="U23" s="525">
        <v>12</v>
      </c>
      <c r="V23" s="525">
        <v>52</v>
      </c>
      <c r="W23" s="525" t="s">
        <v>1347</v>
      </c>
      <c r="X23" s="525" t="s">
        <v>1348</v>
      </c>
      <c r="Y23" s="525">
        <v>52</v>
      </c>
      <c r="Z23" s="525" t="s">
        <v>75</v>
      </c>
      <c r="AA23" s="525"/>
      <c r="AB23" s="30" t="s">
        <v>1352</v>
      </c>
      <c r="AC23" s="33"/>
      <c r="AD23" s="33"/>
      <c r="AE23" s="525">
        <v>12</v>
      </c>
      <c r="AF23" s="525">
        <v>11</v>
      </c>
      <c r="AG23" s="526" t="s">
        <v>1738</v>
      </c>
      <c r="AH23" s="525" t="s">
        <v>1739</v>
      </c>
      <c r="AI23" s="525">
        <v>27</v>
      </c>
      <c r="AJ23" s="525" t="s">
        <v>60</v>
      </c>
      <c r="AK23" s="525"/>
      <c r="AL23" s="30" t="s">
        <v>1742</v>
      </c>
      <c r="AM23" s="33"/>
      <c r="AN23" s="33"/>
      <c r="AO23" s="33"/>
      <c r="AP23" s="33"/>
      <c r="AQ23" s="33"/>
      <c r="AR23" s="33"/>
      <c r="AS23" s="33"/>
      <c r="AT23" s="33"/>
      <c r="AU23" s="33"/>
      <c r="AV23" s="33"/>
      <c r="AW23" s="525">
        <v>12</v>
      </c>
      <c r="AX23" s="525">
        <v>193</v>
      </c>
      <c r="AY23" s="66" t="s">
        <v>1873</v>
      </c>
      <c r="AZ23" s="525" t="s">
        <v>1874</v>
      </c>
      <c r="BA23" s="525">
        <v>41</v>
      </c>
      <c r="BB23" s="525" t="s">
        <v>60</v>
      </c>
      <c r="BC23" s="525"/>
      <c r="BD23" s="30" t="s">
        <v>1880</v>
      </c>
      <c r="BE23" s="33"/>
      <c r="BF23" s="525">
        <v>12</v>
      </c>
      <c r="BG23" s="525">
        <v>239</v>
      </c>
      <c r="BH23" s="59" t="s">
        <v>1946</v>
      </c>
      <c r="BI23" s="58" t="s">
        <v>1947</v>
      </c>
      <c r="BJ23" s="60">
        <v>32</v>
      </c>
      <c r="BK23" s="60" t="s">
        <v>75</v>
      </c>
      <c r="BL23" s="61"/>
      <c r="BM23" s="30" t="s">
        <v>1949</v>
      </c>
      <c r="BN23" s="33"/>
      <c r="BO23" s="33"/>
    </row>
    <row r="24" spans="1:67" ht="25.5" customHeight="1">
      <c r="A24" s="58">
        <v>13</v>
      </c>
      <c r="B24" s="62">
        <v>44</v>
      </c>
      <c r="C24" s="63" t="s">
        <v>301</v>
      </c>
      <c r="D24" s="64" t="s">
        <v>302</v>
      </c>
      <c r="E24" s="64">
        <v>55</v>
      </c>
      <c r="F24" s="65" t="s">
        <v>75</v>
      </c>
      <c r="G24" s="58"/>
      <c r="H24" s="30" t="s">
        <v>304</v>
      </c>
      <c r="I24" s="33"/>
      <c r="J24" s="33"/>
      <c r="K24" s="525">
        <v>13</v>
      </c>
      <c r="L24" s="525">
        <v>127</v>
      </c>
      <c r="M24" s="525" t="s">
        <v>983</v>
      </c>
      <c r="N24" s="525" t="s">
        <v>984</v>
      </c>
      <c r="O24" s="525">
        <v>61</v>
      </c>
      <c r="P24" s="525" t="s">
        <v>60</v>
      </c>
      <c r="Q24" s="525"/>
      <c r="R24" s="30" t="s">
        <v>989</v>
      </c>
      <c r="S24" s="33"/>
      <c r="T24" s="33"/>
      <c r="U24" s="525">
        <v>13</v>
      </c>
      <c r="V24" s="525">
        <v>53</v>
      </c>
      <c r="W24" s="525" t="s">
        <v>1354</v>
      </c>
      <c r="X24" s="525" t="s">
        <v>1355</v>
      </c>
      <c r="Y24" s="525">
        <v>72</v>
      </c>
      <c r="Z24" s="525" t="s">
        <v>60</v>
      </c>
      <c r="AA24" s="525"/>
      <c r="AB24" s="30" t="s">
        <v>1358</v>
      </c>
      <c r="AC24" s="33"/>
      <c r="AD24" s="33"/>
      <c r="AE24" s="525">
        <v>13</v>
      </c>
      <c r="AF24" s="525">
        <v>118</v>
      </c>
      <c r="AG24" s="526" t="s">
        <v>1744</v>
      </c>
      <c r="AH24" s="525" t="s">
        <v>1745</v>
      </c>
      <c r="AI24" s="525">
        <v>33</v>
      </c>
      <c r="AJ24" s="525" t="s">
        <v>60</v>
      </c>
      <c r="AK24" s="525"/>
      <c r="AL24" s="30" t="s">
        <v>1749</v>
      </c>
      <c r="AM24" s="33"/>
      <c r="AN24" s="33"/>
      <c r="AO24" s="33"/>
      <c r="AP24" s="33"/>
      <c r="AQ24" s="33"/>
      <c r="AR24" s="33"/>
      <c r="AS24" s="33"/>
      <c r="AT24" s="33"/>
      <c r="AU24" s="33"/>
      <c r="AV24" s="33"/>
      <c r="AW24" s="525">
        <v>13</v>
      </c>
      <c r="AX24" s="525"/>
      <c r="AY24" s="66" t="s">
        <v>1882</v>
      </c>
      <c r="AZ24" s="525" t="s">
        <v>1883</v>
      </c>
      <c r="BA24" s="525">
        <v>70</v>
      </c>
      <c r="BB24" s="525" t="s">
        <v>60</v>
      </c>
      <c r="BC24" s="525"/>
      <c r="BD24" s="30" t="s">
        <v>1888</v>
      </c>
      <c r="BE24" s="33"/>
      <c r="BF24" s="525">
        <v>13</v>
      </c>
      <c r="BG24" s="525">
        <v>24</v>
      </c>
      <c r="BH24" s="59" t="s">
        <v>1951</v>
      </c>
      <c r="BI24" s="58" t="s">
        <v>1952</v>
      </c>
      <c r="BJ24" s="60">
        <v>39</v>
      </c>
      <c r="BK24" s="60" t="s">
        <v>60</v>
      </c>
      <c r="BL24" s="61"/>
      <c r="BM24" s="30" t="s">
        <v>1954</v>
      </c>
      <c r="BN24" s="33"/>
      <c r="BO24" s="33"/>
    </row>
    <row r="25" spans="1:67" ht="25.5" customHeight="1">
      <c r="A25" s="58">
        <v>14</v>
      </c>
      <c r="B25" s="62">
        <v>56</v>
      </c>
      <c r="C25" s="63" t="s">
        <v>306</v>
      </c>
      <c r="D25" s="64" t="s">
        <v>307</v>
      </c>
      <c r="E25" s="64">
        <v>42</v>
      </c>
      <c r="F25" s="65" t="s">
        <v>75</v>
      </c>
      <c r="G25" s="58"/>
      <c r="H25" s="30" t="s">
        <v>310</v>
      </c>
      <c r="I25" s="33"/>
      <c r="J25" s="33"/>
      <c r="K25" s="525">
        <v>14</v>
      </c>
      <c r="L25" s="525">
        <v>132</v>
      </c>
      <c r="M25" s="525" t="s">
        <v>991</v>
      </c>
      <c r="N25" s="525" t="s">
        <v>992</v>
      </c>
      <c r="O25" s="525">
        <v>52</v>
      </c>
      <c r="P25" s="525" t="s">
        <v>75</v>
      </c>
      <c r="Q25" s="525"/>
      <c r="R25" s="30" t="s">
        <v>997</v>
      </c>
      <c r="S25" s="33"/>
      <c r="T25" s="33"/>
      <c r="U25" s="525">
        <v>14</v>
      </c>
      <c r="V25" s="525">
        <v>59</v>
      </c>
      <c r="W25" s="525" t="s">
        <v>1360</v>
      </c>
      <c r="X25" s="525" t="s">
        <v>1361</v>
      </c>
      <c r="Y25" s="525">
        <v>70</v>
      </c>
      <c r="Z25" s="525" t="s">
        <v>75</v>
      </c>
      <c r="AA25" s="525"/>
      <c r="AB25" s="30" t="s">
        <v>1364</v>
      </c>
      <c r="AC25" s="33"/>
      <c r="AD25" s="33"/>
      <c r="AE25" s="525">
        <v>14</v>
      </c>
      <c r="AF25" s="525">
        <v>119</v>
      </c>
      <c r="AG25" s="526" t="s">
        <v>1751</v>
      </c>
      <c r="AH25" s="525" t="s">
        <v>1752</v>
      </c>
      <c r="AI25" s="525">
        <v>61</v>
      </c>
      <c r="AJ25" s="525" t="s">
        <v>60</v>
      </c>
      <c r="AK25" s="525"/>
      <c r="AL25" s="30" t="s">
        <v>1755</v>
      </c>
      <c r="AM25" s="33"/>
      <c r="AN25" s="33"/>
      <c r="AO25" s="33"/>
      <c r="AP25" s="33"/>
      <c r="AQ25" s="33"/>
      <c r="AR25" s="33"/>
      <c r="AS25" s="33"/>
      <c r="AT25" s="33"/>
      <c r="AU25" s="33"/>
      <c r="AV25" s="33"/>
      <c r="AW25" s="525">
        <v>14</v>
      </c>
      <c r="AX25" s="525">
        <v>45</v>
      </c>
      <c r="AY25" s="66" t="s">
        <v>1890</v>
      </c>
      <c r="AZ25" s="525" t="s">
        <v>1891</v>
      </c>
      <c r="BA25" s="525">
        <v>57</v>
      </c>
      <c r="BB25" s="525" t="s">
        <v>75</v>
      </c>
      <c r="BC25" s="525"/>
      <c r="BD25" s="30" t="s">
        <v>1893</v>
      </c>
      <c r="BE25" s="33"/>
      <c r="BF25" s="525">
        <v>14</v>
      </c>
      <c r="BG25" s="525">
        <v>25</v>
      </c>
      <c r="BH25" s="59" t="s">
        <v>1956</v>
      </c>
      <c r="BI25" s="58" t="s">
        <v>1957</v>
      </c>
      <c r="BJ25" s="60">
        <v>60</v>
      </c>
      <c r="BK25" s="60" t="s">
        <v>424</v>
      </c>
      <c r="BL25" s="61"/>
      <c r="BM25" s="30" t="s">
        <v>1959</v>
      </c>
      <c r="BN25" s="33"/>
      <c r="BO25" s="33"/>
    </row>
    <row r="26" spans="1:67" ht="25.5" customHeight="1">
      <c r="A26" s="58">
        <v>15</v>
      </c>
      <c r="B26" s="62">
        <v>57</v>
      </c>
      <c r="C26" s="63" t="s">
        <v>312</v>
      </c>
      <c r="D26" s="64" t="s">
        <v>313</v>
      </c>
      <c r="E26" s="64">
        <v>47</v>
      </c>
      <c r="F26" s="65" t="s">
        <v>60</v>
      </c>
      <c r="G26" s="58"/>
      <c r="H26" s="30" t="s">
        <v>315</v>
      </c>
      <c r="I26" s="33"/>
      <c r="J26" s="33"/>
      <c r="K26" s="525">
        <v>15</v>
      </c>
      <c r="L26" s="525">
        <v>142</v>
      </c>
      <c r="M26" s="525" t="s">
        <v>999</v>
      </c>
      <c r="N26" s="525" t="s">
        <v>1000</v>
      </c>
      <c r="O26" s="525">
        <v>52</v>
      </c>
      <c r="P26" s="525" t="s">
        <v>60</v>
      </c>
      <c r="Q26" s="525"/>
      <c r="R26" s="30" t="s">
        <v>1003</v>
      </c>
      <c r="S26" s="33"/>
      <c r="T26" s="33"/>
      <c r="U26" s="525">
        <v>15</v>
      </c>
      <c r="V26" s="525">
        <v>6</v>
      </c>
      <c r="W26" s="525" t="s">
        <v>1366</v>
      </c>
      <c r="X26" s="525" t="s">
        <v>1367</v>
      </c>
      <c r="Y26" s="525">
        <v>65</v>
      </c>
      <c r="Z26" s="525" t="s">
        <v>75</v>
      </c>
      <c r="AA26" s="525"/>
      <c r="AB26" s="30" t="s">
        <v>1371</v>
      </c>
      <c r="AC26" s="33"/>
      <c r="AD26" s="33"/>
      <c r="AE26" s="525">
        <v>15</v>
      </c>
      <c r="AF26" s="525">
        <v>121</v>
      </c>
      <c r="AG26" s="526" t="s">
        <v>1757</v>
      </c>
      <c r="AH26" s="525" t="s">
        <v>1758</v>
      </c>
      <c r="AI26" s="525">
        <v>72</v>
      </c>
      <c r="AJ26" s="525" t="s">
        <v>75</v>
      </c>
      <c r="AK26" s="525"/>
      <c r="AL26" s="30" t="s">
        <v>1761</v>
      </c>
      <c r="AM26" s="33"/>
      <c r="AN26" s="33"/>
      <c r="AO26" s="33"/>
      <c r="AP26" s="33"/>
      <c r="AQ26" s="33"/>
      <c r="AR26" s="33"/>
      <c r="AS26" s="33"/>
      <c r="AT26" s="33"/>
      <c r="AU26" s="33"/>
      <c r="AV26" s="33"/>
      <c r="AW26" s="525">
        <v>15</v>
      </c>
      <c r="AX26" s="525"/>
      <c r="AY26" s="66" t="s">
        <v>1895</v>
      </c>
      <c r="AZ26" s="525" t="s">
        <v>1896</v>
      </c>
      <c r="BA26" s="525">
        <v>46</v>
      </c>
      <c r="BB26" s="525" t="s">
        <v>75</v>
      </c>
      <c r="BC26" s="525"/>
      <c r="BD26" s="30" t="s">
        <v>1899</v>
      </c>
      <c r="BE26" s="33"/>
      <c r="BF26" s="525">
        <v>15</v>
      </c>
      <c r="BG26" s="525">
        <v>252</v>
      </c>
      <c r="BH26" s="59" t="s">
        <v>1961</v>
      </c>
      <c r="BI26" s="58" t="s">
        <v>1962</v>
      </c>
      <c r="BJ26" s="60">
        <v>60</v>
      </c>
      <c r="BK26" s="60" t="s">
        <v>424</v>
      </c>
      <c r="BL26" s="61"/>
      <c r="BM26" s="30" t="s">
        <v>1964</v>
      </c>
      <c r="BN26" s="33"/>
      <c r="BO26" s="33"/>
    </row>
    <row r="27" spans="1:67" ht="25.5" customHeight="1">
      <c r="A27" s="58">
        <v>16</v>
      </c>
      <c r="B27" s="62">
        <v>77</v>
      </c>
      <c r="C27" s="63" t="s">
        <v>317</v>
      </c>
      <c r="D27" s="64" t="s">
        <v>318</v>
      </c>
      <c r="E27" s="64">
        <v>57</v>
      </c>
      <c r="F27" s="65" t="s">
        <v>75</v>
      </c>
      <c r="G27" s="58"/>
      <c r="H27" s="30" t="s">
        <v>320</v>
      </c>
      <c r="I27" s="33"/>
      <c r="J27" s="33"/>
      <c r="K27" s="525">
        <v>16</v>
      </c>
      <c r="L27" s="525">
        <v>72</v>
      </c>
      <c r="M27" s="525" t="s">
        <v>1005</v>
      </c>
      <c r="N27" s="525" t="s">
        <v>1006</v>
      </c>
      <c r="O27" s="525">
        <v>38</v>
      </c>
      <c r="P27" s="525" t="s">
        <v>60</v>
      </c>
      <c r="Q27" s="525"/>
      <c r="R27" s="30" t="s">
        <v>1010</v>
      </c>
      <c r="S27" s="33"/>
      <c r="T27" s="33"/>
      <c r="U27" s="525">
        <v>16</v>
      </c>
      <c r="V27" s="525">
        <v>62</v>
      </c>
      <c r="W27" s="525" t="s">
        <v>1373</v>
      </c>
      <c r="X27" s="525" t="s">
        <v>1374</v>
      </c>
      <c r="Y27" s="525">
        <v>71</v>
      </c>
      <c r="Z27" s="525" t="s">
        <v>75</v>
      </c>
      <c r="AA27" s="525"/>
      <c r="AB27" s="30" t="s">
        <v>1377</v>
      </c>
      <c r="AC27" s="33"/>
      <c r="AD27" s="33"/>
      <c r="AE27" s="525">
        <v>16</v>
      </c>
      <c r="AF27" s="525">
        <v>128</v>
      </c>
      <c r="AG27" s="526" t="s">
        <v>1763</v>
      </c>
      <c r="AH27" s="525" t="s">
        <v>1764</v>
      </c>
      <c r="AI27" s="525">
        <v>54</v>
      </c>
      <c r="AJ27" s="525" t="s">
        <v>60</v>
      </c>
      <c r="AK27" s="525"/>
      <c r="AL27" s="30" t="s">
        <v>1766</v>
      </c>
      <c r="AM27" s="33"/>
      <c r="AN27" s="33"/>
      <c r="AO27" s="33"/>
      <c r="AP27" s="33"/>
      <c r="AQ27" s="33"/>
      <c r="AR27" s="33"/>
      <c r="AS27" s="33"/>
      <c r="AT27" s="33"/>
      <c r="AU27" s="33"/>
      <c r="AV27" s="33"/>
      <c r="AW27" s="525">
        <v>16</v>
      </c>
      <c r="AX27" s="525"/>
      <c r="AY27" s="66" t="s">
        <v>1901</v>
      </c>
      <c r="AZ27" s="525" t="s">
        <v>1902</v>
      </c>
      <c r="BA27" s="525">
        <v>33</v>
      </c>
      <c r="BB27" s="525" t="s">
        <v>75</v>
      </c>
      <c r="BC27" s="525"/>
      <c r="BD27" s="30" t="s">
        <v>1904</v>
      </c>
      <c r="BE27" s="33"/>
      <c r="BF27" s="525">
        <v>16</v>
      </c>
      <c r="BG27" s="525">
        <v>28</v>
      </c>
      <c r="BH27" s="59" t="s">
        <v>1966</v>
      </c>
      <c r="BI27" s="58" t="s">
        <v>1967</v>
      </c>
      <c r="BJ27" s="60">
        <v>35</v>
      </c>
      <c r="BK27" s="60" t="s">
        <v>424</v>
      </c>
      <c r="BL27" s="61"/>
      <c r="BM27" s="30" t="s">
        <v>1969</v>
      </c>
      <c r="BN27" s="33"/>
      <c r="BO27" s="33"/>
    </row>
    <row r="28" spans="1:67" ht="25.5" customHeight="1">
      <c r="A28" s="58">
        <v>17</v>
      </c>
      <c r="B28" s="62">
        <v>91</v>
      </c>
      <c r="C28" s="63" t="s">
        <v>322</v>
      </c>
      <c r="D28" s="64" t="s">
        <v>323</v>
      </c>
      <c r="E28" s="64">
        <v>64</v>
      </c>
      <c r="F28" s="65" t="s">
        <v>60</v>
      </c>
      <c r="G28" s="58"/>
      <c r="H28" s="30" t="s">
        <v>325</v>
      </c>
      <c r="I28" s="33"/>
      <c r="J28" s="33"/>
      <c r="K28" s="525">
        <v>17</v>
      </c>
      <c r="L28" s="525">
        <v>154</v>
      </c>
      <c r="M28" s="525" t="s">
        <v>1011</v>
      </c>
      <c r="N28" s="525" t="s">
        <v>1012</v>
      </c>
      <c r="O28" s="525">
        <v>44</v>
      </c>
      <c r="P28" s="525" t="s">
        <v>75</v>
      </c>
      <c r="Q28" s="525"/>
      <c r="R28" s="30" t="s">
        <v>1017</v>
      </c>
      <c r="S28" s="33"/>
      <c r="T28" s="33"/>
      <c r="U28" s="525">
        <v>17</v>
      </c>
      <c r="V28" s="525">
        <v>7</v>
      </c>
      <c r="W28" s="525" t="s">
        <v>1386</v>
      </c>
      <c r="X28" s="525" t="s">
        <v>1387</v>
      </c>
      <c r="Y28" s="525">
        <v>52</v>
      </c>
      <c r="Z28" s="525" t="s">
        <v>60</v>
      </c>
      <c r="AA28" s="525"/>
      <c r="AB28" s="30" t="s">
        <v>1391</v>
      </c>
      <c r="AC28" s="33"/>
      <c r="AD28" s="33"/>
      <c r="AE28" s="525">
        <v>17</v>
      </c>
      <c r="AF28" s="525">
        <v>153</v>
      </c>
      <c r="AG28" s="526" t="s">
        <v>1768</v>
      </c>
      <c r="AH28" s="525" t="s">
        <v>1769</v>
      </c>
      <c r="AI28" s="525">
        <v>61</v>
      </c>
      <c r="AJ28" s="525" t="s">
        <v>75</v>
      </c>
      <c r="AK28" s="525"/>
      <c r="AL28" s="30" t="s">
        <v>1772</v>
      </c>
      <c r="AM28" s="33"/>
      <c r="AN28" s="33"/>
      <c r="AO28" s="33"/>
      <c r="AP28" s="33"/>
      <c r="AQ28" s="33"/>
      <c r="AR28" s="33"/>
      <c r="AS28" s="33"/>
      <c r="AT28" s="33"/>
      <c r="AU28" s="33"/>
      <c r="AV28" s="33"/>
      <c r="AW28" s="525">
        <v>17</v>
      </c>
      <c r="AX28" s="525"/>
      <c r="AY28" s="66" t="s">
        <v>1906</v>
      </c>
      <c r="AZ28" s="525" t="s">
        <v>1907</v>
      </c>
      <c r="BA28" s="525">
        <v>47</v>
      </c>
      <c r="BB28" s="525" t="s">
        <v>60</v>
      </c>
      <c r="BC28" s="525"/>
      <c r="BD28" s="30" t="s">
        <v>1910</v>
      </c>
      <c r="BE28" s="33"/>
      <c r="BF28" s="525">
        <v>17</v>
      </c>
      <c r="BG28" s="525">
        <v>281</v>
      </c>
      <c r="BH28" s="59" t="s">
        <v>1971</v>
      </c>
      <c r="BI28" s="58" t="s">
        <v>1972</v>
      </c>
      <c r="BJ28" s="60">
        <v>33</v>
      </c>
      <c r="BK28" s="60" t="s">
        <v>424</v>
      </c>
      <c r="BL28" s="61"/>
      <c r="BM28" s="30" t="s">
        <v>1974</v>
      </c>
      <c r="BN28" s="33"/>
      <c r="BO28" s="33"/>
    </row>
    <row r="29" spans="1:67" ht="25.5" customHeight="1">
      <c r="A29" s="58">
        <v>18</v>
      </c>
      <c r="B29" s="62">
        <v>136</v>
      </c>
      <c r="C29" s="63" t="s">
        <v>327</v>
      </c>
      <c r="D29" s="64" t="s">
        <v>328</v>
      </c>
      <c r="E29" s="64">
        <v>39</v>
      </c>
      <c r="F29" s="65" t="s">
        <v>75</v>
      </c>
      <c r="G29" s="58"/>
      <c r="H29" s="30" t="s">
        <v>331</v>
      </c>
      <c r="I29" s="33"/>
      <c r="J29" s="33"/>
      <c r="K29" s="525">
        <v>18</v>
      </c>
      <c r="L29" s="525">
        <v>171</v>
      </c>
      <c r="M29" s="525" t="s">
        <v>1019</v>
      </c>
      <c r="N29" s="525" t="s">
        <v>1020</v>
      </c>
      <c r="O29" s="525">
        <v>44</v>
      </c>
      <c r="P29" s="525" t="s">
        <v>75</v>
      </c>
      <c r="Q29" s="525"/>
      <c r="R29" s="30" t="s">
        <v>1023</v>
      </c>
      <c r="S29" s="33"/>
      <c r="T29" s="33"/>
      <c r="U29" s="525">
        <v>18</v>
      </c>
      <c r="V29" s="525">
        <v>73</v>
      </c>
      <c r="W29" s="525" t="s">
        <v>1393</v>
      </c>
      <c r="X29" s="525" t="s">
        <v>1394</v>
      </c>
      <c r="Y29" s="525">
        <v>70</v>
      </c>
      <c r="Z29" s="525" t="s">
        <v>75</v>
      </c>
      <c r="AA29" s="525"/>
      <c r="AB29" s="30" t="s">
        <v>1399</v>
      </c>
      <c r="AC29" s="33"/>
      <c r="AD29" s="33"/>
      <c r="AE29" s="525">
        <v>18</v>
      </c>
      <c r="AF29" s="525">
        <v>157</v>
      </c>
      <c r="AG29" s="526" t="s">
        <v>1774</v>
      </c>
      <c r="AH29" s="525" t="s">
        <v>1775</v>
      </c>
      <c r="AI29" s="525">
        <v>55</v>
      </c>
      <c r="AJ29" s="525" t="s">
        <v>75</v>
      </c>
      <c r="AK29" s="525"/>
      <c r="AL29" s="30" t="s">
        <v>1779</v>
      </c>
      <c r="AM29" s="33"/>
      <c r="AN29" s="33"/>
      <c r="AO29" s="33"/>
      <c r="AP29" s="33"/>
      <c r="AQ29" s="33"/>
      <c r="AR29" s="33"/>
      <c r="AS29" s="33"/>
      <c r="AT29" s="33"/>
      <c r="AU29" s="33"/>
      <c r="AV29" s="33"/>
      <c r="AW29" s="525">
        <v>18</v>
      </c>
      <c r="AX29" s="525"/>
      <c r="AY29" s="66" t="s">
        <v>1915</v>
      </c>
      <c r="AZ29" s="525" t="s">
        <v>1916</v>
      </c>
      <c r="BA29" s="525">
        <v>40</v>
      </c>
      <c r="BB29" s="525" t="s">
        <v>75</v>
      </c>
      <c r="BC29" s="525"/>
      <c r="BD29" s="30" t="s">
        <v>1918</v>
      </c>
      <c r="BE29" s="33"/>
      <c r="BF29" s="525">
        <v>18</v>
      </c>
      <c r="BG29" s="525">
        <v>282</v>
      </c>
      <c r="BH29" s="59" t="s">
        <v>1976</v>
      </c>
      <c r="BI29" s="58" t="s">
        <v>1977</v>
      </c>
      <c r="BJ29" s="60">
        <v>38</v>
      </c>
      <c r="BK29" s="60" t="s">
        <v>1099</v>
      </c>
      <c r="BL29" s="61"/>
      <c r="BM29" s="30" t="s">
        <v>1979</v>
      </c>
      <c r="BN29" s="33"/>
      <c r="BO29" s="33"/>
    </row>
    <row r="30" spans="1:67" ht="25.5" customHeight="1">
      <c r="A30" s="58">
        <v>19</v>
      </c>
      <c r="B30" s="62">
        <v>89</v>
      </c>
      <c r="C30" s="63" t="s">
        <v>333</v>
      </c>
      <c r="D30" s="64" t="s">
        <v>334</v>
      </c>
      <c r="E30" s="64">
        <v>62</v>
      </c>
      <c r="F30" s="65" t="s">
        <v>75</v>
      </c>
      <c r="G30" s="58"/>
      <c r="H30" s="30" t="s">
        <v>337</v>
      </c>
      <c r="I30" s="33"/>
      <c r="J30" s="33"/>
      <c r="K30" s="525">
        <v>19</v>
      </c>
      <c r="L30" s="525">
        <v>172</v>
      </c>
      <c r="M30" s="525" t="s">
        <v>1025</v>
      </c>
      <c r="N30" s="525" t="s">
        <v>1026</v>
      </c>
      <c r="O30" s="525">
        <v>64</v>
      </c>
      <c r="P30" s="525" t="s">
        <v>60</v>
      </c>
      <c r="Q30" s="525"/>
      <c r="R30" s="30" t="s">
        <v>1029</v>
      </c>
      <c r="S30" s="33"/>
      <c r="T30" s="33"/>
      <c r="U30" s="525">
        <v>19</v>
      </c>
      <c r="V30" s="525">
        <v>88</v>
      </c>
      <c r="W30" s="525" t="s">
        <v>1401</v>
      </c>
      <c r="X30" s="525" t="s">
        <v>1402</v>
      </c>
      <c r="Y30" s="525">
        <v>72</v>
      </c>
      <c r="Z30" s="525" t="s">
        <v>75</v>
      </c>
      <c r="AA30" s="525"/>
      <c r="AB30" s="30" t="s">
        <v>1407</v>
      </c>
      <c r="AC30" s="33"/>
      <c r="AD30" s="33"/>
      <c r="AE30" s="525">
        <v>19</v>
      </c>
      <c r="AF30" s="525">
        <v>16</v>
      </c>
      <c r="AG30" s="526" t="s">
        <v>1781</v>
      </c>
      <c r="AH30" s="525" t="s">
        <v>1782</v>
      </c>
      <c r="AI30" s="525">
        <v>69</v>
      </c>
      <c r="AJ30" s="525" t="s">
        <v>60</v>
      </c>
      <c r="AK30" s="525"/>
      <c r="AL30" s="30" t="s">
        <v>1786</v>
      </c>
      <c r="AM30" s="33"/>
      <c r="AN30" s="33"/>
      <c r="AO30" s="33"/>
      <c r="AP30" s="33"/>
      <c r="AQ30" s="33"/>
      <c r="AR30" s="33"/>
      <c r="AS30" s="33"/>
      <c r="AT30" s="33"/>
      <c r="AU30" s="33"/>
      <c r="AV30" s="33"/>
      <c r="AW30" s="525">
        <v>19</v>
      </c>
      <c r="AX30" s="525">
        <v>155</v>
      </c>
      <c r="AY30" s="66" t="s">
        <v>1920</v>
      </c>
      <c r="AZ30" s="525" t="s">
        <v>1921</v>
      </c>
      <c r="BA30" s="525">
        <v>38</v>
      </c>
      <c r="BB30" s="525" t="s">
        <v>75</v>
      </c>
      <c r="BC30" s="525"/>
      <c r="BD30" s="30" t="s">
        <v>1652</v>
      </c>
      <c r="BE30" s="33"/>
      <c r="BF30" s="525">
        <v>19</v>
      </c>
      <c r="BG30" s="525">
        <v>283</v>
      </c>
      <c r="BH30" s="59" t="s">
        <v>1981</v>
      </c>
      <c r="BI30" s="58" t="s">
        <v>1982</v>
      </c>
      <c r="BJ30" s="60">
        <v>41</v>
      </c>
      <c r="BK30" s="60" t="s">
        <v>1099</v>
      </c>
      <c r="BL30" s="61"/>
      <c r="BM30" s="30" t="s">
        <v>1984</v>
      </c>
      <c r="BN30" s="33"/>
      <c r="BO30" s="33"/>
    </row>
    <row r="31" spans="1:67" ht="25.5" customHeight="1">
      <c r="A31" s="58">
        <v>20</v>
      </c>
      <c r="B31" s="62">
        <v>161</v>
      </c>
      <c r="C31" s="63" t="s">
        <v>4727</v>
      </c>
      <c r="D31" s="64" t="s">
        <v>339</v>
      </c>
      <c r="E31" s="64">
        <v>46</v>
      </c>
      <c r="F31" s="65" t="s">
        <v>75</v>
      </c>
      <c r="G31" s="58"/>
      <c r="H31" s="30" t="s">
        <v>342</v>
      </c>
      <c r="I31" s="33"/>
      <c r="J31" s="33"/>
      <c r="K31" s="525">
        <v>20</v>
      </c>
      <c r="L31" s="525">
        <v>175</v>
      </c>
      <c r="M31" s="525" t="s">
        <v>1031</v>
      </c>
      <c r="N31" s="525" t="s">
        <v>1032</v>
      </c>
      <c r="O31" s="525">
        <v>39</v>
      </c>
      <c r="P31" s="525" t="s">
        <v>60</v>
      </c>
      <c r="Q31" s="525"/>
      <c r="R31" s="30" t="s">
        <v>1035</v>
      </c>
      <c r="S31" s="33"/>
      <c r="T31" s="33"/>
      <c r="U31" s="525">
        <v>20</v>
      </c>
      <c r="V31" s="525">
        <v>93</v>
      </c>
      <c r="W31" s="525" t="s">
        <v>1409</v>
      </c>
      <c r="X31" s="525" t="s">
        <v>1410</v>
      </c>
      <c r="Y31" s="525">
        <v>59</v>
      </c>
      <c r="Z31" s="525" t="s">
        <v>60</v>
      </c>
      <c r="AA31" s="525"/>
      <c r="AB31" s="30" t="s">
        <v>1414</v>
      </c>
      <c r="AC31" s="33"/>
      <c r="AD31" s="33"/>
      <c r="AE31" s="525">
        <v>20</v>
      </c>
      <c r="AF31" s="525">
        <v>17</v>
      </c>
      <c r="AG31" s="526" t="s">
        <v>1788</v>
      </c>
      <c r="AH31" s="525" t="s">
        <v>1789</v>
      </c>
      <c r="AI31" s="525">
        <v>26</v>
      </c>
      <c r="AJ31" s="525" t="s">
        <v>60</v>
      </c>
      <c r="AK31" s="525"/>
      <c r="AL31" s="30" t="s">
        <v>1793</v>
      </c>
      <c r="AM31" s="33"/>
      <c r="AN31" s="33"/>
      <c r="AO31" s="33"/>
      <c r="AP31" s="33"/>
      <c r="AQ31" s="33"/>
      <c r="AR31" s="33"/>
      <c r="AS31" s="33"/>
      <c r="AT31" s="33"/>
      <c r="AU31" s="33"/>
      <c r="AV31" s="33"/>
      <c r="AW31" s="525">
        <v>20</v>
      </c>
      <c r="AX31" s="525"/>
      <c r="AY31" s="66" t="s">
        <v>1924</v>
      </c>
      <c r="AZ31" s="525" t="s">
        <v>1925</v>
      </c>
      <c r="BA31" s="525">
        <v>41</v>
      </c>
      <c r="BB31" s="525" t="s">
        <v>60</v>
      </c>
      <c r="BC31" s="525"/>
      <c r="BD31" s="30" t="s">
        <v>1927</v>
      </c>
      <c r="BE31" s="33"/>
      <c r="BF31" s="525">
        <v>20</v>
      </c>
      <c r="BG31" s="525">
        <v>284</v>
      </c>
      <c r="BH31" s="59" t="s">
        <v>1986</v>
      </c>
      <c r="BI31" s="58" t="s">
        <v>1987</v>
      </c>
      <c r="BJ31" s="60">
        <v>35</v>
      </c>
      <c r="BK31" s="60" t="s">
        <v>424</v>
      </c>
      <c r="BL31" s="61"/>
      <c r="BM31" s="30" t="s">
        <v>1989</v>
      </c>
      <c r="BN31" s="33"/>
      <c r="BO31" s="33"/>
    </row>
    <row r="32" spans="1:67" ht="25.5" customHeight="1">
      <c r="A32" s="58">
        <v>21</v>
      </c>
      <c r="B32" s="62">
        <v>163</v>
      </c>
      <c r="C32" s="63" t="s">
        <v>363</v>
      </c>
      <c r="D32" s="64" t="s">
        <v>364</v>
      </c>
      <c r="E32" s="64">
        <v>56</v>
      </c>
      <c r="F32" s="65" t="s">
        <v>75</v>
      </c>
      <c r="G32" s="58"/>
      <c r="H32" s="30" t="s">
        <v>366</v>
      </c>
      <c r="I32" s="33"/>
      <c r="J32" s="33"/>
      <c r="K32" s="525">
        <v>21</v>
      </c>
      <c r="L32" s="525">
        <v>196</v>
      </c>
      <c r="M32" s="525" t="s">
        <v>1037</v>
      </c>
      <c r="N32" s="525" t="s">
        <v>294</v>
      </c>
      <c r="O32" s="525">
        <v>52</v>
      </c>
      <c r="P32" s="525" t="s">
        <v>60</v>
      </c>
      <c r="Q32" s="525"/>
      <c r="R32" s="30" t="s">
        <v>1040</v>
      </c>
      <c r="S32" s="33"/>
      <c r="T32" s="33"/>
      <c r="U32" s="525">
        <v>21</v>
      </c>
      <c r="V32" s="525">
        <v>94</v>
      </c>
      <c r="W32" s="525" t="s">
        <v>1416</v>
      </c>
      <c r="X32" s="525" t="s">
        <v>1417</v>
      </c>
      <c r="Y32" s="525">
        <v>36</v>
      </c>
      <c r="Z32" s="525" t="s">
        <v>60</v>
      </c>
      <c r="AA32" s="525"/>
      <c r="AB32" s="30" t="s">
        <v>1421</v>
      </c>
      <c r="AC32" s="33"/>
      <c r="AD32" s="33"/>
      <c r="AE32" s="525">
        <v>21</v>
      </c>
      <c r="AF32" s="525">
        <v>184</v>
      </c>
      <c r="AG32" s="526" t="s">
        <v>1795</v>
      </c>
      <c r="AH32" s="525" t="s">
        <v>1796</v>
      </c>
      <c r="AI32" s="525">
        <v>63</v>
      </c>
      <c r="AJ32" s="525" t="s">
        <v>60</v>
      </c>
      <c r="AK32" s="525"/>
      <c r="AL32" s="30" t="s">
        <v>1801</v>
      </c>
      <c r="AM32" s="33"/>
      <c r="AN32" s="33"/>
      <c r="AO32" s="33"/>
      <c r="AP32" s="33"/>
      <c r="AQ32" s="33"/>
      <c r="AR32" s="33"/>
      <c r="AS32" s="33"/>
      <c r="AT32" s="33"/>
      <c r="AU32" s="33"/>
      <c r="AV32" s="33"/>
      <c r="AW32" s="525">
        <v>21</v>
      </c>
      <c r="AX32" s="525"/>
      <c r="AY32" s="66" t="s">
        <v>1929</v>
      </c>
      <c r="AZ32" s="525" t="s">
        <v>1930</v>
      </c>
      <c r="BA32" s="525">
        <v>29</v>
      </c>
      <c r="BB32" s="525" t="s">
        <v>75</v>
      </c>
      <c r="BC32" s="525"/>
      <c r="BD32" s="30" t="s">
        <v>1932</v>
      </c>
      <c r="BE32" s="33"/>
      <c r="BF32" s="525">
        <v>21</v>
      </c>
      <c r="BG32" s="525">
        <v>285</v>
      </c>
      <c r="BH32" s="59" t="s">
        <v>1991</v>
      </c>
      <c r="BI32" s="58" t="s">
        <v>1992</v>
      </c>
      <c r="BJ32" s="60">
        <v>32</v>
      </c>
      <c r="BK32" s="60" t="s">
        <v>1099</v>
      </c>
      <c r="BL32" s="61"/>
      <c r="BM32" s="30" t="s">
        <v>1994</v>
      </c>
      <c r="BN32" s="33"/>
      <c r="BO32" s="33"/>
    </row>
    <row r="33" spans="1:67" ht="25.5" customHeight="1">
      <c r="A33" s="58">
        <v>22</v>
      </c>
      <c r="B33" s="62">
        <v>189</v>
      </c>
      <c r="C33" s="63" t="s">
        <v>368</v>
      </c>
      <c r="D33" s="64" t="s">
        <v>369</v>
      </c>
      <c r="E33" s="64">
        <v>25</v>
      </c>
      <c r="F33" s="65" t="s">
        <v>75</v>
      </c>
      <c r="G33" s="58"/>
      <c r="H33" s="30" t="s">
        <v>373</v>
      </c>
      <c r="I33" s="33"/>
      <c r="J33" s="33"/>
      <c r="K33" s="525">
        <v>22</v>
      </c>
      <c r="L33" s="525">
        <v>22</v>
      </c>
      <c r="M33" s="525" t="s">
        <v>1042</v>
      </c>
      <c r="N33" s="525" t="s">
        <v>1043</v>
      </c>
      <c r="O33" s="525">
        <v>39</v>
      </c>
      <c r="P33" s="525" t="s">
        <v>60</v>
      </c>
      <c r="Q33" s="525"/>
      <c r="R33" s="30" t="s">
        <v>1047</v>
      </c>
      <c r="S33" s="33"/>
      <c r="T33" s="33"/>
      <c r="U33" s="525">
        <v>22</v>
      </c>
      <c r="V33" s="525">
        <v>95</v>
      </c>
      <c r="W33" s="525" t="s">
        <v>1423</v>
      </c>
      <c r="X33" s="525" t="s">
        <v>1424</v>
      </c>
      <c r="Y33" s="525">
        <v>75</v>
      </c>
      <c r="Z33" s="525" t="s">
        <v>75</v>
      </c>
      <c r="AA33" s="525"/>
      <c r="AB33" s="30" t="s">
        <v>1428</v>
      </c>
      <c r="AC33" s="33"/>
      <c r="AD33" s="33"/>
      <c r="AE33" s="525">
        <v>22</v>
      </c>
      <c r="AF33" s="525">
        <v>279</v>
      </c>
      <c r="AG33" s="526" t="s">
        <v>1803</v>
      </c>
      <c r="AH33" s="525" t="s">
        <v>1804</v>
      </c>
      <c r="AI33" s="525">
        <v>72</v>
      </c>
      <c r="AJ33" s="525" t="s">
        <v>424</v>
      </c>
      <c r="AK33" s="525"/>
      <c r="AL33" s="30" t="s">
        <v>1806</v>
      </c>
      <c r="AM33" s="33"/>
      <c r="AN33" s="33"/>
      <c r="AO33" s="33"/>
      <c r="AP33" s="33"/>
      <c r="AQ33" s="33"/>
      <c r="AR33" s="33"/>
      <c r="AS33" s="33"/>
      <c r="AT33" s="33"/>
      <c r="AU33" s="33"/>
      <c r="AV33" s="33"/>
      <c r="AW33" s="525">
        <v>22</v>
      </c>
      <c r="AX33" s="525"/>
      <c r="AY33" s="66" t="s">
        <v>2295</v>
      </c>
      <c r="AZ33" s="525" t="s">
        <v>2296</v>
      </c>
      <c r="BA33" s="525">
        <v>48</v>
      </c>
      <c r="BB33" s="525" t="s">
        <v>75</v>
      </c>
      <c r="BC33" s="525"/>
      <c r="BD33" s="30" t="s">
        <v>2300</v>
      </c>
      <c r="BE33" s="33"/>
      <c r="BF33" s="525">
        <v>22</v>
      </c>
      <c r="BG33" s="525">
        <v>286</v>
      </c>
      <c r="BH33" s="59" t="s">
        <v>1996</v>
      </c>
      <c r="BI33" s="58" t="s">
        <v>1997</v>
      </c>
      <c r="BJ33" s="60">
        <v>70</v>
      </c>
      <c r="BK33" s="60" t="s">
        <v>424</v>
      </c>
      <c r="BL33" s="61"/>
      <c r="BM33" s="30" t="s">
        <v>1999</v>
      </c>
      <c r="BN33" s="33"/>
      <c r="BO33" s="33"/>
    </row>
    <row r="34" spans="1:67" ht="25.5" customHeight="1">
      <c r="A34" s="58">
        <v>23</v>
      </c>
      <c r="B34" s="62">
        <v>192</v>
      </c>
      <c r="C34" s="63" t="s">
        <v>385</v>
      </c>
      <c r="D34" s="64" t="s">
        <v>386</v>
      </c>
      <c r="E34" s="64">
        <v>27</v>
      </c>
      <c r="F34" s="65" t="s">
        <v>75</v>
      </c>
      <c r="G34" s="58"/>
      <c r="H34" s="30" t="s">
        <v>390</v>
      </c>
      <c r="I34" s="33"/>
      <c r="J34" s="33"/>
      <c r="K34" s="525">
        <v>23</v>
      </c>
      <c r="L34" s="525">
        <v>23</v>
      </c>
      <c r="M34" s="525" t="s">
        <v>1049</v>
      </c>
      <c r="N34" s="525" t="s">
        <v>1050</v>
      </c>
      <c r="O34" s="525">
        <v>52</v>
      </c>
      <c r="P34" s="525" t="s">
        <v>60</v>
      </c>
      <c r="Q34" s="525"/>
      <c r="R34" s="30" t="s">
        <v>1053</v>
      </c>
      <c r="S34" s="33"/>
      <c r="T34" s="33"/>
      <c r="U34" s="525">
        <v>23</v>
      </c>
      <c r="V34" s="525">
        <v>96</v>
      </c>
      <c r="W34" s="525" t="s">
        <v>1430</v>
      </c>
      <c r="X34" s="525" t="s">
        <v>1431</v>
      </c>
      <c r="Y34" s="525">
        <v>75</v>
      </c>
      <c r="Z34" s="525" t="s">
        <v>60</v>
      </c>
      <c r="AA34" s="525"/>
      <c r="AB34" s="30" t="s">
        <v>1435</v>
      </c>
      <c r="AC34" s="33"/>
      <c r="AD34" s="33"/>
      <c r="AE34" s="525">
        <v>23</v>
      </c>
      <c r="AF34" s="525"/>
      <c r="AG34" s="526" t="s">
        <v>1815</v>
      </c>
      <c r="AH34" s="525" t="s">
        <v>1816</v>
      </c>
      <c r="AI34" s="525">
        <v>50</v>
      </c>
      <c r="AJ34" s="525" t="s">
        <v>75</v>
      </c>
      <c r="AK34" s="525"/>
      <c r="AL34" s="30" t="s">
        <v>1818</v>
      </c>
      <c r="AM34" s="33"/>
      <c r="AN34" s="33"/>
      <c r="AO34" s="33"/>
      <c r="AP34" s="33"/>
      <c r="AQ34" s="33"/>
      <c r="AR34" s="33"/>
      <c r="AS34" s="33"/>
      <c r="AT34" s="33"/>
      <c r="AU34" s="33"/>
      <c r="AV34" s="33"/>
      <c r="AW34" s="525">
        <v>23</v>
      </c>
      <c r="AX34" s="525"/>
      <c r="AY34" s="66" t="s">
        <v>2302</v>
      </c>
      <c r="AZ34" s="525" t="s">
        <v>2303</v>
      </c>
      <c r="BA34" s="525">
        <v>61</v>
      </c>
      <c r="BB34" s="525" t="s">
        <v>60</v>
      </c>
      <c r="BC34" s="525"/>
      <c r="BD34" s="30" t="s">
        <v>2305</v>
      </c>
      <c r="BE34" s="33"/>
      <c r="BF34" s="525">
        <v>23</v>
      </c>
      <c r="BG34" s="525">
        <v>293</v>
      </c>
      <c r="BH34" s="59" t="s">
        <v>2001</v>
      </c>
      <c r="BI34" s="58" t="s">
        <v>2002</v>
      </c>
      <c r="BJ34" s="60">
        <v>28</v>
      </c>
      <c r="BK34" s="60" t="s">
        <v>424</v>
      </c>
      <c r="BL34" s="61"/>
      <c r="BM34" s="30" t="s">
        <v>2004</v>
      </c>
      <c r="BN34" s="33"/>
      <c r="BO34" s="33"/>
    </row>
    <row r="35" spans="1:67" ht="25.5" customHeight="1">
      <c r="A35" s="58">
        <v>24</v>
      </c>
      <c r="B35" s="62">
        <v>21</v>
      </c>
      <c r="C35" s="63" t="s">
        <v>393</v>
      </c>
      <c r="D35" s="64" t="s">
        <v>394</v>
      </c>
      <c r="E35" s="64">
        <v>40</v>
      </c>
      <c r="F35" s="65" t="s">
        <v>75</v>
      </c>
      <c r="G35" s="58"/>
      <c r="H35" s="30" t="s">
        <v>397</v>
      </c>
      <c r="I35" s="33"/>
      <c r="J35" s="33"/>
      <c r="K35" s="525">
        <v>24</v>
      </c>
      <c r="L35" s="525">
        <v>27</v>
      </c>
      <c r="M35" s="525" t="s">
        <v>1055</v>
      </c>
      <c r="N35" s="525" t="s">
        <v>1056</v>
      </c>
      <c r="O35" s="525">
        <v>36</v>
      </c>
      <c r="P35" s="525" t="s">
        <v>75</v>
      </c>
      <c r="Q35" s="525"/>
      <c r="R35" s="30" t="s">
        <v>1060</v>
      </c>
      <c r="S35" s="33"/>
      <c r="T35" s="33"/>
      <c r="U35" s="525">
        <v>24</v>
      </c>
      <c r="V35" s="525">
        <v>98</v>
      </c>
      <c r="W35" s="525" t="s">
        <v>1437</v>
      </c>
      <c r="X35" s="525" t="s">
        <v>1438</v>
      </c>
      <c r="Y35" s="525">
        <v>69</v>
      </c>
      <c r="Z35" s="525" t="s">
        <v>60</v>
      </c>
      <c r="AA35" s="525"/>
      <c r="AB35" s="30" t="s">
        <v>1442</v>
      </c>
      <c r="AC35" s="33"/>
      <c r="AD35" s="33"/>
      <c r="AE35" s="525">
        <v>24</v>
      </c>
      <c r="AF35" s="525"/>
      <c r="AG35" s="526" t="s">
        <v>1820</v>
      </c>
      <c r="AH35" s="525" t="s">
        <v>1821</v>
      </c>
      <c r="AI35" s="525">
        <v>53</v>
      </c>
      <c r="AJ35" s="525" t="s">
        <v>75</v>
      </c>
      <c r="AK35" s="525"/>
      <c r="AL35" s="30" t="s">
        <v>1824</v>
      </c>
      <c r="AM35" s="33"/>
      <c r="AN35" s="33"/>
      <c r="AO35" s="33"/>
      <c r="AP35" s="33"/>
      <c r="AQ35" s="33"/>
      <c r="AR35" s="33"/>
      <c r="AS35" s="33"/>
      <c r="AT35" s="33"/>
      <c r="AU35" s="33"/>
      <c r="AV35" s="33"/>
      <c r="AW35" s="525">
        <v>24</v>
      </c>
      <c r="AX35" s="525"/>
      <c r="AY35" s="66" t="s">
        <v>2561</v>
      </c>
      <c r="AZ35" s="525" t="s">
        <v>2562</v>
      </c>
      <c r="BA35" s="525">
        <v>45</v>
      </c>
      <c r="BB35" s="525" t="s">
        <v>75</v>
      </c>
      <c r="BC35" s="525"/>
      <c r="BD35" s="30" t="s">
        <v>2564</v>
      </c>
      <c r="BE35" s="33"/>
      <c r="BF35" s="525">
        <v>24</v>
      </c>
      <c r="BG35" s="525">
        <v>297</v>
      </c>
      <c r="BH35" s="59" t="s">
        <v>2006</v>
      </c>
      <c r="BI35" s="58" t="s">
        <v>2007</v>
      </c>
      <c r="BJ35" s="60">
        <v>57</v>
      </c>
      <c r="BK35" s="60" t="s">
        <v>60</v>
      </c>
      <c r="BL35" s="61"/>
      <c r="BM35" s="30" t="s">
        <v>2010</v>
      </c>
      <c r="BN35" s="33"/>
      <c r="BO35" s="33"/>
    </row>
    <row r="36" spans="1:67" ht="25.5" customHeight="1">
      <c r="A36" s="58">
        <v>25</v>
      </c>
      <c r="B36" s="62">
        <v>24</v>
      </c>
      <c r="C36" s="63" t="s">
        <v>399</v>
      </c>
      <c r="D36" s="64" t="s">
        <v>400</v>
      </c>
      <c r="E36" s="64">
        <v>67</v>
      </c>
      <c r="F36" s="65" t="s">
        <v>60</v>
      </c>
      <c r="G36" s="58"/>
      <c r="H36" s="30" t="s">
        <v>405</v>
      </c>
      <c r="I36" s="33"/>
      <c r="J36" s="33"/>
      <c r="K36" s="525">
        <v>25</v>
      </c>
      <c r="L36" s="525">
        <v>21</v>
      </c>
      <c r="M36" s="525" t="s">
        <v>1062</v>
      </c>
      <c r="N36" s="525" t="s">
        <v>1063</v>
      </c>
      <c r="O36" s="525">
        <v>54</v>
      </c>
      <c r="P36" s="525" t="s">
        <v>60</v>
      </c>
      <c r="Q36" s="525"/>
      <c r="R36" s="30" t="s">
        <v>1067</v>
      </c>
      <c r="S36" s="33"/>
      <c r="T36" s="33"/>
      <c r="U36" s="525">
        <v>25</v>
      </c>
      <c r="V36" s="525">
        <v>13</v>
      </c>
      <c r="W36" s="525" t="s">
        <v>1450</v>
      </c>
      <c r="X36" s="525" t="s">
        <v>1451</v>
      </c>
      <c r="Y36" s="525">
        <v>38</v>
      </c>
      <c r="Z36" s="525" t="s">
        <v>60</v>
      </c>
      <c r="AA36" s="525"/>
      <c r="AB36" s="30" t="s">
        <v>1455</v>
      </c>
      <c r="AC36" s="33"/>
      <c r="AD36" s="33"/>
      <c r="AE36" s="525">
        <v>25</v>
      </c>
      <c r="AF36" s="525"/>
      <c r="AG36" s="526" t="s">
        <v>1826</v>
      </c>
      <c r="AH36" s="525" t="s">
        <v>1827</v>
      </c>
      <c r="AI36" s="525">
        <v>65</v>
      </c>
      <c r="AJ36" s="525" t="s">
        <v>75</v>
      </c>
      <c r="AK36" s="525"/>
      <c r="AL36" s="30" t="s">
        <v>1829</v>
      </c>
      <c r="AM36" s="33"/>
      <c r="AN36" s="33"/>
      <c r="AO36" s="33"/>
      <c r="AP36" s="33"/>
      <c r="AQ36" s="33"/>
      <c r="AR36" s="33"/>
      <c r="AS36" s="33"/>
      <c r="AT36" s="33"/>
      <c r="AU36" s="33"/>
      <c r="AV36" s="33"/>
      <c r="AW36" s="525">
        <v>25</v>
      </c>
      <c r="AX36" s="525"/>
      <c r="AY36" s="66" t="s">
        <v>2603</v>
      </c>
      <c r="AZ36" s="525" t="s">
        <v>2604</v>
      </c>
      <c r="BA36" s="525">
        <v>52</v>
      </c>
      <c r="BB36" s="525" t="s">
        <v>75</v>
      </c>
      <c r="BC36" s="525"/>
      <c r="BD36" s="30">
        <v>0</v>
      </c>
      <c r="BE36" s="33"/>
      <c r="BF36" s="525">
        <v>25</v>
      </c>
      <c r="BG36" s="525">
        <v>33</v>
      </c>
      <c r="BH36" s="59" t="s">
        <v>2012</v>
      </c>
      <c r="BI36" s="58" t="s">
        <v>2013</v>
      </c>
      <c r="BJ36" s="60">
        <v>51</v>
      </c>
      <c r="BK36" s="60" t="s">
        <v>75</v>
      </c>
      <c r="BL36" s="61"/>
      <c r="BM36" s="30">
        <v>0</v>
      </c>
      <c r="BN36" s="33"/>
      <c r="BO36" s="33"/>
    </row>
    <row r="37" spans="1:67" ht="25.5" customHeight="1">
      <c r="A37" s="58">
        <v>26</v>
      </c>
      <c r="B37" s="62">
        <v>25</v>
      </c>
      <c r="C37" s="63" t="s">
        <v>407</v>
      </c>
      <c r="D37" s="64" t="s">
        <v>408</v>
      </c>
      <c r="E37" s="64">
        <v>26</v>
      </c>
      <c r="F37" s="65" t="s">
        <v>75</v>
      </c>
      <c r="G37" s="58"/>
      <c r="H37" s="30" t="s">
        <v>411</v>
      </c>
      <c r="I37" s="33"/>
      <c r="J37" s="33"/>
      <c r="K37" s="525">
        <v>26</v>
      </c>
      <c r="L37" s="525">
        <v>211</v>
      </c>
      <c r="M37" s="525" t="s">
        <v>1069</v>
      </c>
      <c r="N37" s="525" t="s">
        <v>1070</v>
      </c>
      <c r="O37" s="525">
        <v>62</v>
      </c>
      <c r="P37" s="525" t="s">
        <v>60</v>
      </c>
      <c r="Q37" s="525"/>
      <c r="R37" s="30" t="s">
        <v>1073</v>
      </c>
      <c r="S37" s="33"/>
      <c r="T37" s="33"/>
      <c r="U37" s="525">
        <v>26</v>
      </c>
      <c r="V37" s="525">
        <v>14</v>
      </c>
      <c r="W37" s="525" t="s">
        <v>1457</v>
      </c>
      <c r="X37" s="525" t="s">
        <v>1458</v>
      </c>
      <c r="Y37" s="525">
        <v>65</v>
      </c>
      <c r="Z37" s="525" t="s">
        <v>60</v>
      </c>
      <c r="AA37" s="525"/>
      <c r="AB37" s="30" t="s">
        <v>1461</v>
      </c>
      <c r="AC37" s="33"/>
      <c r="AD37" s="33"/>
      <c r="AE37" s="525">
        <v>26</v>
      </c>
      <c r="AF37" s="525"/>
      <c r="AG37" s="526" t="s">
        <v>1831</v>
      </c>
      <c r="AH37" s="525" t="s">
        <v>1832</v>
      </c>
      <c r="AI37" s="525">
        <v>72</v>
      </c>
      <c r="AJ37" s="525" t="s">
        <v>75</v>
      </c>
      <c r="AK37" s="525"/>
      <c r="AL37" s="30" t="s">
        <v>1836</v>
      </c>
      <c r="AM37" s="33"/>
      <c r="AN37" s="33"/>
      <c r="AO37" s="33"/>
      <c r="AP37" s="33"/>
      <c r="AQ37" s="33"/>
      <c r="AR37" s="33"/>
      <c r="AS37" s="33"/>
      <c r="AT37" s="33"/>
      <c r="AU37" s="33"/>
      <c r="AV37" s="33"/>
      <c r="AW37" s="525">
        <v>26</v>
      </c>
      <c r="AX37" s="525"/>
      <c r="AY37" s="66" t="s">
        <v>2668</v>
      </c>
      <c r="AZ37" s="525" t="s">
        <v>2669</v>
      </c>
      <c r="BA37" s="525">
        <v>43</v>
      </c>
      <c r="BB37" s="525" t="s">
        <v>75</v>
      </c>
      <c r="BC37" s="525"/>
      <c r="BD37" s="30">
        <v>0</v>
      </c>
      <c r="BE37" s="33"/>
      <c r="BF37" s="525">
        <v>26</v>
      </c>
      <c r="BG37" s="525">
        <v>342</v>
      </c>
      <c r="BH37" s="59" t="s">
        <v>2016</v>
      </c>
      <c r="BI37" s="58" t="s">
        <v>2017</v>
      </c>
      <c r="BJ37" s="60">
        <v>24</v>
      </c>
      <c r="BK37" s="60" t="s">
        <v>75</v>
      </c>
      <c r="BL37" s="61"/>
      <c r="BM37" s="30" t="s">
        <v>2019</v>
      </c>
      <c r="BN37" s="33"/>
      <c r="BO37" s="33"/>
    </row>
    <row r="38" spans="1:67" ht="25.5" customHeight="1">
      <c r="A38" s="58">
        <v>27</v>
      </c>
      <c r="B38" s="62">
        <v>29</v>
      </c>
      <c r="C38" s="63" t="s">
        <v>413</v>
      </c>
      <c r="D38" s="64" t="s">
        <v>414</v>
      </c>
      <c r="E38" s="64">
        <v>68</v>
      </c>
      <c r="F38" s="65" t="s">
        <v>60</v>
      </c>
      <c r="G38" s="58"/>
      <c r="H38" s="30" t="s">
        <v>419</v>
      </c>
      <c r="I38" s="33"/>
      <c r="J38" s="33"/>
      <c r="K38" s="525">
        <v>27</v>
      </c>
      <c r="L38" s="525">
        <v>224</v>
      </c>
      <c r="M38" s="525" t="s">
        <v>4733</v>
      </c>
      <c r="N38" s="525" t="s">
        <v>1076</v>
      </c>
      <c r="O38" s="525">
        <v>27</v>
      </c>
      <c r="P38" s="525" t="s">
        <v>60</v>
      </c>
      <c r="Q38" s="525"/>
      <c r="R38" s="30" t="s">
        <v>1079</v>
      </c>
      <c r="S38" s="33"/>
      <c r="T38" s="33"/>
      <c r="U38" s="525">
        <v>27</v>
      </c>
      <c r="V38" s="525">
        <v>17</v>
      </c>
      <c r="W38" s="525" t="s">
        <v>1469</v>
      </c>
      <c r="X38" s="525" t="s">
        <v>1470</v>
      </c>
      <c r="Y38" s="525">
        <v>49</v>
      </c>
      <c r="Z38" s="525" t="s">
        <v>60</v>
      </c>
      <c r="AA38" s="525"/>
      <c r="AB38" s="30" t="s">
        <v>1473</v>
      </c>
      <c r="AC38" s="33"/>
      <c r="AD38" s="33"/>
      <c r="AE38" s="525">
        <v>27</v>
      </c>
      <c r="AF38" s="525"/>
      <c r="AG38" s="526" t="s">
        <v>1838</v>
      </c>
      <c r="AH38" s="525" t="s">
        <v>1839</v>
      </c>
      <c r="AI38" s="525">
        <v>60</v>
      </c>
      <c r="AJ38" s="525" t="s">
        <v>75</v>
      </c>
      <c r="AK38" s="525"/>
      <c r="AL38" s="30" t="s">
        <v>1841</v>
      </c>
      <c r="AM38" s="33"/>
      <c r="AN38" s="33"/>
      <c r="AO38" s="33"/>
      <c r="AP38" s="33"/>
      <c r="AQ38" s="33"/>
      <c r="AR38" s="33"/>
      <c r="AS38" s="33"/>
      <c r="AT38" s="33"/>
      <c r="AU38" s="33"/>
      <c r="AV38" s="33"/>
      <c r="AW38" s="525">
        <v>27</v>
      </c>
      <c r="AX38" s="525"/>
      <c r="AY38" s="66" t="s">
        <v>2699</v>
      </c>
      <c r="AZ38" s="525" t="s">
        <v>2700</v>
      </c>
      <c r="BA38" s="525">
        <v>25</v>
      </c>
      <c r="BB38" s="525" t="s">
        <v>75</v>
      </c>
      <c r="BC38" s="525"/>
      <c r="BD38" s="30">
        <v>0</v>
      </c>
      <c r="BE38" s="33"/>
      <c r="BF38" s="525">
        <v>27</v>
      </c>
      <c r="BG38" s="525">
        <v>355</v>
      </c>
      <c r="BH38" s="59" t="s">
        <v>2021</v>
      </c>
      <c r="BI38" s="58" t="s">
        <v>2022</v>
      </c>
      <c r="BJ38" s="60">
        <v>47</v>
      </c>
      <c r="BK38" s="60" t="s">
        <v>75</v>
      </c>
      <c r="BL38" s="61"/>
      <c r="BM38" s="30" t="s">
        <v>2024</v>
      </c>
      <c r="BN38" s="33"/>
      <c r="BO38" s="33"/>
    </row>
    <row r="39" spans="1:67" ht="25.5" customHeight="1">
      <c r="A39" s="58">
        <v>28</v>
      </c>
      <c r="B39" s="62">
        <v>213</v>
      </c>
      <c r="C39" s="63" t="s">
        <v>422</v>
      </c>
      <c r="D39" s="64" t="s">
        <v>423</v>
      </c>
      <c r="E39" s="64">
        <v>50</v>
      </c>
      <c r="F39" s="65" t="s">
        <v>424</v>
      </c>
      <c r="G39" s="58"/>
      <c r="H39" s="30" t="s">
        <v>428</v>
      </c>
      <c r="I39" s="33"/>
      <c r="J39" s="33"/>
      <c r="K39" s="525">
        <v>28</v>
      </c>
      <c r="L39" s="525">
        <v>225</v>
      </c>
      <c r="M39" s="525" t="s">
        <v>4734</v>
      </c>
      <c r="N39" s="525" t="s">
        <v>1082</v>
      </c>
      <c r="O39" s="525">
        <v>76</v>
      </c>
      <c r="P39" s="525" t="s">
        <v>60</v>
      </c>
      <c r="Q39" s="525"/>
      <c r="R39" s="30" t="s">
        <v>1084</v>
      </c>
      <c r="S39" s="33"/>
      <c r="T39" s="33"/>
      <c r="U39" s="525">
        <v>28</v>
      </c>
      <c r="V39" s="525">
        <v>18</v>
      </c>
      <c r="W39" s="525" t="s">
        <v>1475</v>
      </c>
      <c r="X39" s="525" t="s">
        <v>1476</v>
      </c>
      <c r="Y39" s="525">
        <v>72</v>
      </c>
      <c r="Z39" s="525" t="s">
        <v>75</v>
      </c>
      <c r="AA39" s="525"/>
      <c r="AB39" s="30" t="s">
        <v>1480</v>
      </c>
      <c r="AC39" s="33"/>
      <c r="AD39" s="33"/>
      <c r="AE39" s="525">
        <v>28</v>
      </c>
      <c r="AF39" s="525">
        <v>17</v>
      </c>
      <c r="AG39" s="526" t="s">
        <v>1843</v>
      </c>
      <c r="AH39" s="525" t="s">
        <v>1844</v>
      </c>
      <c r="AI39" s="525">
        <v>26</v>
      </c>
      <c r="AJ39" s="525" t="s">
        <v>75</v>
      </c>
      <c r="AK39" s="525"/>
      <c r="AL39" s="30" t="s">
        <v>1846</v>
      </c>
      <c r="AM39" s="33"/>
      <c r="AN39" s="33"/>
      <c r="AO39" s="33"/>
      <c r="AP39" s="33"/>
      <c r="AQ39" s="33"/>
      <c r="AR39" s="33"/>
      <c r="AS39" s="33"/>
      <c r="AT39" s="33"/>
      <c r="AU39" s="33"/>
      <c r="AV39" s="33"/>
      <c r="AW39" s="525">
        <v>28</v>
      </c>
      <c r="AX39" s="525">
        <v>0</v>
      </c>
      <c r="AY39" s="66" t="s">
        <v>3642</v>
      </c>
      <c r="AZ39" s="525" t="s">
        <v>3643</v>
      </c>
      <c r="BA39" s="525">
        <v>37</v>
      </c>
      <c r="BB39" s="525" t="s">
        <v>75</v>
      </c>
      <c r="BC39" s="525"/>
      <c r="BD39" s="30" t="s">
        <v>228</v>
      </c>
      <c r="BE39" s="33"/>
      <c r="BF39" s="525">
        <v>28</v>
      </c>
      <c r="BG39" s="525">
        <v>357</v>
      </c>
      <c r="BH39" s="59" t="s">
        <v>2026</v>
      </c>
      <c r="BI39" s="58" t="s">
        <v>2027</v>
      </c>
      <c r="BJ39" s="60">
        <v>58</v>
      </c>
      <c r="BK39" s="60" t="s">
        <v>60</v>
      </c>
      <c r="BL39" s="61"/>
      <c r="BM39" s="30" t="s">
        <v>2029</v>
      </c>
      <c r="BN39" s="33"/>
      <c r="BO39" s="33"/>
    </row>
    <row r="40" spans="1:67" ht="25.5" customHeight="1">
      <c r="A40" s="58">
        <v>29</v>
      </c>
      <c r="B40" s="62">
        <v>322</v>
      </c>
      <c r="C40" s="63" t="s">
        <v>451</v>
      </c>
      <c r="D40" s="64" t="s">
        <v>452</v>
      </c>
      <c r="E40" s="64">
        <v>64</v>
      </c>
      <c r="F40" s="65" t="s">
        <v>60</v>
      </c>
      <c r="G40" s="58"/>
      <c r="H40" s="30" t="s">
        <v>454</v>
      </c>
      <c r="I40" s="33"/>
      <c r="J40" s="33"/>
      <c r="K40" s="525">
        <v>29</v>
      </c>
      <c r="L40" s="525">
        <v>251</v>
      </c>
      <c r="M40" s="525" t="s">
        <v>1086</v>
      </c>
      <c r="N40" s="525" t="s">
        <v>1087</v>
      </c>
      <c r="O40" s="525">
        <v>52</v>
      </c>
      <c r="P40" s="525" t="s">
        <v>424</v>
      </c>
      <c r="Q40" s="525"/>
      <c r="R40" s="30" t="s">
        <v>1090</v>
      </c>
      <c r="S40" s="33"/>
      <c r="T40" s="33"/>
      <c r="U40" s="525">
        <v>29</v>
      </c>
      <c r="V40" s="525">
        <v>11</v>
      </c>
      <c r="W40" s="525" t="s">
        <v>1490</v>
      </c>
      <c r="X40" s="525" t="s">
        <v>1491</v>
      </c>
      <c r="Y40" s="525">
        <v>52</v>
      </c>
      <c r="Z40" s="525" t="s">
        <v>75</v>
      </c>
      <c r="AA40" s="525"/>
      <c r="AB40" s="30" t="s">
        <v>1495</v>
      </c>
      <c r="AC40" s="33"/>
      <c r="AD40" s="33"/>
      <c r="AE40" s="525">
        <v>29</v>
      </c>
      <c r="AF40" s="525">
        <v>185</v>
      </c>
      <c r="AG40" s="526" t="s">
        <v>1848</v>
      </c>
      <c r="AH40" s="525" t="s">
        <v>1849</v>
      </c>
      <c r="AI40" s="525">
        <v>32</v>
      </c>
      <c r="AJ40" s="525" t="s">
        <v>75</v>
      </c>
      <c r="AK40" s="525"/>
      <c r="AL40" s="30" t="s">
        <v>1851</v>
      </c>
      <c r="AM40" s="33"/>
      <c r="AN40" s="33"/>
      <c r="AO40" s="33"/>
      <c r="AP40" s="33"/>
      <c r="AQ40" s="33"/>
      <c r="AR40" s="33"/>
      <c r="AS40" s="33"/>
      <c r="AT40" s="33"/>
      <c r="AU40" s="33"/>
      <c r="AV40" s="33"/>
      <c r="AW40" s="525">
        <v>29</v>
      </c>
      <c r="AX40" s="525">
        <v>0</v>
      </c>
      <c r="AY40" s="66" t="s">
        <v>3652</v>
      </c>
      <c r="AZ40" s="525" t="s">
        <v>3653</v>
      </c>
      <c r="BA40" s="525">
        <v>27</v>
      </c>
      <c r="BB40" s="525" t="s">
        <v>75</v>
      </c>
      <c r="BC40" s="525"/>
      <c r="BD40" s="30" t="s">
        <v>228</v>
      </c>
      <c r="BE40" s="33"/>
      <c r="BF40" s="525">
        <v>29</v>
      </c>
      <c r="BG40" s="525"/>
      <c r="BH40" s="59" t="s">
        <v>2031</v>
      </c>
      <c r="BI40" s="58" t="s">
        <v>2032</v>
      </c>
      <c r="BJ40" s="60">
        <v>57</v>
      </c>
      <c r="BK40" s="60" t="s">
        <v>60</v>
      </c>
      <c r="BL40" s="61"/>
      <c r="BM40" s="30" t="s">
        <v>2034</v>
      </c>
      <c r="BN40" s="33"/>
      <c r="BO40" s="33"/>
    </row>
    <row r="41" spans="1:67" ht="25.5" customHeight="1">
      <c r="A41" s="58">
        <v>30</v>
      </c>
      <c r="B41" s="62">
        <v>36</v>
      </c>
      <c r="C41" s="63" t="s">
        <v>465</v>
      </c>
      <c r="D41" s="64" t="s">
        <v>466</v>
      </c>
      <c r="E41" s="64">
        <v>49</v>
      </c>
      <c r="F41" s="65" t="s">
        <v>60</v>
      </c>
      <c r="G41" s="58"/>
      <c r="H41" s="30" t="s">
        <v>275</v>
      </c>
      <c r="I41" s="33"/>
      <c r="J41" s="33"/>
      <c r="K41" s="525">
        <v>30</v>
      </c>
      <c r="L41" s="525">
        <v>263</v>
      </c>
      <c r="M41" s="525" t="s">
        <v>1092</v>
      </c>
      <c r="N41" s="525" t="s">
        <v>1093</v>
      </c>
      <c r="O41" s="525">
        <v>35</v>
      </c>
      <c r="P41" s="525" t="s">
        <v>75</v>
      </c>
      <c r="Q41" s="525"/>
      <c r="R41" s="30" t="s">
        <v>1095</v>
      </c>
      <c r="S41" s="33"/>
      <c r="T41" s="33"/>
      <c r="U41" s="525">
        <v>30</v>
      </c>
      <c r="V41" s="525">
        <v>111</v>
      </c>
      <c r="W41" s="525" t="s">
        <v>1497</v>
      </c>
      <c r="X41" s="525" t="s">
        <v>1498</v>
      </c>
      <c r="Y41" s="525">
        <v>26</v>
      </c>
      <c r="Z41" s="525" t="s">
        <v>75</v>
      </c>
      <c r="AA41" s="525"/>
      <c r="AB41" s="30" t="s">
        <v>1502</v>
      </c>
      <c r="AC41" s="33"/>
      <c r="AD41" s="33"/>
      <c r="AE41" s="525">
        <v>30</v>
      </c>
      <c r="AF41" s="525"/>
      <c r="AG41" s="526" t="s">
        <v>1853</v>
      </c>
      <c r="AH41" s="525" t="s">
        <v>1854</v>
      </c>
      <c r="AI41" s="525">
        <v>35</v>
      </c>
      <c r="AJ41" s="525" t="s">
        <v>75</v>
      </c>
      <c r="AK41" s="525"/>
      <c r="AL41" s="30" t="s">
        <v>1856</v>
      </c>
      <c r="AM41" s="33"/>
      <c r="AN41" s="33"/>
      <c r="AO41" s="33"/>
      <c r="AP41" s="33"/>
      <c r="AQ41" s="33"/>
      <c r="AR41" s="33"/>
      <c r="AS41" s="33"/>
      <c r="AT41" s="33"/>
      <c r="AU41" s="33"/>
      <c r="AV41" s="33"/>
      <c r="AW41" s="525">
        <v>30</v>
      </c>
      <c r="AX41" s="525" t="s">
        <v>3741</v>
      </c>
      <c r="AY41" s="66" t="s">
        <v>3742</v>
      </c>
      <c r="AZ41" s="525" t="s">
        <v>3743</v>
      </c>
      <c r="BA41" s="525">
        <v>50</v>
      </c>
      <c r="BB41" s="525" t="s">
        <v>60</v>
      </c>
      <c r="BC41" s="525"/>
      <c r="BD41" s="30" t="s">
        <v>228</v>
      </c>
      <c r="BE41" s="33"/>
      <c r="BF41" s="525">
        <v>30</v>
      </c>
      <c r="BG41" s="525"/>
      <c r="BH41" s="59" t="s">
        <v>2036</v>
      </c>
      <c r="BI41" s="58" t="s">
        <v>2037</v>
      </c>
      <c r="BJ41" s="60">
        <v>33</v>
      </c>
      <c r="BK41" s="60" t="s">
        <v>424</v>
      </c>
      <c r="BL41" s="61"/>
      <c r="BM41" s="30" t="s">
        <v>2039</v>
      </c>
      <c r="BN41" s="33"/>
      <c r="BO41" s="33"/>
    </row>
    <row r="42" spans="1:67" ht="25.5" customHeight="1">
      <c r="A42" s="58">
        <v>31</v>
      </c>
      <c r="B42" s="62"/>
      <c r="C42" s="63" t="s">
        <v>469</v>
      </c>
      <c r="D42" s="64" t="s">
        <v>470</v>
      </c>
      <c r="E42" s="64">
        <v>40</v>
      </c>
      <c r="F42" s="65" t="s">
        <v>60</v>
      </c>
      <c r="G42" s="58"/>
      <c r="H42" s="30" t="s">
        <v>474</v>
      </c>
      <c r="I42" s="33"/>
      <c r="J42" s="33"/>
      <c r="K42" s="525">
        <v>31</v>
      </c>
      <c r="L42" s="525">
        <v>29</v>
      </c>
      <c r="M42" s="525" t="s">
        <v>1097</v>
      </c>
      <c r="N42" s="525" t="s">
        <v>1098</v>
      </c>
      <c r="O42" s="525">
        <v>44</v>
      </c>
      <c r="P42" s="525" t="s">
        <v>1099</v>
      </c>
      <c r="Q42" s="525"/>
      <c r="R42" s="30" t="s">
        <v>1104</v>
      </c>
      <c r="S42" s="33"/>
      <c r="T42" s="33"/>
      <c r="U42" s="525">
        <v>31</v>
      </c>
      <c r="V42" s="525">
        <v>112</v>
      </c>
      <c r="W42" s="525" t="s">
        <v>1504</v>
      </c>
      <c r="X42" s="525" t="s">
        <v>1505</v>
      </c>
      <c r="Y42" s="525">
        <v>57</v>
      </c>
      <c r="Z42" s="525" t="s">
        <v>75</v>
      </c>
      <c r="AA42" s="525"/>
      <c r="AB42" s="30" t="s">
        <v>1509</v>
      </c>
      <c r="AC42" s="33"/>
      <c r="AD42" s="33"/>
      <c r="AE42" s="525">
        <v>31</v>
      </c>
      <c r="AF42" s="525"/>
      <c r="AG42" s="526" t="s">
        <v>2734</v>
      </c>
      <c r="AH42" s="525" t="s">
        <v>2735</v>
      </c>
      <c r="AI42" s="525">
        <v>49</v>
      </c>
      <c r="AJ42" s="525" t="s">
        <v>60</v>
      </c>
      <c r="AK42" s="525"/>
      <c r="AL42" s="30">
        <v>0</v>
      </c>
      <c r="AM42" s="33"/>
      <c r="AN42" s="33"/>
      <c r="AO42" s="33"/>
      <c r="AP42" s="33"/>
      <c r="AQ42" s="33"/>
      <c r="AR42" s="33"/>
      <c r="AS42" s="33"/>
      <c r="AT42" s="33"/>
      <c r="AU42" s="33"/>
      <c r="AV42" s="33"/>
      <c r="AW42" s="525">
        <v>31</v>
      </c>
      <c r="AX42" s="525">
        <v>0</v>
      </c>
      <c r="AY42" s="66" t="s">
        <v>3784</v>
      </c>
      <c r="AZ42" s="525" t="s">
        <v>3785</v>
      </c>
      <c r="BA42" s="525">
        <v>56</v>
      </c>
      <c r="BB42" s="525" t="s">
        <v>75</v>
      </c>
      <c r="BC42" s="525"/>
      <c r="BD42" s="30" t="s">
        <v>228</v>
      </c>
      <c r="BE42" s="33"/>
      <c r="BF42" s="525">
        <v>31</v>
      </c>
      <c r="BG42" s="525"/>
      <c r="BH42" s="59" t="s">
        <v>2041</v>
      </c>
      <c r="BI42" s="58" t="s">
        <v>2042</v>
      </c>
      <c r="BJ42" s="60">
        <v>35</v>
      </c>
      <c r="BK42" s="60" t="s">
        <v>75</v>
      </c>
      <c r="BL42" s="61"/>
      <c r="BM42" s="30" t="s">
        <v>2044</v>
      </c>
      <c r="BN42" s="33"/>
      <c r="BO42" s="33"/>
    </row>
    <row r="43" spans="1:67" ht="25.5" customHeight="1">
      <c r="A43" s="58">
        <v>32</v>
      </c>
      <c r="B43" s="62"/>
      <c r="C43" s="63" t="s">
        <v>475</v>
      </c>
      <c r="D43" s="64" t="s">
        <v>476</v>
      </c>
      <c r="E43" s="64">
        <v>55</v>
      </c>
      <c r="F43" s="65" t="s">
        <v>75</v>
      </c>
      <c r="G43" s="58"/>
      <c r="H43" s="30" t="s">
        <v>478</v>
      </c>
      <c r="I43" s="33"/>
      <c r="J43" s="33"/>
      <c r="K43" s="525">
        <v>32</v>
      </c>
      <c r="L43" s="525">
        <v>323</v>
      </c>
      <c r="M43" s="525" t="s">
        <v>1106</v>
      </c>
      <c r="N43" s="525" t="s">
        <v>1107</v>
      </c>
      <c r="O43" s="525">
        <v>77</v>
      </c>
      <c r="P43" s="525" t="s">
        <v>60</v>
      </c>
      <c r="Q43" s="525"/>
      <c r="R43" s="30" t="s">
        <v>1111</v>
      </c>
      <c r="S43" s="33"/>
      <c r="T43" s="33"/>
      <c r="U43" s="525">
        <v>32</v>
      </c>
      <c r="V43" s="525">
        <v>113</v>
      </c>
      <c r="W43" s="525" t="s">
        <v>1511</v>
      </c>
      <c r="X43" s="525" t="s">
        <v>1512</v>
      </c>
      <c r="Y43" s="525">
        <v>71</v>
      </c>
      <c r="Z43" s="525" t="s">
        <v>60</v>
      </c>
      <c r="AA43" s="525"/>
      <c r="AB43" s="30" t="s">
        <v>1516</v>
      </c>
      <c r="AC43" s="33"/>
      <c r="AD43" s="33"/>
      <c r="AE43" s="525">
        <v>32</v>
      </c>
      <c r="AF43" s="525">
        <v>0</v>
      </c>
      <c r="AG43" s="526" t="s">
        <v>3735</v>
      </c>
      <c r="AH43" s="525" t="s">
        <v>3736</v>
      </c>
      <c r="AI43" s="525">
        <v>73</v>
      </c>
      <c r="AJ43" s="525" t="s">
        <v>75</v>
      </c>
      <c r="AK43" s="525"/>
      <c r="AL43" s="30" t="s">
        <v>228</v>
      </c>
      <c r="AM43" s="33"/>
      <c r="AN43" s="33"/>
      <c r="AO43" s="33"/>
      <c r="AP43" s="33"/>
      <c r="AQ43" s="33"/>
      <c r="AR43" s="33"/>
      <c r="AS43" s="33"/>
      <c r="AT43" s="33"/>
      <c r="AU43" s="33"/>
      <c r="AV43" s="33"/>
      <c r="AW43" s="525">
        <v>32</v>
      </c>
      <c r="AX43" s="525">
        <v>0</v>
      </c>
      <c r="AY43" s="66" t="s">
        <v>3802</v>
      </c>
      <c r="AZ43" s="525" t="s">
        <v>3803</v>
      </c>
      <c r="BA43" s="525">
        <v>25</v>
      </c>
      <c r="BB43" s="525" t="s">
        <v>75</v>
      </c>
      <c r="BC43" s="525"/>
      <c r="BD43" s="30" t="s">
        <v>228</v>
      </c>
      <c r="BE43" s="33"/>
      <c r="BF43" s="525">
        <v>32</v>
      </c>
      <c r="BG43" s="525"/>
      <c r="BH43" s="59" t="s">
        <v>2056</v>
      </c>
      <c r="BI43" s="58" t="s">
        <v>2057</v>
      </c>
      <c r="BJ43" s="60">
        <v>29</v>
      </c>
      <c r="BK43" s="60" t="s">
        <v>60</v>
      </c>
      <c r="BL43" s="61"/>
      <c r="BM43" s="30" t="s">
        <v>2060</v>
      </c>
      <c r="BN43" s="33"/>
      <c r="BO43" s="33"/>
    </row>
    <row r="44" spans="1:67" ht="25.5" customHeight="1">
      <c r="A44" s="58">
        <v>33</v>
      </c>
      <c r="B44" s="62"/>
      <c r="C44" s="63" t="s">
        <v>479</v>
      </c>
      <c r="D44" s="64" t="s">
        <v>480</v>
      </c>
      <c r="E44" s="64">
        <v>54</v>
      </c>
      <c r="F44" s="65" t="s">
        <v>60</v>
      </c>
      <c r="G44" s="58"/>
      <c r="H44" s="30" t="s">
        <v>482</v>
      </c>
      <c r="I44" s="33"/>
      <c r="J44" s="33"/>
      <c r="K44" s="525">
        <v>33</v>
      </c>
      <c r="L44" s="525" t="s">
        <v>1113</v>
      </c>
      <c r="M44" s="525" t="s">
        <v>1114</v>
      </c>
      <c r="N44" s="525" t="s">
        <v>1115</v>
      </c>
      <c r="O44" s="525">
        <v>45</v>
      </c>
      <c r="P44" s="525" t="s">
        <v>75</v>
      </c>
      <c r="Q44" s="525"/>
      <c r="R44" s="30" t="s">
        <v>1118</v>
      </c>
      <c r="S44" s="33"/>
      <c r="T44" s="33"/>
      <c r="U44" s="525">
        <v>33</v>
      </c>
      <c r="V44" s="525">
        <v>12</v>
      </c>
      <c r="W44" s="525" t="s">
        <v>1518</v>
      </c>
      <c r="X44" s="525" t="s">
        <v>1519</v>
      </c>
      <c r="Y44" s="525">
        <v>65</v>
      </c>
      <c r="Z44" s="525" t="s">
        <v>75</v>
      </c>
      <c r="AA44" s="525"/>
      <c r="AB44" s="30" t="s">
        <v>1522</v>
      </c>
      <c r="AC44" s="33"/>
      <c r="AD44" s="33"/>
      <c r="AE44" s="525">
        <v>33</v>
      </c>
      <c r="AF44" s="525">
        <v>0</v>
      </c>
      <c r="AG44" s="526" t="s">
        <v>3754</v>
      </c>
      <c r="AH44" s="525" t="s">
        <v>3755</v>
      </c>
      <c r="AI44" s="525">
        <v>53</v>
      </c>
      <c r="AJ44" s="525" t="s">
        <v>60</v>
      </c>
      <c r="AK44" s="525"/>
      <c r="AL44" s="30" t="s">
        <v>228</v>
      </c>
      <c r="AM44" s="33"/>
      <c r="AN44" s="33"/>
      <c r="AO44" s="33"/>
      <c r="AP44" s="33"/>
      <c r="AQ44" s="33"/>
      <c r="AR44" s="33"/>
      <c r="AS44" s="33"/>
      <c r="AT44" s="33"/>
      <c r="AU44" s="33"/>
      <c r="AV44" s="33"/>
      <c r="AW44" s="525">
        <v>33</v>
      </c>
      <c r="AX44" s="525">
        <v>197</v>
      </c>
      <c r="AY44" s="66" t="s">
        <v>3840</v>
      </c>
      <c r="AZ44" s="525" t="s">
        <v>3841</v>
      </c>
      <c r="BA44" s="525">
        <v>82</v>
      </c>
      <c r="BB44" s="525" t="s">
        <v>60</v>
      </c>
      <c r="BC44" s="525"/>
      <c r="BD44" s="30" t="s">
        <v>3844</v>
      </c>
      <c r="BE44" s="33"/>
      <c r="BF44" s="525">
        <v>33</v>
      </c>
      <c r="BG44" s="525"/>
      <c r="BH44" s="59" t="s">
        <v>2062</v>
      </c>
      <c r="BI44" s="58" t="s">
        <v>2063</v>
      </c>
      <c r="BJ44" s="60">
        <v>43</v>
      </c>
      <c r="BK44" s="60" t="s">
        <v>75</v>
      </c>
      <c r="BL44" s="61"/>
      <c r="BM44" s="30" t="s">
        <v>2065</v>
      </c>
      <c r="BN44" s="33"/>
      <c r="BO44" s="33"/>
    </row>
    <row r="45" spans="1:67" ht="25.5" customHeight="1">
      <c r="A45" s="58">
        <v>34</v>
      </c>
      <c r="B45" s="62">
        <v>399</v>
      </c>
      <c r="C45" s="63" t="s">
        <v>483</v>
      </c>
      <c r="D45" s="64" t="s">
        <v>484</v>
      </c>
      <c r="E45" s="64">
        <v>50</v>
      </c>
      <c r="F45" s="65" t="s">
        <v>60</v>
      </c>
      <c r="G45" s="58"/>
      <c r="H45" s="30" t="s">
        <v>487</v>
      </c>
      <c r="I45" s="33"/>
      <c r="J45" s="33"/>
      <c r="K45" s="525">
        <v>34</v>
      </c>
      <c r="L45" s="525">
        <v>195</v>
      </c>
      <c r="M45" s="525" t="s">
        <v>1120</v>
      </c>
      <c r="N45" s="525" t="s">
        <v>1121</v>
      </c>
      <c r="O45" s="525">
        <v>67</v>
      </c>
      <c r="P45" s="525" t="s">
        <v>60</v>
      </c>
      <c r="Q45" s="525"/>
      <c r="R45" s="30" t="s">
        <v>1124</v>
      </c>
      <c r="S45" s="33"/>
      <c r="T45" s="33"/>
      <c r="U45" s="525">
        <v>34</v>
      </c>
      <c r="V45" s="525">
        <v>126</v>
      </c>
      <c r="W45" s="525" t="s">
        <v>1524</v>
      </c>
      <c r="X45" s="525" t="s">
        <v>1525</v>
      </c>
      <c r="Y45" s="525">
        <v>59</v>
      </c>
      <c r="Z45" s="525" t="s">
        <v>60</v>
      </c>
      <c r="AA45" s="525"/>
      <c r="AB45" s="30" t="s">
        <v>1529</v>
      </c>
      <c r="AC45" s="33"/>
      <c r="AD45" s="33"/>
      <c r="AE45" s="525">
        <v>34</v>
      </c>
      <c r="AF45" s="525">
        <v>0</v>
      </c>
      <c r="AG45" s="526" t="s">
        <v>3992</v>
      </c>
      <c r="AH45" s="525" t="s">
        <v>3993</v>
      </c>
      <c r="AI45" s="525">
        <v>69</v>
      </c>
      <c r="AJ45" s="525" t="s">
        <v>75</v>
      </c>
      <c r="AK45" s="525"/>
      <c r="AL45" s="30" t="s">
        <v>228</v>
      </c>
      <c r="AM45" s="33"/>
      <c r="AN45" s="33"/>
      <c r="AO45" s="33"/>
      <c r="AP45" s="33"/>
      <c r="AQ45" s="33"/>
      <c r="AR45" s="33"/>
      <c r="AS45" s="33"/>
      <c r="AT45" s="33"/>
      <c r="AU45" s="33"/>
      <c r="AV45" s="33"/>
      <c r="AW45" s="525">
        <v>34</v>
      </c>
      <c r="AX45" s="525">
        <v>2026</v>
      </c>
      <c r="AY45" s="66" t="s">
        <v>4321</v>
      </c>
      <c r="AZ45" s="525" t="s">
        <v>4322</v>
      </c>
      <c r="BA45" s="525">
        <v>45</v>
      </c>
      <c r="BB45" s="525" t="s">
        <v>60</v>
      </c>
      <c r="BC45" s="525"/>
      <c r="BD45" s="30"/>
      <c r="BE45" s="33"/>
      <c r="BF45" s="525">
        <v>34</v>
      </c>
      <c r="BG45" s="525"/>
      <c r="BH45" s="59" t="s">
        <v>2067</v>
      </c>
      <c r="BI45" s="58" t="s">
        <v>2068</v>
      </c>
      <c r="BJ45" s="60">
        <v>72</v>
      </c>
      <c r="BK45" s="60" t="s">
        <v>60</v>
      </c>
      <c r="BL45" s="61"/>
      <c r="BM45" s="30" t="s">
        <v>2071</v>
      </c>
      <c r="BN45" s="33"/>
      <c r="BO45" s="33"/>
    </row>
    <row r="46" spans="1:67" ht="25.5" customHeight="1">
      <c r="A46" s="58">
        <v>35</v>
      </c>
      <c r="B46" s="62">
        <v>243</v>
      </c>
      <c r="C46" s="63" t="s">
        <v>489</v>
      </c>
      <c r="D46" s="64" t="s">
        <v>490</v>
      </c>
      <c r="E46" s="64">
        <v>77</v>
      </c>
      <c r="F46" s="65" t="s">
        <v>60</v>
      </c>
      <c r="G46" s="58"/>
      <c r="H46" s="30" t="s">
        <v>492</v>
      </c>
      <c r="I46" s="33"/>
      <c r="J46" s="33"/>
      <c r="K46" s="525">
        <v>35</v>
      </c>
      <c r="L46" s="525">
        <v>196</v>
      </c>
      <c r="M46" s="525" t="s">
        <v>1126</v>
      </c>
      <c r="N46" s="525" t="s">
        <v>1127</v>
      </c>
      <c r="O46" s="525">
        <v>40</v>
      </c>
      <c r="P46" s="525" t="s">
        <v>75</v>
      </c>
      <c r="Q46" s="525"/>
      <c r="R46" s="30" t="s">
        <v>1130</v>
      </c>
      <c r="S46" s="33"/>
      <c r="T46" s="33"/>
      <c r="U46" s="525">
        <v>35</v>
      </c>
      <c r="V46" s="525">
        <v>9</v>
      </c>
      <c r="W46" s="525" t="s">
        <v>1531</v>
      </c>
      <c r="X46" s="525" t="s">
        <v>1532</v>
      </c>
      <c r="Y46" s="525">
        <v>67</v>
      </c>
      <c r="Z46" s="525" t="s">
        <v>60</v>
      </c>
      <c r="AA46" s="525"/>
      <c r="AB46" s="30" t="s">
        <v>1537</v>
      </c>
      <c r="AC46" s="33"/>
      <c r="AD46" s="33"/>
      <c r="AE46" s="525">
        <v>35</v>
      </c>
      <c r="AF46" s="525" t="s">
        <v>3999</v>
      </c>
      <c r="AG46" s="526" t="s">
        <v>4000</v>
      </c>
      <c r="AH46" s="525" t="s">
        <v>4001</v>
      </c>
      <c r="AI46" s="525">
        <v>52</v>
      </c>
      <c r="AJ46" s="525" t="s">
        <v>75</v>
      </c>
      <c r="AK46" s="525"/>
      <c r="AL46" s="30" t="s">
        <v>4005</v>
      </c>
      <c r="AM46" s="33"/>
      <c r="AN46" s="33"/>
      <c r="AO46" s="33"/>
      <c r="AP46" s="33"/>
      <c r="AQ46" s="33"/>
      <c r="AR46" s="33"/>
      <c r="AS46" s="33"/>
      <c r="AT46" s="33"/>
      <c r="AU46" s="33"/>
      <c r="AV46" s="33"/>
      <c r="AW46" s="33"/>
      <c r="AX46" s="33"/>
      <c r="AY46" s="33"/>
      <c r="AZ46" s="33"/>
      <c r="BA46" s="33"/>
      <c r="BB46" s="33"/>
      <c r="BC46" s="33"/>
      <c r="BD46" s="33"/>
      <c r="BE46" s="33"/>
      <c r="BF46" s="525">
        <v>35</v>
      </c>
      <c r="BG46" s="525"/>
      <c r="BH46" s="59" t="s">
        <v>2073</v>
      </c>
      <c r="BI46" s="58" t="s">
        <v>2074</v>
      </c>
      <c r="BJ46" s="60">
        <v>33</v>
      </c>
      <c r="BK46" s="60" t="s">
        <v>75</v>
      </c>
      <c r="BL46" s="61"/>
      <c r="BM46" s="30" t="s">
        <v>2077</v>
      </c>
      <c r="BN46" s="33"/>
      <c r="BO46" s="33"/>
    </row>
    <row r="47" spans="1:67" ht="25.5" customHeight="1">
      <c r="A47" s="58">
        <v>36</v>
      </c>
      <c r="B47" s="62"/>
      <c r="C47" s="63" t="s">
        <v>494</v>
      </c>
      <c r="D47" s="64" t="s">
        <v>495</v>
      </c>
      <c r="E47" s="64">
        <v>55</v>
      </c>
      <c r="F47" s="65" t="s">
        <v>75</v>
      </c>
      <c r="G47" s="58"/>
      <c r="H47" s="30" t="s">
        <v>498</v>
      </c>
      <c r="I47" s="33"/>
      <c r="J47" s="33"/>
      <c r="K47" s="525">
        <v>36</v>
      </c>
      <c r="L47" s="525">
        <v>198</v>
      </c>
      <c r="M47" s="525" t="s">
        <v>1132</v>
      </c>
      <c r="N47" s="525" t="s">
        <v>1133</v>
      </c>
      <c r="O47" s="525">
        <v>72</v>
      </c>
      <c r="P47" s="525" t="s">
        <v>60</v>
      </c>
      <c r="Q47" s="525"/>
      <c r="R47" s="30" t="s">
        <v>1136</v>
      </c>
      <c r="S47" s="33"/>
      <c r="T47" s="33"/>
      <c r="U47" s="525">
        <v>36</v>
      </c>
      <c r="V47" s="525">
        <v>169</v>
      </c>
      <c r="W47" s="525" t="s">
        <v>1543</v>
      </c>
      <c r="X47" s="525" t="s">
        <v>1544</v>
      </c>
      <c r="Y47" s="525">
        <v>70</v>
      </c>
      <c r="Z47" s="525" t="s">
        <v>60</v>
      </c>
      <c r="AA47" s="525"/>
      <c r="AB47" s="30" t="s">
        <v>1549</v>
      </c>
      <c r="AC47" s="33"/>
      <c r="AD47" s="33"/>
      <c r="AE47" s="525">
        <v>36</v>
      </c>
      <c r="AF47" s="525">
        <v>247</v>
      </c>
      <c r="AG47" s="526" t="s">
        <v>4012</v>
      </c>
      <c r="AH47" s="525" t="s">
        <v>4013</v>
      </c>
      <c r="AI47" s="525">
        <v>75</v>
      </c>
      <c r="AJ47" s="525" t="s">
        <v>60</v>
      </c>
      <c r="AK47" s="525"/>
      <c r="AL47" s="30" t="s">
        <v>4018</v>
      </c>
      <c r="AM47" s="33"/>
      <c r="AN47" s="33"/>
      <c r="AO47" s="33"/>
      <c r="AP47" s="33"/>
      <c r="AQ47" s="33"/>
      <c r="AR47" s="33"/>
      <c r="AS47" s="33"/>
      <c r="AT47" s="33"/>
      <c r="AU47" s="33"/>
      <c r="AV47" s="33"/>
      <c r="AW47" s="33"/>
      <c r="AX47" s="33"/>
      <c r="AY47" s="33"/>
      <c r="AZ47" s="33"/>
      <c r="BA47" s="33"/>
      <c r="BB47" s="33"/>
      <c r="BC47" s="33"/>
      <c r="BD47" s="33"/>
      <c r="BE47" s="33"/>
      <c r="BF47" s="525">
        <v>36</v>
      </c>
      <c r="BG47" s="525"/>
      <c r="BH47" s="59" t="s">
        <v>2079</v>
      </c>
      <c r="BI47" s="58" t="s">
        <v>2080</v>
      </c>
      <c r="BJ47" s="60">
        <v>41</v>
      </c>
      <c r="BK47" s="60" t="s">
        <v>75</v>
      </c>
      <c r="BL47" s="61"/>
      <c r="BM47" s="30" t="s">
        <v>2082</v>
      </c>
      <c r="BN47" s="33"/>
      <c r="BO47" s="33"/>
    </row>
    <row r="48" spans="1:67" ht="25.5" customHeight="1">
      <c r="A48" s="58">
        <v>37</v>
      </c>
      <c r="B48" s="62"/>
      <c r="C48" s="63" t="s">
        <v>501</v>
      </c>
      <c r="D48" s="64" t="s">
        <v>502</v>
      </c>
      <c r="E48" s="64">
        <v>57</v>
      </c>
      <c r="F48" s="65" t="s">
        <v>60</v>
      </c>
      <c r="G48" s="58"/>
      <c r="H48" s="30" t="s">
        <v>505</v>
      </c>
      <c r="I48" s="33"/>
      <c r="J48" s="33"/>
      <c r="K48" s="525">
        <v>37</v>
      </c>
      <c r="L48" s="525">
        <v>199</v>
      </c>
      <c r="M48" s="525" t="s">
        <v>1138</v>
      </c>
      <c r="N48" s="525" t="s">
        <v>1139</v>
      </c>
      <c r="O48" s="525">
        <v>71</v>
      </c>
      <c r="P48" s="525" t="s">
        <v>60</v>
      </c>
      <c r="Q48" s="525"/>
      <c r="R48" s="30" t="s">
        <v>1141</v>
      </c>
      <c r="S48" s="33"/>
      <c r="T48" s="33"/>
      <c r="U48" s="525">
        <v>37</v>
      </c>
      <c r="V48" s="525">
        <v>178</v>
      </c>
      <c r="W48" s="525" t="s">
        <v>1551</v>
      </c>
      <c r="X48" s="525" t="s">
        <v>1552</v>
      </c>
      <c r="Y48" s="525">
        <v>67</v>
      </c>
      <c r="Z48" s="525" t="s">
        <v>75</v>
      </c>
      <c r="AA48" s="525"/>
      <c r="AB48" s="30" t="s">
        <v>1556</v>
      </c>
      <c r="AC48" s="33"/>
      <c r="AD48" s="33"/>
      <c r="AE48" s="525">
        <v>37</v>
      </c>
      <c r="AF48" s="525">
        <v>0</v>
      </c>
      <c r="AG48" s="526" t="s">
        <v>4042</v>
      </c>
      <c r="AH48" s="525" t="s">
        <v>4043</v>
      </c>
      <c r="AI48" s="525">
        <v>71</v>
      </c>
      <c r="AJ48" s="525" t="s">
        <v>60</v>
      </c>
      <c r="AK48" s="525"/>
      <c r="AL48" s="30" t="s">
        <v>228</v>
      </c>
      <c r="AM48" s="33"/>
      <c r="AN48" s="33"/>
      <c r="AO48" s="33"/>
      <c r="AP48" s="33"/>
      <c r="AQ48" s="33"/>
      <c r="AR48" s="33"/>
      <c r="AS48" s="33"/>
      <c r="AT48" s="33"/>
      <c r="AU48" s="33"/>
      <c r="AV48" s="33"/>
      <c r="AW48" s="33"/>
      <c r="AX48" s="33"/>
      <c r="AY48" s="33"/>
      <c r="AZ48" s="33"/>
      <c r="BA48" s="33"/>
      <c r="BB48" s="33"/>
      <c r="BC48" s="33"/>
      <c r="BD48" s="33"/>
      <c r="BE48" s="33"/>
      <c r="BF48" s="525">
        <v>37</v>
      </c>
      <c r="BG48" s="525"/>
      <c r="BH48" s="59" t="s">
        <v>2084</v>
      </c>
      <c r="BI48" s="58" t="s">
        <v>2085</v>
      </c>
      <c r="BJ48" s="60">
        <v>50</v>
      </c>
      <c r="BK48" s="60" t="s">
        <v>60</v>
      </c>
      <c r="BL48" s="61"/>
      <c r="BM48" s="30" t="s">
        <v>2088</v>
      </c>
      <c r="BN48" s="33"/>
      <c r="BO48" s="33"/>
    </row>
    <row r="49" spans="1:67" ht="25.5" customHeight="1">
      <c r="A49" s="58">
        <v>38</v>
      </c>
      <c r="B49" s="62"/>
      <c r="C49" s="63" t="s">
        <v>507</v>
      </c>
      <c r="D49" s="64" t="s">
        <v>508</v>
      </c>
      <c r="E49" s="64">
        <v>58</v>
      </c>
      <c r="F49" s="65" t="s">
        <v>60</v>
      </c>
      <c r="G49" s="58"/>
      <c r="H49" s="30" t="s">
        <v>510</v>
      </c>
      <c r="I49" s="33"/>
      <c r="J49" s="33"/>
      <c r="K49" s="525">
        <v>38</v>
      </c>
      <c r="L49" s="525">
        <v>2</v>
      </c>
      <c r="M49" s="525" t="s">
        <v>1143</v>
      </c>
      <c r="N49" s="525" t="s">
        <v>1144</v>
      </c>
      <c r="O49" s="525">
        <v>70</v>
      </c>
      <c r="P49" s="525" t="s">
        <v>60</v>
      </c>
      <c r="Q49" s="525"/>
      <c r="R49" s="30" t="s">
        <v>1146</v>
      </c>
      <c r="S49" s="33"/>
      <c r="T49" s="33"/>
      <c r="U49" s="525">
        <v>38</v>
      </c>
      <c r="V49" s="525">
        <v>187</v>
      </c>
      <c r="W49" s="525" t="s">
        <v>1558</v>
      </c>
      <c r="X49" s="525" t="s">
        <v>1559</v>
      </c>
      <c r="Y49" s="525">
        <v>54</v>
      </c>
      <c r="Z49" s="525" t="s">
        <v>60</v>
      </c>
      <c r="AA49" s="525"/>
      <c r="AB49" s="30" t="s">
        <v>1564</v>
      </c>
      <c r="AC49" s="33"/>
      <c r="AD49" s="33"/>
      <c r="AE49" s="525">
        <v>38</v>
      </c>
      <c r="AF49" s="525">
        <v>176</v>
      </c>
      <c r="AG49" s="526" t="s">
        <v>4049</v>
      </c>
      <c r="AH49" s="525" t="s">
        <v>4050</v>
      </c>
      <c r="AI49" s="525">
        <v>73</v>
      </c>
      <c r="AJ49" s="525" t="s">
        <v>75</v>
      </c>
      <c r="AK49" s="525"/>
      <c r="AL49" s="30" t="s">
        <v>4053</v>
      </c>
      <c r="AM49" s="33"/>
      <c r="AN49" s="33"/>
      <c r="AO49" s="33"/>
      <c r="AP49" s="33"/>
      <c r="AQ49" s="33"/>
      <c r="AR49" s="33"/>
      <c r="AS49" s="33"/>
      <c r="AT49" s="33"/>
      <c r="AU49" s="33"/>
      <c r="AV49" s="33"/>
      <c r="AW49" s="33"/>
      <c r="AX49" s="33"/>
      <c r="AY49" s="33"/>
      <c r="AZ49" s="33"/>
      <c r="BA49" s="33"/>
      <c r="BB49" s="33"/>
      <c r="BC49" s="33"/>
      <c r="BD49" s="33"/>
      <c r="BE49" s="33"/>
      <c r="BF49" s="525">
        <v>38</v>
      </c>
      <c r="BG49" s="525"/>
      <c r="BH49" s="59" t="s">
        <v>2090</v>
      </c>
      <c r="BI49" s="58" t="s">
        <v>2091</v>
      </c>
      <c r="BJ49" s="60">
        <v>29</v>
      </c>
      <c r="BK49" s="60" t="s">
        <v>60</v>
      </c>
      <c r="BL49" s="61"/>
      <c r="BM49" s="30" t="s">
        <v>2093</v>
      </c>
      <c r="BN49" s="33"/>
      <c r="BO49" s="33"/>
    </row>
    <row r="50" spans="1:67" ht="25.5" customHeight="1">
      <c r="A50" s="58">
        <v>39</v>
      </c>
      <c r="B50" s="62">
        <v>158</v>
      </c>
      <c r="C50" s="63" t="s">
        <v>512</v>
      </c>
      <c r="D50" s="64" t="s">
        <v>513</v>
      </c>
      <c r="E50" s="64">
        <v>18</v>
      </c>
      <c r="F50" s="65" t="s">
        <v>60</v>
      </c>
      <c r="G50" s="58"/>
      <c r="H50" s="30" t="s">
        <v>516</v>
      </c>
      <c r="I50" s="33"/>
      <c r="J50" s="33"/>
      <c r="K50" s="525">
        <v>39</v>
      </c>
      <c r="L50" s="525">
        <v>22</v>
      </c>
      <c r="M50" s="525" t="s">
        <v>1148</v>
      </c>
      <c r="N50" s="525" t="s">
        <v>1149</v>
      </c>
      <c r="O50" s="525">
        <v>53</v>
      </c>
      <c r="P50" s="525" t="s">
        <v>75</v>
      </c>
      <c r="Q50" s="525"/>
      <c r="R50" s="30" t="s">
        <v>1152</v>
      </c>
      <c r="S50" s="33"/>
      <c r="T50" s="33"/>
      <c r="U50" s="525">
        <v>39</v>
      </c>
      <c r="V50" s="525">
        <v>194</v>
      </c>
      <c r="W50" s="525" t="s">
        <v>1566</v>
      </c>
      <c r="X50" s="525" t="s">
        <v>1567</v>
      </c>
      <c r="Y50" s="525">
        <v>67</v>
      </c>
      <c r="Z50" s="525" t="s">
        <v>75</v>
      </c>
      <c r="AA50" s="525"/>
      <c r="AB50" s="30" t="s">
        <v>1571</v>
      </c>
      <c r="AC50" s="33"/>
      <c r="AD50" s="33"/>
      <c r="AE50" s="525">
        <v>39</v>
      </c>
      <c r="AF50" s="525"/>
      <c r="AG50" s="526" t="s">
        <v>4195</v>
      </c>
      <c r="AH50" s="525" t="s">
        <v>4196</v>
      </c>
      <c r="AI50" s="525">
        <v>41</v>
      </c>
      <c r="AJ50" s="525" t="s">
        <v>75</v>
      </c>
      <c r="AK50" s="525"/>
      <c r="AL50" s="30"/>
      <c r="AM50" s="33"/>
      <c r="AN50" s="33"/>
      <c r="AO50" s="33"/>
      <c r="AP50" s="33"/>
      <c r="AQ50" s="33"/>
      <c r="AR50" s="33"/>
      <c r="AS50" s="33"/>
      <c r="AT50" s="33"/>
      <c r="AU50" s="33"/>
      <c r="AV50" s="33"/>
      <c r="AW50" s="33"/>
      <c r="AX50" s="33"/>
      <c r="AY50" s="33"/>
      <c r="AZ50" s="33"/>
      <c r="BA50" s="33"/>
      <c r="BB50" s="33"/>
      <c r="BC50" s="33"/>
      <c r="BD50" s="33"/>
      <c r="BE50" s="33"/>
      <c r="BF50" s="525">
        <v>39</v>
      </c>
      <c r="BG50" s="525"/>
      <c r="BH50" s="59" t="s">
        <v>2095</v>
      </c>
      <c r="BI50" s="58" t="s">
        <v>2096</v>
      </c>
      <c r="BJ50" s="60">
        <v>82</v>
      </c>
      <c r="BK50" s="60" t="s">
        <v>424</v>
      </c>
      <c r="BL50" s="61"/>
      <c r="BM50" s="30" t="s">
        <v>2098</v>
      </c>
      <c r="BN50" s="33"/>
      <c r="BO50" s="33"/>
    </row>
    <row r="51" spans="1:67" ht="25.5" customHeight="1">
      <c r="A51" s="58">
        <v>40</v>
      </c>
      <c r="B51" s="62"/>
      <c r="C51" s="63" t="s">
        <v>518</v>
      </c>
      <c r="D51" s="64" t="s">
        <v>519</v>
      </c>
      <c r="E51" s="64">
        <v>31</v>
      </c>
      <c r="F51" s="65" t="s">
        <v>75</v>
      </c>
      <c r="G51" s="58"/>
      <c r="H51" s="30" t="s">
        <v>521</v>
      </c>
      <c r="I51" s="33"/>
      <c r="J51" s="33"/>
      <c r="K51" s="525">
        <v>40</v>
      </c>
      <c r="L51" s="525">
        <v>23</v>
      </c>
      <c r="M51" s="525" t="s">
        <v>1154</v>
      </c>
      <c r="N51" s="525" t="s">
        <v>1155</v>
      </c>
      <c r="O51" s="525">
        <v>68</v>
      </c>
      <c r="P51" s="525" t="s">
        <v>75</v>
      </c>
      <c r="Q51" s="525"/>
      <c r="R51" s="30" t="s">
        <v>1158</v>
      </c>
      <c r="S51" s="33"/>
      <c r="T51" s="33"/>
      <c r="U51" s="525">
        <v>40</v>
      </c>
      <c r="V51" s="525">
        <v>197</v>
      </c>
      <c r="W51" s="525" t="s">
        <v>1573</v>
      </c>
      <c r="X51" s="525" t="s">
        <v>294</v>
      </c>
      <c r="Y51" s="525">
        <v>52</v>
      </c>
      <c r="Z51" s="525" t="s">
        <v>60</v>
      </c>
      <c r="AA51" s="525"/>
      <c r="AB51" s="30" t="s">
        <v>1574</v>
      </c>
      <c r="AC51" s="33"/>
      <c r="AD51" s="33"/>
      <c r="AE51" s="525">
        <v>40</v>
      </c>
      <c r="AF51" s="525"/>
      <c r="AG51" s="526" t="s">
        <v>4274</v>
      </c>
      <c r="AH51" s="525" t="s">
        <v>4275</v>
      </c>
      <c r="AI51" s="525">
        <v>55</v>
      </c>
      <c r="AJ51" s="525" t="s">
        <v>75</v>
      </c>
      <c r="AK51" s="525"/>
      <c r="AL51" s="30" t="s">
        <v>4280</v>
      </c>
      <c r="AM51" s="33"/>
      <c r="AN51" s="33"/>
      <c r="AO51" s="33"/>
      <c r="AP51" s="33"/>
      <c r="AQ51" s="33"/>
      <c r="AR51" s="33"/>
      <c r="AS51" s="33"/>
      <c r="AT51" s="33"/>
      <c r="AU51" s="33"/>
      <c r="AV51" s="33"/>
      <c r="AW51" s="33"/>
      <c r="AX51" s="33"/>
      <c r="AY51" s="33"/>
      <c r="AZ51" s="33"/>
      <c r="BA51" s="33"/>
      <c r="BB51" s="33"/>
      <c r="BC51" s="33"/>
      <c r="BD51" s="33"/>
      <c r="BE51" s="33"/>
      <c r="BF51" s="525">
        <v>40</v>
      </c>
      <c r="BG51" s="525"/>
      <c r="BH51" s="59" t="s">
        <v>2100</v>
      </c>
      <c r="BI51" s="58" t="s">
        <v>2101</v>
      </c>
      <c r="BJ51" s="60">
        <v>28</v>
      </c>
      <c r="BK51" s="60" t="s">
        <v>424</v>
      </c>
      <c r="BL51" s="61"/>
      <c r="BM51" s="30" t="s">
        <v>2103</v>
      </c>
      <c r="BN51" s="33"/>
      <c r="BO51" s="33"/>
    </row>
    <row r="52" spans="1:67" ht="25.5" customHeight="1">
      <c r="A52" s="58">
        <v>41</v>
      </c>
      <c r="B52" s="62"/>
      <c r="C52" s="63" t="s">
        <v>538</v>
      </c>
      <c r="D52" s="64" t="s">
        <v>539</v>
      </c>
      <c r="E52" s="64">
        <v>48</v>
      </c>
      <c r="F52" s="65" t="s">
        <v>75</v>
      </c>
      <c r="G52" s="58"/>
      <c r="H52" s="30" t="s">
        <v>541</v>
      </c>
      <c r="I52" s="33"/>
      <c r="J52" s="33"/>
      <c r="K52" s="525">
        <v>41</v>
      </c>
      <c r="L52" s="525">
        <v>24</v>
      </c>
      <c r="M52" s="525" t="s">
        <v>1160</v>
      </c>
      <c r="N52" s="525" t="s">
        <v>1161</v>
      </c>
      <c r="O52" s="525">
        <v>56</v>
      </c>
      <c r="P52" s="525" t="s">
        <v>60</v>
      </c>
      <c r="Q52" s="525"/>
      <c r="R52" s="30" t="s">
        <v>1163</v>
      </c>
      <c r="S52" s="33"/>
      <c r="T52" s="33"/>
      <c r="U52" s="525">
        <v>41</v>
      </c>
      <c r="V52" s="525">
        <v>199</v>
      </c>
      <c r="W52" s="525" t="s">
        <v>1576</v>
      </c>
      <c r="X52" s="525" t="s">
        <v>1577</v>
      </c>
      <c r="Y52" s="525">
        <v>64</v>
      </c>
      <c r="Z52" s="525" t="s">
        <v>75</v>
      </c>
      <c r="AA52" s="525"/>
      <c r="AB52" s="30" t="s">
        <v>1580</v>
      </c>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525">
        <v>41</v>
      </c>
      <c r="BG52" s="525"/>
      <c r="BH52" s="59" t="s">
        <v>2105</v>
      </c>
      <c r="BI52" s="58" t="s">
        <v>2106</v>
      </c>
      <c r="BJ52" s="60">
        <v>52</v>
      </c>
      <c r="BK52" s="60" t="s">
        <v>75</v>
      </c>
      <c r="BL52" s="61"/>
      <c r="BM52" s="30" t="s">
        <v>2108</v>
      </c>
      <c r="BN52" s="33"/>
      <c r="BO52" s="33"/>
    </row>
    <row r="53" spans="1:67" ht="25.5" customHeight="1">
      <c r="A53" s="58">
        <v>42</v>
      </c>
      <c r="B53" s="62"/>
      <c r="C53" s="63" t="s">
        <v>543</v>
      </c>
      <c r="D53" s="64" t="s">
        <v>544</v>
      </c>
      <c r="E53" s="64">
        <v>30</v>
      </c>
      <c r="F53" s="65" t="s">
        <v>75</v>
      </c>
      <c r="G53" s="58"/>
      <c r="H53" s="30" t="s">
        <v>546</v>
      </c>
      <c r="I53" s="33"/>
      <c r="J53" s="33"/>
      <c r="K53" s="525">
        <v>42</v>
      </c>
      <c r="L53" s="525">
        <v>25</v>
      </c>
      <c r="M53" s="525" t="s">
        <v>1165</v>
      </c>
      <c r="N53" s="525" t="s">
        <v>1166</v>
      </c>
      <c r="O53" s="525">
        <v>64</v>
      </c>
      <c r="P53" s="525" t="s">
        <v>60</v>
      </c>
      <c r="Q53" s="525"/>
      <c r="R53" s="30" t="s">
        <v>1168</v>
      </c>
      <c r="S53" s="33"/>
      <c r="T53" s="33"/>
      <c r="U53" s="525">
        <v>42</v>
      </c>
      <c r="V53" s="525">
        <v>358</v>
      </c>
      <c r="W53" s="525" t="s">
        <v>1582</v>
      </c>
      <c r="X53" s="525" t="s">
        <v>1583</v>
      </c>
      <c r="Y53" s="525">
        <v>83</v>
      </c>
      <c r="Z53" s="525" t="s">
        <v>75</v>
      </c>
      <c r="AA53" s="525"/>
      <c r="AB53" s="30" t="s">
        <v>1587</v>
      </c>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525">
        <v>42</v>
      </c>
      <c r="BG53" s="525"/>
      <c r="BH53" s="59" t="s">
        <v>2110</v>
      </c>
      <c r="BI53" s="58" t="s">
        <v>2111</v>
      </c>
      <c r="BJ53" s="60">
        <v>32</v>
      </c>
      <c r="BK53" s="60" t="s">
        <v>75</v>
      </c>
      <c r="BL53" s="61"/>
      <c r="BM53" s="30" t="s">
        <v>2114</v>
      </c>
      <c r="BN53" s="33"/>
      <c r="BO53" s="33"/>
    </row>
    <row r="54" spans="1:67" ht="25.5" customHeight="1">
      <c r="A54" s="58">
        <v>43</v>
      </c>
      <c r="B54" s="62"/>
      <c r="C54" s="63" t="s">
        <v>549</v>
      </c>
      <c r="D54" s="64" t="s">
        <v>550</v>
      </c>
      <c r="E54" s="64">
        <v>56</v>
      </c>
      <c r="F54" s="65" t="s">
        <v>60</v>
      </c>
      <c r="G54" s="58"/>
      <c r="H54" s="30" t="s">
        <v>552</v>
      </c>
      <c r="I54" s="33"/>
      <c r="J54" s="33"/>
      <c r="K54" s="525">
        <v>43</v>
      </c>
      <c r="L54" s="525">
        <v>26</v>
      </c>
      <c r="M54" s="525" t="s">
        <v>1170</v>
      </c>
      <c r="N54" s="525" t="s">
        <v>1171</v>
      </c>
      <c r="O54" s="525">
        <v>60</v>
      </c>
      <c r="P54" s="525" t="s">
        <v>60</v>
      </c>
      <c r="Q54" s="525"/>
      <c r="R54" s="30" t="s">
        <v>1173</v>
      </c>
      <c r="S54" s="33"/>
      <c r="T54" s="33"/>
      <c r="U54" s="525">
        <v>43</v>
      </c>
      <c r="V54" s="525"/>
      <c r="W54" s="525" t="s">
        <v>1589</v>
      </c>
      <c r="X54" s="525" t="s">
        <v>1590</v>
      </c>
      <c r="Y54" s="525">
        <v>52</v>
      </c>
      <c r="Z54" s="525" t="s">
        <v>75</v>
      </c>
      <c r="AA54" s="525"/>
      <c r="AB54" s="30" t="s">
        <v>1593</v>
      </c>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525">
        <v>43</v>
      </c>
      <c r="BG54" s="525"/>
      <c r="BH54" s="59" t="s">
        <v>2116</v>
      </c>
      <c r="BI54" s="58" t="s">
        <v>2117</v>
      </c>
      <c r="BJ54" s="60">
        <v>55</v>
      </c>
      <c r="BK54" s="60" t="s">
        <v>75</v>
      </c>
      <c r="BL54" s="61"/>
      <c r="BM54" s="30" t="s">
        <v>2119</v>
      </c>
      <c r="BN54" s="33"/>
      <c r="BO54" s="33"/>
    </row>
    <row r="55" spans="1:67" ht="25.5" customHeight="1">
      <c r="A55" s="58">
        <v>44</v>
      </c>
      <c r="B55" s="62" t="s">
        <v>554</v>
      </c>
      <c r="C55" s="63" t="s">
        <v>555</v>
      </c>
      <c r="D55" s="64" t="s">
        <v>556</v>
      </c>
      <c r="E55" s="64">
        <v>40</v>
      </c>
      <c r="F55" s="65" t="s">
        <v>60</v>
      </c>
      <c r="G55" s="58"/>
      <c r="H55" s="30" t="s">
        <v>558</v>
      </c>
      <c r="I55" s="33"/>
      <c r="J55" s="33"/>
      <c r="K55" s="525">
        <v>44</v>
      </c>
      <c r="L55" s="525">
        <v>27</v>
      </c>
      <c r="M55" s="525" t="s">
        <v>1175</v>
      </c>
      <c r="N55" s="525" t="s">
        <v>1176</v>
      </c>
      <c r="O55" s="525">
        <v>61</v>
      </c>
      <c r="P55" s="525" t="s">
        <v>60</v>
      </c>
      <c r="Q55" s="525"/>
      <c r="R55" s="30" t="s">
        <v>1178</v>
      </c>
      <c r="S55" s="33"/>
      <c r="T55" s="33"/>
      <c r="U55" s="525">
        <v>44</v>
      </c>
      <c r="V55" s="525"/>
      <c r="W55" s="525" t="s">
        <v>1595</v>
      </c>
      <c r="X55" s="525" t="s">
        <v>1596</v>
      </c>
      <c r="Y55" s="525">
        <v>62</v>
      </c>
      <c r="Z55" s="525" t="s">
        <v>424</v>
      </c>
      <c r="AA55" s="525"/>
      <c r="AB55" s="30" t="s">
        <v>1599</v>
      </c>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525">
        <v>44</v>
      </c>
      <c r="BG55" s="525"/>
      <c r="BH55" s="59" t="s">
        <v>2121</v>
      </c>
      <c r="BI55" s="58" t="s">
        <v>2122</v>
      </c>
      <c r="BJ55" s="60">
        <v>66</v>
      </c>
      <c r="BK55" s="60" t="s">
        <v>60</v>
      </c>
      <c r="BL55" s="61"/>
      <c r="BM55" s="30" t="s">
        <v>2124</v>
      </c>
      <c r="BN55" s="33"/>
      <c r="BO55" s="33"/>
    </row>
    <row r="56" spans="1:67" ht="25.5" customHeight="1">
      <c r="A56" s="58">
        <v>45</v>
      </c>
      <c r="B56" s="62"/>
      <c r="C56" s="63" t="s">
        <v>567</v>
      </c>
      <c r="D56" s="64" t="s">
        <v>568</v>
      </c>
      <c r="E56" s="64">
        <v>49</v>
      </c>
      <c r="F56" s="65" t="s">
        <v>60</v>
      </c>
      <c r="G56" s="58"/>
      <c r="H56" s="30" t="s">
        <v>570</v>
      </c>
      <c r="I56" s="33"/>
      <c r="J56" s="33"/>
      <c r="K56" s="525">
        <v>45</v>
      </c>
      <c r="L56" s="525">
        <v>28</v>
      </c>
      <c r="M56" s="525" t="s">
        <v>1180</v>
      </c>
      <c r="N56" s="525" t="s">
        <v>1181</v>
      </c>
      <c r="O56" s="525">
        <v>70</v>
      </c>
      <c r="P56" s="525" t="s">
        <v>75</v>
      </c>
      <c r="Q56" s="525"/>
      <c r="R56" s="30" t="s">
        <v>1184</v>
      </c>
      <c r="S56" s="33"/>
      <c r="T56" s="33"/>
      <c r="U56" s="525">
        <v>45</v>
      </c>
      <c r="V56" s="525">
        <v>215</v>
      </c>
      <c r="W56" s="525" t="s">
        <v>4732</v>
      </c>
      <c r="X56" s="525" t="s">
        <v>1601</v>
      </c>
      <c r="Y56" s="525">
        <v>57</v>
      </c>
      <c r="Z56" s="525" t="s">
        <v>75</v>
      </c>
      <c r="AA56" s="525"/>
      <c r="AB56" s="30" t="s">
        <v>1604</v>
      </c>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525">
        <v>45</v>
      </c>
      <c r="BG56" s="525"/>
      <c r="BH56" s="59" t="s">
        <v>2126</v>
      </c>
      <c r="BI56" s="58" t="s">
        <v>2127</v>
      </c>
      <c r="BJ56" s="60">
        <v>45</v>
      </c>
      <c r="BK56" s="60" t="s">
        <v>75</v>
      </c>
      <c r="BL56" s="61"/>
      <c r="BM56" s="30" t="s">
        <v>2130</v>
      </c>
      <c r="BN56" s="33"/>
      <c r="BO56" s="33"/>
    </row>
    <row r="57" spans="1:67" ht="25.5" customHeight="1">
      <c r="A57" s="58">
        <v>46</v>
      </c>
      <c r="B57" s="62"/>
      <c r="C57" s="63" t="s">
        <v>572</v>
      </c>
      <c r="D57" s="64" t="s">
        <v>573</v>
      </c>
      <c r="E57" s="64">
        <v>42</v>
      </c>
      <c r="F57" s="65" t="s">
        <v>75</v>
      </c>
      <c r="G57" s="58"/>
      <c r="H57" s="30" t="s">
        <v>575</v>
      </c>
      <c r="I57" s="33"/>
      <c r="J57" s="33"/>
      <c r="K57" s="525">
        <v>46</v>
      </c>
      <c r="L57" s="525">
        <v>29</v>
      </c>
      <c r="M57" s="525" t="s">
        <v>1186</v>
      </c>
      <c r="N57" s="525" t="s">
        <v>1187</v>
      </c>
      <c r="O57" s="525">
        <v>62</v>
      </c>
      <c r="P57" s="525" t="s">
        <v>75</v>
      </c>
      <c r="Q57" s="525"/>
      <c r="R57" s="30" t="s">
        <v>1191</v>
      </c>
      <c r="S57" s="33"/>
      <c r="T57" s="33"/>
      <c r="U57" s="525">
        <v>46</v>
      </c>
      <c r="V57" s="525"/>
      <c r="W57" s="525" t="s">
        <v>1606</v>
      </c>
      <c r="X57" s="525" t="s">
        <v>1607</v>
      </c>
      <c r="Y57" s="525">
        <v>58</v>
      </c>
      <c r="Z57" s="525" t="s">
        <v>1608</v>
      </c>
      <c r="AA57" s="525"/>
      <c r="AB57" s="30" t="s">
        <v>1610</v>
      </c>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525">
        <v>46</v>
      </c>
      <c r="BG57" s="525"/>
      <c r="BH57" s="59" t="s">
        <v>2132</v>
      </c>
      <c r="BI57" s="58" t="s">
        <v>2133</v>
      </c>
      <c r="BJ57" s="60">
        <v>49</v>
      </c>
      <c r="BK57" s="60" t="s">
        <v>60</v>
      </c>
      <c r="BL57" s="61"/>
      <c r="BM57" s="30" t="s">
        <v>2135</v>
      </c>
      <c r="BN57" s="33"/>
      <c r="BO57" s="33"/>
    </row>
    <row r="58" spans="1:67" ht="25.5" customHeight="1">
      <c r="A58" s="58">
        <v>47</v>
      </c>
      <c r="B58" s="62"/>
      <c r="C58" s="63" t="s">
        <v>577</v>
      </c>
      <c r="D58" s="64" t="s">
        <v>578</v>
      </c>
      <c r="E58" s="64">
        <v>45</v>
      </c>
      <c r="F58" s="65" t="s">
        <v>60</v>
      </c>
      <c r="G58" s="58"/>
      <c r="H58" s="30" t="s">
        <v>580</v>
      </c>
      <c r="I58" s="33"/>
      <c r="J58" s="33"/>
      <c r="K58" s="525">
        <v>47</v>
      </c>
      <c r="L58" s="525">
        <v>21</v>
      </c>
      <c r="M58" s="525" t="s">
        <v>1193</v>
      </c>
      <c r="N58" s="525" t="s">
        <v>1194</v>
      </c>
      <c r="O58" s="525">
        <v>68</v>
      </c>
      <c r="P58" s="525" t="s">
        <v>75</v>
      </c>
      <c r="Q58" s="525"/>
      <c r="R58" s="30" t="s">
        <v>1196</v>
      </c>
      <c r="S58" s="33"/>
      <c r="T58" s="33"/>
      <c r="U58" s="525">
        <v>47</v>
      </c>
      <c r="V58" s="525"/>
      <c r="W58" s="525" t="s">
        <v>1612</v>
      </c>
      <c r="X58" s="525" t="s">
        <v>1613</v>
      </c>
      <c r="Y58" s="525">
        <v>64</v>
      </c>
      <c r="Z58" s="525" t="s">
        <v>60</v>
      </c>
      <c r="AA58" s="525"/>
      <c r="AB58" s="30" t="s">
        <v>1615</v>
      </c>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525">
        <v>47</v>
      </c>
      <c r="BG58" s="525"/>
      <c r="BH58" s="59" t="s">
        <v>2137</v>
      </c>
      <c r="BI58" s="58" t="s">
        <v>2138</v>
      </c>
      <c r="BJ58" s="60">
        <v>49</v>
      </c>
      <c r="BK58" s="60" t="s">
        <v>60</v>
      </c>
      <c r="BL58" s="61"/>
      <c r="BM58" s="30" t="s">
        <v>2140</v>
      </c>
      <c r="BN58" s="33"/>
      <c r="BO58" s="33"/>
    </row>
    <row r="59" spans="1:67" ht="25.5" customHeight="1">
      <c r="A59" s="58">
        <v>48</v>
      </c>
      <c r="B59" s="62"/>
      <c r="C59" s="63" t="s">
        <v>582</v>
      </c>
      <c r="D59" s="64" t="s">
        <v>583</v>
      </c>
      <c r="E59" s="64">
        <v>60</v>
      </c>
      <c r="F59" s="65" t="s">
        <v>75</v>
      </c>
      <c r="G59" s="58"/>
      <c r="H59" s="30" t="s">
        <v>587</v>
      </c>
      <c r="I59" s="33"/>
      <c r="J59" s="33"/>
      <c r="K59" s="525">
        <v>48</v>
      </c>
      <c r="L59" s="525">
        <v>212</v>
      </c>
      <c r="M59" s="525" t="s">
        <v>1198</v>
      </c>
      <c r="N59" s="525" t="s">
        <v>1199</v>
      </c>
      <c r="O59" s="525">
        <v>52</v>
      </c>
      <c r="P59" s="525" t="s">
        <v>75</v>
      </c>
      <c r="Q59" s="525"/>
      <c r="R59" s="30" t="s">
        <v>1202</v>
      </c>
      <c r="S59" s="33"/>
      <c r="T59" s="33"/>
      <c r="U59" s="525">
        <v>48</v>
      </c>
      <c r="V59" s="525"/>
      <c r="W59" s="525" t="s">
        <v>1617</v>
      </c>
      <c r="X59" s="525" t="s">
        <v>1618</v>
      </c>
      <c r="Y59" s="525">
        <v>65</v>
      </c>
      <c r="Z59" s="525" t="s">
        <v>75</v>
      </c>
      <c r="AA59" s="525"/>
      <c r="AB59" s="30" t="s">
        <v>1621</v>
      </c>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525">
        <v>48</v>
      </c>
      <c r="BG59" s="525">
        <v>159</v>
      </c>
      <c r="BH59" s="59" t="s">
        <v>2142</v>
      </c>
      <c r="BI59" s="58" t="s">
        <v>2143</v>
      </c>
      <c r="BJ59" s="60">
        <v>66</v>
      </c>
      <c r="BK59" s="60" t="s">
        <v>60</v>
      </c>
      <c r="BL59" s="61"/>
      <c r="BM59" s="30" t="s">
        <v>2146</v>
      </c>
      <c r="BN59" s="33"/>
      <c r="BO59" s="33"/>
    </row>
    <row r="60" spans="1:67" ht="25.5" customHeight="1">
      <c r="A60" s="58">
        <v>49</v>
      </c>
      <c r="B60" s="62"/>
      <c r="C60" s="63" t="s">
        <v>590</v>
      </c>
      <c r="D60" s="64" t="s">
        <v>591</v>
      </c>
      <c r="E60" s="64">
        <v>44</v>
      </c>
      <c r="F60" s="65" t="s">
        <v>75</v>
      </c>
      <c r="G60" s="58"/>
      <c r="H60" s="30" t="s">
        <v>593</v>
      </c>
      <c r="I60" s="33"/>
      <c r="J60" s="33"/>
      <c r="K60" s="525">
        <v>49</v>
      </c>
      <c r="L60" s="525">
        <v>213</v>
      </c>
      <c r="M60" s="525" t="s">
        <v>1204</v>
      </c>
      <c r="N60" s="525" t="s">
        <v>1205</v>
      </c>
      <c r="O60" s="525">
        <v>65</v>
      </c>
      <c r="P60" s="525" t="s">
        <v>75</v>
      </c>
      <c r="Q60" s="525"/>
      <c r="R60" s="30" t="s">
        <v>1207</v>
      </c>
      <c r="S60" s="33"/>
      <c r="T60" s="33"/>
      <c r="U60" s="525">
        <v>49</v>
      </c>
      <c r="V60" s="525"/>
      <c r="W60" s="525" t="s">
        <v>1623</v>
      </c>
      <c r="X60" s="525" t="s">
        <v>1624</v>
      </c>
      <c r="Y60" s="525">
        <v>48</v>
      </c>
      <c r="Z60" s="525" t="s">
        <v>75</v>
      </c>
      <c r="AA60" s="525"/>
      <c r="AB60" s="30" t="s">
        <v>1627</v>
      </c>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525">
        <v>49</v>
      </c>
      <c r="BG60" s="525">
        <v>16</v>
      </c>
      <c r="BH60" s="59" t="s">
        <v>2148</v>
      </c>
      <c r="BI60" s="58" t="s">
        <v>2149</v>
      </c>
      <c r="BJ60" s="60">
        <v>43</v>
      </c>
      <c r="BK60" s="60" t="s">
        <v>75</v>
      </c>
      <c r="BL60" s="61"/>
      <c r="BM60" s="30" t="s">
        <v>2152</v>
      </c>
      <c r="BN60" s="33"/>
      <c r="BO60" s="33"/>
    </row>
    <row r="61" spans="1:67" ht="25.5" customHeight="1">
      <c r="A61" s="58">
        <v>50</v>
      </c>
      <c r="B61" s="62"/>
      <c r="C61" s="63" t="s">
        <v>596</v>
      </c>
      <c r="D61" s="64" t="s">
        <v>597</v>
      </c>
      <c r="E61" s="64">
        <v>22</v>
      </c>
      <c r="F61" s="65" t="s">
        <v>75</v>
      </c>
      <c r="G61" s="58"/>
      <c r="H61" s="30" t="s">
        <v>599</v>
      </c>
      <c r="I61" s="33"/>
      <c r="J61" s="33"/>
      <c r="K61" s="525">
        <v>50</v>
      </c>
      <c r="L61" s="525">
        <v>214</v>
      </c>
      <c r="M61" s="525" t="s">
        <v>1209</v>
      </c>
      <c r="N61" s="525" t="s">
        <v>1210</v>
      </c>
      <c r="O61" s="525">
        <v>45</v>
      </c>
      <c r="P61" s="525" t="s">
        <v>75</v>
      </c>
      <c r="Q61" s="525"/>
      <c r="R61" s="30" t="s">
        <v>1212</v>
      </c>
      <c r="S61" s="33"/>
      <c r="T61" s="33"/>
      <c r="U61" s="525">
        <v>50</v>
      </c>
      <c r="V61" s="525"/>
      <c r="W61" s="525" t="s">
        <v>1629</v>
      </c>
      <c r="X61" s="525" t="s">
        <v>1630</v>
      </c>
      <c r="Y61" s="525">
        <v>44</v>
      </c>
      <c r="Z61" s="525" t="s">
        <v>75</v>
      </c>
      <c r="AA61" s="525"/>
      <c r="AB61" s="30" t="s">
        <v>1632</v>
      </c>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525">
        <v>50</v>
      </c>
      <c r="BG61" s="525">
        <v>161</v>
      </c>
      <c r="BH61" s="59" t="s">
        <v>2154</v>
      </c>
      <c r="BI61" s="58" t="s">
        <v>2155</v>
      </c>
      <c r="BJ61" s="60">
        <v>64</v>
      </c>
      <c r="BK61" s="60" t="s">
        <v>60</v>
      </c>
      <c r="BL61" s="61"/>
      <c r="BM61" s="30" t="s">
        <v>2158</v>
      </c>
      <c r="BN61" s="33"/>
      <c r="BO61" s="33"/>
    </row>
    <row r="62" spans="1:67" ht="25.5" customHeight="1">
      <c r="A62" s="58">
        <v>51</v>
      </c>
      <c r="B62" s="62"/>
      <c r="C62" s="63" t="s">
        <v>602</v>
      </c>
      <c r="D62" s="64" t="s">
        <v>603</v>
      </c>
      <c r="E62" s="64">
        <v>51</v>
      </c>
      <c r="F62" s="65" t="s">
        <v>60</v>
      </c>
      <c r="G62" s="58"/>
      <c r="H62" s="30" t="s">
        <v>605</v>
      </c>
      <c r="I62" s="33"/>
      <c r="J62" s="33"/>
      <c r="K62" s="525">
        <v>51</v>
      </c>
      <c r="L62" s="525" t="s">
        <v>1214</v>
      </c>
      <c r="M62" s="525" t="s">
        <v>1215</v>
      </c>
      <c r="N62" s="525" t="s">
        <v>1216</v>
      </c>
      <c r="O62" s="525">
        <v>78</v>
      </c>
      <c r="P62" s="525" t="s">
        <v>60</v>
      </c>
      <c r="Q62" s="525"/>
      <c r="R62" s="30" t="s">
        <v>1184</v>
      </c>
      <c r="S62" s="33"/>
      <c r="T62" s="33"/>
      <c r="U62" s="525">
        <v>51</v>
      </c>
      <c r="V62" s="525"/>
      <c r="W62" s="525" t="s">
        <v>1634</v>
      </c>
      <c r="X62" s="525" t="s">
        <v>1635</v>
      </c>
      <c r="Y62" s="525">
        <v>65</v>
      </c>
      <c r="Z62" s="525" t="s">
        <v>75</v>
      </c>
      <c r="AA62" s="525"/>
      <c r="AB62" s="30" t="s">
        <v>1637</v>
      </c>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525">
        <v>51</v>
      </c>
      <c r="BG62" s="525">
        <v>153</v>
      </c>
      <c r="BH62" s="59" t="s">
        <v>2160</v>
      </c>
      <c r="BI62" s="58" t="s">
        <v>2161</v>
      </c>
      <c r="BJ62" s="60">
        <v>45</v>
      </c>
      <c r="BK62" s="60" t="s">
        <v>75</v>
      </c>
      <c r="BL62" s="61"/>
      <c r="BM62" s="30" t="s">
        <v>2163</v>
      </c>
      <c r="BN62" s="33"/>
      <c r="BO62" s="33"/>
    </row>
    <row r="63" spans="1:67" ht="25.5" customHeight="1">
      <c r="A63" s="58">
        <v>52</v>
      </c>
      <c r="B63" s="62">
        <v>43</v>
      </c>
      <c r="C63" s="63" t="s">
        <v>617</v>
      </c>
      <c r="D63" s="64" t="s">
        <v>618</v>
      </c>
      <c r="E63" s="64">
        <v>37</v>
      </c>
      <c r="F63" s="65" t="s">
        <v>75</v>
      </c>
      <c r="G63" s="58"/>
      <c r="H63" s="30" t="s">
        <v>621</v>
      </c>
      <c r="I63" s="33"/>
      <c r="J63" s="33"/>
      <c r="K63" s="525">
        <v>52</v>
      </c>
      <c r="L63" s="525" t="s">
        <v>1219</v>
      </c>
      <c r="M63" s="525" t="s">
        <v>1220</v>
      </c>
      <c r="N63" s="525" t="s">
        <v>1221</v>
      </c>
      <c r="O63" s="525">
        <v>32</v>
      </c>
      <c r="P63" s="525" t="s">
        <v>75</v>
      </c>
      <c r="Q63" s="525"/>
      <c r="R63" s="30" t="s">
        <v>1223</v>
      </c>
      <c r="S63" s="33"/>
      <c r="T63" s="33"/>
      <c r="U63" s="525">
        <v>52</v>
      </c>
      <c r="V63" s="525"/>
      <c r="W63" s="525" t="s">
        <v>1639</v>
      </c>
      <c r="X63" s="525" t="s">
        <v>1640</v>
      </c>
      <c r="Y63" s="525">
        <v>62</v>
      </c>
      <c r="Z63" s="525" t="s">
        <v>424</v>
      </c>
      <c r="AA63" s="525"/>
      <c r="AB63" s="30" t="s">
        <v>1643</v>
      </c>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525">
        <v>52</v>
      </c>
      <c r="BG63" s="525" t="s">
        <v>2165</v>
      </c>
      <c r="BH63" s="59" t="s">
        <v>2166</v>
      </c>
      <c r="BI63" s="58" t="s">
        <v>2167</v>
      </c>
      <c r="BJ63" s="60">
        <v>54</v>
      </c>
      <c r="BK63" s="60" t="s">
        <v>60</v>
      </c>
      <c r="BL63" s="61"/>
      <c r="BM63" s="30" t="s">
        <v>2170</v>
      </c>
      <c r="BN63" s="33"/>
      <c r="BO63" s="33"/>
    </row>
    <row r="64" spans="1:67" ht="25.5" customHeight="1">
      <c r="A64" s="58">
        <v>53</v>
      </c>
      <c r="B64" s="62">
        <v>48</v>
      </c>
      <c r="C64" s="63" t="s">
        <v>623</v>
      </c>
      <c r="D64" s="64" t="s">
        <v>624</v>
      </c>
      <c r="E64" s="64">
        <v>57</v>
      </c>
      <c r="F64" s="65" t="s">
        <v>75</v>
      </c>
      <c r="G64" s="58"/>
      <c r="H64" s="30" t="s">
        <v>626</v>
      </c>
      <c r="I64" s="33"/>
      <c r="J64" s="33"/>
      <c r="K64" s="525">
        <v>53</v>
      </c>
      <c r="L64" s="525">
        <v>44</v>
      </c>
      <c r="M64" s="525" t="s">
        <v>1225</v>
      </c>
      <c r="N64" s="525" t="s">
        <v>1226</v>
      </c>
      <c r="O64" s="525">
        <v>47</v>
      </c>
      <c r="P64" s="525" t="s">
        <v>75</v>
      </c>
      <c r="Q64" s="525"/>
      <c r="R64" s="30" t="s">
        <v>1229</v>
      </c>
      <c r="S64" s="33"/>
      <c r="T64" s="33"/>
      <c r="U64" s="525">
        <v>53</v>
      </c>
      <c r="V64" s="525"/>
      <c r="W64" s="525" t="s">
        <v>1645</v>
      </c>
      <c r="X64" s="525" t="s">
        <v>1646</v>
      </c>
      <c r="Y64" s="525">
        <v>65</v>
      </c>
      <c r="Z64" s="525" t="s">
        <v>424</v>
      </c>
      <c r="AA64" s="525"/>
      <c r="AB64" s="30" t="s">
        <v>1649</v>
      </c>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525">
        <v>53</v>
      </c>
      <c r="BG64" s="525" t="s">
        <v>2172</v>
      </c>
      <c r="BH64" s="59" t="s">
        <v>2173</v>
      </c>
      <c r="BI64" s="58" t="s">
        <v>2174</v>
      </c>
      <c r="BJ64" s="60">
        <v>40</v>
      </c>
      <c r="BK64" s="60" t="s">
        <v>75</v>
      </c>
      <c r="BL64" s="61"/>
      <c r="BM64" s="30" t="s">
        <v>2177</v>
      </c>
      <c r="BN64" s="33"/>
      <c r="BO64" s="33"/>
    </row>
    <row r="65" spans="1:67" ht="25.5" customHeight="1">
      <c r="A65" s="58">
        <v>54</v>
      </c>
      <c r="B65" s="62"/>
      <c r="C65" s="63" t="s">
        <v>628</v>
      </c>
      <c r="D65" s="64" t="s">
        <v>629</v>
      </c>
      <c r="E65" s="64">
        <v>45</v>
      </c>
      <c r="F65" s="65" t="s">
        <v>60</v>
      </c>
      <c r="G65" s="58"/>
      <c r="H65" s="30" t="s">
        <v>631</v>
      </c>
      <c r="I65" s="33"/>
      <c r="J65" s="33"/>
      <c r="K65" s="525">
        <v>54</v>
      </c>
      <c r="L65" s="525">
        <v>46</v>
      </c>
      <c r="M65" s="525" t="s">
        <v>1231</v>
      </c>
      <c r="N65" s="525" t="s">
        <v>1232</v>
      </c>
      <c r="O65" s="525">
        <v>52</v>
      </c>
      <c r="P65" s="525" t="s">
        <v>75</v>
      </c>
      <c r="Q65" s="525"/>
      <c r="R65" s="30" t="s">
        <v>1234</v>
      </c>
      <c r="S65" s="33"/>
      <c r="T65" s="33"/>
      <c r="U65" s="525">
        <v>54</v>
      </c>
      <c r="V65" s="525">
        <v>277</v>
      </c>
      <c r="W65" s="525" t="s">
        <v>1654</v>
      </c>
      <c r="X65" s="525" t="s">
        <v>1655</v>
      </c>
      <c r="Y65" s="525">
        <v>76</v>
      </c>
      <c r="Z65" s="525" t="s">
        <v>60</v>
      </c>
      <c r="AA65" s="525"/>
      <c r="AB65" s="30" t="s">
        <v>1657</v>
      </c>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525">
        <v>54</v>
      </c>
      <c r="BG65" s="525" t="s">
        <v>2179</v>
      </c>
      <c r="BH65" s="59" t="s">
        <v>2180</v>
      </c>
      <c r="BI65" s="58" t="s">
        <v>2181</v>
      </c>
      <c r="BJ65" s="60">
        <v>54</v>
      </c>
      <c r="BK65" s="60" t="s">
        <v>60</v>
      </c>
      <c r="BL65" s="61"/>
      <c r="BM65" s="30" t="s">
        <v>2184</v>
      </c>
      <c r="BN65" s="33"/>
      <c r="BO65" s="33"/>
    </row>
    <row r="66" spans="1:67" ht="25.5" customHeight="1">
      <c r="A66" s="58">
        <v>55</v>
      </c>
      <c r="B66" s="62"/>
      <c r="C66" s="63" t="s">
        <v>649</v>
      </c>
      <c r="D66" s="64" t="s">
        <v>650</v>
      </c>
      <c r="E66" s="64">
        <v>49</v>
      </c>
      <c r="F66" s="65" t="s">
        <v>75</v>
      </c>
      <c r="G66" s="58"/>
      <c r="H66" s="30" t="s">
        <v>653</v>
      </c>
      <c r="I66" s="33"/>
      <c r="J66" s="33"/>
      <c r="K66" s="525">
        <v>55</v>
      </c>
      <c r="L66" s="525">
        <v>47</v>
      </c>
      <c r="M66" s="525" t="s">
        <v>1236</v>
      </c>
      <c r="N66" s="525" t="s">
        <v>1237</v>
      </c>
      <c r="O66" s="525">
        <v>91</v>
      </c>
      <c r="P66" s="525" t="s">
        <v>60</v>
      </c>
      <c r="Q66" s="525"/>
      <c r="R66" s="30" t="s">
        <v>1240</v>
      </c>
      <c r="S66" s="33"/>
      <c r="T66" s="33"/>
      <c r="U66" s="525">
        <v>55</v>
      </c>
      <c r="V66" s="525">
        <v>356</v>
      </c>
      <c r="W66" s="525" t="s">
        <v>1659</v>
      </c>
      <c r="X66" s="525" t="s">
        <v>1660</v>
      </c>
      <c r="Y66" s="525">
        <v>61</v>
      </c>
      <c r="Z66" s="525" t="s">
        <v>75</v>
      </c>
      <c r="AA66" s="525"/>
      <c r="AB66" s="30" t="s">
        <v>1663</v>
      </c>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525">
        <v>55</v>
      </c>
      <c r="BG66" s="525"/>
      <c r="BH66" s="59" t="s">
        <v>2186</v>
      </c>
      <c r="BI66" s="58" t="s">
        <v>2187</v>
      </c>
      <c r="BJ66" s="60">
        <v>52</v>
      </c>
      <c r="BK66" s="60" t="s">
        <v>60</v>
      </c>
      <c r="BL66" s="61"/>
      <c r="BM66" s="30" t="s">
        <v>2190</v>
      </c>
      <c r="BN66" s="33"/>
      <c r="BO66" s="33"/>
    </row>
    <row r="67" spans="1:67" ht="25.5" customHeight="1">
      <c r="A67" s="58">
        <v>56</v>
      </c>
      <c r="B67" s="62"/>
      <c r="C67" s="63" t="s">
        <v>661</v>
      </c>
      <c r="D67" s="64" t="s">
        <v>662</v>
      </c>
      <c r="E67" s="64">
        <v>38</v>
      </c>
      <c r="F67" s="65" t="s">
        <v>75</v>
      </c>
      <c r="G67" s="58"/>
      <c r="H67" s="30" t="s">
        <v>664</v>
      </c>
      <c r="I67" s="33"/>
      <c r="J67" s="33"/>
      <c r="K67" s="525">
        <v>56</v>
      </c>
      <c r="L67" s="525"/>
      <c r="M67" s="525" t="s">
        <v>1242</v>
      </c>
      <c r="N67" s="525" t="s">
        <v>1243</v>
      </c>
      <c r="O67" s="525">
        <v>68</v>
      </c>
      <c r="P67" s="525" t="s">
        <v>424</v>
      </c>
      <c r="Q67" s="525"/>
      <c r="R67" s="30" t="s">
        <v>1246</v>
      </c>
      <c r="S67" s="33"/>
      <c r="T67" s="33"/>
      <c r="U67" s="525">
        <v>56</v>
      </c>
      <c r="V67" s="525">
        <v>191</v>
      </c>
      <c r="W67" s="525" t="s">
        <v>1665</v>
      </c>
      <c r="X67" s="525" t="s">
        <v>1666</v>
      </c>
      <c r="Y67" s="525">
        <v>72</v>
      </c>
      <c r="Z67" s="525" t="s">
        <v>60</v>
      </c>
      <c r="AA67" s="525"/>
      <c r="AB67" s="30">
        <v>0</v>
      </c>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525">
        <v>56</v>
      </c>
      <c r="BG67" s="525"/>
      <c r="BH67" s="59" t="s">
        <v>2192</v>
      </c>
      <c r="BI67" s="58" t="s">
        <v>2193</v>
      </c>
      <c r="BJ67" s="60">
        <v>48</v>
      </c>
      <c r="BK67" s="60" t="s">
        <v>75</v>
      </c>
      <c r="BL67" s="61"/>
      <c r="BM67" s="30" t="s">
        <v>2196</v>
      </c>
      <c r="BN67" s="33"/>
      <c r="BO67" s="33"/>
    </row>
    <row r="68" spans="1:67" ht="25.5" customHeight="1">
      <c r="A68" s="58">
        <v>57</v>
      </c>
      <c r="B68" s="62"/>
      <c r="C68" s="63" t="s">
        <v>666</v>
      </c>
      <c r="D68" s="64" t="s">
        <v>667</v>
      </c>
      <c r="E68" s="64">
        <v>70</v>
      </c>
      <c r="F68" s="65" t="s">
        <v>60</v>
      </c>
      <c r="G68" s="58"/>
      <c r="H68" s="30" t="s">
        <v>669</v>
      </c>
      <c r="I68" s="33"/>
      <c r="J68" s="33"/>
      <c r="K68" s="525">
        <v>57</v>
      </c>
      <c r="L68" s="525"/>
      <c r="M68" s="525" t="s">
        <v>1248</v>
      </c>
      <c r="N68" s="525" t="s">
        <v>1249</v>
      </c>
      <c r="O68" s="525">
        <v>72</v>
      </c>
      <c r="P68" s="525" t="s">
        <v>75</v>
      </c>
      <c r="Q68" s="525"/>
      <c r="R68" s="30" t="s">
        <v>1251</v>
      </c>
      <c r="S68" s="33"/>
      <c r="T68" s="33"/>
      <c r="U68" s="525">
        <v>57</v>
      </c>
      <c r="V68" s="525"/>
      <c r="W68" s="525">
        <v>4</v>
      </c>
      <c r="X68" s="525" t="s">
        <v>1671</v>
      </c>
      <c r="Y68" s="525">
        <v>65</v>
      </c>
      <c r="Z68" s="525" t="s">
        <v>75</v>
      </c>
      <c r="AA68" s="525"/>
      <c r="AB68" s="30" t="s">
        <v>1673</v>
      </c>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525">
        <v>57</v>
      </c>
      <c r="BG68" s="525"/>
      <c r="BH68" s="59" t="s">
        <v>2198</v>
      </c>
      <c r="BI68" s="58" t="s">
        <v>2199</v>
      </c>
      <c r="BJ68" s="60">
        <v>48</v>
      </c>
      <c r="BK68" s="60" t="s">
        <v>60</v>
      </c>
      <c r="BL68" s="61"/>
      <c r="BM68" s="30" t="s">
        <v>2201</v>
      </c>
      <c r="BN68" s="33"/>
      <c r="BO68" s="33"/>
    </row>
    <row r="69" spans="1:67" ht="25.5" customHeight="1">
      <c r="A69" s="58">
        <v>58</v>
      </c>
      <c r="B69" s="62"/>
      <c r="C69" s="63" t="s">
        <v>671</v>
      </c>
      <c r="D69" s="64" t="s">
        <v>672</v>
      </c>
      <c r="E69" s="64">
        <v>48</v>
      </c>
      <c r="F69" s="65" t="s">
        <v>75</v>
      </c>
      <c r="G69" s="58"/>
      <c r="H69" s="30" t="s">
        <v>674</v>
      </c>
      <c r="I69" s="33"/>
      <c r="J69" s="33"/>
      <c r="K69" s="525">
        <v>58</v>
      </c>
      <c r="L69" s="525"/>
      <c r="M69" s="525" t="s">
        <v>1253</v>
      </c>
      <c r="N69" s="525" t="s">
        <v>1254</v>
      </c>
      <c r="O69" s="525">
        <v>55</v>
      </c>
      <c r="P69" s="525" t="s">
        <v>424</v>
      </c>
      <c r="Q69" s="525"/>
      <c r="R69" s="30" t="s">
        <v>1256</v>
      </c>
      <c r="S69" s="33"/>
      <c r="T69" s="33"/>
      <c r="U69" s="525">
        <v>58</v>
      </c>
      <c r="V69" s="525">
        <v>54</v>
      </c>
      <c r="W69" s="525" t="s">
        <v>1702</v>
      </c>
      <c r="X69" s="525" t="s">
        <v>1703</v>
      </c>
      <c r="Y69" s="525">
        <v>60</v>
      </c>
      <c r="Z69" s="525" t="s">
        <v>60</v>
      </c>
      <c r="AA69" s="525"/>
      <c r="AB69" s="30" t="s">
        <v>1708</v>
      </c>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525">
        <v>58</v>
      </c>
      <c r="BG69" s="525"/>
      <c r="BH69" s="59" t="s">
        <v>2203</v>
      </c>
      <c r="BI69" s="58" t="s">
        <v>2204</v>
      </c>
      <c r="BJ69" s="60">
        <v>59</v>
      </c>
      <c r="BK69" s="60" t="s">
        <v>75</v>
      </c>
      <c r="BL69" s="61"/>
      <c r="BM69" s="30" t="s">
        <v>2207</v>
      </c>
      <c r="BN69" s="33"/>
      <c r="BO69" s="33"/>
    </row>
    <row r="70" spans="1:67" ht="25.5" customHeight="1">
      <c r="A70" s="58">
        <v>59</v>
      </c>
      <c r="B70" s="62"/>
      <c r="C70" s="63" t="s">
        <v>676</v>
      </c>
      <c r="D70" s="64" t="s">
        <v>677</v>
      </c>
      <c r="E70" s="64">
        <v>22</v>
      </c>
      <c r="F70" s="65" t="s">
        <v>75</v>
      </c>
      <c r="G70" s="58"/>
      <c r="H70" s="30" t="s">
        <v>680</v>
      </c>
      <c r="I70" s="33"/>
      <c r="J70" s="33"/>
      <c r="K70" s="525">
        <v>59</v>
      </c>
      <c r="L70" s="525"/>
      <c r="M70" s="525" t="s">
        <v>1258</v>
      </c>
      <c r="N70" s="525" t="s">
        <v>1259</v>
      </c>
      <c r="O70" s="525">
        <v>69</v>
      </c>
      <c r="P70" s="525" t="s">
        <v>424</v>
      </c>
      <c r="Q70" s="525"/>
      <c r="R70" s="30" t="s">
        <v>1261</v>
      </c>
      <c r="S70" s="33"/>
      <c r="T70" s="33"/>
      <c r="U70" s="525">
        <v>59</v>
      </c>
      <c r="V70" s="525"/>
      <c r="W70" s="525" t="s">
        <v>1808</v>
      </c>
      <c r="X70" s="525" t="s">
        <v>1809</v>
      </c>
      <c r="Y70" s="525">
        <v>79</v>
      </c>
      <c r="Z70" s="525" t="s">
        <v>424</v>
      </c>
      <c r="AA70" s="525"/>
      <c r="AB70" s="30" t="s">
        <v>1813</v>
      </c>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525">
        <v>59</v>
      </c>
      <c r="BG70" s="525"/>
      <c r="BH70" s="59" t="s">
        <v>2209</v>
      </c>
      <c r="BI70" s="58" t="s">
        <v>2210</v>
      </c>
      <c r="BJ70" s="60">
        <v>59</v>
      </c>
      <c r="BK70" s="60" t="s">
        <v>75</v>
      </c>
      <c r="BL70" s="61"/>
      <c r="BM70" s="30" t="s">
        <v>2212</v>
      </c>
      <c r="BN70" s="33"/>
      <c r="BO70" s="33"/>
    </row>
    <row r="71" spans="1:67" ht="25.5" customHeight="1">
      <c r="A71" s="58">
        <v>60</v>
      </c>
      <c r="B71" s="62"/>
      <c r="C71" s="63" t="s">
        <v>682</v>
      </c>
      <c r="D71" s="64" t="s">
        <v>683</v>
      </c>
      <c r="E71" s="64">
        <v>34</v>
      </c>
      <c r="F71" s="65" t="s">
        <v>60</v>
      </c>
      <c r="G71" s="58"/>
      <c r="H71" s="30" t="s">
        <v>685</v>
      </c>
      <c r="I71" s="33"/>
      <c r="J71" s="33"/>
      <c r="K71" s="525">
        <v>60</v>
      </c>
      <c r="L71" s="525"/>
      <c r="M71" s="525" t="s">
        <v>1263</v>
      </c>
      <c r="N71" s="525" t="s">
        <v>1264</v>
      </c>
      <c r="O71" s="525">
        <v>59</v>
      </c>
      <c r="P71" s="525" t="s">
        <v>75</v>
      </c>
      <c r="Q71" s="525"/>
      <c r="R71" s="30" t="s">
        <v>1267</v>
      </c>
      <c r="S71" s="33"/>
      <c r="T71" s="33"/>
      <c r="U71" s="525">
        <v>60</v>
      </c>
      <c r="V71" s="525">
        <v>157</v>
      </c>
      <c r="W71" s="525" t="s">
        <v>1858</v>
      </c>
      <c r="X71" s="525" t="s">
        <v>1854</v>
      </c>
      <c r="Y71" s="525">
        <v>37</v>
      </c>
      <c r="Z71" s="525" t="s">
        <v>75</v>
      </c>
      <c r="AA71" s="525"/>
      <c r="AB71" s="30" t="s">
        <v>237</v>
      </c>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525">
        <v>60</v>
      </c>
      <c r="BG71" s="525"/>
      <c r="BH71" s="59" t="s">
        <v>2214</v>
      </c>
      <c r="BI71" s="58" t="s">
        <v>2215</v>
      </c>
      <c r="BJ71" s="60">
        <v>45</v>
      </c>
      <c r="BK71" s="60" t="s">
        <v>75</v>
      </c>
      <c r="BL71" s="61"/>
      <c r="BM71" s="30" t="s">
        <v>2218</v>
      </c>
      <c r="BN71" s="33"/>
      <c r="BO71" s="33"/>
    </row>
    <row r="72" spans="1:67" ht="25.5" customHeight="1">
      <c r="A72" s="58">
        <v>61</v>
      </c>
      <c r="B72" s="62"/>
      <c r="C72" s="63" t="s">
        <v>687</v>
      </c>
      <c r="D72" s="64" t="s">
        <v>688</v>
      </c>
      <c r="E72" s="64">
        <v>44</v>
      </c>
      <c r="F72" s="65" t="s">
        <v>60</v>
      </c>
      <c r="G72" s="58"/>
      <c r="H72" s="30" t="s">
        <v>690</v>
      </c>
      <c r="I72" s="33"/>
      <c r="J72" s="33"/>
      <c r="K72" s="525">
        <v>61</v>
      </c>
      <c r="L72" s="525"/>
      <c r="M72" s="525" t="s">
        <v>1269</v>
      </c>
      <c r="N72" s="525" t="s">
        <v>1270</v>
      </c>
      <c r="O72" s="525">
        <v>56</v>
      </c>
      <c r="P72" s="525" t="s">
        <v>75</v>
      </c>
      <c r="Q72" s="525"/>
      <c r="R72" s="30" t="s">
        <v>1272</v>
      </c>
      <c r="S72" s="33"/>
      <c r="T72" s="33"/>
      <c r="U72" s="525">
        <v>61</v>
      </c>
      <c r="V72" s="525"/>
      <c r="W72" s="525" t="s">
        <v>2714</v>
      </c>
      <c r="X72" s="525" t="s">
        <v>2715</v>
      </c>
      <c r="Y72" s="525">
        <v>70</v>
      </c>
      <c r="Z72" s="525" t="s">
        <v>60</v>
      </c>
      <c r="AA72" s="525"/>
      <c r="AB72" s="30">
        <v>0</v>
      </c>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525">
        <v>61</v>
      </c>
      <c r="BG72" s="525"/>
      <c r="BH72" s="59" t="s">
        <v>2220</v>
      </c>
      <c r="BI72" s="58" t="s">
        <v>2221</v>
      </c>
      <c r="BJ72" s="60">
        <v>56</v>
      </c>
      <c r="BK72" s="60" t="s">
        <v>60</v>
      </c>
      <c r="BL72" s="61"/>
      <c r="BM72" s="30" t="s">
        <v>2224</v>
      </c>
      <c r="BN72" s="33"/>
      <c r="BO72" s="33"/>
    </row>
    <row r="73" spans="1:67" ht="25.5" customHeight="1">
      <c r="A73" s="58">
        <v>62</v>
      </c>
      <c r="B73" s="62"/>
      <c r="C73" s="63" t="s">
        <v>692</v>
      </c>
      <c r="D73" s="64" t="s">
        <v>693</v>
      </c>
      <c r="E73" s="64">
        <v>32</v>
      </c>
      <c r="F73" s="65" t="s">
        <v>60</v>
      </c>
      <c r="G73" s="58"/>
      <c r="H73" s="30" t="s">
        <v>695</v>
      </c>
      <c r="I73" s="33"/>
      <c r="J73" s="33"/>
      <c r="K73" s="525">
        <v>62</v>
      </c>
      <c r="L73" s="525"/>
      <c r="M73" s="525" t="s">
        <v>1274</v>
      </c>
      <c r="N73" s="525" t="s">
        <v>1275</v>
      </c>
      <c r="O73" s="525">
        <v>75</v>
      </c>
      <c r="P73" s="525" t="s">
        <v>60</v>
      </c>
      <c r="Q73" s="525"/>
      <c r="R73" s="30" t="s">
        <v>1277</v>
      </c>
      <c r="S73" s="33"/>
      <c r="T73" s="33"/>
      <c r="U73" s="525">
        <v>62</v>
      </c>
      <c r="V73" s="525"/>
      <c r="W73" s="525" t="s">
        <v>2764</v>
      </c>
      <c r="X73" s="525" t="s">
        <v>2765</v>
      </c>
      <c r="Y73" s="525">
        <v>78</v>
      </c>
      <c r="Z73" s="525" t="s">
        <v>60</v>
      </c>
      <c r="AA73" s="525"/>
      <c r="AB73" s="30">
        <v>0</v>
      </c>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525">
        <v>62</v>
      </c>
      <c r="BG73" s="525"/>
      <c r="BH73" s="59" t="s">
        <v>2227</v>
      </c>
      <c r="BI73" s="58" t="s">
        <v>2228</v>
      </c>
      <c r="BJ73" s="60">
        <v>62</v>
      </c>
      <c r="BK73" s="60" t="s">
        <v>75</v>
      </c>
      <c r="BL73" s="61"/>
      <c r="BM73" s="30" t="s">
        <v>2230</v>
      </c>
      <c r="BN73" s="33"/>
      <c r="BO73" s="33"/>
    </row>
    <row r="74" spans="1:67" ht="25.5" customHeight="1">
      <c r="A74" s="58">
        <v>63</v>
      </c>
      <c r="B74" s="62"/>
      <c r="C74" s="63" t="s">
        <v>697</v>
      </c>
      <c r="D74" s="64" t="s">
        <v>698</v>
      </c>
      <c r="E74" s="64">
        <v>23</v>
      </c>
      <c r="F74" s="65" t="s">
        <v>75</v>
      </c>
      <c r="G74" s="58"/>
      <c r="H74" s="30" t="s">
        <v>700</v>
      </c>
      <c r="I74" s="33"/>
      <c r="J74" s="33"/>
      <c r="K74" s="525">
        <v>63</v>
      </c>
      <c r="L74" s="525"/>
      <c r="M74" s="525" t="s">
        <v>1279</v>
      </c>
      <c r="N74" s="525" t="s">
        <v>1280</v>
      </c>
      <c r="O74" s="525">
        <v>77</v>
      </c>
      <c r="P74" s="525" t="s">
        <v>60</v>
      </c>
      <c r="Q74" s="525"/>
      <c r="R74" s="30" t="s">
        <v>1282</v>
      </c>
      <c r="S74" s="33"/>
      <c r="T74" s="33"/>
      <c r="U74" s="525">
        <v>63</v>
      </c>
      <c r="V74" s="525"/>
      <c r="W74" s="525" t="s">
        <v>2787</v>
      </c>
      <c r="X74" s="525" t="s">
        <v>2788</v>
      </c>
      <c r="Y74" s="525">
        <v>59</v>
      </c>
      <c r="Z74" s="525" t="s">
        <v>60</v>
      </c>
      <c r="AA74" s="525"/>
      <c r="AB74" s="30">
        <v>0</v>
      </c>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525">
        <v>63</v>
      </c>
      <c r="BG74" s="525"/>
      <c r="BH74" s="59" t="s">
        <v>2232</v>
      </c>
      <c r="BI74" s="58" t="s">
        <v>2233</v>
      </c>
      <c r="BJ74" s="60">
        <v>58</v>
      </c>
      <c r="BK74" s="60" t="s">
        <v>60</v>
      </c>
      <c r="BL74" s="61"/>
      <c r="BM74" s="30" t="s">
        <v>2235</v>
      </c>
      <c r="BN74" s="33"/>
      <c r="BO74" s="33"/>
    </row>
    <row r="75" spans="1:67" ht="25.5" customHeight="1">
      <c r="A75" s="58">
        <v>64</v>
      </c>
      <c r="B75" s="62"/>
      <c r="C75" s="63" t="s">
        <v>702</v>
      </c>
      <c r="D75" s="64" t="s">
        <v>703</v>
      </c>
      <c r="E75" s="64">
        <v>23</v>
      </c>
      <c r="F75" s="65" t="s">
        <v>75</v>
      </c>
      <c r="G75" s="58"/>
      <c r="H75" s="30" t="s">
        <v>705</v>
      </c>
      <c r="I75" s="33"/>
      <c r="J75" s="33"/>
      <c r="K75" s="525">
        <v>64</v>
      </c>
      <c r="L75" s="525">
        <v>4</v>
      </c>
      <c r="M75" s="525" t="s">
        <v>1284</v>
      </c>
      <c r="N75" s="525" t="s">
        <v>1285</v>
      </c>
      <c r="O75" s="525">
        <v>66</v>
      </c>
      <c r="P75" s="525" t="s">
        <v>75</v>
      </c>
      <c r="Q75" s="525"/>
      <c r="R75" s="30" t="s">
        <v>1288</v>
      </c>
      <c r="S75" s="33"/>
      <c r="T75" s="33"/>
      <c r="U75" s="525">
        <v>64</v>
      </c>
      <c r="V75" s="525"/>
      <c r="W75" s="525" t="s">
        <v>2797</v>
      </c>
      <c r="X75" s="525" t="s">
        <v>2798</v>
      </c>
      <c r="Y75" s="525">
        <v>65</v>
      </c>
      <c r="Z75" s="525" t="s">
        <v>60</v>
      </c>
      <c r="AA75" s="525"/>
      <c r="AB75" s="30">
        <v>0</v>
      </c>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525">
        <v>64</v>
      </c>
      <c r="BG75" s="525"/>
      <c r="BH75" s="59" t="s">
        <v>2237</v>
      </c>
      <c r="BI75" s="58" t="s">
        <v>2238</v>
      </c>
      <c r="BJ75" s="60">
        <v>79</v>
      </c>
      <c r="BK75" s="60" t="s">
        <v>75</v>
      </c>
      <c r="BL75" s="61"/>
      <c r="BM75" s="30" t="s">
        <v>2240</v>
      </c>
      <c r="BN75" s="33"/>
      <c r="BO75" s="33"/>
    </row>
    <row r="76" spans="1:67" ht="25.5" customHeight="1">
      <c r="A76" s="58">
        <v>65</v>
      </c>
      <c r="B76" s="62"/>
      <c r="C76" s="63" t="s">
        <v>707</v>
      </c>
      <c r="D76" s="64" t="s">
        <v>708</v>
      </c>
      <c r="E76" s="64">
        <v>53</v>
      </c>
      <c r="F76" s="65" t="s">
        <v>75</v>
      </c>
      <c r="G76" s="58"/>
      <c r="H76" s="30" t="s">
        <v>710</v>
      </c>
      <c r="I76" s="33"/>
      <c r="J76" s="33"/>
      <c r="K76" s="525">
        <v>65</v>
      </c>
      <c r="L76" s="525">
        <v>129</v>
      </c>
      <c r="M76" s="525" t="s">
        <v>1290</v>
      </c>
      <c r="N76" s="525" t="s">
        <v>1291</v>
      </c>
      <c r="O76" s="525">
        <v>76</v>
      </c>
      <c r="P76" s="525" t="s">
        <v>60</v>
      </c>
      <c r="Q76" s="525"/>
      <c r="R76" s="30" t="s">
        <v>1295</v>
      </c>
      <c r="S76" s="33"/>
      <c r="T76" s="33"/>
      <c r="U76" s="525">
        <v>65</v>
      </c>
      <c r="V76" s="525">
        <v>0</v>
      </c>
      <c r="W76" s="525" t="s">
        <v>3023</v>
      </c>
      <c r="X76" s="525" t="s">
        <v>3024</v>
      </c>
      <c r="Y76" s="525">
        <v>62</v>
      </c>
      <c r="Z76" s="525" t="s">
        <v>60</v>
      </c>
      <c r="AA76" s="525"/>
      <c r="AB76" s="30" t="s">
        <v>3028</v>
      </c>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525">
        <v>65</v>
      </c>
      <c r="BG76" s="525"/>
      <c r="BH76" s="59" t="s">
        <v>2242</v>
      </c>
      <c r="BI76" s="58" t="s">
        <v>2243</v>
      </c>
      <c r="BJ76" s="60">
        <v>40</v>
      </c>
      <c r="BK76" s="60" t="s">
        <v>75</v>
      </c>
      <c r="BL76" s="61"/>
      <c r="BM76" s="30" t="s">
        <v>2245</v>
      </c>
      <c r="BN76" s="33"/>
      <c r="BO76" s="33"/>
    </row>
    <row r="77" spans="1:67" ht="25.5" customHeight="1">
      <c r="A77" s="58">
        <v>66</v>
      </c>
      <c r="B77" s="62"/>
      <c r="C77" s="63" t="s">
        <v>712</v>
      </c>
      <c r="D77" s="64" t="s">
        <v>713</v>
      </c>
      <c r="E77" s="64">
        <v>58</v>
      </c>
      <c r="F77" s="65" t="s">
        <v>60</v>
      </c>
      <c r="G77" s="58"/>
      <c r="H77" s="30" t="s">
        <v>715</v>
      </c>
      <c r="I77" s="33"/>
      <c r="J77" s="33"/>
      <c r="K77" s="525">
        <v>66</v>
      </c>
      <c r="L77" s="525">
        <v>69</v>
      </c>
      <c r="M77" s="525" t="s">
        <v>1379</v>
      </c>
      <c r="N77" s="525" t="s">
        <v>1380</v>
      </c>
      <c r="O77" s="525">
        <v>44</v>
      </c>
      <c r="P77" s="525" t="s">
        <v>75</v>
      </c>
      <c r="Q77" s="525"/>
      <c r="R77" s="30" t="s">
        <v>1384</v>
      </c>
      <c r="S77" s="33"/>
      <c r="T77" s="33"/>
      <c r="U77" s="525">
        <v>66</v>
      </c>
      <c r="V77" s="525">
        <v>0</v>
      </c>
      <c r="W77" s="525" t="s">
        <v>3036</v>
      </c>
      <c r="X77" s="525" t="s">
        <v>3037</v>
      </c>
      <c r="Y77" s="525">
        <v>33</v>
      </c>
      <c r="Z77" s="525" t="s">
        <v>60</v>
      </c>
      <c r="AA77" s="525"/>
      <c r="AB77" s="30" t="s">
        <v>3040</v>
      </c>
      <c r="AC77" s="33" t="s">
        <v>4514</v>
      </c>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525">
        <v>66</v>
      </c>
      <c r="BG77" s="525"/>
      <c r="BH77" s="59" t="s">
        <v>2247</v>
      </c>
      <c r="BI77" s="58" t="s">
        <v>2248</v>
      </c>
      <c r="BJ77" s="60">
        <v>38</v>
      </c>
      <c r="BK77" s="60" t="s">
        <v>60</v>
      </c>
      <c r="BL77" s="61"/>
      <c r="BM77" s="30" t="s">
        <v>2251</v>
      </c>
      <c r="BN77" s="33"/>
      <c r="BO77" s="33"/>
    </row>
    <row r="78" spans="1:67" ht="25.5" customHeight="1">
      <c r="A78" s="58">
        <v>67</v>
      </c>
      <c r="B78" s="62"/>
      <c r="C78" s="63" t="s">
        <v>717</v>
      </c>
      <c r="D78" s="64" t="s">
        <v>718</v>
      </c>
      <c r="E78" s="64">
        <v>38</v>
      </c>
      <c r="F78" s="65" t="s">
        <v>75</v>
      </c>
      <c r="G78" s="58"/>
      <c r="H78" s="30" t="s">
        <v>720</v>
      </c>
      <c r="I78" s="33"/>
      <c r="J78" s="33"/>
      <c r="K78" s="525">
        <v>67</v>
      </c>
      <c r="L78" s="525">
        <v>84</v>
      </c>
      <c r="M78" s="525" t="s">
        <v>1444</v>
      </c>
      <c r="N78" s="525" t="s">
        <v>1445</v>
      </c>
      <c r="O78" s="525">
        <v>52</v>
      </c>
      <c r="P78" s="525" t="s">
        <v>75</v>
      </c>
      <c r="Q78" s="525"/>
      <c r="R78" s="30" t="s">
        <v>1449</v>
      </c>
      <c r="S78" s="33"/>
      <c r="T78" s="33"/>
      <c r="U78" s="525">
        <v>67</v>
      </c>
      <c r="V78" s="525">
        <v>0</v>
      </c>
      <c r="W78" s="525" t="s">
        <v>3042</v>
      </c>
      <c r="X78" s="525" t="s">
        <v>3043</v>
      </c>
      <c r="Y78" s="525">
        <v>60</v>
      </c>
      <c r="Z78" s="525" t="s">
        <v>75</v>
      </c>
      <c r="AA78" s="525"/>
      <c r="AB78" s="30" t="s">
        <v>3046</v>
      </c>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525">
        <v>67</v>
      </c>
      <c r="BG78" s="525"/>
      <c r="BH78" s="59" t="s">
        <v>2253</v>
      </c>
      <c r="BI78" s="58" t="s">
        <v>2254</v>
      </c>
      <c r="BJ78" s="60">
        <v>42</v>
      </c>
      <c r="BK78" s="60" t="s">
        <v>75</v>
      </c>
      <c r="BL78" s="61"/>
      <c r="BM78" s="30" t="s">
        <v>2256</v>
      </c>
      <c r="BN78" s="33"/>
      <c r="BO78" s="33"/>
    </row>
    <row r="79" spans="1:67" ht="25.5" customHeight="1">
      <c r="A79" s="58">
        <v>68</v>
      </c>
      <c r="B79" s="62"/>
      <c r="C79" s="63" t="s">
        <v>722</v>
      </c>
      <c r="D79" s="64" t="s">
        <v>723</v>
      </c>
      <c r="E79" s="64">
        <v>23</v>
      </c>
      <c r="F79" s="65" t="s">
        <v>75</v>
      </c>
      <c r="G79" s="58"/>
      <c r="H79" s="30" t="s">
        <v>725</v>
      </c>
      <c r="I79" s="33"/>
      <c r="J79" s="33"/>
      <c r="K79" s="525">
        <v>68</v>
      </c>
      <c r="L79" s="525">
        <v>15</v>
      </c>
      <c r="M79" s="525" t="s">
        <v>1463</v>
      </c>
      <c r="N79" s="525" t="s">
        <v>1464</v>
      </c>
      <c r="O79" s="525">
        <v>31</v>
      </c>
      <c r="P79" s="525" t="s">
        <v>60</v>
      </c>
      <c r="Q79" s="525"/>
      <c r="R79" s="30" t="s">
        <v>1467</v>
      </c>
      <c r="S79" s="33"/>
      <c r="T79" s="33"/>
      <c r="U79" s="525">
        <v>68</v>
      </c>
      <c r="V79" s="525">
        <v>0</v>
      </c>
      <c r="W79" s="525" t="s">
        <v>3053</v>
      </c>
      <c r="X79" s="525" t="s">
        <v>3054</v>
      </c>
      <c r="Y79" s="525">
        <v>35</v>
      </c>
      <c r="Z79" s="525" t="s">
        <v>60</v>
      </c>
      <c r="AA79" s="525"/>
      <c r="AB79" s="30" t="s">
        <v>3057</v>
      </c>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525">
        <v>68</v>
      </c>
      <c r="BG79" s="525"/>
      <c r="BH79" s="59" t="s">
        <v>2258</v>
      </c>
      <c r="BI79" s="58" t="s">
        <v>2259</v>
      </c>
      <c r="BJ79" s="60">
        <v>72</v>
      </c>
      <c r="BK79" s="60" t="s">
        <v>60</v>
      </c>
      <c r="BL79" s="61"/>
      <c r="BM79" s="30" t="s">
        <v>2261</v>
      </c>
      <c r="BN79" s="33"/>
      <c r="BO79" s="33"/>
    </row>
    <row r="80" spans="1:67" ht="25.5" customHeight="1">
      <c r="A80" s="58">
        <v>69</v>
      </c>
      <c r="B80" s="62"/>
      <c r="C80" s="63" t="s">
        <v>727</v>
      </c>
      <c r="D80" s="64" t="s">
        <v>728</v>
      </c>
      <c r="E80" s="64">
        <v>25</v>
      </c>
      <c r="F80" s="65" t="s">
        <v>75</v>
      </c>
      <c r="G80" s="58"/>
      <c r="H80" s="30" t="s">
        <v>730</v>
      </c>
      <c r="I80" s="33"/>
      <c r="J80" s="33"/>
      <c r="K80" s="525">
        <v>69</v>
      </c>
      <c r="L80" s="525">
        <v>19</v>
      </c>
      <c r="M80" s="525" t="s">
        <v>1482</v>
      </c>
      <c r="N80" s="525" t="s">
        <v>1483</v>
      </c>
      <c r="O80" s="525">
        <v>62</v>
      </c>
      <c r="P80" s="525" t="s">
        <v>75</v>
      </c>
      <c r="Q80" s="525"/>
      <c r="R80" s="30" t="s">
        <v>1488</v>
      </c>
      <c r="S80" s="33"/>
      <c r="T80" s="33"/>
      <c r="U80" s="525">
        <v>69</v>
      </c>
      <c r="V80" s="525">
        <v>0</v>
      </c>
      <c r="W80" s="525" t="s">
        <v>3059</v>
      </c>
      <c r="X80" s="525" t="s">
        <v>3060</v>
      </c>
      <c r="Y80" s="525">
        <v>68</v>
      </c>
      <c r="Z80" s="525" t="s">
        <v>60</v>
      </c>
      <c r="AA80" s="525"/>
      <c r="AB80" s="30" t="s">
        <v>3063</v>
      </c>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525">
        <v>69</v>
      </c>
      <c r="BG80" s="525"/>
      <c r="BH80" s="59" t="s">
        <v>2263</v>
      </c>
      <c r="BI80" s="58" t="s">
        <v>2264</v>
      </c>
      <c r="BJ80" s="60">
        <v>42</v>
      </c>
      <c r="BK80" s="60" t="s">
        <v>75</v>
      </c>
      <c r="BL80" s="61"/>
      <c r="BM80" s="30" t="s">
        <v>2267</v>
      </c>
      <c r="BN80" s="33"/>
      <c r="BO80" s="33"/>
    </row>
    <row r="81" spans="1:67" ht="25.5" customHeight="1">
      <c r="A81" s="58">
        <v>70</v>
      </c>
      <c r="B81" s="62"/>
      <c r="C81" s="63" t="s">
        <v>732</v>
      </c>
      <c r="D81" s="64" t="s">
        <v>733</v>
      </c>
      <c r="E81" s="64">
        <v>29</v>
      </c>
      <c r="F81" s="65" t="s">
        <v>75</v>
      </c>
      <c r="G81" s="58"/>
      <c r="H81" s="30" t="s">
        <v>736</v>
      </c>
      <c r="I81" s="33"/>
      <c r="J81" s="33"/>
      <c r="K81" s="525">
        <v>70</v>
      </c>
      <c r="L81" s="525"/>
      <c r="M81" s="525" t="s">
        <v>2707</v>
      </c>
      <c r="N81" s="525" t="s">
        <v>2708</v>
      </c>
      <c r="O81" s="525">
        <v>47</v>
      </c>
      <c r="P81" s="525" t="s">
        <v>75</v>
      </c>
      <c r="Q81" s="525"/>
      <c r="R81" s="30">
        <v>0</v>
      </c>
      <c r="S81" s="33"/>
      <c r="T81" s="33"/>
      <c r="U81" s="525">
        <v>70</v>
      </c>
      <c r="V81" s="525">
        <v>0</v>
      </c>
      <c r="W81" s="525" t="s">
        <v>3065</v>
      </c>
      <c r="X81" s="525" t="s">
        <v>3066</v>
      </c>
      <c r="Y81" s="525">
        <v>32</v>
      </c>
      <c r="Z81" s="525" t="s">
        <v>60</v>
      </c>
      <c r="AA81" s="525"/>
      <c r="AB81" s="30" t="s">
        <v>3069</v>
      </c>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525">
        <v>70</v>
      </c>
      <c r="BG81" s="525"/>
      <c r="BH81" s="59" t="s">
        <v>2269</v>
      </c>
      <c r="BI81" s="58" t="s">
        <v>2270</v>
      </c>
      <c r="BJ81" s="60">
        <v>45</v>
      </c>
      <c r="BK81" s="60" t="s">
        <v>60</v>
      </c>
      <c r="BL81" s="61"/>
      <c r="BM81" s="30" t="s">
        <v>2272</v>
      </c>
      <c r="BN81" s="33"/>
      <c r="BO81" s="33"/>
    </row>
    <row r="82" spans="1:67" ht="25.5" customHeight="1">
      <c r="A82" s="58">
        <v>71</v>
      </c>
      <c r="B82" s="62"/>
      <c r="C82" s="63" t="s">
        <v>738</v>
      </c>
      <c r="D82" s="64" t="s">
        <v>739</v>
      </c>
      <c r="E82" s="64">
        <v>49</v>
      </c>
      <c r="F82" s="65" t="s">
        <v>75</v>
      </c>
      <c r="G82" s="58"/>
      <c r="H82" s="30" t="s">
        <v>741</v>
      </c>
      <c r="I82" s="33"/>
      <c r="J82" s="33"/>
      <c r="K82" s="525">
        <v>71</v>
      </c>
      <c r="L82" s="525"/>
      <c r="M82" s="525" t="s">
        <v>2793</v>
      </c>
      <c r="N82" s="525" t="s">
        <v>2794</v>
      </c>
      <c r="O82" s="525">
        <v>68</v>
      </c>
      <c r="P82" s="525" t="s">
        <v>75</v>
      </c>
      <c r="Q82" s="525"/>
      <c r="R82" s="30">
        <v>0</v>
      </c>
      <c r="S82" s="33"/>
      <c r="T82" s="33"/>
      <c r="U82" s="525">
        <v>71</v>
      </c>
      <c r="V82" s="525">
        <v>0</v>
      </c>
      <c r="W82" s="525" t="s">
        <v>3076</v>
      </c>
      <c r="X82" s="525" t="s">
        <v>3077</v>
      </c>
      <c r="Y82" s="525">
        <v>38</v>
      </c>
      <c r="Z82" s="525" t="s">
        <v>75</v>
      </c>
      <c r="AA82" s="525"/>
      <c r="AB82" s="30" t="s">
        <v>3080</v>
      </c>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525">
        <v>71</v>
      </c>
      <c r="BG82" s="525"/>
      <c r="BH82" s="59" t="s">
        <v>2274</v>
      </c>
      <c r="BI82" s="58" t="s">
        <v>2275</v>
      </c>
      <c r="BJ82" s="60">
        <v>33</v>
      </c>
      <c r="BK82" s="60" t="s">
        <v>75</v>
      </c>
      <c r="BL82" s="61"/>
      <c r="BM82" s="30" t="s">
        <v>2277</v>
      </c>
      <c r="BN82" s="33"/>
      <c r="BO82" s="33"/>
    </row>
    <row r="83" spans="1:67" ht="25.5" customHeight="1">
      <c r="A83" s="58">
        <v>72</v>
      </c>
      <c r="B83" s="62"/>
      <c r="C83" s="63" t="s">
        <v>743</v>
      </c>
      <c r="D83" s="64" t="s">
        <v>744</v>
      </c>
      <c r="E83" s="64">
        <v>47</v>
      </c>
      <c r="F83" s="65" t="s">
        <v>75</v>
      </c>
      <c r="G83" s="58"/>
      <c r="H83" s="30" t="s">
        <v>746</v>
      </c>
      <c r="I83" s="33"/>
      <c r="J83" s="33"/>
      <c r="K83" s="525">
        <v>72</v>
      </c>
      <c r="L83" s="525"/>
      <c r="M83" s="525" t="s">
        <v>2802</v>
      </c>
      <c r="N83" s="525" t="s">
        <v>2803</v>
      </c>
      <c r="O83" s="525">
        <v>58</v>
      </c>
      <c r="P83" s="525" t="s">
        <v>60</v>
      </c>
      <c r="Q83" s="525"/>
      <c r="R83" s="30">
        <v>0</v>
      </c>
      <c r="S83" s="33"/>
      <c r="T83" s="33"/>
      <c r="U83" s="525">
        <v>72</v>
      </c>
      <c r="V83" s="525">
        <v>0</v>
      </c>
      <c r="W83" s="525" t="s">
        <v>3082</v>
      </c>
      <c r="X83" s="525" t="s">
        <v>3083</v>
      </c>
      <c r="Y83" s="525">
        <v>62</v>
      </c>
      <c r="Z83" s="525" t="s">
        <v>75</v>
      </c>
      <c r="AA83" s="525"/>
      <c r="AB83" s="30" t="s">
        <v>3086</v>
      </c>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525">
        <v>72</v>
      </c>
      <c r="BG83" s="525"/>
      <c r="BH83" s="59" t="s">
        <v>2279</v>
      </c>
      <c r="BI83" s="58" t="s">
        <v>2280</v>
      </c>
      <c r="BJ83" s="60">
        <v>62</v>
      </c>
      <c r="BK83" s="60" t="s">
        <v>75</v>
      </c>
      <c r="BL83" s="61"/>
      <c r="BM83" s="30" t="s">
        <v>2282</v>
      </c>
      <c r="BN83" s="33"/>
      <c r="BO83" s="33"/>
    </row>
    <row r="84" spans="1:67" ht="25.5" customHeight="1">
      <c r="A84" s="58">
        <v>73</v>
      </c>
      <c r="B84" s="62"/>
      <c r="C84" s="63" t="s">
        <v>748</v>
      </c>
      <c r="D84" s="64" t="s">
        <v>749</v>
      </c>
      <c r="E84" s="64">
        <v>57</v>
      </c>
      <c r="F84" s="65" t="s">
        <v>60</v>
      </c>
      <c r="G84" s="58"/>
      <c r="H84" s="30" t="s">
        <v>752</v>
      </c>
      <c r="I84" s="33"/>
      <c r="J84" s="33"/>
      <c r="K84" s="525">
        <v>73</v>
      </c>
      <c r="L84" s="525"/>
      <c r="M84" s="525" t="s">
        <v>2806</v>
      </c>
      <c r="N84" s="525" t="s">
        <v>2807</v>
      </c>
      <c r="O84" s="525">
        <v>36</v>
      </c>
      <c r="P84" s="525" t="s">
        <v>75</v>
      </c>
      <c r="Q84" s="525"/>
      <c r="R84" s="30">
        <v>0</v>
      </c>
      <c r="S84" s="33"/>
      <c r="T84" s="33"/>
      <c r="U84" s="525">
        <v>73</v>
      </c>
      <c r="V84" s="525"/>
      <c r="W84" s="525" t="s">
        <v>3722</v>
      </c>
      <c r="X84" s="525" t="s">
        <v>3723</v>
      </c>
      <c r="Y84" s="525">
        <v>43</v>
      </c>
      <c r="Z84" s="525" t="s">
        <v>60</v>
      </c>
      <c r="AA84" s="525"/>
      <c r="AB84" s="30">
        <v>0</v>
      </c>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525">
        <v>73</v>
      </c>
      <c r="BG84" s="525">
        <v>315</v>
      </c>
      <c r="BH84" s="59" t="s">
        <v>2284</v>
      </c>
      <c r="BI84" s="58" t="s">
        <v>2285</v>
      </c>
      <c r="BJ84" s="60">
        <v>32</v>
      </c>
      <c r="BK84" s="60" t="s">
        <v>75</v>
      </c>
      <c r="BL84" s="61"/>
      <c r="BM84" s="30" t="s">
        <v>2288</v>
      </c>
      <c r="BN84" s="33"/>
      <c r="BO84" s="33"/>
    </row>
    <row r="85" spans="1:67" ht="25.5" customHeight="1">
      <c r="A85" s="58">
        <v>74</v>
      </c>
      <c r="B85" s="62"/>
      <c r="C85" s="63" t="s">
        <v>754</v>
      </c>
      <c r="D85" s="64" t="s">
        <v>755</v>
      </c>
      <c r="E85" s="64">
        <v>48</v>
      </c>
      <c r="F85" s="65" t="s">
        <v>60</v>
      </c>
      <c r="G85" s="58"/>
      <c r="H85" s="30" t="s">
        <v>757</v>
      </c>
      <c r="I85" s="33"/>
      <c r="J85" s="33"/>
      <c r="K85" s="525">
        <v>74</v>
      </c>
      <c r="L85" s="525">
        <v>211</v>
      </c>
      <c r="M85" s="525" t="s">
        <v>2811</v>
      </c>
      <c r="N85" s="525" t="s">
        <v>2812</v>
      </c>
      <c r="O85" s="525">
        <v>59</v>
      </c>
      <c r="P85" s="525" t="s">
        <v>60</v>
      </c>
      <c r="Q85" s="525"/>
      <c r="R85" s="30" t="s">
        <v>2815</v>
      </c>
      <c r="S85" s="33"/>
      <c r="T85" s="33"/>
      <c r="U85" s="525">
        <v>74</v>
      </c>
      <c r="V85" s="525">
        <v>0</v>
      </c>
      <c r="W85" s="525" t="s">
        <v>3729</v>
      </c>
      <c r="X85" s="525" t="s">
        <v>3730</v>
      </c>
      <c r="Y85" s="525">
        <v>52</v>
      </c>
      <c r="Z85" s="525" t="s">
        <v>75</v>
      </c>
      <c r="AA85" s="525"/>
      <c r="AB85" s="30" t="s">
        <v>228</v>
      </c>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525">
        <v>74</v>
      </c>
      <c r="BG85" s="525"/>
      <c r="BH85" s="59" t="s">
        <v>2290</v>
      </c>
      <c r="BI85" s="58" t="s">
        <v>2291</v>
      </c>
      <c r="BJ85" s="60">
        <v>36</v>
      </c>
      <c r="BK85" s="60" t="s">
        <v>60</v>
      </c>
      <c r="BL85" s="61"/>
      <c r="BM85" s="30" t="s">
        <v>2293</v>
      </c>
      <c r="BN85" s="33"/>
      <c r="BO85" s="33"/>
    </row>
    <row r="86" spans="1:67" ht="25.5" customHeight="1">
      <c r="A86" s="58">
        <v>75</v>
      </c>
      <c r="B86" s="62"/>
      <c r="C86" s="63" t="s">
        <v>759</v>
      </c>
      <c r="D86" s="64" t="s">
        <v>760</v>
      </c>
      <c r="E86" s="64">
        <v>55</v>
      </c>
      <c r="F86" s="65" t="s">
        <v>60</v>
      </c>
      <c r="G86" s="58"/>
      <c r="H86" s="30" t="s">
        <v>762</v>
      </c>
      <c r="I86" s="33"/>
      <c r="J86" s="33"/>
      <c r="K86" s="525">
        <v>75</v>
      </c>
      <c r="L86" s="525">
        <v>0</v>
      </c>
      <c r="M86" s="525" t="s">
        <v>2817</v>
      </c>
      <c r="N86" s="525" t="s">
        <v>2818</v>
      </c>
      <c r="O86" s="525">
        <v>65</v>
      </c>
      <c r="P86" s="525" t="s">
        <v>60</v>
      </c>
      <c r="Q86" s="525"/>
      <c r="R86" s="30" t="s">
        <v>228</v>
      </c>
      <c r="S86" s="33"/>
      <c r="T86" s="33"/>
      <c r="U86" s="525">
        <v>75</v>
      </c>
      <c r="V86" s="525"/>
      <c r="W86" s="525" t="s">
        <v>4216</v>
      </c>
      <c r="X86" s="525" t="s">
        <v>4217</v>
      </c>
      <c r="Y86" s="525">
        <v>21</v>
      </c>
      <c r="Z86" s="525" t="s">
        <v>60</v>
      </c>
      <c r="AA86" s="525"/>
      <c r="AB86" s="30"/>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525">
        <v>75</v>
      </c>
      <c r="BG86" s="525"/>
      <c r="BH86" s="59" t="s">
        <v>2664</v>
      </c>
      <c r="BI86" s="58" t="s">
        <v>2665</v>
      </c>
      <c r="BJ86" s="60">
        <v>29</v>
      </c>
      <c r="BK86" s="60" t="s">
        <v>60</v>
      </c>
      <c r="BL86" s="61"/>
      <c r="BM86" s="30">
        <v>0</v>
      </c>
      <c r="BN86" s="33"/>
      <c r="BO86" s="33"/>
    </row>
    <row r="87" spans="1:67" ht="25.5" customHeight="1">
      <c r="A87" s="58">
        <v>76</v>
      </c>
      <c r="B87" s="62"/>
      <c r="C87" s="63" t="s">
        <v>764</v>
      </c>
      <c r="D87" s="64" t="s">
        <v>765</v>
      </c>
      <c r="E87" s="64">
        <v>24</v>
      </c>
      <c r="F87" s="65" t="s">
        <v>60</v>
      </c>
      <c r="G87" s="58"/>
      <c r="H87" s="30" t="s">
        <v>767</v>
      </c>
      <c r="I87" s="33"/>
      <c r="J87" s="33"/>
      <c r="K87" s="525">
        <v>76</v>
      </c>
      <c r="L87" s="525">
        <v>0</v>
      </c>
      <c r="M87" s="525" t="s">
        <v>2821</v>
      </c>
      <c r="N87" s="525" t="s">
        <v>2822</v>
      </c>
      <c r="O87" s="525">
        <v>63</v>
      </c>
      <c r="P87" s="525" t="s">
        <v>75</v>
      </c>
      <c r="Q87" s="525"/>
      <c r="R87" s="30" t="s">
        <v>228</v>
      </c>
      <c r="S87" s="33"/>
      <c r="T87" s="33"/>
      <c r="U87" s="525">
        <v>76</v>
      </c>
      <c r="V87" s="525"/>
      <c r="W87" s="525" t="s">
        <v>4220</v>
      </c>
      <c r="X87" s="525" t="s">
        <v>4221</v>
      </c>
      <c r="Y87" s="525">
        <v>46</v>
      </c>
      <c r="Z87" s="525" t="s">
        <v>60</v>
      </c>
      <c r="AA87" s="525"/>
      <c r="AB87" s="30"/>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525">
        <v>76</v>
      </c>
      <c r="BG87" s="525"/>
      <c r="BH87" s="59" t="s">
        <v>2674</v>
      </c>
      <c r="BI87" s="58" t="s">
        <v>2675</v>
      </c>
      <c r="BJ87" s="60">
        <v>41</v>
      </c>
      <c r="BK87" s="60" t="s">
        <v>75</v>
      </c>
      <c r="BL87" s="61"/>
      <c r="BM87" s="30">
        <v>0</v>
      </c>
      <c r="BN87" s="33"/>
      <c r="BO87" s="33"/>
    </row>
    <row r="88" spans="1:67" ht="25.5" customHeight="1">
      <c r="A88" s="58">
        <v>77</v>
      </c>
      <c r="B88" s="62"/>
      <c r="C88" s="63" t="s">
        <v>769</v>
      </c>
      <c r="D88" s="64" t="s">
        <v>770</v>
      </c>
      <c r="E88" s="64">
        <v>33</v>
      </c>
      <c r="F88" s="65" t="s">
        <v>60</v>
      </c>
      <c r="G88" s="58"/>
      <c r="H88" s="30" t="s">
        <v>772</v>
      </c>
      <c r="I88" s="33"/>
      <c r="J88" s="33"/>
      <c r="K88" s="525">
        <v>77</v>
      </c>
      <c r="L88" s="525">
        <v>0</v>
      </c>
      <c r="M88" s="525" t="s">
        <v>2826</v>
      </c>
      <c r="N88" s="525" t="s">
        <v>2827</v>
      </c>
      <c r="O88" s="525">
        <v>32</v>
      </c>
      <c r="P88" s="525" t="s">
        <v>75</v>
      </c>
      <c r="Q88" s="525"/>
      <c r="R88" s="30" t="s">
        <v>228</v>
      </c>
      <c r="S88" s="33"/>
      <c r="T88" s="33"/>
      <c r="U88" s="525">
        <v>77</v>
      </c>
      <c r="V88" s="525"/>
      <c r="W88" s="525" t="s">
        <v>4233</v>
      </c>
      <c r="X88" s="525" t="s">
        <v>4234</v>
      </c>
      <c r="Y88" s="525">
        <v>50</v>
      </c>
      <c r="Z88" s="525" t="s">
        <v>60</v>
      </c>
      <c r="AA88" s="525"/>
      <c r="AB88" s="30"/>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525">
        <v>77</v>
      </c>
      <c r="BG88" s="525"/>
      <c r="BH88" s="59" t="s">
        <v>2678</v>
      </c>
      <c r="BI88" s="58" t="s">
        <v>2679</v>
      </c>
      <c r="BJ88" s="60">
        <v>28</v>
      </c>
      <c r="BK88" s="60" t="s">
        <v>75</v>
      </c>
      <c r="BL88" s="61"/>
      <c r="BM88" s="30">
        <v>0</v>
      </c>
      <c r="BN88" s="33"/>
      <c r="BO88" s="33"/>
    </row>
    <row r="89" spans="1:67" ht="25.5" customHeight="1">
      <c r="A89" s="58">
        <v>78</v>
      </c>
      <c r="B89" s="62"/>
      <c r="C89" s="63" t="s">
        <v>774</v>
      </c>
      <c r="D89" s="64" t="s">
        <v>775</v>
      </c>
      <c r="E89" s="64">
        <v>23</v>
      </c>
      <c r="F89" s="65" t="s">
        <v>75</v>
      </c>
      <c r="G89" s="58"/>
      <c r="H89" s="30" t="s">
        <v>777</v>
      </c>
      <c r="I89" s="33"/>
      <c r="J89" s="33"/>
      <c r="K89" s="525">
        <v>78</v>
      </c>
      <c r="L89" s="525">
        <v>0</v>
      </c>
      <c r="M89" s="525" t="s">
        <v>2831</v>
      </c>
      <c r="N89" s="525" t="s">
        <v>2832</v>
      </c>
      <c r="O89" s="525">
        <v>74</v>
      </c>
      <c r="P89" s="525" t="s">
        <v>60</v>
      </c>
      <c r="Q89" s="525"/>
      <c r="R89" s="30" t="s">
        <v>228</v>
      </c>
      <c r="S89" s="33"/>
      <c r="T89" s="33"/>
      <c r="U89" s="525">
        <v>78</v>
      </c>
      <c r="V89" s="525"/>
      <c r="W89" s="525" t="s">
        <v>4236</v>
      </c>
      <c r="X89" s="525" t="s">
        <v>4237</v>
      </c>
      <c r="Y89" s="525">
        <v>53</v>
      </c>
      <c r="Z89" s="525" t="s">
        <v>60</v>
      </c>
      <c r="AA89" s="525"/>
      <c r="AB89" s="30"/>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525">
        <v>78</v>
      </c>
      <c r="BG89" s="525"/>
      <c r="BH89" s="59" t="s">
        <v>2683</v>
      </c>
      <c r="BI89" s="58" t="s">
        <v>2684</v>
      </c>
      <c r="BJ89" s="60">
        <v>80</v>
      </c>
      <c r="BK89" s="60" t="s">
        <v>60</v>
      </c>
      <c r="BL89" s="61"/>
      <c r="BM89" s="30">
        <v>0</v>
      </c>
      <c r="BN89" s="33"/>
      <c r="BO89" s="33"/>
    </row>
    <row r="90" spans="1:67" ht="25.5" customHeight="1">
      <c r="A90" s="58">
        <v>79</v>
      </c>
      <c r="B90" s="62"/>
      <c r="C90" s="63" t="s">
        <v>779</v>
      </c>
      <c r="D90" s="64" t="s">
        <v>780</v>
      </c>
      <c r="E90" s="64">
        <v>36</v>
      </c>
      <c r="F90" s="65" t="s">
        <v>75</v>
      </c>
      <c r="G90" s="58"/>
      <c r="H90" s="30" t="s">
        <v>782</v>
      </c>
      <c r="I90" s="33"/>
      <c r="J90" s="33"/>
      <c r="K90" s="525">
        <v>79</v>
      </c>
      <c r="L90" s="525">
        <v>0</v>
      </c>
      <c r="M90" s="525" t="s">
        <v>2835</v>
      </c>
      <c r="N90" s="525" t="s">
        <v>2836</v>
      </c>
      <c r="O90" s="525">
        <v>52</v>
      </c>
      <c r="P90" s="525" t="s">
        <v>75</v>
      </c>
      <c r="Q90" s="525"/>
      <c r="R90" s="30" t="s">
        <v>228</v>
      </c>
      <c r="S90" s="33"/>
      <c r="T90" s="33"/>
      <c r="U90" s="525">
        <v>79</v>
      </c>
      <c r="V90" s="525"/>
      <c r="W90" s="525" t="s">
        <v>4240</v>
      </c>
      <c r="X90" s="525" t="s">
        <v>4241</v>
      </c>
      <c r="Y90" s="525">
        <v>53</v>
      </c>
      <c r="Z90" s="525" t="s">
        <v>60</v>
      </c>
      <c r="AA90" s="525"/>
      <c r="AB90" s="30"/>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525">
        <v>79</v>
      </c>
      <c r="BG90" s="525"/>
      <c r="BH90" s="59" t="s">
        <v>2687</v>
      </c>
      <c r="BI90" s="58" t="s">
        <v>2688</v>
      </c>
      <c r="BJ90" s="60">
        <v>48</v>
      </c>
      <c r="BK90" s="60" t="s">
        <v>75</v>
      </c>
      <c r="BL90" s="61"/>
      <c r="BM90" s="30">
        <v>0</v>
      </c>
      <c r="BN90" s="33"/>
      <c r="BO90" s="33"/>
    </row>
    <row r="91" spans="1:67" ht="25.5" customHeight="1">
      <c r="A91" s="58">
        <v>80</v>
      </c>
      <c r="B91" s="62"/>
      <c r="C91" s="63" t="s">
        <v>784</v>
      </c>
      <c r="D91" s="64" t="s">
        <v>785</v>
      </c>
      <c r="E91" s="64">
        <v>25</v>
      </c>
      <c r="F91" s="65" t="s">
        <v>60</v>
      </c>
      <c r="G91" s="58"/>
      <c r="H91" s="30" t="s">
        <v>787</v>
      </c>
      <c r="I91" s="33"/>
      <c r="J91" s="33"/>
      <c r="K91" s="525">
        <v>80</v>
      </c>
      <c r="L91" s="525">
        <v>0</v>
      </c>
      <c r="M91" s="525" t="s">
        <v>3030</v>
      </c>
      <c r="N91" s="525" t="s">
        <v>3031</v>
      </c>
      <c r="O91" s="525">
        <v>42</v>
      </c>
      <c r="P91" s="525" t="s">
        <v>75</v>
      </c>
      <c r="Q91" s="525"/>
      <c r="R91" s="30" t="s">
        <v>3034</v>
      </c>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525">
        <v>80</v>
      </c>
      <c r="BG91" s="525"/>
      <c r="BH91" s="59" t="s">
        <v>2718</v>
      </c>
      <c r="BI91" s="58" t="s">
        <v>2719</v>
      </c>
      <c r="BJ91" s="60">
        <v>44</v>
      </c>
      <c r="BK91" s="60" t="s">
        <v>60</v>
      </c>
      <c r="BL91" s="61"/>
      <c r="BM91" s="30" t="s">
        <v>1836</v>
      </c>
      <c r="BN91" s="33"/>
    </row>
    <row r="92" spans="1:67" ht="25.5" customHeight="1">
      <c r="A92" s="58">
        <v>81</v>
      </c>
      <c r="B92" s="62"/>
      <c r="C92" s="63" t="s">
        <v>789</v>
      </c>
      <c r="D92" s="64" t="s">
        <v>790</v>
      </c>
      <c r="E92" s="64">
        <v>57</v>
      </c>
      <c r="F92" s="65" t="s">
        <v>75</v>
      </c>
      <c r="G92" s="58"/>
      <c r="H92" s="30" t="s">
        <v>792</v>
      </c>
      <c r="I92" s="33"/>
      <c r="J92" s="33"/>
      <c r="K92" s="525">
        <v>81</v>
      </c>
      <c r="L92" s="525">
        <v>0</v>
      </c>
      <c r="M92" s="525" t="s">
        <v>3048</v>
      </c>
      <c r="N92" s="525" t="s">
        <v>3049</v>
      </c>
      <c r="O92" s="525">
        <v>65</v>
      </c>
      <c r="P92" s="525" t="s">
        <v>60</v>
      </c>
      <c r="Q92" s="525"/>
      <c r="R92" s="30" t="s">
        <v>3051</v>
      </c>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525">
        <v>81</v>
      </c>
      <c r="BG92" s="525"/>
      <c r="BH92" s="59" t="s">
        <v>2769</v>
      </c>
      <c r="BI92" s="58" t="s">
        <v>2770</v>
      </c>
      <c r="BJ92" s="60">
        <v>43</v>
      </c>
      <c r="BK92" s="60" t="s">
        <v>60</v>
      </c>
      <c r="BL92" s="61"/>
      <c r="BM92" s="30">
        <v>0</v>
      </c>
      <c r="BN92" s="33"/>
    </row>
    <row r="93" spans="1:67" ht="25.5" customHeight="1">
      <c r="A93" s="58">
        <v>82</v>
      </c>
      <c r="B93" s="62"/>
      <c r="C93" s="63" t="s">
        <v>800</v>
      </c>
      <c r="D93" s="64" t="s">
        <v>801</v>
      </c>
      <c r="E93" s="64">
        <v>32</v>
      </c>
      <c r="F93" s="65" t="s">
        <v>60</v>
      </c>
      <c r="G93" s="58"/>
      <c r="H93" s="30" t="s">
        <v>803</v>
      </c>
      <c r="I93" s="33"/>
      <c r="J93" s="33"/>
      <c r="K93" s="525">
        <v>82</v>
      </c>
      <c r="L93" s="525">
        <v>0</v>
      </c>
      <c r="M93" s="525" t="s">
        <v>3071</v>
      </c>
      <c r="N93" s="525" t="s">
        <v>3072</v>
      </c>
      <c r="O93" s="525">
        <v>70</v>
      </c>
      <c r="P93" s="525" t="s">
        <v>60</v>
      </c>
      <c r="Q93" s="525"/>
      <c r="R93" s="30" t="s">
        <v>3074</v>
      </c>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525">
        <v>82</v>
      </c>
      <c r="BG93" s="525"/>
      <c r="BH93" s="59" t="s">
        <v>2773</v>
      </c>
      <c r="BI93" s="58" t="s">
        <v>2774</v>
      </c>
      <c r="BJ93" s="60">
        <v>51</v>
      </c>
      <c r="BK93" s="60" t="s">
        <v>75</v>
      </c>
      <c r="BL93" s="61"/>
      <c r="BM93" s="30">
        <v>0</v>
      </c>
      <c r="BN93" s="33"/>
    </row>
    <row r="94" spans="1:67" ht="25.5" customHeight="1">
      <c r="A94" s="58">
        <v>83</v>
      </c>
      <c r="B94" s="62"/>
      <c r="C94" s="63" t="s">
        <v>805</v>
      </c>
      <c r="D94" s="64" t="s">
        <v>806</v>
      </c>
      <c r="E94" s="64">
        <v>45</v>
      </c>
      <c r="F94" s="65" t="s">
        <v>75</v>
      </c>
      <c r="G94" s="58"/>
      <c r="H94" s="30" t="s">
        <v>808</v>
      </c>
      <c r="I94" s="33"/>
      <c r="J94" s="33"/>
      <c r="K94" s="525">
        <v>83</v>
      </c>
      <c r="L94" s="525">
        <v>0</v>
      </c>
      <c r="M94" s="525" t="s">
        <v>3582</v>
      </c>
      <c r="N94" s="525" t="s">
        <v>3583</v>
      </c>
      <c r="O94" s="525">
        <v>66</v>
      </c>
      <c r="P94" s="525" t="s">
        <v>60</v>
      </c>
      <c r="Q94" s="525"/>
      <c r="R94" s="30" t="s">
        <v>3586</v>
      </c>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525">
        <v>83</v>
      </c>
      <c r="BG94" s="525"/>
      <c r="BH94" s="59" t="s">
        <v>2776</v>
      </c>
      <c r="BI94" s="58" t="s">
        <v>2777</v>
      </c>
      <c r="BJ94" s="60">
        <v>67</v>
      </c>
      <c r="BK94" s="60" t="s">
        <v>75</v>
      </c>
      <c r="BL94" s="61"/>
      <c r="BM94" s="30">
        <v>0</v>
      </c>
      <c r="BN94" s="33"/>
    </row>
    <row r="95" spans="1:67" ht="25.5" customHeight="1">
      <c r="A95" s="58">
        <v>84</v>
      </c>
      <c r="B95" s="62">
        <v>1</v>
      </c>
      <c r="C95" s="63" t="s">
        <v>810</v>
      </c>
      <c r="D95" s="64" t="s">
        <v>811</v>
      </c>
      <c r="E95" s="64">
        <v>53</v>
      </c>
      <c r="F95" s="65" t="s">
        <v>60</v>
      </c>
      <c r="G95" s="58"/>
      <c r="H95" s="30" t="s">
        <v>813</v>
      </c>
      <c r="I95" s="33"/>
      <c r="J95" s="33"/>
      <c r="K95" s="525">
        <v>84</v>
      </c>
      <c r="L95" s="525">
        <v>0</v>
      </c>
      <c r="M95" s="525" t="s">
        <v>3687</v>
      </c>
      <c r="N95" s="525" t="s">
        <v>3688</v>
      </c>
      <c r="O95" s="525">
        <v>65</v>
      </c>
      <c r="P95" s="525" t="s">
        <v>75</v>
      </c>
      <c r="Q95" s="525"/>
      <c r="R95" s="30" t="s">
        <v>3691</v>
      </c>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525">
        <v>84</v>
      </c>
      <c r="BG95" s="525">
        <v>362</v>
      </c>
      <c r="BH95" s="59" t="s">
        <v>2839</v>
      </c>
      <c r="BI95" s="58" t="s">
        <v>2840</v>
      </c>
      <c r="BJ95" s="60">
        <v>57</v>
      </c>
      <c r="BK95" s="60" t="s">
        <v>60</v>
      </c>
      <c r="BL95" s="61"/>
      <c r="BM95" s="30" t="s">
        <v>2842</v>
      </c>
      <c r="BN95" s="33"/>
    </row>
    <row r="96" spans="1:67" ht="25.5" customHeight="1">
      <c r="A96" s="58">
        <v>85</v>
      </c>
      <c r="B96" s="62">
        <v>162</v>
      </c>
      <c r="C96" s="63" t="s">
        <v>815</v>
      </c>
      <c r="D96" s="64" t="s">
        <v>816</v>
      </c>
      <c r="E96" s="64">
        <v>50</v>
      </c>
      <c r="F96" s="65" t="s">
        <v>75</v>
      </c>
      <c r="G96" s="58"/>
      <c r="H96" s="30" t="s">
        <v>818</v>
      </c>
      <c r="I96" s="33"/>
      <c r="J96" s="33"/>
      <c r="K96" s="525">
        <v>85</v>
      </c>
      <c r="L96" s="525">
        <v>0</v>
      </c>
      <c r="M96" s="525" t="s">
        <v>3693</v>
      </c>
      <c r="N96" s="525" t="s">
        <v>3694</v>
      </c>
      <c r="O96" s="525">
        <v>72</v>
      </c>
      <c r="P96" s="525" t="s">
        <v>60</v>
      </c>
      <c r="Q96" s="525"/>
      <c r="R96" s="30" t="s">
        <v>3696</v>
      </c>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525">
        <v>85</v>
      </c>
      <c r="BG96" s="525">
        <v>0</v>
      </c>
      <c r="BH96" s="59" t="s">
        <v>3601</v>
      </c>
      <c r="BI96" s="58" t="s">
        <v>3602</v>
      </c>
      <c r="BJ96" s="60">
        <v>66</v>
      </c>
      <c r="BK96" s="60" t="s">
        <v>75</v>
      </c>
      <c r="BL96" s="61"/>
      <c r="BM96" s="30" t="s">
        <v>228</v>
      </c>
      <c r="BN96" s="33"/>
    </row>
    <row r="97" spans="1:66" ht="25.5" customHeight="1">
      <c r="A97" s="58">
        <v>86</v>
      </c>
      <c r="B97" s="62">
        <v>237</v>
      </c>
      <c r="C97" s="63" t="s">
        <v>830</v>
      </c>
      <c r="D97" s="64" t="s">
        <v>831</v>
      </c>
      <c r="E97" s="64">
        <v>42</v>
      </c>
      <c r="F97" s="65" t="s">
        <v>75</v>
      </c>
      <c r="G97" s="58"/>
      <c r="H97" s="30" t="s">
        <v>833</v>
      </c>
      <c r="I97" s="33"/>
      <c r="J97" s="33"/>
      <c r="K97" s="525">
        <v>86</v>
      </c>
      <c r="L97" s="525">
        <v>0</v>
      </c>
      <c r="M97" s="525" t="s">
        <v>3698</v>
      </c>
      <c r="N97" s="525" t="s">
        <v>3699</v>
      </c>
      <c r="O97" s="525">
        <v>46</v>
      </c>
      <c r="P97" s="525" t="s">
        <v>75</v>
      </c>
      <c r="Q97" s="525"/>
      <c r="R97" s="30" t="s">
        <v>228</v>
      </c>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525">
        <v>86</v>
      </c>
      <c r="BG97" s="525">
        <v>0</v>
      </c>
      <c r="BH97" s="59" t="s">
        <v>3605</v>
      </c>
      <c r="BI97" s="58" t="s">
        <v>3606</v>
      </c>
      <c r="BJ97" s="60">
        <v>47</v>
      </c>
      <c r="BK97" s="60" t="s">
        <v>60</v>
      </c>
      <c r="BL97" s="61"/>
      <c r="BM97" s="30" t="s">
        <v>228</v>
      </c>
      <c r="BN97" s="33"/>
    </row>
    <row r="98" spans="1:66" ht="25.5" customHeight="1">
      <c r="A98" s="58">
        <v>87</v>
      </c>
      <c r="B98" s="62">
        <v>294</v>
      </c>
      <c r="C98" s="63" t="s">
        <v>835</v>
      </c>
      <c r="D98" s="64" t="s">
        <v>836</v>
      </c>
      <c r="E98" s="64">
        <v>33</v>
      </c>
      <c r="F98" s="65" t="s">
        <v>75</v>
      </c>
      <c r="G98" s="58"/>
      <c r="H98" s="30" t="s">
        <v>838</v>
      </c>
      <c r="I98" s="33"/>
      <c r="J98" s="33"/>
      <c r="K98" s="525">
        <v>87</v>
      </c>
      <c r="L98" s="525">
        <v>0</v>
      </c>
      <c r="M98" s="525" t="s">
        <v>3717</v>
      </c>
      <c r="N98" s="525" t="s">
        <v>3718</v>
      </c>
      <c r="O98" s="525">
        <v>72</v>
      </c>
      <c r="P98" s="525" t="s">
        <v>75</v>
      </c>
      <c r="Q98" s="525"/>
      <c r="R98" s="30" t="s">
        <v>228</v>
      </c>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525">
        <v>87</v>
      </c>
      <c r="BG98" s="525">
        <v>0</v>
      </c>
      <c r="BH98" s="59" t="s">
        <v>3608</v>
      </c>
      <c r="BI98" s="58" t="s">
        <v>3609</v>
      </c>
      <c r="BJ98" s="60">
        <v>39</v>
      </c>
      <c r="BK98" s="60" t="s">
        <v>60</v>
      </c>
      <c r="BL98" s="61"/>
      <c r="BM98" s="30" t="s">
        <v>228</v>
      </c>
      <c r="BN98" s="33"/>
    </row>
    <row r="99" spans="1:66" ht="25.5" customHeight="1">
      <c r="A99" s="58">
        <v>88</v>
      </c>
      <c r="B99" s="62">
        <v>398</v>
      </c>
      <c r="C99" s="63" t="s">
        <v>840</v>
      </c>
      <c r="D99" s="64" t="s">
        <v>841</v>
      </c>
      <c r="E99" s="64">
        <v>24</v>
      </c>
      <c r="F99" s="65" t="s">
        <v>75</v>
      </c>
      <c r="G99" s="58"/>
      <c r="H99" s="30" t="s">
        <v>844</v>
      </c>
      <c r="I99" s="33"/>
      <c r="J99" s="33"/>
      <c r="K99" s="525">
        <v>88</v>
      </c>
      <c r="L99" s="525">
        <v>0</v>
      </c>
      <c r="M99" s="525" t="s">
        <v>3763</v>
      </c>
      <c r="N99" s="525" t="s">
        <v>3764</v>
      </c>
      <c r="O99" s="525">
        <v>43</v>
      </c>
      <c r="P99" s="525" t="s">
        <v>75</v>
      </c>
      <c r="Q99" s="525"/>
      <c r="R99" s="30" t="s">
        <v>228</v>
      </c>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525">
        <v>88</v>
      </c>
      <c r="BG99" s="525">
        <v>0</v>
      </c>
      <c r="BH99" s="59" t="s">
        <v>3611</v>
      </c>
      <c r="BI99" s="58" t="s">
        <v>3612</v>
      </c>
      <c r="BJ99" s="60">
        <v>55</v>
      </c>
      <c r="BK99" s="60" t="s">
        <v>60</v>
      </c>
      <c r="BL99" s="61"/>
      <c r="BM99" s="30" t="s">
        <v>228</v>
      </c>
      <c r="BN99" s="33"/>
    </row>
    <row r="100" spans="1:66" ht="25.5" customHeight="1">
      <c r="A100" s="58">
        <v>89</v>
      </c>
      <c r="B100" s="62"/>
      <c r="C100" s="63" t="s">
        <v>846</v>
      </c>
      <c r="D100" s="64" t="s">
        <v>847</v>
      </c>
      <c r="E100" s="64">
        <v>41</v>
      </c>
      <c r="F100" s="65" t="s">
        <v>60</v>
      </c>
      <c r="G100" s="58"/>
      <c r="H100" s="30" t="s">
        <v>849</v>
      </c>
      <c r="I100" s="33"/>
      <c r="J100" s="33"/>
      <c r="K100" s="525">
        <v>89</v>
      </c>
      <c r="L100" s="525">
        <v>0</v>
      </c>
      <c r="M100" s="525" t="s">
        <v>3774</v>
      </c>
      <c r="N100" s="525" t="s">
        <v>3775</v>
      </c>
      <c r="O100" s="525">
        <v>76</v>
      </c>
      <c r="P100" s="525" t="s">
        <v>75</v>
      </c>
      <c r="Q100" s="525"/>
      <c r="R100" s="30" t="s">
        <v>228</v>
      </c>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525">
        <v>89</v>
      </c>
      <c r="BG100" s="525">
        <v>0</v>
      </c>
      <c r="BH100" s="59" t="s">
        <v>3617</v>
      </c>
      <c r="BI100" s="58" t="s">
        <v>3618</v>
      </c>
      <c r="BJ100" s="60">
        <v>38</v>
      </c>
      <c r="BK100" s="60" t="s">
        <v>60</v>
      </c>
      <c r="BL100" s="61"/>
      <c r="BM100" s="30" t="s">
        <v>228</v>
      </c>
      <c r="BN100" s="33"/>
    </row>
    <row r="101" spans="1:66" ht="25.5" customHeight="1">
      <c r="A101" s="58">
        <v>90</v>
      </c>
      <c r="B101" s="62"/>
      <c r="C101" s="63" t="s">
        <v>851</v>
      </c>
      <c r="D101" s="64" t="s">
        <v>852</v>
      </c>
      <c r="E101" s="64">
        <v>25</v>
      </c>
      <c r="F101" s="65" t="s">
        <v>60</v>
      </c>
      <c r="G101" s="58"/>
      <c r="H101" s="30" t="s">
        <v>854</v>
      </c>
      <c r="I101" s="33"/>
      <c r="J101" s="33"/>
      <c r="K101" s="525">
        <v>90</v>
      </c>
      <c r="L101" s="525">
        <v>0</v>
      </c>
      <c r="M101" s="525" t="s">
        <v>3870</v>
      </c>
      <c r="N101" s="525" t="s">
        <v>3871</v>
      </c>
      <c r="O101" s="525">
        <v>68</v>
      </c>
      <c r="P101" s="525" t="s">
        <v>60</v>
      </c>
      <c r="Q101" s="525"/>
      <c r="R101" s="30" t="s">
        <v>228</v>
      </c>
      <c r="S101" s="33"/>
      <c r="T101" s="33"/>
      <c r="U101" s="33"/>
      <c r="V101" s="33"/>
      <c r="W101" s="33"/>
      <c r="X101" s="33"/>
      <c r="Y101" s="33"/>
      <c r="Z101" s="33"/>
      <c r="AA101" s="33"/>
      <c r="AB101" s="33"/>
      <c r="AC101" s="33"/>
      <c r="AD101" s="33"/>
      <c r="AE101" s="33"/>
      <c r="AF101" s="33"/>
      <c r="AG101" s="33"/>
      <c r="AH101" s="33"/>
      <c r="AI101" s="33"/>
      <c r="AJ101" s="33"/>
      <c r="AK101" s="33"/>
      <c r="AL101" s="33"/>
      <c r="AM101" s="33"/>
      <c r="AN101" s="33"/>
      <c r="AO101" s="33"/>
      <c r="AP101" s="33"/>
      <c r="AQ101" s="33"/>
      <c r="AR101" s="33"/>
      <c r="AS101" s="33"/>
      <c r="AT101" s="33"/>
      <c r="AU101" s="33"/>
      <c r="AV101" s="33"/>
      <c r="AW101" s="33"/>
      <c r="AX101" s="33"/>
      <c r="AY101" s="33"/>
      <c r="AZ101" s="33"/>
      <c r="BA101" s="33"/>
      <c r="BB101" s="33"/>
      <c r="BC101" s="33"/>
      <c r="BD101" s="33"/>
      <c r="BE101" s="33"/>
      <c r="BF101" s="525">
        <v>90</v>
      </c>
      <c r="BG101" s="525">
        <v>0</v>
      </c>
      <c r="BH101" s="59" t="s">
        <v>3620</v>
      </c>
      <c r="BI101" s="58" t="s">
        <v>3621</v>
      </c>
      <c r="BJ101" s="60">
        <v>46</v>
      </c>
      <c r="BK101" s="60" t="s">
        <v>75</v>
      </c>
      <c r="BL101" s="61"/>
      <c r="BM101" s="30" t="s">
        <v>228</v>
      </c>
      <c r="BN101" s="33"/>
    </row>
    <row r="102" spans="1:66" ht="25.5" customHeight="1">
      <c r="A102" s="58">
        <v>91</v>
      </c>
      <c r="B102" s="62"/>
      <c r="C102" s="63" t="s">
        <v>861</v>
      </c>
      <c r="D102" s="64" t="s">
        <v>862</v>
      </c>
      <c r="E102" s="64">
        <v>76</v>
      </c>
      <c r="F102" s="65" t="s">
        <v>60</v>
      </c>
      <c r="G102" s="58"/>
      <c r="H102" s="30" t="s">
        <v>864</v>
      </c>
      <c r="I102" s="33"/>
      <c r="J102" s="33"/>
      <c r="K102" s="525">
        <v>91</v>
      </c>
      <c r="L102" s="525"/>
      <c r="M102" s="525" t="s">
        <v>4067</v>
      </c>
      <c r="N102" s="525" t="s">
        <v>4068</v>
      </c>
      <c r="O102" s="525">
        <v>70</v>
      </c>
      <c r="P102" s="525" t="s">
        <v>60</v>
      </c>
      <c r="Q102" s="525"/>
      <c r="R102" s="30" t="s">
        <v>4070</v>
      </c>
      <c r="S102" s="33"/>
      <c r="T102" s="33"/>
      <c r="U102" s="33"/>
      <c r="V102" s="33"/>
      <c r="W102" s="33"/>
      <c r="X102" s="33"/>
      <c r="Y102" s="33"/>
      <c r="Z102" s="33"/>
      <c r="AA102" s="33"/>
      <c r="AB102" s="33"/>
      <c r="AC102" s="33"/>
      <c r="AD102" s="33"/>
      <c r="AE102" s="33"/>
      <c r="AF102" s="33"/>
      <c r="AG102" s="33"/>
      <c r="AH102" s="33"/>
      <c r="AI102" s="33"/>
      <c r="AJ102" s="33"/>
      <c r="AK102" s="33"/>
      <c r="AL102" s="33"/>
      <c r="AM102" s="33"/>
      <c r="AN102" s="33"/>
      <c r="AO102" s="33"/>
      <c r="AP102" s="33"/>
      <c r="AQ102" s="33"/>
      <c r="AR102" s="33"/>
      <c r="AS102" s="33"/>
      <c r="AT102" s="33"/>
      <c r="AU102" s="33"/>
      <c r="AV102" s="33"/>
      <c r="AW102" s="33"/>
      <c r="AX102" s="33"/>
      <c r="AY102" s="33"/>
      <c r="AZ102" s="33"/>
      <c r="BA102" s="33"/>
      <c r="BB102" s="33"/>
      <c r="BC102" s="33"/>
      <c r="BD102" s="33"/>
      <c r="BE102" s="33"/>
      <c r="BF102" s="525">
        <v>91</v>
      </c>
      <c r="BG102" s="525">
        <v>0</v>
      </c>
      <c r="BH102" s="59" t="s">
        <v>3624</v>
      </c>
      <c r="BI102" s="58" t="s">
        <v>3625</v>
      </c>
      <c r="BJ102" s="60">
        <v>35</v>
      </c>
      <c r="BK102" s="60" t="s">
        <v>60</v>
      </c>
      <c r="BL102" s="61"/>
      <c r="BM102" s="30" t="s">
        <v>228</v>
      </c>
      <c r="BN102" s="33"/>
    </row>
    <row r="103" spans="1:66" ht="25.5" customHeight="1">
      <c r="A103" s="58">
        <v>92</v>
      </c>
      <c r="B103" s="62"/>
      <c r="C103" s="63" t="s">
        <v>2046</v>
      </c>
      <c r="D103" s="64" t="s">
        <v>2047</v>
      </c>
      <c r="E103" s="64">
        <v>33</v>
      </c>
      <c r="F103" s="65" t="s">
        <v>75</v>
      </c>
      <c r="G103" s="58"/>
      <c r="H103" s="30" t="s">
        <v>2049</v>
      </c>
      <c r="I103" s="33"/>
      <c r="J103" s="33"/>
      <c r="K103" s="525">
        <v>92</v>
      </c>
      <c r="L103" s="525"/>
      <c r="M103" s="525" t="s">
        <v>4259</v>
      </c>
      <c r="N103" s="525" t="s">
        <v>4260</v>
      </c>
      <c r="O103" s="525">
        <v>61</v>
      </c>
      <c r="P103" s="525" t="s">
        <v>75</v>
      </c>
      <c r="Q103" s="525"/>
      <c r="R103" s="30" t="s">
        <v>4265</v>
      </c>
      <c r="S103" s="33"/>
      <c r="T103" s="33"/>
      <c r="U103" s="33"/>
      <c r="V103" s="33"/>
      <c r="W103" s="33"/>
      <c r="X103" s="33"/>
      <c r="Y103" s="33"/>
      <c r="Z103" s="33"/>
      <c r="AA103" s="33"/>
      <c r="AB103" s="33"/>
      <c r="AC103" s="33"/>
      <c r="AD103" s="33"/>
      <c r="AE103" s="33"/>
      <c r="AF103" s="33"/>
      <c r="AG103" s="33"/>
      <c r="AH103" s="33"/>
      <c r="AI103" s="33"/>
      <c r="AJ103" s="33"/>
      <c r="AK103" s="33"/>
      <c r="AL103" s="33"/>
      <c r="AM103" s="33"/>
      <c r="AN103" s="33"/>
      <c r="AO103" s="33"/>
      <c r="AP103" s="33"/>
      <c r="AQ103" s="33"/>
      <c r="AR103" s="33"/>
      <c r="AS103" s="33"/>
      <c r="AT103" s="33"/>
      <c r="AU103" s="33"/>
      <c r="AV103" s="33"/>
      <c r="AW103" s="33"/>
      <c r="AX103" s="33"/>
      <c r="AY103" s="33"/>
      <c r="AZ103" s="33"/>
      <c r="BA103" s="33"/>
      <c r="BB103" s="33"/>
      <c r="BC103" s="33"/>
      <c r="BD103" s="33"/>
      <c r="BE103" s="33"/>
      <c r="BF103" s="525">
        <v>92</v>
      </c>
      <c r="BG103" s="525">
        <v>0</v>
      </c>
      <c r="BH103" s="59" t="s">
        <v>3637</v>
      </c>
      <c r="BI103" s="58" t="s">
        <v>3638</v>
      </c>
      <c r="BJ103" s="60">
        <v>38</v>
      </c>
      <c r="BK103" s="60" t="s">
        <v>60</v>
      </c>
      <c r="BL103" s="61"/>
      <c r="BM103" s="30" t="s">
        <v>228</v>
      </c>
      <c r="BN103" s="33"/>
    </row>
    <row r="104" spans="1:66" ht="25.5" customHeight="1">
      <c r="A104" s="58">
        <v>93</v>
      </c>
      <c r="B104" s="62"/>
      <c r="C104" s="63" t="s">
        <v>2051</v>
      </c>
      <c r="D104" s="64" t="s">
        <v>2052</v>
      </c>
      <c r="E104" s="64">
        <v>53</v>
      </c>
      <c r="F104" s="65" t="s">
        <v>60</v>
      </c>
      <c r="G104" s="58"/>
      <c r="H104" s="30" t="s">
        <v>2054</v>
      </c>
      <c r="I104" s="33"/>
      <c r="J104" s="33"/>
      <c r="K104" s="525">
        <v>93</v>
      </c>
      <c r="L104" s="525"/>
      <c r="M104" s="525" t="s">
        <v>4267</v>
      </c>
      <c r="N104" s="525" t="s">
        <v>4268</v>
      </c>
      <c r="O104" s="525">
        <v>42</v>
      </c>
      <c r="P104" s="525" t="s">
        <v>75</v>
      </c>
      <c r="Q104" s="525"/>
      <c r="R104" s="30" t="s">
        <v>4272</v>
      </c>
      <c r="S104" s="33"/>
      <c r="T104" s="33"/>
      <c r="U104" s="33"/>
      <c r="V104" s="33"/>
      <c r="W104" s="33"/>
      <c r="X104" s="33"/>
      <c r="Y104" s="33"/>
      <c r="Z104" s="33"/>
      <c r="AA104" s="33"/>
      <c r="AB104" s="33"/>
      <c r="AC104" s="33"/>
      <c r="AD104" s="33"/>
      <c r="AE104" s="33"/>
      <c r="AF104" s="33"/>
      <c r="AG104" s="33"/>
      <c r="AH104" s="33"/>
      <c r="AI104" s="33"/>
      <c r="AJ104" s="33"/>
      <c r="AK104" s="33"/>
      <c r="AL104" s="33"/>
      <c r="AM104" s="33"/>
      <c r="AN104" s="33"/>
      <c r="AO104" s="33"/>
      <c r="AP104" s="33"/>
      <c r="AQ104" s="33"/>
      <c r="AR104" s="33"/>
      <c r="AS104" s="33"/>
      <c r="AT104" s="33"/>
      <c r="AU104" s="33"/>
      <c r="AV104" s="33"/>
      <c r="AW104" s="33"/>
      <c r="AX104" s="33"/>
      <c r="AY104" s="33"/>
      <c r="AZ104" s="33"/>
      <c r="BA104" s="33"/>
      <c r="BB104" s="33"/>
      <c r="BC104" s="33"/>
      <c r="BD104" s="33"/>
      <c r="BE104" s="33"/>
      <c r="BF104" s="525">
        <v>93</v>
      </c>
      <c r="BG104" s="525">
        <v>0</v>
      </c>
      <c r="BH104" s="59" t="s">
        <v>3648</v>
      </c>
      <c r="BI104" s="58" t="s">
        <v>3649</v>
      </c>
      <c r="BJ104" s="60">
        <v>43</v>
      </c>
      <c r="BK104" s="60" t="s">
        <v>60</v>
      </c>
      <c r="BL104" s="61"/>
      <c r="BM104" s="30" t="s">
        <v>228</v>
      </c>
      <c r="BN104" s="33"/>
    </row>
    <row r="105" spans="1:66" ht="25.5" customHeight="1">
      <c r="A105" s="58">
        <v>94</v>
      </c>
      <c r="B105" s="62"/>
      <c r="C105" s="63" t="s">
        <v>2307</v>
      </c>
      <c r="D105" s="64" t="s">
        <v>2308</v>
      </c>
      <c r="E105" s="64">
        <v>39</v>
      </c>
      <c r="F105" s="65" t="s">
        <v>60</v>
      </c>
      <c r="G105" s="58"/>
      <c r="H105" s="30">
        <v>0</v>
      </c>
      <c r="I105" s="33"/>
      <c r="J105" s="33"/>
      <c r="K105" s="525">
        <v>94</v>
      </c>
      <c r="L105" s="525"/>
      <c r="M105" s="525" t="s">
        <v>4282</v>
      </c>
      <c r="N105" s="525" t="s">
        <v>4283</v>
      </c>
      <c r="O105" s="525">
        <v>60</v>
      </c>
      <c r="P105" s="525" t="s">
        <v>60</v>
      </c>
      <c r="Q105" s="525"/>
      <c r="R105" s="30" t="s">
        <v>4287</v>
      </c>
      <c r="S105" s="33"/>
      <c r="T105" s="33"/>
      <c r="U105" s="33"/>
      <c r="V105" s="33"/>
      <c r="W105" s="33"/>
      <c r="X105" s="33"/>
      <c r="Y105" s="33"/>
      <c r="Z105" s="33"/>
      <c r="AA105" s="33"/>
      <c r="AB105" s="33"/>
      <c r="AC105" s="33"/>
      <c r="AD105" s="33"/>
      <c r="AE105" s="33"/>
      <c r="AF105" s="33"/>
      <c r="AG105" s="33"/>
      <c r="AH105" s="33"/>
      <c r="AI105" s="33"/>
      <c r="AJ105" s="33"/>
      <c r="AK105" s="33"/>
      <c r="AL105" s="33"/>
      <c r="AM105" s="33"/>
      <c r="AN105" s="33"/>
      <c r="AO105" s="33"/>
      <c r="AP105" s="33"/>
      <c r="AQ105" s="33"/>
      <c r="AR105" s="33"/>
      <c r="AS105" s="33"/>
      <c r="AT105" s="33"/>
      <c r="AU105" s="33"/>
      <c r="AV105" s="33"/>
      <c r="AW105" s="33"/>
      <c r="AX105" s="33"/>
      <c r="AY105" s="33"/>
      <c r="AZ105" s="33"/>
      <c r="BA105" s="33"/>
      <c r="BB105" s="33"/>
      <c r="BC105" s="33"/>
      <c r="BD105" s="33"/>
      <c r="BE105" s="33"/>
      <c r="BF105" s="525">
        <v>94</v>
      </c>
      <c r="BG105" s="525">
        <v>0</v>
      </c>
      <c r="BH105" s="59" t="s">
        <v>3664</v>
      </c>
      <c r="BI105" s="58" t="s">
        <v>3665</v>
      </c>
      <c r="BJ105" s="60">
        <v>27</v>
      </c>
      <c r="BK105" s="60" t="s">
        <v>60</v>
      </c>
      <c r="BL105" s="61"/>
      <c r="BM105" s="30" t="s">
        <v>228</v>
      </c>
      <c r="BN105" s="33"/>
    </row>
    <row r="106" spans="1:66" ht="25.5" customHeight="1">
      <c r="A106" s="58">
        <v>95</v>
      </c>
      <c r="B106" s="62"/>
      <c r="C106" s="63" t="s">
        <v>2311</v>
      </c>
      <c r="D106" s="64" t="s">
        <v>2312</v>
      </c>
      <c r="E106" s="64">
        <v>76</v>
      </c>
      <c r="F106" s="65" t="s">
        <v>75</v>
      </c>
      <c r="G106" s="58"/>
      <c r="H106" s="30">
        <v>0</v>
      </c>
      <c r="I106" s="33"/>
      <c r="J106" s="33"/>
      <c r="K106" s="525">
        <v>95</v>
      </c>
      <c r="L106" s="525"/>
      <c r="M106" s="525" t="s">
        <v>4289</v>
      </c>
      <c r="N106" s="525" t="s">
        <v>4290</v>
      </c>
      <c r="O106" s="525">
        <v>75</v>
      </c>
      <c r="P106" s="525" t="s">
        <v>75</v>
      </c>
      <c r="Q106" s="525"/>
      <c r="R106" s="30" t="s">
        <v>4293</v>
      </c>
      <c r="S106" s="33"/>
      <c r="T106" s="33"/>
      <c r="U106" s="33"/>
      <c r="V106" s="33"/>
      <c r="W106" s="33"/>
      <c r="X106" s="33"/>
      <c r="Y106" s="33"/>
      <c r="Z106" s="33"/>
      <c r="AA106" s="33"/>
      <c r="AB106" s="33"/>
      <c r="AC106" s="33"/>
      <c r="AD106" s="33"/>
      <c r="AE106" s="33"/>
      <c r="AF106" s="33"/>
      <c r="AG106" s="33"/>
      <c r="AH106" s="33"/>
      <c r="AI106" s="33"/>
      <c r="AJ106" s="33"/>
      <c r="AK106" s="33"/>
      <c r="AL106" s="33"/>
      <c r="AM106" s="33"/>
      <c r="AN106" s="33"/>
      <c r="AO106" s="33"/>
      <c r="AP106" s="33"/>
      <c r="AQ106" s="33"/>
      <c r="AR106" s="33"/>
      <c r="AS106" s="33"/>
      <c r="AT106" s="33"/>
      <c r="AU106" s="33"/>
      <c r="AV106" s="33"/>
      <c r="AW106" s="33"/>
      <c r="AX106" s="33"/>
      <c r="AY106" s="33"/>
      <c r="AZ106" s="33"/>
      <c r="BA106" s="33"/>
      <c r="BB106" s="33"/>
      <c r="BC106" s="33"/>
      <c r="BD106" s="33"/>
      <c r="BE106" s="33"/>
      <c r="BF106" s="525">
        <v>95</v>
      </c>
      <c r="BG106" s="525">
        <v>0</v>
      </c>
      <c r="BH106" s="59" t="s">
        <v>3669</v>
      </c>
      <c r="BI106" s="58" t="s">
        <v>3670</v>
      </c>
      <c r="BJ106" s="60">
        <v>73</v>
      </c>
      <c r="BK106" s="60" t="s">
        <v>60</v>
      </c>
      <c r="BL106" s="61"/>
      <c r="BM106" s="30" t="s">
        <v>228</v>
      </c>
      <c r="BN106" s="33"/>
    </row>
    <row r="107" spans="1:66" ht="25.5" customHeight="1">
      <c r="A107" s="58">
        <v>96</v>
      </c>
      <c r="B107" s="62"/>
      <c r="C107" s="63" t="s">
        <v>2315</v>
      </c>
      <c r="D107" s="64" t="s">
        <v>2316</v>
      </c>
      <c r="E107" s="64">
        <v>40</v>
      </c>
      <c r="F107" s="65" t="s">
        <v>75</v>
      </c>
      <c r="G107" s="58"/>
      <c r="H107" s="30">
        <v>0</v>
      </c>
      <c r="I107" s="33"/>
      <c r="J107" s="33"/>
      <c r="K107" s="525">
        <v>96</v>
      </c>
      <c r="L107" s="525"/>
      <c r="M107" s="525" t="s">
        <v>4295</v>
      </c>
      <c r="N107" s="525" t="s">
        <v>4296</v>
      </c>
      <c r="O107" s="525">
        <v>61</v>
      </c>
      <c r="P107" s="525" t="s">
        <v>75</v>
      </c>
      <c r="Q107" s="525"/>
      <c r="R107" s="30"/>
      <c r="S107" s="33"/>
      <c r="T107" s="33"/>
      <c r="U107" s="33"/>
      <c r="V107" s="33"/>
      <c r="W107" s="33"/>
      <c r="X107" s="33"/>
      <c r="Y107" s="33"/>
      <c r="Z107" s="33"/>
      <c r="AA107" s="33"/>
      <c r="AB107" s="33"/>
      <c r="AC107" s="33"/>
      <c r="AD107" s="33"/>
      <c r="AE107" s="33"/>
      <c r="AF107" s="33"/>
      <c r="AG107" s="33"/>
      <c r="AH107" s="33"/>
      <c r="AI107" s="33"/>
      <c r="AJ107" s="33"/>
      <c r="AK107" s="33"/>
      <c r="AL107" s="33"/>
      <c r="AM107" s="33"/>
      <c r="AN107" s="33"/>
      <c r="AO107" s="33"/>
      <c r="AP107" s="33"/>
      <c r="AQ107" s="33"/>
      <c r="AR107" s="33"/>
      <c r="AS107" s="33"/>
      <c r="AT107" s="33"/>
      <c r="AU107" s="33"/>
      <c r="AV107" s="33"/>
      <c r="AW107" s="33"/>
      <c r="AX107" s="33"/>
      <c r="AY107" s="33"/>
      <c r="AZ107" s="33"/>
      <c r="BA107" s="33"/>
      <c r="BB107" s="33"/>
      <c r="BC107" s="33"/>
      <c r="BD107" s="33"/>
      <c r="BE107" s="33"/>
      <c r="BF107" s="525">
        <v>96</v>
      </c>
      <c r="BG107" s="525">
        <v>0</v>
      </c>
      <c r="BH107" s="59" t="s">
        <v>3678</v>
      </c>
      <c r="BI107" s="58" t="s">
        <v>3679</v>
      </c>
      <c r="BJ107" s="60">
        <v>59</v>
      </c>
      <c r="BK107" s="60" t="s">
        <v>60</v>
      </c>
      <c r="BL107" s="61"/>
      <c r="BM107" s="30" t="s">
        <v>228</v>
      </c>
      <c r="BN107" s="33"/>
    </row>
    <row r="108" spans="1:66" ht="25.5" customHeight="1">
      <c r="A108" s="58">
        <v>97</v>
      </c>
      <c r="B108" s="62"/>
      <c r="C108" s="63" t="s">
        <v>2319</v>
      </c>
      <c r="D108" s="64" t="s">
        <v>2320</v>
      </c>
      <c r="E108" s="64">
        <v>64</v>
      </c>
      <c r="F108" s="65" t="s">
        <v>60</v>
      </c>
      <c r="G108" s="58"/>
      <c r="H108" s="30">
        <v>0</v>
      </c>
      <c r="I108" s="33"/>
      <c r="J108" s="33"/>
      <c r="K108" s="525">
        <v>97</v>
      </c>
      <c r="L108" s="525"/>
      <c r="M108" s="525" t="s">
        <v>4307</v>
      </c>
      <c r="N108" s="525" t="s">
        <v>4308</v>
      </c>
      <c r="O108" s="525">
        <v>43</v>
      </c>
      <c r="P108" s="525" t="s">
        <v>75</v>
      </c>
      <c r="Q108" s="525"/>
      <c r="R108" s="30"/>
      <c r="S108" s="33"/>
      <c r="T108" s="33"/>
      <c r="U108" s="33"/>
      <c r="V108" s="33"/>
      <c r="W108" s="33"/>
      <c r="X108" s="33"/>
      <c r="Y108" s="33"/>
      <c r="Z108" s="33"/>
      <c r="AA108" s="33"/>
      <c r="AB108" s="33"/>
      <c r="AC108" s="33"/>
      <c r="AD108" s="33"/>
      <c r="AE108" s="33"/>
      <c r="AF108" s="33"/>
      <c r="AG108" s="33"/>
      <c r="AH108" s="33"/>
      <c r="AI108" s="33"/>
      <c r="AJ108" s="33"/>
      <c r="AK108" s="33"/>
      <c r="AL108" s="33"/>
      <c r="AM108" s="33"/>
      <c r="AN108" s="33"/>
      <c r="AO108" s="33"/>
      <c r="AP108" s="33"/>
      <c r="AQ108" s="33"/>
      <c r="AR108" s="33"/>
      <c r="AS108" s="33"/>
      <c r="AT108" s="33"/>
      <c r="AU108" s="33"/>
      <c r="AV108" s="33"/>
      <c r="AW108" s="33"/>
      <c r="AX108" s="33"/>
      <c r="AY108" s="33"/>
      <c r="AZ108" s="33"/>
      <c r="BA108" s="33"/>
      <c r="BB108" s="33"/>
      <c r="BC108" s="33"/>
      <c r="BD108" s="33"/>
      <c r="BE108" s="33"/>
      <c r="BF108" s="525">
        <v>97</v>
      </c>
      <c r="BG108" s="525">
        <v>0</v>
      </c>
      <c r="BH108" s="59" t="s">
        <v>3703</v>
      </c>
      <c r="BI108" s="58" t="s">
        <v>3704</v>
      </c>
      <c r="BJ108" s="60">
        <v>39</v>
      </c>
      <c r="BK108" s="60" t="s">
        <v>60</v>
      </c>
      <c r="BL108" s="61"/>
      <c r="BM108" s="30" t="s">
        <v>228</v>
      </c>
      <c r="BN108" s="33"/>
    </row>
    <row r="109" spans="1:66" ht="25.5" customHeight="1">
      <c r="A109" s="58">
        <v>98</v>
      </c>
      <c r="B109" s="62"/>
      <c r="C109" s="63" t="s">
        <v>2323</v>
      </c>
      <c r="D109" s="64" t="s">
        <v>2324</v>
      </c>
      <c r="E109" s="64">
        <v>47</v>
      </c>
      <c r="F109" s="65" t="s">
        <v>60</v>
      </c>
      <c r="G109" s="58"/>
      <c r="H109" s="30">
        <v>0</v>
      </c>
      <c r="I109" s="33"/>
      <c r="J109" s="33"/>
      <c r="K109" s="525">
        <v>98</v>
      </c>
      <c r="L109" s="525"/>
      <c r="M109" s="525" t="s">
        <v>4376</v>
      </c>
      <c r="N109" s="525" t="s">
        <v>4377</v>
      </c>
      <c r="O109" s="525">
        <v>75</v>
      </c>
      <c r="P109" s="525" t="s">
        <v>75</v>
      </c>
      <c r="Q109" s="525"/>
      <c r="R109" s="30"/>
      <c r="S109" s="33"/>
      <c r="T109" s="33"/>
      <c r="U109" s="33"/>
      <c r="V109" s="33"/>
      <c r="W109" s="33"/>
      <c r="X109" s="33"/>
      <c r="Y109" s="33"/>
      <c r="Z109" s="33"/>
      <c r="AA109" s="33"/>
      <c r="AB109" s="33"/>
      <c r="AC109" s="33"/>
      <c r="AD109" s="33"/>
      <c r="AE109" s="33"/>
      <c r="AF109" s="33"/>
      <c r="AG109" s="33"/>
      <c r="AH109" s="33"/>
      <c r="AI109" s="33"/>
      <c r="AJ109" s="33"/>
      <c r="AK109" s="33"/>
      <c r="AL109" s="33"/>
      <c r="AM109" s="33"/>
      <c r="AN109" s="33"/>
      <c r="AO109" s="33"/>
      <c r="AP109" s="33"/>
      <c r="AQ109" s="33"/>
      <c r="AR109" s="33"/>
      <c r="AS109" s="33"/>
      <c r="AT109" s="33"/>
      <c r="AU109" s="33"/>
      <c r="AV109" s="33"/>
      <c r="AW109" s="33"/>
      <c r="AX109" s="33"/>
      <c r="AY109" s="33"/>
      <c r="AZ109" s="33"/>
      <c r="BA109" s="33"/>
      <c r="BB109" s="33"/>
      <c r="BC109" s="33"/>
      <c r="BD109" s="33"/>
      <c r="BE109" s="33"/>
      <c r="BF109" s="525">
        <v>98</v>
      </c>
      <c r="BG109" s="525">
        <v>0</v>
      </c>
      <c r="BH109" s="59" t="s">
        <v>3707</v>
      </c>
      <c r="BI109" s="58" t="s">
        <v>3708</v>
      </c>
      <c r="BJ109" s="60">
        <v>71</v>
      </c>
      <c r="BK109" s="60" t="s">
        <v>60</v>
      </c>
      <c r="BL109" s="61"/>
      <c r="BM109" s="30" t="s">
        <v>228</v>
      </c>
      <c r="BN109" s="33"/>
    </row>
    <row r="110" spans="1:66" ht="25.5" customHeight="1">
      <c r="A110" s="58">
        <v>99</v>
      </c>
      <c r="B110" s="62"/>
      <c r="C110" s="63" t="s">
        <v>2327</v>
      </c>
      <c r="D110" s="64" t="s">
        <v>2328</v>
      </c>
      <c r="E110" s="64">
        <v>46</v>
      </c>
      <c r="F110" s="65" t="s">
        <v>75</v>
      </c>
      <c r="G110" s="58"/>
      <c r="H110" s="30">
        <v>0</v>
      </c>
      <c r="I110" s="33"/>
      <c r="J110" s="33"/>
      <c r="K110" s="525">
        <v>99</v>
      </c>
      <c r="L110" s="525"/>
      <c r="M110" s="525" t="s">
        <v>4378</v>
      </c>
      <c r="N110" s="525" t="s">
        <v>4379</v>
      </c>
      <c r="O110" s="525">
        <v>37</v>
      </c>
      <c r="P110" s="525" t="s">
        <v>75</v>
      </c>
      <c r="Q110" s="525"/>
      <c r="R110" s="30"/>
      <c r="S110" s="33"/>
      <c r="T110" s="33"/>
      <c r="U110" s="33"/>
      <c r="V110" s="33"/>
      <c r="W110" s="33"/>
      <c r="X110" s="33"/>
      <c r="Y110" s="33"/>
      <c r="Z110" s="33"/>
      <c r="AA110" s="33"/>
      <c r="AB110" s="33"/>
      <c r="AC110" s="33"/>
      <c r="AD110" s="33"/>
      <c r="AE110" s="33"/>
      <c r="AF110" s="33"/>
      <c r="AG110" s="33"/>
      <c r="AH110" s="33"/>
      <c r="AI110" s="33"/>
      <c r="AJ110" s="33"/>
      <c r="AK110" s="33"/>
      <c r="AL110" s="33"/>
      <c r="AM110" s="33"/>
      <c r="AN110" s="33"/>
      <c r="AO110" s="33"/>
      <c r="AP110" s="33"/>
      <c r="AQ110" s="33"/>
      <c r="AR110" s="33"/>
      <c r="AS110" s="33"/>
      <c r="AT110" s="33"/>
      <c r="AU110" s="33"/>
      <c r="AV110" s="33"/>
      <c r="AW110" s="33"/>
      <c r="AX110" s="33"/>
      <c r="AY110" s="33"/>
      <c r="AZ110" s="33"/>
      <c r="BA110" s="33"/>
      <c r="BB110" s="33"/>
      <c r="BC110" s="33"/>
      <c r="BD110" s="33"/>
      <c r="BE110" s="33"/>
      <c r="BF110" s="525">
        <v>99</v>
      </c>
      <c r="BG110" s="525">
        <v>0</v>
      </c>
      <c r="BH110" s="59" t="s">
        <v>3750</v>
      </c>
      <c r="BI110" s="58" t="s">
        <v>3751</v>
      </c>
      <c r="BJ110" s="60">
        <v>62</v>
      </c>
      <c r="BK110" s="60" t="s">
        <v>60</v>
      </c>
      <c r="BL110" s="61"/>
      <c r="BM110" s="30" t="s">
        <v>228</v>
      </c>
      <c r="BN110" s="33"/>
    </row>
    <row r="111" spans="1:66" ht="25.5" customHeight="1">
      <c r="A111" s="58">
        <v>100</v>
      </c>
      <c r="B111" s="62"/>
      <c r="C111" s="63" t="s">
        <v>2331</v>
      </c>
      <c r="D111" s="64" t="s">
        <v>2332</v>
      </c>
      <c r="E111" s="64">
        <v>40</v>
      </c>
      <c r="F111" s="65" t="s">
        <v>75</v>
      </c>
      <c r="G111" s="58"/>
      <c r="H111" s="30">
        <v>0</v>
      </c>
      <c r="I111" s="33"/>
      <c r="J111" s="33"/>
      <c r="K111" s="525">
        <v>100</v>
      </c>
      <c r="L111" s="525"/>
      <c r="M111" s="525" t="s">
        <v>4380</v>
      </c>
      <c r="N111" s="525" t="s">
        <v>4381</v>
      </c>
      <c r="O111" s="525">
        <v>45</v>
      </c>
      <c r="P111" s="525" t="s">
        <v>75</v>
      </c>
      <c r="Q111" s="525"/>
      <c r="R111" s="30"/>
      <c r="S111" s="33"/>
      <c r="T111" s="33"/>
      <c r="U111" s="33"/>
      <c r="V111" s="33"/>
      <c r="W111" s="33"/>
      <c r="X111" s="33"/>
      <c r="Y111" s="33"/>
      <c r="Z111" s="33"/>
      <c r="AA111" s="33"/>
      <c r="AB111" s="33"/>
      <c r="AC111" s="33"/>
      <c r="AD111" s="33"/>
      <c r="AE111" s="33"/>
      <c r="AF111" s="33"/>
      <c r="AG111" s="33"/>
      <c r="AH111" s="33"/>
      <c r="AI111" s="33"/>
      <c r="AJ111" s="33"/>
      <c r="AK111" s="33"/>
      <c r="AL111" s="33"/>
      <c r="AM111" s="33"/>
      <c r="AN111" s="33"/>
      <c r="AO111" s="33"/>
      <c r="AP111" s="33"/>
      <c r="AQ111" s="33"/>
      <c r="AR111" s="33"/>
      <c r="AS111" s="33"/>
      <c r="AT111" s="33"/>
      <c r="AU111" s="33"/>
      <c r="AV111" s="33"/>
      <c r="AW111" s="33"/>
      <c r="AX111" s="33"/>
      <c r="AY111" s="33"/>
      <c r="AZ111" s="33"/>
      <c r="BA111" s="33"/>
      <c r="BB111" s="33"/>
      <c r="BC111" s="33"/>
      <c r="BD111" s="33"/>
      <c r="BE111" s="33"/>
      <c r="BF111" s="525">
        <v>100</v>
      </c>
      <c r="BG111" s="525">
        <v>0</v>
      </c>
      <c r="BH111" s="59" t="s">
        <v>3793</v>
      </c>
      <c r="BI111" s="58" t="s">
        <v>3794</v>
      </c>
      <c r="BJ111" s="60">
        <v>63</v>
      </c>
      <c r="BK111" s="60" t="s">
        <v>75</v>
      </c>
      <c r="BL111" s="61"/>
      <c r="BM111" s="30" t="s">
        <v>228</v>
      </c>
      <c r="BN111" s="33"/>
    </row>
    <row r="112" spans="1:66" ht="25.5" customHeight="1">
      <c r="A112" s="58">
        <v>101</v>
      </c>
      <c r="B112" s="62"/>
      <c r="C112" s="63" t="s">
        <v>2335</v>
      </c>
      <c r="D112" s="64" t="s">
        <v>2336</v>
      </c>
      <c r="E112" s="64">
        <v>72</v>
      </c>
      <c r="F112" s="65" t="s">
        <v>75</v>
      </c>
      <c r="G112" s="58"/>
      <c r="H112" s="30">
        <v>0</v>
      </c>
      <c r="I112" s="33"/>
      <c r="J112" s="33"/>
      <c r="K112" s="525">
        <v>101</v>
      </c>
      <c r="L112" s="525"/>
      <c r="M112" s="525" t="s">
        <v>4382</v>
      </c>
      <c r="N112" s="525" t="s">
        <v>4383</v>
      </c>
      <c r="O112" s="525">
        <v>65</v>
      </c>
      <c r="P112" s="525" t="s">
        <v>75</v>
      </c>
      <c r="Q112" s="525"/>
      <c r="R112" s="30"/>
      <c r="S112" s="33"/>
      <c r="T112" s="33"/>
      <c r="U112" s="33"/>
      <c r="V112" s="33"/>
      <c r="W112" s="33"/>
      <c r="X112" s="33"/>
      <c r="Y112" s="33"/>
      <c r="Z112" s="33"/>
      <c r="AA112" s="33"/>
      <c r="AB112" s="33"/>
      <c r="AC112" s="33"/>
      <c r="AD112" s="33"/>
      <c r="AE112" s="33"/>
      <c r="AF112" s="33"/>
      <c r="AG112" s="33"/>
      <c r="AH112" s="33"/>
      <c r="AI112" s="33"/>
      <c r="AJ112" s="33"/>
      <c r="AK112" s="33"/>
      <c r="AL112" s="33"/>
      <c r="AM112" s="33"/>
      <c r="AN112" s="33"/>
      <c r="AO112" s="33"/>
      <c r="AP112" s="33"/>
      <c r="AQ112" s="33"/>
      <c r="AR112" s="33"/>
      <c r="AS112" s="33"/>
      <c r="AT112" s="33"/>
      <c r="AU112" s="33"/>
      <c r="AV112" s="33"/>
      <c r="AW112" s="33"/>
      <c r="AX112" s="33"/>
      <c r="AY112" s="33"/>
      <c r="AZ112" s="33"/>
      <c r="BA112" s="33"/>
      <c r="BB112" s="33"/>
      <c r="BC112" s="33"/>
      <c r="BD112" s="33"/>
      <c r="BE112" s="33"/>
      <c r="BF112" s="525">
        <v>101</v>
      </c>
      <c r="BG112" s="525">
        <v>235</v>
      </c>
      <c r="BH112" s="59" t="s">
        <v>4055</v>
      </c>
      <c r="BI112" s="58" t="s">
        <v>4056</v>
      </c>
      <c r="BJ112" s="60">
        <v>61</v>
      </c>
      <c r="BK112" s="60" t="s">
        <v>75</v>
      </c>
      <c r="BL112" s="61"/>
      <c r="BM112" s="30" t="s">
        <v>4059</v>
      </c>
      <c r="BN112" s="33"/>
    </row>
    <row r="113" spans="1:66" ht="25.5" customHeight="1">
      <c r="A113" s="58">
        <v>102</v>
      </c>
      <c r="B113" s="62" t="s">
        <v>2339</v>
      </c>
      <c r="C113" s="63" t="s">
        <v>2340</v>
      </c>
      <c r="D113" s="64" t="s">
        <v>2341</v>
      </c>
      <c r="E113" s="64">
        <v>28</v>
      </c>
      <c r="F113" s="65" t="s">
        <v>75</v>
      </c>
      <c r="G113" s="58"/>
      <c r="H113" s="30">
        <v>0</v>
      </c>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33"/>
      <c r="AJ113" s="33"/>
      <c r="AK113" s="33"/>
      <c r="AL113" s="33"/>
      <c r="AM113" s="33"/>
      <c r="AN113" s="33"/>
      <c r="AO113" s="33"/>
      <c r="AP113" s="33"/>
      <c r="AQ113" s="33"/>
      <c r="AR113" s="33"/>
      <c r="AS113" s="33"/>
      <c r="AT113" s="33"/>
      <c r="AU113" s="33"/>
      <c r="AV113" s="33"/>
      <c r="AW113" s="33"/>
      <c r="AX113" s="33"/>
      <c r="AY113" s="33"/>
      <c r="AZ113" s="33"/>
      <c r="BA113" s="33"/>
      <c r="BB113" s="33"/>
      <c r="BC113" s="33"/>
      <c r="BD113" s="33"/>
      <c r="BE113" s="33"/>
      <c r="BF113" s="525">
        <v>102</v>
      </c>
      <c r="BG113" s="525"/>
      <c r="BH113" s="59" t="s">
        <v>4298</v>
      </c>
      <c r="BI113" s="58" t="s">
        <v>4299</v>
      </c>
      <c r="BJ113" s="60">
        <v>26</v>
      </c>
      <c r="BK113" s="60" t="s">
        <v>60</v>
      </c>
      <c r="BL113" s="61"/>
      <c r="BM113" s="30"/>
      <c r="BN113" s="33"/>
    </row>
    <row r="114" spans="1:66" ht="25.5" customHeight="1">
      <c r="A114" s="58">
        <v>103</v>
      </c>
      <c r="B114" s="62"/>
      <c r="C114" s="63" t="s">
        <v>2344</v>
      </c>
      <c r="D114" s="64" t="s">
        <v>2345</v>
      </c>
      <c r="E114" s="64">
        <v>69</v>
      </c>
      <c r="F114" s="65" t="s">
        <v>60</v>
      </c>
      <c r="G114" s="58"/>
      <c r="H114" s="30">
        <v>0</v>
      </c>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I114" s="33"/>
      <c r="AJ114" s="33"/>
      <c r="AK114" s="33"/>
      <c r="AL114" s="33"/>
      <c r="AM114" s="33"/>
      <c r="AN114" s="33"/>
      <c r="AO114" s="33"/>
      <c r="AP114" s="33"/>
      <c r="AQ114" s="33"/>
      <c r="AR114" s="33"/>
      <c r="AS114" s="33"/>
      <c r="AT114" s="33"/>
      <c r="AU114" s="33"/>
      <c r="AV114" s="33"/>
      <c r="AW114" s="33"/>
      <c r="AX114" s="33"/>
      <c r="AY114" s="33"/>
      <c r="AZ114" s="33"/>
      <c r="BA114" s="33"/>
      <c r="BB114" s="33"/>
      <c r="BC114" s="33"/>
      <c r="BD114" s="33"/>
      <c r="BE114" s="33"/>
      <c r="BF114" s="525">
        <v>103</v>
      </c>
      <c r="BG114" s="525"/>
      <c r="BH114" s="59" t="s">
        <v>4300</v>
      </c>
      <c r="BI114" s="58" t="s">
        <v>4301</v>
      </c>
      <c r="BJ114" s="60">
        <v>62</v>
      </c>
      <c r="BK114" s="60" t="s">
        <v>60</v>
      </c>
      <c r="BL114" s="61"/>
      <c r="BM114" s="30"/>
      <c r="BN114" s="33"/>
    </row>
    <row r="115" spans="1:66" ht="25.5" customHeight="1">
      <c r="A115" s="58">
        <v>104</v>
      </c>
      <c r="B115" s="62"/>
      <c r="C115" s="63" t="s">
        <v>2348</v>
      </c>
      <c r="D115" s="64" t="s">
        <v>2349</v>
      </c>
      <c r="E115" s="64">
        <v>64</v>
      </c>
      <c r="F115" s="65" t="s">
        <v>75</v>
      </c>
      <c r="G115" s="58"/>
      <c r="H115" s="30">
        <v>0</v>
      </c>
      <c r="I115" s="33"/>
      <c r="J115" s="33"/>
      <c r="K115" s="33"/>
      <c r="L115" s="33"/>
      <c r="M115" s="33"/>
      <c r="N115" s="33"/>
      <c r="O115" s="33"/>
      <c r="P115" s="33"/>
      <c r="Q115" s="33"/>
      <c r="R115" s="33"/>
      <c r="S115" s="33"/>
      <c r="T115" s="33"/>
      <c r="U115" s="33"/>
      <c r="V115" s="33"/>
      <c r="W115" s="33"/>
      <c r="X115" s="33"/>
      <c r="Y115" s="33"/>
      <c r="Z115" s="33"/>
      <c r="AA115" s="33"/>
      <c r="AB115" s="33"/>
      <c r="AC115" s="33"/>
      <c r="AD115" s="33"/>
      <c r="AE115" s="33"/>
      <c r="AF115" s="33"/>
      <c r="AG115" s="33"/>
      <c r="AH115" s="33"/>
      <c r="AI115" s="33"/>
      <c r="AJ115" s="33"/>
      <c r="AK115" s="33"/>
      <c r="AL115" s="33"/>
      <c r="AM115" s="33"/>
      <c r="AN115" s="33"/>
      <c r="AO115" s="33"/>
      <c r="AP115" s="33"/>
      <c r="AQ115" s="33"/>
      <c r="AR115" s="33"/>
      <c r="AS115" s="33"/>
      <c r="AT115" s="33"/>
      <c r="AU115" s="33"/>
      <c r="AV115" s="33"/>
      <c r="AW115" s="33"/>
      <c r="AX115" s="33"/>
      <c r="AY115" s="33"/>
      <c r="AZ115" s="33"/>
      <c r="BA115" s="33"/>
      <c r="BB115" s="33"/>
      <c r="BC115" s="33"/>
      <c r="BD115" s="33"/>
      <c r="BE115" s="33"/>
      <c r="BF115" s="525">
        <v>104</v>
      </c>
      <c r="BG115" s="525"/>
      <c r="BH115" s="59" t="s">
        <v>4305</v>
      </c>
      <c r="BI115" s="58" t="s">
        <v>4306</v>
      </c>
      <c r="BJ115" s="60">
        <v>59</v>
      </c>
      <c r="BK115" s="60" t="s">
        <v>60</v>
      </c>
      <c r="BL115" s="61"/>
      <c r="BM115" s="30"/>
      <c r="BN115" s="33"/>
    </row>
    <row r="116" spans="1:66" ht="25.5" customHeight="1">
      <c r="A116" s="58">
        <v>105</v>
      </c>
      <c r="B116" s="62"/>
      <c r="C116" s="63" t="s">
        <v>2352</v>
      </c>
      <c r="D116" s="64" t="s">
        <v>2353</v>
      </c>
      <c r="E116" s="64">
        <v>40</v>
      </c>
      <c r="F116" s="65" t="s">
        <v>60</v>
      </c>
      <c r="G116" s="58"/>
      <c r="H116" s="30">
        <v>0</v>
      </c>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c r="AG116" s="33"/>
      <c r="AH116" s="33"/>
      <c r="AI116" s="33"/>
      <c r="AJ116" s="33"/>
      <c r="AK116" s="33"/>
      <c r="AL116" s="33"/>
      <c r="AM116" s="33"/>
      <c r="AN116" s="33"/>
      <c r="AO116" s="33"/>
      <c r="AP116" s="33"/>
      <c r="AQ116" s="33"/>
      <c r="AR116" s="33"/>
      <c r="AS116" s="33"/>
      <c r="AT116" s="33"/>
      <c r="AU116" s="33"/>
      <c r="AV116" s="33"/>
      <c r="AW116" s="33"/>
      <c r="AX116" s="33"/>
      <c r="AY116" s="33"/>
      <c r="AZ116" s="33"/>
      <c r="BA116" s="33"/>
      <c r="BB116" s="33"/>
      <c r="BC116" s="33"/>
      <c r="BD116" s="33"/>
      <c r="BE116" s="33"/>
      <c r="BF116" s="33"/>
      <c r="BG116" s="33"/>
      <c r="BH116" s="33"/>
      <c r="BI116" s="33"/>
      <c r="BJ116" s="33"/>
      <c r="BK116" s="33"/>
      <c r="BL116" s="33"/>
      <c r="BM116" s="33"/>
      <c r="BN116" s="33"/>
    </row>
    <row r="117" spans="1:66" ht="25.5" customHeight="1">
      <c r="A117" s="58">
        <v>106</v>
      </c>
      <c r="B117" s="62"/>
      <c r="C117" s="63" t="s">
        <v>2356</v>
      </c>
      <c r="D117" s="64" t="s">
        <v>2357</v>
      </c>
      <c r="E117" s="64">
        <v>38</v>
      </c>
      <c r="F117" s="65" t="s">
        <v>75</v>
      </c>
      <c r="G117" s="58"/>
      <c r="H117" s="30">
        <v>0</v>
      </c>
      <c r="I117" s="33"/>
      <c r="J117" s="33"/>
      <c r="K117" s="33"/>
      <c r="L117" s="33"/>
      <c r="M117" s="33"/>
      <c r="N117" s="33"/>
      <c r="O117" s="33"/>
      <c r="P117" s="33"/>
      <c r="Q117" s="33"/>
      <c r="R117" s="33"/>
      <c r="S117" s="33"/>
      <c r="T117" s="33"/>
      <c r="U117" s="33"/>
      <c r="V117" s="33"/>
      <c r="W117" s="33"/>
      <c r="X117" s="33"/>
      <c r="Y117" s="33"/>
      <c r="Z117" s="33"/>
      <c r="AA117" s="33"/>
      <c r="AB117" s="33"/>
      <c r="AC117" s="33"/>
      <c r="AD117" s="33"/>
      <c r="AE117" s="33"/>
      <c r="AF117" s="33"/>
      <c r="AG117" s="33"/>
      <c r="AH117" s="33"/>
      <c r="AI117" s="33"/>
      <c r="AJ117" s="33"/>
      <c r="AK117" s="33"/>
      <c r="AL117" s="33"/>
      <c r="AM117" s="33"/>
      <c r="AN117" s="33"/>
      <c r="AO117" s="33"/>
      <c r="AP117" s="33"/>
      <c r="AQ117" s="33"/>
      <c r="AR117" s="33"/>
      <c r="AS117" s="33"/>
      <c r="AT117" s="33"/>
      <c r="AU117" s="33"/>
      <c r="AV117" s="33"/>
      <c r="AW117" s="33"/>
      <c r="AX117" s="33"/>
      <c r="AY117" s="33"/>
      <c r="AZ117" s="33"/>
      <c r="BA117" s="33"/>
      <c r="BB117" s="33"/>
      <c r="BC117" s="33"/>
      <c r="BD117" s="33"/>
      <c r="BE117" s="33"/>
      <c r="BF117" s="33"/>
      <c r="BG117" s="33"/>
      <c r="BH117" s="33"/>
      <c r="BI117" s="33"/>
      <c r="BJ117" s="33"/>
      <c r="BK117" s="33"/>
      <c r="BL117" s="33"/>
      <c r="BM117" s="33"/>
      <c r="BN117" s="33"/>
    </row>
    <row r="118" spans="1:66" ht="25.5" customHeight="1">
      <c r="A118" s="58">
        <v>107</v>
      </c>
      <c r="B118" s="62"/>
      <c r="C118" s="63" t="s">
        <v>2360</v>
      </c>
      <c r="D118" s="64" t="s">
        <v>2361</v>
      </c>
      <c r="E118" s="64">
        <v>41</v>
      </c>
      <c r="F118" s="65" t="s">
        <v>60</v>
      </c>
      <c r="G118" s="58"/>
      <c r="H118" s="30">
        <v>0</v>
      </c>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3"/>
      <c r="AF118" s="33"/>
      <c r="AG118" s="33"/>
      <c r="AH118" s="33"/>
      <c r="AI118" s="33"/>
      <c r="AJ118" s="33"/>
      <c r="AK118" s="33"/>
      <c r="AL118" s="33"/>
      <c r="AM118" s="33"/>
      <c r="AN118" s="33"/>
      <c r="AO118" s="33"/>
      <c r="AP118" s="33"/>
      <c r="AQ118" s="33"/>
      <c r="AR118" s="33"/>
      <c r="AS118" s="33"/>
      <c r="AT118" s="33"/>
      <c r="AU118" s="33"/>
      <c r="AV118" s="33"/>
      <c r="AW118" s="33"/>
      <c r="AX118" s="33"/>
      <c r="AY118" s="33"/>
      <c r="AZ118" s="33"/>
      <c r="BA118" s="33"/>
      <c r="BB118" s="33"/>
      <c r="BC118" s="33"/>
      <c r="BD118" s="33"/>
      <c r="BE118" s="33"/>
      <c r="BF118" s="33"/>
      <c r="BG118" s="33"/>
      <c r="BH118" s="33"/>
      <c r="BI118" s="33"/>
      <c r="BJ118" s="33"/>
      <c r="BK118" s="33"/>
      <c r="BL118" s="33"/>
      <c r="BM118" s="33"/>
      <c r="BN118" s="33"/>
    </row>
    <row r="119" spans="1:66" ht="25.5" customHeight="1">
      <c r="A119" s="58">
        <v>108</v>
      </c>
      <c r="B119" s="62"/>
      <c r="C119" s="63" t="s">
        <v>2364</v>
      </c>
      <c r="D119" s="64" t="s">
        <v>2365</v>
      </c>
      <c r="E119" s="64">
        <v>42</v>
      </c>
      <c r="F119" s="65" t="s">
        <v>2366</v>
      </c>
      <c r="G119" s="58"/>
      <c r="H119" s="30">
        <v>0</v>
      </c>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33"/>
      <c r="AJ119" s="33"/>
      <c r="AK119" s="33"/>
      <c r="AL119" s="33"/>
      <c r="AM119" s="33"/>
      <c r="AN119" s="33"/>
      <c r="AO119" s="33"/>
      <c r="AP119" s="33"/>
      <c r="AQ119" s="33"/>
      <c r="AR119" s="33"/>
      <c r="AS119" s="33"/>
      <c r="AT119" s="33"/>
      <c r="AU119" s="33"/>
      <c r="AV119" s="33"/>
      <c r="AW119" s="33"/>
      <c r="AX119" s="33"/>
      <c r="AY119" s="33"/>
      <c r="AZ119" s="33"/>
      <c r="BA119" s="33"/>
      <c r="BB119" s="33"/>
      <c r="BC119" s="33"/>
      <c r="BD119" s="33"/>
      <c r="BE119" s="33"/>
      <c r="BF119" s="33"/>
      <c r="BG119" s="33"/>
      <c r="BH119" s="33"/>
      <c r="BI119" s="33"/>
      <c r="BJ119" s="33"/>
      <c r="BK119" s="33"/>
      <c r="BL119" s="33"/>
      <c r="BM119" s="33"/>
      <c r="BN119" s="33"/>
    </row>
    <row r="120" spans="1:66" ht="25.5" customHeight="1">
      <c r="A120" s="58">
        <v>109</v>
      </c>
      <c r="B120" s="62"/>
      <c r="C120" s="63" t="s">
        <v>2369</v>
      </c>
      <c r="D120" s="64" t="s">
        <v>2370</v>
      </c>
      <c r="E120" s="64">
        <v>44</v>
      </c>
      <c r="F120" s="65" t="s">
        <v>60</v>
      </c>
      <c r="G120" s="58"/>
      <c r="H120" s="30">
        <v>0</v>
      </c>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33"/>
      <c r="AJ120" s="33"/>
      <c r="AK120" s="33"/>
      <c r="AL120" s="33"/>
      <c r="AM120" s="33"/>
      <c r="AN120" s="33"/>
      <c r="AO120" s="33"/>
      <c r="AP120" s="33"/>
      <c r="AQ120" s="33"/>
      <c r="AR120" s="33"/>
      <c r="AS120" s="33"/>
      <c r="AT120" s="33"/>
      <c r="AU120" s="33"/>
      <c r="AV120" s="33"/>
      <c r="AW120" s="33"/>
      <c r="AX120" s="33"/>
      <c r="AY120" s="33"/>
      <c r="AZ120" s="33"/>
      <c r="BA120" s="33"/>
      <c r="BB120" s="33"/>
      <c r="BC120" s="33"/>
      <c r="BD120" s="33"/>
      <c r="BE120" s="33"/>
      <c r="BF120" s="33"/>
      <c r="BG120" s="33"/>
      <c r="BH120" s="33"/>
      <c r="BI120" s="33"/>
      <c r="BJ120" s="33"/>
      <c r="BK120" s="33"/>
      <c r="BL120" s="33"/>
      <c r="BM120" s="33"/>
      <c r="BN120" s="33"/>
    </row>
    <row r="121" spans="1:66" ht="25.5" customHeight="1">
      <c r="A121" s="58">
        <v>110</v>
      </c>
      <c r="B121" s="62"/>
      <c r="C121" s="63" t="s">
        <v>2373</v>
      </c>
      <c r="D121" s="64" t="s">
        <v>2374</v>
      </c>
      <c r="E121" s="64">
        <v>40</v>
      </c>
      <c r="F121" s="65" t="s">
        <v>60</v>
      </c>
      <c r="G121" s="58"/>
      <c r="H121" s="30">
        <v>0</v>
      </c>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33"/>
      <c r="AJ121" s="33"/>
      <c r="AK121" s="33"/>
      <c r="AL121" s="33"/>
      <c r="AM121" s="33"/>
      <c r="AN121" s="33"/>
      <c r="AO121" s="33"/>
      <c r="AP121" s="33"/>
      <c r="AQ121" s="33"/>
      <c r="AR121" s="33"/>
      <c r="AS121" s="33"/>
      <c r="AT121" s="33"/>
      <c r="AU121" s="33"/>
      <c r="AV121" s="33"/>
      <c r="AW121" s="33"/>
      <c r="AX121" s="33"/>
      <c r="AY121" s="33"/>
      <c r="AZ121" s="33"/>
      <c r="BA121" s="33"/>
      <c r="BB121" s="33"/>
      <c r="BC121" s="33"/>
      <c r="BD121" s="33"/>
      <c r="BE121" s="33"/>
      <c r="BF121" s="33"/>
      <c r="BG121" s="33"/>
      <c r="BH121" s="33"/>
      <c r="BI121" s="33"/>
      <c r="BJ121" s="33"/>
      <c r="BK121" s="33"/>
      <c r="BL121" s="33"/>
      <c r="BM121" s="33"/>
      <c r="BN121" s="33"/>
    </row>
    <row r="122" spans="1:66" ht="25.5" customHeight="1">
      <c r="A122" s="58">
        <v>111</v>
      </c>
      <c r="B122" s="62"/>
      <c r="C122" s="63" t="s">
        <v>2377</v>
      </c>
      <c r="D122" s="64" t="s">
        <v>2378</v>
      </c>
      <c r="E122" s="64">
        <v>33</v>
      </c>
      <c r="F122" s="65" t="s">
        <v>75</v>
      </c>
      <c r="G122" s="58"/>
      <c r="H122" s="30">
        <v>0</v>
      </c>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33"/>
      <c r="AJ122" s="33"/>
      <c r="AK122" s="33"/>
      <c r="AL122" s="33"/>
      <c r="AM122" s="33"/>
      <c r="AN122" s="33"/>
      <c r="AO122" s="33"/>
      <c r="AP122" s="33"/>
      <c r="AQ122" s="33"/>
      <c r="AR122" s="33"/>
      <c r="AS122" s="33"/>
      <c r="AT122" s="33"/>
      <c r="AU122" s="33"/>
      <c r="AV122" s="33"/>
      <c r="AW122" s="33"/>
      <c r="AX122" s="33"/>
      <c r="AY122" s="33"/>
      <c r="AZ122" s="33"/>
      <c r="BA122" s="33"/>
      <c r="BB122" s="33"/>
      <c r="BC122" s="33"/>
      <c r="BD122" s="33"/>
      <c r="BE122" s="33"/>
      <c r="BF122" s="33"/>
      <c r="BG122" s="33"/>
      <c r="BH122" s="33"/>
      <c r="BI122" s="33"/>
      <c r="BJ122" s="33"/>
      <c r="BK122" s="33"/>
      <c r="BL122" s="33"/>
      <c r="BM122" s="33"/>
      <c r="BN122" s="33"/>
    </row>
    <row r="123" spans="1:66" ht="25.5" customHeight="1">
      <c r="A123" s="58">
        <v>112</v>
      </c>
      <c r="B123" s="62"/>
      <c r="C123" s="63" t="s">
        <v>2381</v>
      </c>
      <c r="D123" s="64" t="s">
        <v>2382</v>
      </c>
      <c r="E123" s="64">
        <v>48</v>
      </c>
      <c r="F123" s="65" t="s">
        <v>75</v>
      </c>
      <c r="G123" s="58"/>
      <c r="H123" s="30">
        <v>0</v>
      </c>
      <c r="I123" s="33"/>
      <c r="J123" s="33"/>
      <c r="K123" s="33"/>
      <c r="L123" s="33"/>
      <c r="M123" s="33"/>
      <c r="N123" s="33"/>
      <c r="O123" s="33"/>
      <c r="P123" s="33"/>
      <c r="Q123" s="33"/>
      <c r="R123" s="33"/>
      <c r="S123" s="33"/>
      <c r="T123" s="33"/>
      <c r="U123" s="33"/>
      <c r="V123" s="33"/>
      <c r="W123" s="33"/>
      <c r="X123" s="33"/>
      <c r="Y123" s="33"/>
      <c r="Z123" s="33"/>
      <c r="AA123" s="33"/>
      <c r="AB123" s="33"/>
      <c r="AC123" s="33"/>
      <c r="AD123" s="33"/>
      <c r="AE123" s="33"/>
      <c r="AF123" s="33"/>
      <c r="AG123" s="33"/>
      <c r="AH123" s="33"/>
      <c r="AI123" s="33"/>
      <c r="AJ123" s="33"/>
      <c r="AK123" s="33"/>
      <c r="AL123" s="33"/>
      <c r="AM123" s="33"/>
      <c r="AN123" s="33"/>
      <c r="AO123" s="33"/>
      <c r="AP123" s="33"/>
      <c r="AQ123" s="33"/>
      <c r="AR123" s="33"/>
      <c r="AS123" s="33"/>
      <c r="AT123" s="33"/>
      <c r="AU123" s="33"/>
      <c r="AV123" s="33"/>
      <c r="AW123" s="33"/>
      <c r="AX123" s="33"/>
      <c r="AY123" s="33"/>
      <c r="AZ123" s="33"/>
      <c r="BA123" s="33"/>
      <c r="BB123" s="33"/>
      <c r="BC123" s="33"/>
      <c r="BD123" s="33"/>
      <c r="BE123" s="33"/>
      <c r="BF123" s="33"/>
      <c r="BG123" s="33"/>
      <c r="BH123" s="33"/>
      <c r="BI123" s="33"/>
      <c r="BJ123" s="33"/>
      <c r="BK123" s="33"/>
      <c r="BL123" s="33"/>
      <c r="BM123" s="33"/>
      <c r="BN123" s="33"/>
    </row>
    <row r="124" spans="1:66" ht="25.5" customHeight="1">
      <c r="A124" s="58">
        <v>113</v>
      </c>
      <c r="B124" s="62"/>
      <c r="C124" s="63" t="s">
        <v>2385</v>
      </c>
      <c r="D124" s="64" t="s">
        <v>2386</v>
      </c>
      <c r="E124" s="64">
        <v>55</v>
      </c>
      <c r="F124" s="65" t="s">
        <v>75</v>
      </c>
      <c r="G124" s="58"/>
      <c r="H124" s="30">
        <v>0</v>
      </c>
      <c r="I124" s="33"/>
      <c r="J124" s="33"/>
      <c r="K124" s="33"/>
      <c r="L124" s="33"/>
      <c r="M124" s="33"/>
      <c r="N124" s="33"/>
      <c r="O124" s="33"/>
      <c r="P124" s="33"/>
      <c r="Q124" s="33"/>
      <c r="R124" s="33"/>
      <c r="S124" s="33"/>
      <c r="T124" s="33"/>
      <c r="U124" s="33"/>
      <c r="V124" s="33"/>
      <c r="W124" s="33"/>
      <c r="X124" s="33"/>
      <c r="Y124" s="33"/>
      <c r="Z124" s="33"/>
      <c r="AA124" s="33"/>
      <c r="AB124" s="33"/>
      <c r="AC124" s="33"/>
      <c r="AD124" s="33"/>
      <c r="AE124" s="33"/>
      <c r="AF124" s="33"/>
      <c r="AG124" s="33"/>
      <c r="AH124" s="33"/>
      <c r="AI124" s="33"/>
      <c r="AJ124" s="33"/>
      <c r="AK124" s="33"/>
      <c r="AL124" s="33"/>
      <c r="AM124" s="33"/>
      <c r="AN124" s="33"/>
      <c r="AO124" s="33"/>
      <c r="AP124" s="33"/>
      <c r="AQ124" s="33"/>
      <c r="AR124" s="33"/>
      <c r="AS124" s="33"/>
      <c r="AT124" s="33"/>
      <c r="AU124" s="33"/>
      <c r="AV124" s="33"/>
      <c r="AW124" s="33"/>
      <c r="AX124" s="33"/>
      <c r="AY124" s="33"/>
      <c r="AZ124" s="33"/>
      <c r="BA124" s="33"/>
      <c r="BB124" s="33"/>
      <c r="BC124" s="33"/>
      <c r="BD124" s="33"/>
      <c r="BE124" s="33"/>
      <c r="BF124" s="33"/>
      <c r="BG124" s="33"/>
      <c r="BH124" s="33"/>
      <c r="BI124" s="33"/>
      <c r="BJ124" s="33"/>
      <c r="BK124" s="33"/>
      <c r="BL124" s="33"/>
      <c r="BM124" s="33"/>
      <c r="BN124" s="33"/>
    </row>
    <row r="125" spans="1:66" ht="25.5" customHeight="1">
      <c r="A125" s="58">
        <v>114</v>
      </c>
      <c r="B125" s="62"/>
      <c r="C125" s="63" t="s">
        <v>2389</v>
      </c>
      <c r="D125" s="64" t="s">
        <v>2390</v>
      </c>
      <c r="E125" s="64">
        <v>45</v>
      </c>
      <c r="F125" s="65" t="s">
        <v>75</v>
      </c>
      <c r="G125" s="58"/>
      <c r="H125" s="30">
        <v>0</v>
      </c>
      <c r="I125" s="33"/>
      <c r="J125" s="33"/>
      <c r="K125" s="33"/>
      <c r="L125" s="33"/>
      <c r="M125" s="33"/>
      <c r="N125" s="33"/>
      <c r="O125" s="33"/>
      <c r="P125" s="33"/>
      <c r="Q125" s="33"/>
      <c r="R125" s="33"/>
      <c r="S125" s="33"/>
      <c r="T125" s="33"/>
      <c r="U125" s="33"/>
      <c r="V125" s="33"/>
      <c r="W125" s="33"/>
      <c r="X125" s="33"/>
      <c r="Y125" s="33"/>
      <c r="Z125" s="33"/>
      <c r="AA125" s="33"/>
      <c r="AB125" s="33"/>
      <c r="AC125" s="33"/>
      <c r="AD125" s="33"/>
      <c r="AE125" s="33"/>
      <c r="AF125" s="33"/>
      <c r="AG125" s="33"/>
      <c r="AH125" s="33"/>
      <c r="AI125" s="33"/>
      <c r="AJ125" s="33"/>
      <c r="AK125" s="33"/>
      <c r="AL125" s="33"/>
      <c r="AM125" s="33"/>
      <c r="AN125" s="33"/>
      <c r="AO125" s="33"/>
      <c r="AP125" s="33"/>
      <c r="AQ125" s="33"/>
      <c r="AR125" s="33"/>
      <c r="AS125" s="33"/>
      <c r="AT125" s="33"/>
      <c r="AU125" s="33"/>
      <c r="AV125" s="33"/>
      <c r="AW125" s="33"/>
      <c r="AX125" s="33"/>
      <c r="AY125" s="33"/>
      <c r="AZ125" s="33"/>
      <c r="BA125" s="33"/>
      <c r="BB125" s="33"/>
      <c r="BC125" s="33"/>
      <c r="BD125" s="33"/>
      <c r="BE125" s="33"/>
      <c r="BF125" s="33"/>
      <c r="BG125" s="33"/>
      <c r="BH125" s="33"/>
      <c r="BI125" s="33"/>
      <c r="BJ125" s="33"/>
      <c r="BK125" s="33"/>
      <c r="BL125" s="33"/>
      <c r="BM125" s="33"/>
      <c r="BN125" s="33"/>
    </row>
    <row r="126" spans="1:66" ht="25.5" customHeight="1">
      <c r="A126" s="58">
        <v>115</v>
      </c>
      <c r="B126" s="62"/>
      <c r="C126" s="63" t="s">
        <v>2393</v>
      </c>
      <c r="D126" s="64" t="s">
        <v>2394</v>
      </c>
      <c r="E126" s="64">
        <v>44</v>
      </c>
      <c r="F126" s="65" t="s">
        <v>60</v>
      </c>
      <c r="G126" s="58"/>
      <c r="H126" s="30">
        <v>0</v>
      </c>
      <c r="I126" s="33"/>
      <c r="J126" s="33"/>
      <c r="K126" s="33"/>
      <c r="L126" s="33"/>
      <c r="M126" s="33"/>
      <c r="N126" s="33"/>
      <c r="O126" s="33"/>
      <c r="P126" s="33"/>
      <c r="Q126" s="33"/>
      <c r="R126" s="33"/>
      <c r="S126" s="33"/>
      <c r="T126" s="33"/>
      <c r="U126" s="33"/>
      <c r="V126" s="33"/>
      <c r="W126" s="33"/>
      <c r="X126" s="33"/>
      <c r="Y126" s="33"/>
      <c r="Z126" s="33"/>
      <c r="AA126" s="33"/>
      <c r="AB126" s="33"/>
      <c r="AC126" s="33"/>
      <c r="AD126" s="33"/>
      <c r="AE126" s="33"/>
      <c r="AF126" s="33"/>
      <c r="AG126" s="33"/>
      <c r="AH126" s="33"/>
      <c r="AI126" s="33"/>
      <c r="AJ126" s="33"/>
      <c r="AK126" s="33"/>
      <c r="AL126" s="33"/>
      <c r="AM126" s="33"/>
      <c r="AN126" s="33"/>
      <c r="AO126" s="33"/>
      <c r="AP126" s="33"/>
      <c r="AQ126" s="33"/>
      <c r="AR126" s="33"/>
      <c r="AS126" s="33"/>
      <c r="AT126" s="33"/>
      <c r="AU126" s="33"/>
      <c r="AV126" s="33"/>
      <c r="AW126" s="33"/>
      <c r="AX126" s="33"/>
      <c r="AY126" s="33"/>
      <c r="AZ126" s="33"/>
      <c r="BA126" s="33"/>
      <c r="BB126" s="33"/>
      <c r="BC126" s="33"/>
      <c r="BD126" s="33"/>
      <c r="BE126" s="33"/>
      <c r="BF126" s="33"/>
      <c r="BG126" s="33"/>
      <c r="BH126" s="33"/>
      <c r="BI126" s="33"/>
      <c r="BJ126" s="33"/>
      <c r="BK126" s="33"/>
      <c r="BL126" s="33"/>
      <c r="BM126" s="33"/>
      <c r="BN126" s="33"/>
    </row>
    <row r="127" spans="1:66" ht="25.5" customHeight="1">
      <c r="A127" s="58">
        <v>116</v>
      </c>
      <c r="B127" s="62"/>
      <c r="C127" s="63" t="s">
        <v>2397</v>
      </c>
      <c r="D127" s="64" t="s">
        <v>2398</v>
      </c>
      <c r="E127" s="64">
        <v>51</v>
      </c>
      <c r="F127" s="65" t="s">
        <v>75</v>
      </c>
      <c r="G127" s="58"/>
      <c r="H127" s="30">
        <v>0</v>
      </c>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33"/>
      <c r="AJ127" s="33"/>
      <c r="AK127" s="33"/>
      <c r="AL127" s="33"/>
      <c r="AM127" s="33"/>
      <c r="AN127" s="33"/>
      <c r="AO127" s="33"/>
      <c r="AP127" s="33"/>
      <c r="AQ127" s="33"/>
      <c r="AR127" s="33"/>
      <c r="AS127" s="33"/>
      <c r="AT127" s="33"/>
      <c r="AU127" s="33"/>
      <c r="AV127" s="33"/>
      <c r="AW127" s="33"/>
      <c r="AX127" s="33"/>
      <c r="AY127" s="33"/>
      <c r="AZ127" s="33"/>
      <c r="BA127" s="33"/>
      <c r="BB127" s="33"/>
      <c r="BC127" s="33"/>
      <c r="BD127" s="33"/>
      <c r="BE127" s="33"/>
      <c r="BF127" s="33"/>
      <c r="BG127" s="33"/>
      <c r="BH127" s="33"/>
      <c r="BI127" s="33"/>
      <c r="BJ127" s="33"/>
      <c r="BK127" s="33"/>
      <c r="BL127" s="33"/>
      <c r="BM127" s="33"/>
      <c r="BN127" s="33"/>
    </row>
    <row r="128" spans="1:66" ht="25.5" customHeight="1">
      <c r="A128" s="58">
        <v>117</v>
      </c>
      <c r="B128" s="62" t="s">
        <v>2401</v>
      </c>
      <c r="C128" s="63" t="s">
        <v>2402</v>
      </c>
      <c r="D128" s="64" t="s">
        <v>2403</v>
      </c>
      <c r="E128" s="64">
        <v>21</v>
      </c>
      <c r="F128" s="65" t="s">
        <v>60</v>
      </c>
      <c r="G128" s="58"/>
      <c r="H128" s="30">
        <v>0</v>
      </c>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33"/>
      <c r="AJ128" s="33"/>
      <c r="AK128" s="33"/>
      <c r="AL128" s="33"/>
      <c r="AM128" s="33"/>
      <c r="AN128" s="33"/>
      <c r="AO128" s="33"/>
      <c r="AP128" s="33"/>
      <c r="AQ128" s="33"/>
      <c r="AR128" s="33"/>
      <c r="AS128" s="33"/>
      <c r="AT128" s="33"/>
      <c r="AU128" s="33"/>
      <c r="AV128" s="33"/>
      <c r="AW128" s="33"/>
      <c r="AX128" s="33"/>
      <c r="AY128" s="33"/>
      <c r="AZ128" s="33"/>
      <c r="BA128" s="33"/>
      <c r="BB128" s="33"/>
      <c r="BC128" s="33"/>
      <c r="BD128" s="33"/>
      <c r="BE128" s="33"/>
      <c r="BF128" s="33"/>
      <c r="BG128" s="33"/>
      <c r="BH128" s="33"/>
      <c r="BI128" s="33"/>
      <c r="BJ128" s="33"/>
      <c r="BK128" s="33"/>
      <c r="BL128" s="33"/>
      <c r="BM128" s="33"/>
      <c r="BN128" s="33"/>
    </row>
    <row r="129" spans="1:66" ht="25.5" customHeight="1">
      <c r="A129" s="58">
        <v>118</v>
      </c>
      <c r="B129" s="62"/>
      <c r="C129" s="63" t="s">
        <v>2406</v>
      </c>
      <c r="D129" s="64" t="s">
        <v>2407</v>
      </c>
      <c r="E129" s="64">
        <v>41</v>
      </c>
      <c r="F129" s="65" t="s">
        <v>75</v>
      </c>
      <c r="G129" s="58"/>
      <c r="H129" s="30">
        <v>0</v>
      </c>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33"/>
      <c r="AJ129" s="33"/>
      <c r="AK129" s="33"/>
      <c r="AL129" s="33"/>
      <c r="AM129" s="33"/>
      <c r="AN129" s="33"/>
      <c r="AO129" s="33"/>
      <c r="AP129" s="33"/>
      <c r="AQ129" s="33"/>
      <c r="AR129" s="33"/>
      <c r="AS129" s="33"/>
      <c r="AT129" s="33"/>
      <c r="AU129" s="33"/>
      <c r="AV129" s="33"/>
      <c r="AW129" s="33"/>
      <c r="AX129" s="33"/>
      <c r="AY129" s="33"/>
      <c r="AZ129" s="33"/>
      <c r="BA129" s="33"/>
      <c r="BB129" s="33"/>
      <c r="BC129" s="33"/>
      <c r="BD129" s="33"/>
      <c r="BE129" s="33"/>
      <c r="BF129" s="33"/>
      <c r="BG129" s="33"/>
      <c r="BH129" s="33"/>
      <c r="BI129" s="33"/>
      <c r="BJ129" s="33"/>
      <c r="BK129" s="33"/>
      <c r="BL129" s="33"/>
      <c r="BM129" s="33"/>
      <c r="BN129" s="33"/>
    </row>
    <row r="130" spans="1:66" ht="25.5" customHeight="1">
      <c r="A130" s="58">
        <v>119</v>
      </c>
      <c r="B130" s="62" t="s">
        <v>2410</v>
      </c>
      <c r="C130" s="63" t="s">
        <v>2411</v>
      </c>
      <c r="D130" s="64" t="s">
        <v>2412</v>
      </c>
      <c r="E130" s="64">
        <v>22</v>
      </c>
      <c r="F130" s="65" t="s">
        <v>60</v>
      </c>
      <c r="G130" s="58"/>
      <c r="H130" s="30">
        <v>0</v>
      </c>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33"/>
      <c r="AJ130" s="33"/>
      <c r="AK130" s="33"/>
      <c r="AL130" s="33"/>
      <c r="AM130" s="33"/>
      <c r="AN130" s="33"/>
      <c r="AO130" s="33"/>
      <c r="AP130" s="33"/>
      <c r="AQ130" s="33"/>
      <c r="AR130" s="33"/>
      <c r="AS130" s="33"/>
      <c r="AT130" s="33"/>
      <c r="AU130" s="33"/>
      <c r="AV130" s="33"/>
      <c r="AW130" s="33"/>
      <c r="AX130" s="33"/>
      <c r="AY130" s="33"/>
      <c r="AZ130" s="33"/>
      <c r="BA130" s="33"/>
      <c r="BB130" s="33"/>
      <c r="BC130" s="33"/>
      <c r="BD130" s="33"/>
      <c r="BE130" s="33"/>
      <c r="BF130" s="33"/>
      <c r="BG130" s="33"/>
      <c r="BH130" s="33"/>
      <c r="BI130" s="33"/>
      <c r="BJ130" s="33"/>
      <c r="BK130" s="33"/>
      <c r="BL130" s="33"/>
      <c r="BM130" s="33"/>
      <c r="BN130" s="33"/>
    </row>
    <row r="131" spans="1:66" ht="25.5" customHeight="1">
      <c r="A131" s="58">
        <v>120</v>
      </c>
      <c r="B131" s="62" t="s">
        <v>2415</v>
      </c>
      <c r="C131" s="63" t="s">
        <v>2416</v>
      </c>
      <c r="D131" s="64" t="s">
        <v>2417</v>
      </c>
      <c r="E131" s="64">
        <v>19</v>
      </c>
      <c r="F131" s="65" t="s">
        <v>60</v>
      </c>
      <c r="G131" s="58"/>
      <c r="H131" s="30">
        <v>0</v>
      </c>
      <c r="I131" s="33"/>
      <c r="J131" s="33"/>
      <c r="K131" s="33"/>
      <c r="L131" s="33"/>
      <c r="M131" s="33"/>
      <c r="N131" s="33"/>
      <c r="O131" s="33"/>
      <c r="P131" s="33"/>
      <c r="Q131" s="33"/>
      <c r="R131" s="33"/>
      <c r="S131" s="33"/>
      <c r="T131" s="33"/>
      <c r="U131" s="33"/>
      <c r="V131" s="33"/>
      <c r="W131" s="33"/>
      <c r="X131" s="33"/>
      <c r="Y131" s="33"/>
      <c r="Z131" s="33"/>
      <c r="AA131" s="33"/>
      <c r="AB131" s="33"/>
      <c r="AC131" s="33"/>
      <c r="AD131" s="33"/>
      <c r="AE131" s="33"/>
      <c r="AF131" s="33"/>
      <c r="AG131" s="33"/>
      <c r="AH131" s="33"/>
      <c r="AI131" s="33"/>
      <c r="AJ131" s="33"/>
      <c r="AK131" s="33"/>
      <c r="AL131" s="33"/>
      <c r="AM131" s="33"/>
      <c r="AN131" s="33"/>
      <c r="AO131" s="33"/>
      <c r="AP131" s="33"/>
      <c r="AQ131" s="33"/>
      <c r="AR131" s="33"/>
      <c r="AS131" s="33"/>
      <c r="AT131" s="33"/>
      <c r="AU131" s="33"/>
      <c r="AV131" s="33"/>
      <c r="AW131" s="33"/>
      <c r="AX131" s="33"/>
      <c r="AY131" s="33"/>
      <c r="AZ131" s="33"/>
      <c r="BA131" s="33"/>
      <c r="BB131" s="33"/>
      <c r="BC131" s="33"/>
      <c r="BD131" s="33"/>
      <c r="BE131" s="33"/>
      <c r="BF131" s="33"/>
      <c r="BG131" s="33"/>
      <c r="BH131" s="33"/>
      <c r="BI131" s="33"/>
      <c r="BJ131" s="33"/>
      <c r="BK131" s="33"/>
      <c r="BL131" s="33"/>
      <c r="BM131" s="33"/>
      <c r="BN131" s="33"/>
    </row>
    <row r="132" spans="1:66" ht="25.5" customHeight="1">
      <c r="A132" s="58">
        <v>121</v>
      </c>
      <c r="B132" s="62"/>
      <c r="C132" s="63" t="s">
        <v>2420</v>
      </c>
      <c r="D132" s="64" t="s">
        <v>2421</v>
      </c>
      <c r="E132" s="64">
        <v>52</v>
      </c>
      <c r="F132" s="65" t="s">
        <v>75</v>
      </c>
      <c r="G132" s="58"/>
      <c r="H132" s="30">
        <v>0</v>
      </c>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c r="AJ132" s="33"/>
      <c r="AK132" s="33"/>
      <c r="AL132" s="33"/>
      <c r="AM132" s="33"/>
      <c r="AN132" s="33"/>
      <c r="AO132" s="33"/>
      <c r="AP132" s="33"/>
      <c r="AQ132" s="33"/>
      <c r="AR132" s="33"/>
      <c r="AS132" s="33"/>
      <c r="AT132" s="33"/>
      <c r="AU132" s="33"/>
      <c r="AV132" s="33"/>
      <c r="AW132" s="33"/>
      <c r="AX132" s="33"/>
      <c r="AY132" s="33"/>
      <c r="AZ132" s="33"/>
      <c r="BA132" s="33"/>
      <c r="BB132" s="33"/>
      <c r="BC132" s="33"/>
      <c r="BD132" s="33"/>
      <c r="BE132" s="33"/>
      <c r="BF132" s="33"/>
      <c r="BG132" s="33"/>
      <c r="BH132" s="33"/>
      <c r="BI132" s="33"/>
      <c r="BJ132" s="33"/>
      <c r="BK132" s="33"/>
      <c r="BL132" s="33"/>
      <c r="BM132" s="33"/>
      <c r="BN132" s="33"/>
    </row>
    <row r="133" spans="1:66" ht="25.5" customHeight="1">
      <c r="A133" s="58">
        <v>122</v>
      </c>
      <c r="B133" s="62"/>
      <c r="C133" s="63" t="s">
        <v>2424</v>
      </c>
      <c r="D133" s="64" t="s">
        <v>2425</v>
      </c>
      <c r="E133" s="64">
        <v>61</v>
      </c>
      <c r="F133" s="65" t="s">
        <v>75</v>
      </c>
      <c r="G133" s="58"/>
      <c r="H133" s="30">
        <v>0</v>
      </c>
      <c r="I133" s="33"/>
      <c r="J133" s="33"/>
      <c r="K133" s="33"/>
      <c r="L133" s="33"/>
      <c r="M133" s="33"/>
      <c r="N133" s="33"/>
      <c r="O133" s="33"/>
      <c r="P133" s="33"/>
      <c r="Q133" s="33"/>
      <c r="R133" s="33"/>
      <c r="S133" s="33"/>
      <c r="T133" s="33"/>
      <c r="U133" s="33"/>
      <c r="V133" s="33"/>
      <c r="W133" s="33"/>
      <c r="X133" s="33"/>
      <c r="Y133" s="33"/>
      <c r="Z133" s="33"/>
      <c r="AA133" s="33"/>
      <c r="AB133" s="33"/>
      <c r="AC133" s="33"/>
      <c r="AD133" s="33"/>
      <c r="AE133" s="33"/>
      <c r="AF133" s="33"/>
      <c r="AG133" s="33"/>
      <c r="AH133" s="33"/>
      <c r="AI133" s="33"/>
      <c r="AJ133" s="33"/>
      <c r="AK133" s="33"/>
      <c r="AL133" s="33"/>
      <c r="AM133" s="33"/>
      <c r="AN133" s="33"/>
      <c r="AO133" s="33"/>
      <c r="AP133" s="33"/>
      <c r="AQ133" s="33"/>
      <c r="AR133" s="33"/>
      <c r="AS133" s="33"/>
      <c r="AT133" s="33"/>
      <c r="AU133" s="33"/>
      <c r="AV133" s="33"/>
      <c r="AW133" s="33"/>
      <c r="AX133" s="33"/>
      <c r="AY133" s="33"/>
      <c r="AZ133" s="33"/>
      <c r="BA133" s="33"/>
      <c r="BB133" s="33"/>
      <c r="BC133" s="33"/>
      <c r="BD133" s="33"/>
      <c r="BE133" s="33"/>
      <c r="BF133" s="33"/>
      <c r="BG133" s="33"/>
      <c r="BH133" s="33"/>
      <c r="BI133" s="33"/>
      <c r="BJ133" s="33"/>
      <c r="BK133" s="33"/>
      <c r="BL133" s="33"/>
      <c r="BM133" s="33"/>
      <c r="BN133" s="33"/>
    </row>
    <row r="134" spans="1:66" ht="25.5" customHeight="1">
      <c r="A134" s="58">
        <v>123</v>
      </c>
      <c r="B134" s="62"/>
      <c r="C134" s="63" t="s">
        <v>2428</v>
      </c>
      <c r="D134" s="64" t="s">
        <v>2429</v>
      </c>
      <c r="E134" s="64">
        <v>38</v>
      </c>
      <c r="F134" s="65" t="s">
        <v>60</v>
      </c>
      <c r="G134" s="58"/>
      <c r="H134" s="30">
        <v>0</v>
      </c>
      <c r="I134" s="33"/>
      <c r="J134" s="33"/>
      <c r="K134" s="33"/>
      <c r="L134" s="33"/>
      <c r="M134" s="33"/>
      <c r="N134" s="33"/>
      <c r="O134" s="33"/>
      <c r="P134" s="33"/>
      <c r="Q134" s="33"/>
      <c r="R134" s="33"/>
      <c r="S134" s="33"/>
      <c r="T134" s="33"/>
      <c r="U134" s="33"/>
      <c r="V134" s="33"/>
      <c r="W134" s="33"/>
      <c r="X134" s="33"/>
      <c r="Y134" s="33"/>
      <c r="Z134" s="33"/>
      <c r="AA134" s="33"/>
      <c r="AB134" s="33"/>
      <c r="AC134" s="33"/>
      <c r="AD134" s="33"/>
      <c r="AE134" s="33"/>
      <c r="AF134" s="33"/>
      <c r="AG134" s="33"/>
      <c r="AH134" s="33"/>
      <c r="AI134" s="33"/>
      <c r="AJ134" s="33"/>
      <c r="AK134" s="33"/>
      <c r="AL134" s="33"/>
      <c r="AM134" s="33"/>
      <c r="AN134" s="33"/>
      <c r="AO134" s="33"/>
      <c r="AP134" s="33"/>
      <c r="AQ134" s="33"/>
      <c r="AR134" s="33"/>
      <c r="AS134" s="33"/>
      <c r="AT134" s="33"/>
      <c r="AU134" s="33"/>
      <c r="AV134" s="33"/>
      <c r="AW134" s="33"/>
      <c r="AX134" s="33"/>
      <c r="AY134" s="33"/>
      <c r="AZ134" s="33"/>
      <c r="BA134" s="33"/>
      <c r="BB134" s="33"/>
      <c r="BC134" s="33"/>
      <c r="BD134" s="33"/>
      <c r="BE134" s="33"/>
      <c r="BF134" s="33"/>
      <c r="BG134" s="33"/>
      <c r="BH134" s="33"/>
      <c r="BI134" s="33"/>
      <c r="BJ134" s="33"/>
      <c r="BK134" s="33"/>
      <c r="BL134" s="33"/>
      <c r="BM134" s="33"/>
      <c r="BN134" s="33"/>
    </row>
    <row r="135" spans="1:66" ht="25.5" customHeight="1">
      <c r="A135" s="58">
        <v>124</v>
      </c>
      <c r="B135" s="62"/>
      <c r="C135" s="63" t="s">
        <v>2432</v>
      </c>
      <c r="D135" s="64" t="s">
        <v>2433</v>
      </c>
      <c r="E135" s="64">
        <v>32</v>
      </c>
      <c r="F135" s="65" t="s">
        <v>60</v>
      </c>
      <c r="G135" s="58"/>
      <c r="H135" s="30" t="s">
        <v>2435</v>
      </c>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33"/>
      <c r="AJ135" s="33"/>
      <c r="AK135" s="33"/>
      <c r="AL135" s="33"/>
      <c r="AM135" s="33"/>
      <c r="AN135" s="33"/>
      <c r="AO135" s="33"/>
      <c r="AP135" s="33"/>
      <c r="AQ135" s="33"/>
      <c r="AR135" s="33"/>
      <c r="AS135" s="33"/>
      <c r="AT135" s="33"/>
      <c r="AU135" s="33"/>
      <c r="AV135" s="33"/>
      <c r="AW135" s="33"/>
      <c r="AX135" s="33"/>
      <c r="AY135" s="33"/>
      <c r="AZ135" s="33"/>
      <c r="BA135" s="33"/>
      <c r="BB135" s="33"/>
      <c r="BC135" s="33"/>
      <c r="BD135" s="33"/>
      <c r="BE135" s="33"/>
      <c r="BF135" s="33"/>
      <c r="BG135" s="33"/>
      <c r="BH135" s="33"/>
      <c r="BI135" s="33"/>
      <c r="BJ135" s="33"/>
      <c r="BK135" s="33"/>
      <c r="BL135" s="33"/>
      <c r="BM135" s="33"/>
      <c r="BN135" s="33"/>
    </row>
    <row r="136" spans="1:66" ht="25.5" customHeight="1">
      <c r="A136" s="58">
        <v>125</v>
      </c>
      <c r="B136" s="62"/>
      <c r="C136" s="63" t="s">
        <v>2437</v>
      </c>
      <c r="D136" s="64" t="s">
        <v>2438</v>
      </c>
      <c r="E136" s="64">
        <v>32</v>
      </c>
      <c r="F136" s="65" t="s">
        <v>75</v>
      </c>
      <c r="G136" s="58"/>
      <c r="H136" s="30" t="s">
        <v>2440</v>
      </c>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33"/>
      <c r="AJ136" s="33"/>
      <c r="AK136" s="33"/>
      <c r="AL136" s="33"/>
      <c r="AM136" s="33"/>
      <c r="AN136" s="33"/>
      <c r="AO136" s="33"/>
      <c r="AP136" s="33"/>
      <c r="AQ136" s="33"/>
      <c r="AR136" s="33"/>
      <c r="AS136" s="33"/>
      <c r="AT136" s="33"/>
      <c r="AU136" s="33"/>
      <c r="AV136" s="33"/>
      <c r="AW136" s="33"/>
      <c r="AX136" s="33"/>
      <c r="AY136" s="33"/>
      <c r="AZ136" s="33"/>
      <c r="BA136" s="33"/>
      <c r="BB136" s="33"/>
      <c r="BC136" s="33"/>
      <c r="BD136" s="33"/>
      <c r="BE136" s="33"/>
      <c r="BF136" s="33"/>
      <c r="BG136" s="33"/>
      <c r="BH136" s="33"/>
      <c r="BI136" s="33"/>
      <c r="BJ136" s="33"/>
      <c r="BK136" s="33"/>
      <c r="BL136" s="33"/>
      <c r="BM136" s="33"/>
      <c r="BN136" s="33"/>
    </row>
    <row r="137" spans="1:66" ht="25.5" customHeight="1">
      <c r="A137" s="58">
        <v>126</v>
      </c>
      <c r="B137" s="62"/>
      <c r="C137" s="63" t="s">
        <v>2442</v>
      </c>
      <c r="D137" s="64" t="s">
        <v>2443</v>
      </c>
      <c r="E137" s="64">
        <v>67</v>
      </c>
      <c r="F137" s="65" t="s">
        <v>75</v>
      </c>
      <c r="G137" s="58"/>
      <c r="H137" s="30" t="s">
        <v>2445</v>
      </c>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c r="AK137" s="33"/>
      <c r="AL137" s="33"/>
      <c r="AM137" s="33"/>
      <c r="AN137" s="33"/>
      <c r="AO137" s="33"/>
      <c r="AP137" s="33"/>
      <c r="AQ137" s="33"/>
      <c r="AR137" s="33"/>
      <c r="AS137" s="33"/>
      <c r="AT137" s="33"/>
      <c r="AU137" s="33"/>
      <c r="AV137" s="33"/>
      <c r="AW137" s="33"/>
      <c r="AX137" s="33"/>
      <c r="AY137" s="33"/>
      <c r="AZ137" s="33"/>
      <c r="BA137" s="33"/>
      <c r="BB137" s="33"/>
      <c r="BC137" s="33"/>
      <c r="BD137" s="33"/>
      <c r="BE137" s="33"/>
      <c r="BF137" s="33"/>
      <c r="BG137" s="33"/>
      <c r="BH137" s="33"/>
      <c r="BI137" s="33"/>
      <c r="BJ137" s="33"/>
      <c r="BK137" s="33"/>
      <c r="BL137" s="33"/>
      <c r="BM137" s="33"/>
      <c r="BN137" s="33"/>
    </row>
    <row r="138" spans="1:66" ht="25.5" customHeight="1">
      <c r="A138" s="58">
        <v>127</v>
      </c>
      <c r="B138" s="62"/>
      <c r="C138" s="63" t="s">
        <v>2447</v>
      </c>
      <c r="D138" s="64" t="s">
        <v>2448</v>
      </c>
      <c r="E138" s="64">
        <v>69</v>
      </c>
      <c r="F138" s="65" t="s">
        <v>60</v>
      </c>
      <c r="G138" s="58"/>
      <c r="H138" s="30" t="s">
        <v>2450</v>
      </c>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33"/>
      <c r="AJ138" s="33"/>
      <c r="AK138" s="33"/>
      <c r="AL138" s="33"/>
      <c r="AM138" s="33"/>
      <c r="AN138" s="33"/>
      <c r="AO138" s="33"/>
      <c r="AP138" s="33"/>
      <c r="AQ138" s="33"/>
      <c r="AR138" s="33"/>
      <c r="AS138" s="33"/>
      <c r="AT138" s="33"/>
      <c r="AU138" s="33"/>
      <c r="AV138" s="33"/>
      <c r="AW138" s="33"/>
      <c r="AX138" s="33"/>
      <c r="AY138" s="33"/>
      <c r="AZ138" s="33"/>
      <c r="BA138" s="33"/>
      <c r="BB138" s="33"/>
      <c r="BC138" s="33"/>
      <c r="BD138" s="33"/>
      <c r="BE138" s="33"/>
      <c r="BF138" s="33"/>
      <c r="BG138" s="33"/>
      <c r="BH138" s="33"/>
      <c r="BI138" s="33"/>
      <c r="BJ138" s="33"/>
      <c r="BK138" s="33"/>
      <c r="BL138" s="33"/>
      <c r="BM138" s="33"/>
      <c r="BN138" s="33"/>
    </row>
    <row r="139" spans="1:66" ht="25.5" customHeight="1">
      <c r="A139" s="58">
        <v>128</v>
      </c>
      <c r="B139" s="62" t="s">
        <v>2452</v>
      </c>
      <c r="C139" s="63" t="s">
        <v>2453</v>
      </c>
      <c r="D139" s="64" t="s">
        <v>2454</v>
      </c>
      <c r="E139" s="64">
        <v>24</v>
      </c>
      <c r="F139" s="65" t="s">
        <v>75</v>
      </c>
      <c r="G139" s="58"/>
      <c r="H139" s="30" t="s">
        <v>2456</v>
      </c>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c r="AI139" s="33"/>
      <c r="AJ139" s="33"/>
      <c r="AK139" s="33"/>
      <c r="AL139" s="33"/>
      <c r="AM139" s="33"/>
      <c r="AN139" s="33"/>
      <c r="AO139" s="33"/>
      <c r="AP139" s="33"/>
      <c r="AQ139" s="33"/>
      <c r="AR139" s="33"/>
      <c r="AS139" s="33"/>
      <c r="AT139" s="33"/>
      <c r="AU139" s="33"/>
      <c r="AV139" s="33"/>
      <c r="AW139" s="33"/>
      <c r="AX139" s="33"/>
      <c r="AY139" s="33"/>
      <c r="AZ139" s="33"/>
      <c r="BA139" s="33"/>
      <c r="BB139" s="33"/>
      <c r="BC139" s="33"/>
      <c r="BD139" s="33"/>
      <c r="BE139" s="33"/>
      <c r="BF139" s="33"/>
      <c r="BG139" s="33"/>
      <c r="BH139" s="33"/>
      <c r="BI139" s="33"/>
      <c r="BJ139" s="33"/>
      <c r="BK139" s="33"/>
      <c r="BL139" s="33"/>
      <c r="BM139" s="33"/>
      <c r="BN139" s="33"/>
    </row>
    <row r="140" spans="1:66" ht="25.5" customHeight="1">
      <c r="A140" s="58">
        <v>129</v>
      </c>
      <c r="B140" s="62"/>
      <c r="C140" s="63" t="s">
        <v>2458</v>
      </c>
      <c r="D140" s="64" t="s">
        <v>2459</v>
      </c>
      <c r="E140" s="64">
        <v>23</v>
      </c>
      <c r="F140" s="65" t="s">
        <v>75</v>
      </c>
      <c r="G140" s="58"/>
      <c r="H140" s="30" t="s">
        <v>2461</v>
      </c>
      <c r="I140" s="33"/>
      <c r="J140" s="33"/>
      <c r="K140" s="33"/>
      <c r="L140" s="33"/>
      <c r="M140" s="33"/>
      <c r="N140" s="33"/>
      <c r="O140" s="33"/>
      <c r="P140" s="33"/>
      <c r="Q140" s="33"/>
      <c r="R140" s="33"/>
      <c r="S140" s="33"/>
      <c r="T140" s="33"/>
      <c r="U140" s="33"/>
      <c r="V140" s="33"/>
      <c r="W140" s="33"/>
      <c r="X140" s="33"/>
      <c r="Y140" s="33"/>
      <c r="Z140" s="33"/>
      <c r="AA140" s="33"/>
      <c r="AB140" s="33"/>
      <c r="AC140" s="33"/>
      <c r="AD140" s="33"/>
      <c r="AE140" s="33"/>
      <c r="AF140" s="33"/>
      <c r="AG140" s="33"/>
      <c r="AH140" s="33"/>
      <c r="AI140" s="33"/>
      <c r="AJ140" s="33"/>
      <c r="AK140" s="33"/>
      <c r="AL140" s="33"/>
      <c r="AM140" s="33"/>
      <c r="AN140" s="33"/>
      <c r="AO140" s="33"/>
      <c r="AP140" s="33"/>
      <c r="AQ140" s="33"/>
      <c r="AR140" s="33"/>
      <c r="AS140" s="33"/>
      <c r="AT140" s="33"/>
      <c r="AU140" s="33"/>
      <c r="AV140" s="33"/>
      <c r="AW140" s="33"/>
      <c r="AX140" s="33"/>
      <c r="AY140" s="33"/>
      <c r="AZ140" s="33"/>
      <c r="BA140" s="33"/>
      <c r="BB140" s="33"/>
      <c r="BC140" s="33"/>
      <c r="BD140" s="33"/>
      <c r="BE140" s="33"/>
      <c r="BF140" s="33"/>
      <c r="BG140" s="33"/>
      <c r="BH140" s="33"/>
      <c r="BI140" s="33"/>
      <c r="BJ140" s="33"/>
      <c r="BK140" s="33"/>
      <c r="BL140" s="33"/>
      <c r="BM140" s="33"/>
      <c r="BN140" s="33"/>
    </row>
    <row r="141" spans="1:66" ht="25.5" customHeight="1">
      <c r="A141" s="58">
        <v>130</v>
      </c>
      <c r="B141" s="62"/>
      <c r="C141" s="63" t="s">
        <v>2463</v>
      </c>
      <c r="D141" s="64" t="s">
        <v>2464</v>
      </c>
      <c r="E141" s="64">
        <v>23</v>
      </c>
      <c r="F141" s="65" t="s">
        <v>75</v>
      </c>
      <c r="G141" s="58"/>
      <c r="H141" s="30" t="s">
        <v>2466</v>
      </c>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I141" s="33"/>
      <c r="AJ141" s="33"/>
      <c r="AK141" s="33"/>
      <c r="AL141" s="33"/>
      <c r="AM141" s="33"/>
      <c r="AN141" s="33"/>
      <c r="AO141" s="33"/>
      <c r="AP141" s="33"/>
      <c r="AQ141" s="33"/>
      <c r="AR141" s="33"/>
      <c r="AS141" s="33"/>
      <c r="AT141" s="33"/>
      <c r="AU141" s="33"/>
      <c r="AV141" s="33"/>
      <c r="AW141" s="33"/>
      <c r="AX141" s="33"/>
      <c r="AY141" s="33"/>
      <c r="AZ141" s="33"/>
      <c r="BA141" s="33"/>
      <c r="BB141" s="33"/>
      <c r="BC141" s="33"/>
      <c r="BD141" s="33"/>
      <c r="BE141" s="33"/>
      <c r="BF141" s="33"/>
      <c r="BG141" s="33"/>
      <c r="BH141" s="33"/>
      <c r="BI141" s="33"/>
      <c r="BJ141" s="33"/>
      <c r="BK141" s="33"/>
      <c r="BL141" s="33"/>
      <c r="BM141" s="33"/>
      <c r="BN141" s="33"/>
    </row>
    <row r="142" spans="1:66" ht="25.5" customHeight="1">
      <c r="A142" s="58">
        <v>131</v>
      </c>
      <c r="B142" s="62"/>
      <c r="C142" s="63" t="s">
        <v>2468</v>
      </c>
      <c r="D142" s="64" t="s">
        <v>2469</v>
      </c>
      <c r="E142" s="64">
        <v>24</v>
      </c>
      <c r="F142" s="65" t="s">
        <v>60</v>
      </c>
      <c r="G142" s="58"/>
      <c r="H142" s="30" t="s">
        <v>2471</v>
      </c>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c r="AH142" s="33"/>
      <c r="AI142" s="33"/>
      <c r="AJ142" s="33"/>
      <c r="AK142" s="33"/>
      <c r="AL142" s="33"/>
      <c r="AM142" s="33"/>
      <c r="AN142" s="33"/>
      <c r="AO142" s="33"/>
      <c r="AP142" s="33"/>
      <c r="AQ142" s="33"/>
      <c r="AR142" s="33"/>
      <c r="AS142" s="33"/>
      <c r="AT142" s="33"/>
      <c r="AU142" s="33"/>
      <c r="AV142" s="33"/>
      <c r="AW142" s="33"/>
      <c r="AX142" s="33"/>
      <c r="AY142" s="33"/>
      <c r="AZ142" s="33"/>
      <c r="BA142" s="33"/>
      <c r="BB142" s="33"/>
      <c r="BC142" s="33"/>
      <c r="BD142" s="33"/>
      <c r="BE142" s="33"/>
      <c r="BF142" s="33"/>
      <c r="BG142" s="33"/>
      <c r="BH142" s="33"/>
      <c r="BI142" s="33"/>
      <c r="BJ142" s="33"/>
      <c r="BK142" s="33"/>
      <c r="BL142" s="33"/>
      <c r="BM142" s="33"/>
      <c r="BN142" s="33"/>
    </row>
    <row r="143" spans="1:66" ht="25.5" customHeight="1">
      <c r="A143" s="58">
        <v>132</v>
      </c>
      <c r="B143" s="62"/>
      <c r="C143" s="63" t="s">
        <v>2473</v>
      </c>
      <c r="D143" s="64" t="s">
        <v>2474</v>
      </c>
      <c r="E143" s="64">
        <v>23</v>
      </c>
      <c r="F143" s="65" t="s">
        <v>75</v>
      </c>
      <c r="G143" s="58"/>
      <c r="H143" s="30">
        <v>0</v>
      </c>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33"/>
      <c r="AJ143" s="33"/>
      <c r="AK143" s="33"/>
      <c r="AL143" s="33"/>
      <c r="AM143" s="33"/>
      <c r="AN143" s="33"/>
      <c r="AO143" s="33"/>
      <c r="AP143" s="33"/>
      <c r="AQ143" s="33"/>
      <c r="AR143" s="33"/>
      <c r="AS143" s="33"/>
      <c r="AT143" s="33"/>
      <c r="AU143" s="33"/>
      <c r="AV143" s="33"/>
      <c r="AW143" s="33"/>
      <c r="AX143" s="33"/>
      <c r="AY143" s="33"/>
      <c r="AZ143" s="33"/>
      <c r="BA143" s="33"/>
      <c r="BB143" s="33"/>
      <c r="BC143" s="33"/>
      <c r="BD143" s="33"/>
      <c r="BE143" s="33"/>
      <c r="BF143" s="33"/>
      <c r="BG143" s="33"/>
      <c r="BH143" s="33"/>
      <c r="BI143" s="33"/>
      <c r="BJ143" s="33"/>
      <c r="BK143" s="33"/>
      <c r="BL143" s="33"/>
      <c r="BM143" s="33"/>
      <c r="BN143" s="33"/>
    </row>
    <row r="144" spans="1:66" ht="25.5" customHeight="1">
      <c r="A144" s="58">
        <v>133</v>
      </c>
      <c r="B144" s="62"/>
      <c r="C144" s="63" t="s">
        <v>2477</v>
      </c>
      <c r="D144" s="64" t="s">
        <v>2478</v>
      </c>
      <c r="E144" s="64">
        <v>40</v>
      </c>
      <c r="F144" s="65" t="s">
        <v>75</v>
      </c>
      <c r="G144" s="58"/>
      <c r="H144" s="30">
        <v>0</v>
      </c>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33"/>
      <c r="AJ144" s="33"/>
      <c r="AK144" s="33"/>
      <c r="AL144" s="33"/>
      <c r="AM144" s="33"/>
      <c r="AN144" s="33"/>
      <c r="AO144" s="33"/>
      <c r="AP144" s="33"/>
      <c r="AQ144" s="33"/>
      <c r="AR144" s="33"/>
      <c r="AS144" s="33"/>
      <c r="AT144" s="33"/>
      <c r="AU144" s="33"/>
      <c r="AV144" s="33"/>
      <c r="AW144" s="33"/>
      <c r="AX144" s="33"/>
      <c r="AY144" s="33"/>
      <c r="AZ144" s="33"/>
      <c r="BA144" s="33"/>
      <c r="BB144" s="33"/>
      <c r="BC144" s="33"/>
      <c r="BD144" s="33"/>
      <c r="BE144" s="33"/>
      <c r="BF144" s="33"/>
      <c r="BG144" s="33"/>
      <c r="BH144" s="33"/>
      <c r="BI144" s="33"/>
      <c r="BJ144" s="33"/>
      <c r="BK144" s="33"/>
      <c r="BL144" s="33"/>
      <c r="BM144" s="33"/>
      <c r="BN144" s="33"/>
    </row>
    <row r="145" spans="1:66" ht="25.5" customHeight="1">
      <c r="A145" s="58">
        <v>134</v>
      </c>
      <c r="B145" s="62"/>
      <c r="C145" s="63" t="s">
        <v>2481</v>
      </c>
      <c r="D145" s="64" t="s">
        <v>2482</v>
      </c>
      <c r="E145" s="64">
        <v>45</v>
      </c>
      <c r="F145" s="65" t="s">
        <v>60</v>
      </c>
      <c r="G145" s="58"/>
      <c r="H145" s="30">
        <v>0</v>
      </c>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c r="AJ145" s="33"/>
      <c r="AK145" s="33"/>
      <c r="AL145" s="33"/>
      <c r="AM145" s="33"/>
      <c r="AN145" s="33"/>
      <c r="AO145" s="33"/>
      <c r="AP145" s="33"/>
      <c r="AQ145" s="33"/>
      <c r="AR145" s="33"/>
      <c r="AS145" s="33"/>
      <c r="AT145" s="33"/>
      <c r="AU145" s="33"/>
      <c r="AV145" s="33"/>
      <c r="AW145" s="33"/>
      <c r="AX145" s="33"/>
      <c r="AY145" s="33"/>
      <c r="AZ145" s="33"/>
      <c r="BA145" s="33"/>
      <c r="BB145" s="33"/>
      <c r="BC145" s="33"/>
      <c r="BD145" s="33"/>
      <c r="BE145" s="33"/>
      <c r="BF145" s="33"/>
      <c r="BG145" s="33"/>
      <c r="BH145" s="33"/>
      <c r="BI145" s="33"/>
      <c r="BJ145" s="33"/>
      <c r="BK145" s="33"/>
      <c r="BL145" s="33"/>
      <c r="BM145" s="33"/>
      <c r="BN145" s="33"/>
    </row>
    <row r="146" spans="1:66" ht="25.5" customHeight="1">
      <c r="A146" s="58">
        <v>135</v>
      </c>
      <c r="B146" s="62"/>
      <c r="C146" s="63" t="s">
        <v>2485</v>
      </c>
      <c r="D146" s="64" t="s">
        <v>2486</v>
      </c>
      <c r="E146" s="64">
        <v>41</v>
      </c>
      <c r="F146" s="65" t="s">
        <v>75</v>
      </c>
      <c r="G146" s="58"/>
      <c r="H146" s="30">
        <v>0</v>
      </c>
      <c r="I146" s="33"/>
      <c r="J146" s="33"/>
      <c r="K146" s="33"/>
      <c r="L146" s="33"/>
      <c r="M146" s="33"/>
      <c r="N146" s="33"/>
      <c r="O146" s="33"/>
      <c r="P146" s="33"/>
      <c r="Q146" s="33"/>
      <c r="R146" s="33"/>
      <c r="S146" s="33"/>
      <c r="T146" s="33"/>
      <c r="U146" s="33"/>
      <c r="V146" s="33"/>
      <c r="W146" s="33"/>
      <c r="X146" s="33"/>
      <c r="Y146" s="33"/>
      <c r="Z146" s="33"/>
      <c r="AA146" s="33"/>
      <c r="AB146" s="33"/>
      <c r="AC146" s="33"/>
      <c r="AD146" s="33"/>
      <c r="AE146" s="33"/>
      <c r="AF146" s="33"/>
      <c r="AG146" s="33"/>
      <c r="AH146" s="33"/>
      <c r="AI146" s="33"/>
      <c r="AJ146" s="33"/>
      <c r="AK146" s="33"/>
      <c r="AL146" s="33"/>
      <c r="AM146" s="33"/>
      <c r="AN146" s="33"/>
      <c r="AO146" s="33"/>
      <c r="AP146" s="33"/>
      <c r="AQ146" s="33"/>
      <c r="AR146" s="33"/>
      <c r="AS146" s="33"/>
      <c r="AT146" s="33"/>
      <c r="AU146" s="33"/>
      <c r="AV146" s="33"/>
      <c r="AW146" s="33"/>
      <c r="AX146" s="33"/>
      <c r="AY146" s="33"/>
      <c r="AZ146" s="33"/>
      <c r="BA146" s="33"/>
      <c r="BB146" s="33"/>
      <c r="BC146" s="33"/>
      <c r="BD146" s="33"/>
      <c r="BE146" s="33"/>
      <c r="BF146" s="33"/>
      <c r="BG146" s="33"/>
      <c r="BH146" s="33"/>
      <c r="BI146" s="33"/>
      <c r="BJ146" s="33"/>
      <c r="BK146" s="33"/>
      <c r="BL146" s="33"/>
      <c r="BM146" s="33"/>
      <c r="BN146" s="33"/>
    </row>
    <row r="147" spans="1:66" ht="25.5" customHeight="1">
      <c r="A147" s="58">
        <v>136</v>
      </c>
      <c r="B147" s="62"/>
      <c r="C147" s="63" t="s">
        <v>2489</v>
      </c>
      <c r="D147" s="64" t="s">
        <v>2490</v>
      </c>
      <c r="E147" s="64">
        <v>62</v>
      </c>
      <c r="F147" s="65" t="s">
        <v>75</v>
      </c>
      <c r="G147" s="58"/>
      <c r="H147" s="30">
        <v>0</v>
      </c>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3"/>
      <c r="AK147" s="33"/>
      <c r="AL147" s="33"/>
      <c r="AM147" s="33"/>
      <c r="AN147" s="33"/>
      <c r="AO147" s="33"/>
      <c r="AP147" s="33"/>
      <c r="AQ147" s="33"/>
      <c r="AR147" s="33"/>
      <c r="AS147" s="33"/>
      <c r="AT147" s="33"/>
      <c r="AU147" s="33"/>
      <c r="AV147" s="33"/>
      <c r="AW147" s="33"/>
      <c r="AX147" s="33"/>
      <c r="AY147" s="33"/>
      <c r="AZ147" s="33"/>
      <c r="BA147" s="33"/>
      <c r="BB147" s="33"/>
      <c r="BC147" s="33"/>
      <c r="BD147" s="33"/>
      <c r="BE147" s="33"/>
      <c r="BF147" s="33"/>
      <c r="BG147" s="33"/>
      <c r="BH147" s="33"/>
      <c r="BI147" s="33"/>
      <c r="BJ147" s="33"/>
      <c r="BK147" s="33"/>
      <c r="BL147" s="33"/>
      <c r="BM147" s="33"/>
      <c r="BN147" s="33"/>
    </row>
    <row r="148" spans="1:66" ht="25.5" customHeight="1">
      <c r="A148" s="58">
        <v>137</v>
      </c>
      <c r="B148" s="62"/>
      <c r="C148" s="63" t="s">
        <v>2493</v>
      </c>
      <c r="D148" s="64" t="s">
        <v>2494</v>
      </c>
      <c r="E148" s="64">
        <v>45</v>
      </c>
      <c r="F148" s="65" t="s">
        <v>60</v>
      </c>
      <c r="G148" s="58"/>
      <c r="H148" s="30">
        <v>0</v>
      </c>
      <c r="I148" s="33"/>
      <c r="J148" s="33"/>
      <c r="K148" s="33"/>
      <c r="L148" s="33"/>
      <c r="M148" s="33"/>
      <c r="N148" s="33"/>
      <c r="O148" s="33"/>
      <c r="P148" s="33"/>
      <c r="Q148" s="33"/>
      <c r="R148" s="33"/>
      <c r="S148" s="33"/>
      <c r="T148" s="33"/>
      <c r="U148" s="33"/>
      <c r="V148" s="33"/>
      <c r="W148" s="33"/>
      <c r="X148" s="33"/>
      <c r="Y148" s="33"/>
      <c r="Z148" s="33"/>
      <c r="AA148" s="33"/>
      <c r="AB148" s="33"/>
      <c r="AC148" s="33"/>
      <c r="AD148" s="33"/>
      <c r="AE148" s="33"/>
      <c r="AF148" s="33"/>
      <c r="AG148" s="33"/>
      <c r="AH148" s="33"/>
      <c r="AI148" s="33"/>
      <c r="AJ148" s="33"/>
      <c r="AK148" s="33"/>
      <c r="AL148" s="33"/>
      <c r="AM148" s="33"/>
      <c r="AN148" s="33"/>
      <c r="AO148" s="33"/>
      <c r="AP148" s="33"/>
      <c r="AQ148" s="33"/>
      <c r="AR148" s="33"/>
      <c r="AS148" s="33"/>
      <c r="AT148" s="33"/>
      <c r="AU148" s="33"/>
      <c r="AV148" s="33"/>
      <c r="AW148" s="33"/>
      <c r="AX148" s="33"/>
      <c r="AY148" s="33"/>
      <c r="AZ148" s="33"/>
      <c r="BA148" s="33"/>
      <c r="BB148" s="33"/>
      <c r="BC148" s="33"/>
      <c r="BD148" s="33"/>
      <c r="BE148" s="33"/>
      <c r="BF148" s="33"/>
      <c r="BG148" s="33"/>
      <c r="BH148" s="33"/>
      <c r="BI148" s="33"/>
      <c r="BJ148" s="33"/>
      <c r="BK148" s="33"/>
      <c r="BL148" s="33"/>
      <c r="BM148" s="33"/>
      <c r="BN148" s="33"/>
    </row>
    <row r="149" spans="1:66" ht="25.5" customHeight="1">
      <c r="A149" s="58">
        <v>138</v>
      </c>
      <c r="B149" s="62"/>
      <c r="C149" s="63" t="s">
        <v>2497</v>
      </c>
      <c r="D149" s="64" t="s">
        <v>2498</v>
      </c>
      <c r="E149" s="64">
        <v>43</v>
      </c>
      <c r="F149" s="65" t="s">
        <v>60</v>
      </c>
      <c r="G149" s="58"/>
      <c r="H149" s="30">
        <v>0</v>
      </c>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I149" s="33"/>
      <c r="AJ149" s="33"/>
      <c r="AK149" s="33"/>
      <c r="AL149" s="33"/>
      <c r="AM149" s="33"/>
      <c r="AN149" s="33"/>
      <c r="AO149" s="33"/>
      <c r="AP149" s="33"/>
      <c r="AQ149" s="33"/>
      <c r="AR149" s="33"/>
      <c r="AS149" s="33"/>
      <c r="AT149" s="33"/>
      <c r="AU149" s="33"/>
      <c r="AV149" s="33"/>
      <c r="AW149" s="33"/>
      <c r="AX149" s="33"/>
      <c r="AY149" s="33"/>
      <c r="AZ149" s="33"/>
      <c r="BA149" s="33"/>
      <c r="BB149" s="33"/>
      <c r="BC149" s="33"/>
      <c r="BD149" s="33"/>
      <c r="BE149" s="33"/>
      <c r="BF149" s="33"/>
      <c r="BG149" s="33"/>
      <c r="BH149" s="33"/>
      <c r="BI149" s="33"/>
      <c r="BJ149" s="33"/>
      <c r="BK149" s="33"/>
      <c r="BL149" s="33"/>
      <c r="BM149" s="33"/>
      <c r="BN149" s="33"/>
    </row>
    <row r="150" spans="1:66" ht="25.5" customHeight="1">
      <c r="A150" s="58">
        <v>139</v>
      </c>
      <c r="B150" s="62"/>
      <c r="C150" s="63" t="s">
        <v>2501</v>
      </c>
      <c r="D150" s="64" t="s">
        <v>2502</v>
      </c>
      <c r="E150" s="64">
        <v>42</v>
      </c>
      <c r="F150" s="65" t="s">
        <v>60</v>
      </c>
      <c r="G150" s="58"/>
      <c r="H150" s="30">
        <v>0</v>
      </c>
      <c r="I150" s="33"/>
      <c r="J150" s="33"/>
      <c r="K150" s="33"/>
      <c r="L150" s="33"/>
      <c r="M150" s="33"/>
      <c r="N150" s="33"/>
      <c r="O150" s="33"/>
      <c r="P150" s="33"/>
      <c r="Q150" s="33"/>
      <c r="R150" s="33"/>
      <c r="S150" s="33"/>
      <c r="T150" s="33"/>
      <c r="U150" s="33"/>
      <c r="V150" s="33"/>
      <c r="W150" s="33"/>
      <c r="X150" s="33"/>
      <c r="Y150" s="33"/>
      <c r="Z150" s="33"/>
      <c r="AA150" s="33"/>
      <c r="AB150" s="33"/>
      <c r="AC150" s="33"/>
      <c r="AD150" s="33"/>
      <c r="AE150" s="33"/>
      <c r="AF150" s="33"/>
      <c r="AG150" s="33"/>
      <c r="AH150" s="33"/>
      <c r="AI150" s="33"/>
      <c r="AJ150" s="33"/>
      <c r="AK150" s="33"/>
      <c r="AL150" s="33"/>
      <c r="AM150" s="33"/>
      <c r="AN150" s="33"/>
      <c r="AO150" s="33"/>
      <c r="AP150" s="33"/>
      <c r="AQ150" s="33"/>
      <c r="AR150" s="33"/>
      <c r="AS150" s="33"/>
      <c r="AT150" s="33"/>
      <c r="AU150" s="33"/>
      <c r="AV150" s="33"/>
      <c r="AW150" s="33"/>
      <c r="AX150" s="33"/>
      <c r="AY150" s="33"/>
      <c r="AZ150" s="33"/>
      <c r="BA150" s="33"/>
      <c r="BB150" s="33"/>
      <c r="BC150" s="33"/>
      <c r="BD150" s="33"/>
      <c r="BE150" s="33"/>
      <c r="BF150" s="33"/>
      <c r="BG150" s="33"/>
      <c r="BH150" s="33"/>
      <c r="BI150" s="33"/>
      <c r="BJ150" s="33"/>
      <c r="BK150" s="33"/>
      <c r="BL150" s="33"/>
      <c r="BM150" s="33"/>
      <c r="BN150" s="33"/>
    </row>
    <row r="151" spans="1:66" ht="25.5" customHeight="1">
      <c r="A151" s="58">
        <v>140</v>
      </c>
      <c r="B151" s="62"/>
      <c r="C151" s="63" t="s">
        <v>2505</v>
      </c>
      <c r="D151" s="64" t="s">
        <v>2506</v>
      </c>
      <c r="E151" s="64">
        <v>34</v>
      </c>
      <c r="F151" s="65" t="s">
        <v>75</v>
      </c>
      <c r="G151" s="58"/>
      <c r="H151" s="30">
        <v>0</v>
      </c>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c r="AG151" s="33"/>
      <c r="AH151" s="33"/>
      <c r="AI151" s="33"/>
      <c r="AJ151" s="33"/>
      <c r="AK151" s="33"/>
      <c r="AL151" s="33"/>
      <c r="AM151" s="33"/>
      <c r="AN151" s="33"/>
      <c r="AO151" s="33"/>
      <c r="AP151" s="33"/>
      <c r="AQ151" s="33"/>
      <c r="AR151" s="33"/>
      <c r="AS151" s="33"/>
      <c r="AT151" s="33"/>
      <c r="AU151" s="33"/>
      <c r="AV151" s="33"/>
      <c r="AW151" s="33"/>
      <c r="AX151" s="33"/>
      <c r="AY151" s="33"/>
      <c r="AZ151" s="33"/>
      <c r="BA151" s="33"/>
      <c r="BB151" s="33"/>
      <c r="BC151" s="33"/>
      <c r="BD151" s="33"/>
      <c r="BE151" s="33"/>
      <c r="BF151" s="33"/>
      <c r="BG151" s="33"/>
      <c r="BH151" s="33"/>
      <c r="BI151" s="33"/>
      <c r="BJ151" s="33"/>
      <c r="BK151" s="33"/>
      <c r="BL151" s="33"/>
      <c r="BM151" s="33"/>
      <c r="BN151" s="33"/>
    </row>
    <row r="152" spans="1:66" ht="25.5" customHeight="1">
      <c r="A152" s="58">
        <v>141</v>
      </c>
      <c r="B152" s="62"/>
      <c r="C152" s="63" t="s">
        <v>2509</v>
      </c>
      <c r="D152" s="64" t="s">
        <v>2510</v>
      </c>
      <c r="E152" s="64">
        <v>21</v>
      </c>
      <c r="F152" s="65" t="s">
        <v>60</v>
      </c>
      <c r="G152" s="58"/>
      <c r="H152" s="30">
        <v>0</v>
      </c>
      <c r="I152" s="33"/>
      <c r="J152" s="33"/>
      <c r="K152" s="33"/>
      <c r="L152" s="33"/>
      <c r="M152" s="33"/>
      <c r="N152" s="33"/>
      <c r="O152" s="33"/>
      <c r="P152" s="33"/>
      <c r="Q152" s="33"/>
      <c r="R152" s="33"/>
      <c r="S152" s="33"/>
      <c r="T152" s="33"/>
      <c r="U152" s="33"/>
      <c r="V152" s="33"/>
      <c r="W152" s="33"/>
      <c r="X152" s="33"/>
      <c r="Y152" s="33"/>
      <c r="Z152" s="33"/>
      <c r="AA152" s="33"/>
      <c r="AB152" s="33"/>
      <c r="AC152" s="33"/>
      <c r="AD152" s="33"/>
      <c r="AE152" s="33"/>
      <c r="AF152" s="33"/>
      <c r="AG152" s="33"/>
      <c r="AH152" s="33"/>
      <c r="AI152" s="33"/>
      <c r="AJ152" s="33"/>
      <c r="AK152" s="33"/>
      <c r="AL152" s="33"/>
      <c r="AM152" s="33"/>
      <c r="AN152" s="33"/>
      <c r="AO152" s="33"/>
      <c r="AP152" s="33"/>
      <c r="AQ152" s="33"/>
      <c r="AR152" s="33"/>
      <c r="AS152" s="33"/>
      <c r="AT152" s="33"/>
      <c r="AU152" s="33"/>
      <c r="AV152" s="33"/>
      <c r="AW152" s="33"/>
      <c r="AX152" s="33"/>
      <c r="AY152" s="33"/>
      <c r="AZ152" s="33"/>
      <c r="BA152" s="33"/>
      <c r="BB152" s="33"/>
      <c r="BC152" s="33"/>
      <c r="BD152" s="33"/>
      <c r="BE152" s="33"/>
      <c r="BF152" s="33"/>
      <c r="BG152" s="33"/>
      <c r="BH152" s="33"/>
      <c r="BI152" s="33"/>
      <c r="BJ152" s="33"/>
      <c r="BK152" s="33"/>
      <c r="BL152" s="33"/>
      <c r="BM152" s="33"/>
      <c r="BN152" s="33"/>
    </row>
    <row r="153" spans="1:66" ht="25.5" customHeight="1">
      <c r="A153" s="58">
        <v>142</v>
      </c>
      <c r="B153" s="62"/>
      <c r="C153" s="63" t="s">
        <v>2513</v>
      </c>
      <c r="D153" s="64" t="s">
        <v>2514</v>
      </c>
      <c r="E153" s="64">
        <v>53</v>
      </c>
      <c r="F153" s="65" t="s">
        <v>75</v>
      </c>
      <c r="G153" s="58"/>
      <c r="H153" s="30">
        <v>0</v>
      </c>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c r="AG153" s="33"/>
      <c r="AH153" s="33"/>
      <c r="AI153" s="33"/>
      <c r="AJ153" s="33"/>
      <c r="AK153" s="33"/>
      <c r="AL153" s="33"/>
      <c r="AM153" s="33"/>
      <c r="AN153" s="33"/>
      <c r="AO153" s="33"/>
      <c r="AP153" s="33"/>
      <c r="AQ153" s="33"/>
      <c r="AR153" s="33"/>
      <c r="AS153" s="33"/>
      <c r="AT153" s="33"/>
      <c r="AU153" s="33"/>
      <c r="AV153" s="33"/>
      <c r="AW153" s="33"/>
      <c r="AX153" s="33"/>
      <c r="AY153" s="33"/>
      <c r="AZ153" s="33"/>
      <c r="BA153" s="33"/>
      <c r="BB153" s="33"/>
      <c r="BC153" s="33"/>
      <c r="BD153" s="33"/>
      <c r="BE153" s="33"/>
      <c r="BF153" s="33"/>
      <c r="BG153" s="33"/>
      <c r="BH153" s="33"/>
      <c r="BI153" s="33"/>
      <c r="BJ153" s="33"/>
      <c r="BK153" s="33"/>
      <c r="BL153" s="33"/>
      <c r="BM153" s="33"/>
      <c r="BN153" s="33"/>
    </row>
    <row r="154" spans="1:66" ht="25.5" customHeight="1">
      <c r="A154" s="58">
        <v>143</v>
      </c>
      <c r="B154" s="62"/>
      <c r="C154" s="63" t="s">
        <v>2517</v>
      </c>
      <c r="D154" s="64" t="s">
        <v>2518</v>
      </c>
      <c r="E154" s="64">
        <v>47</v>
      </c>
      <c r="F154" s="65" t="s">
        <v>75</v>
      </c>
      <c r="G154" s="58"/>
      <c r="H154" s="30">
        <v>0</v>
      </c>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3"/>
      <c r="AF154" s="33"/>
      <c r="AG154" s="33"/>
      <c r="AH154" s="33"/>
      <c r="AI154" s="33"/>
      <c r="AJ154" s="33"/>
      <c r="AK154" s="33"/>
      <c r="AL154" s="33"/>
      <c r="AM154" s="33"/>
      <c r="AN154" s="33"/>
      <c r="AO154" s="33"/>
      <c r="AP154" s="33"/>
      <c r="AQ154" s="33"/>
      <c r="AR154" s="33"/>
      <c r="AS154" s="33"/>
      <c r="AT154" s="33"/>
      <c r="AU154" s="33"/>
      <c r="AV154" s="33"/>
      <c r="AW154" s="33"/>
      <c r="AX154" s="33"/>
      <c r="AY154" s="33"/>
      <c r="AZ154" s="33"/>
      <c r="BA154" s="33"/>
      <c r="BB154" s="33"/>
      <c r="BC154" s="33"/>
      <c r="BD154" s="33"/>
      <c r="BE154" s="33"/>
      <c r="BF154" s="33"/>
      <c r="BG154" s="33"/>
      <c r="BH154" s="33"/>
      <c r="BI154" s="33"/>
      <c r="BJ154" s="33"/>
      <c r="BK154" s="33"/>
      <c r="BL154" s="33"/>
      <c r="BM154" s="33"/>
      <c r="BN154" s="33"/>
    </row>
    <row r="155" spans="1:66" ht="25.5" customHeight="1">
      <c r="A155" s="58">
        <v>144</v>
      </c>
      <c r="B155" s="62"/>
      <c r="C155" s="63" t="s">
        <v>2521</v>
      </c>
      <c r="D155" s="64" t="s">
        <v>2522</v>
      </c>
      <c r="E155" s="64">
        <v>33</v>
      </c>
      <c r="F155" s="65" t="s">
        <v>75</v>
      </c>
      <c r="G155" s="58"/>
      <c r="H155" s="30">
        <v>0</v>
      </c>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c r="AK155" s="33"/>
      <c r="AL155" s="33"/>
      <c r="AM155" s="33"/>
      <c r="AN155" s="33"/>
      <c r="AO155" s="33"/>
      <c r="AP155" s="33"/>
      <c r="AQ155" s="33"/>
      <c r="AR155" s="33"/>
      <c r="AS155" s="33"/>
      <c r="AT155" s="33"/>
      <c r="AU155" s="33"/>
      <c r="AV155" s="33"/>
      <c r="AW155" s="33"/>
      <c r="AX155" s="33"/>
      <c r="AY155" s="33"/>
      <c r="AZ155" s="33"/>
      <c r="BA155" s="33"/>
      <c r="BB155" s="33"/>
      <c r="BC155" s="33"/>
      <c r="BD155" s="33"/>
      <c r="BE155" s="33"/>
      <c r="BF155" s="33"/>
      <c r="BG155" s="33"/>
      <c r="BH155" s="33"/>
      <c r="BI155" s="33"/>
      <c r="BJ155" s="33"/>
      <c r="BK155" s="33"/>
      <c r="BL155" s="33"/>
      <c r="BM155" s="33"/>
      <c r="BN155" s="33"/>
    </row>
    <row r="156" spans="1:66" ht="25.5" customHeight="1">
      <c r="A156" s="58">
        <v>145</v>
      </c>
      <c r="B156" s="62"/>
      <c r="C156" s="63" t="s">
        <v>2525</v>
      </c>
      <c r="D156" s="64" t="s">
        <v>2526</v>
      </c>
      <c r="E156" s="64">
        <v>63</v>
      </c>
      <c r="F156" s="65" t="s">
        <v>60</v>
      </c>
      <c r="G156" s="58"/>
      <c r="H156" s="30">
        <v>0</v>
      </c>
      <c r="I156" s="33"/>
      <c r="J156" s="33"/>
      <c r="K156" s="33"/>
      <c r="L156" s="33"/>
      <c r="M156" s="33"/>
      <c r="N156" s="33"/>
      <c r="O156" s="33"/>
      <c r="P156" s="33"/>
      <c r="Q156" s="33"/>
      <c r="R156" s="33"/>
      <c r="S156" s="33"/>
      <c r="T156" s="33"/>
      <c r="U156" s="33"/>
      <c r="V156" s="33"/>
      <c r="W156" s="33"/>
      <c r="X156" s="33"/>
      <c r="Y156" s="33"/>
      <c r="Z156" s="33"/>
      <c r="AA156" s="33"/>
      <c r="AB156" s="33"/>
      <c r="AC156" s="33"/>
      <c r="AD156" s="33"/>
      <c r="AE156" s="33"/>
      <c r="AF156" s="33"/>
      <c r="AG156" s="33"/>
      <c r="AH156" s="33"/>
      <c r="AI156" s="33"/>
      <c r="AJ156" s="33"/>
      <c r="AK156" s="33"/>
      <c r="AL156" s="33"/>
      <c r="AM156" s="33"/>
      <c r="AN156" s="33"/>
      <c r="AO156" s="33"/>
      <c r="AP156" s="33"/>
      <c r="AQ156" s="33"/>
      <c r="AR156" s="33"/>
      <c r="AS156" s="33"/>
      <c r="AT156" s="33"/>
      <c r="AU156" s="33"/>
      <c r="AV156" s="33"/>
      <c r="AW156" s="33"/>
      <c r="AX156" s="33"/>
      <c r="AY156" s="33"/>
      <c r="AZ156" s="33"/>
      <c r="BA156" s="33"/>
      <c r="BB156" s="33"/>
      <c r="BC156" s="33"/>
      <c r="BD156" s="33"/>
      <c r="BE156" s="33"/>
      <c r="BF156" s="33"/>
      <c r="BG156" s="33"/>
      <c r="BH156" s="33"/>
      <c r="BI156" s="33"/>
      <c r="BJ156" s="33"/>
      <c r="BK156" s="33"/>
      <c r="BL156" s="33"/>
      <c r="BM156" s="33"/>
      <c r="BN156" s="33"/>
    </row>
    <row r="157" spans="1:66" ht="25.5" customHeight="1">
      <c r="A157" s="58">
        <v>146</v>
      </c>
      <c r="B157" s="62"/>
      <c r="C157" s="63" t="s">
        <v>2529</v>
      </c>
      <c r="D157" s="64" t="s">
        <v>2530</v>
      </c>
      <c r="E157" s="64">
        <v>53</v>
      </c>
      <c r="F157" s="65" t="s">
        <v>60</v>
      </c>
      <c r="G157" s="58"/>
      <c r="H157" s="30">
        <v>0</v>
      </c>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3"/>
      <c r="AF157" s="33"/>
      <c r="AG157" s="33"/>
      <c r="AH157" s="33"/>
      <c r="AI157" s="33"/>
      <c r="AJ157" s="33"/>
      <c r="AK157" s="33"/>
      <c r="AL157" s="33"/>
      <c r="AM157" s="33"/>
      <c r="AN157" s="33"/>
      <c r="AO157" s="33"/>
      <c r="AP157" s="33"/>
      <c r="AQ157" s="33"/>
      <c r="AR157" s="33"/>
      <c r="AS157" s="33"/>
      <c r="AT157" s="33"/>
      <c r="AU157" s="33"/>
      <c r="AV157" s="33"/>
      <c r="AW157" s="33"/>
      <c r="AX157" s="33"/>
      <c r="AY157" s="33"/>
      <c r="AZ157" s="33"/>
      <c r="BA157" s="33"/>
      <c r="BB157" s="33"/>
      <c r="BC157" s="33"/>
      <c r="BD157" s="33"/>
      <c r="BE157" s="33"/>
      <c r="BF157" s="33"/>
      <c r="BG157" s="33"/>
      <c r="BH157" s="33"/>
      <c r="BI157" s="33"/>
      <c r="BJ157" s="33"/>
      <c r="BK157" s="33"/>
      <c r="BL157" s="33"/>
      <c r="BM157" s="33"/>
      <c r="BN157" s="33"/>
    </row>
    <row r="158" spans="1:66" ht="25.5" customHeight="1">
      <c r="A158" s="58">
        <v>147</v>
      </c>
      <c r="B158" s="62"/>
      <c r="C158" s="63" t="s">
        <v>2533</v>
      </c>
      <c r="D158" s="64" t="s">
        <v>2534</v>
      </c>
      <c r="E158" s="64">
        <v>29</v>
      </c>
      <c r="F158" s="65" t="s">
        <v>75</v>
      </c>
      <c r="G158" s="58"/>
      <c r="H158" s="30">
        <v>0</v>
      </c>
      <c r="I158" s="33"/>
      <c r="J158" s="33"/>
      <c r="K158" s="33"/>
      <c r="L158" s="33"/>
      <c r="M158" s="33"/>
      <c r="N158" s="33"/>
      <c r="O158" s="33"/>
      <c r="P158" s="33"/>
      <c r="Q158" s="33"/>
      <c r="R158" s="33"/>
      <c r="S158" s="33"/>
      <c r="T158" s="33"/>
      <c r="U158" s="33"/>
      <c r="V158" s="33"/>
      <c r="W158" s="33"/>
      <c r="X158" s="33"/>
      <c r="Y158" s="33"/>
      <c r="Z158" s="33"/>
      <c r="AA158" s="33"/>
      <c r="AB158" s="33"/>
      <c r="AC158" s="33"/>
      <c r="AD158" s="33"/>
      <c r="AE158" s="33"/>
      <c r="AF158" s="33"/>
      <c r="AG158" s="33"/>
      <c r="AH158" s="33"/>
      <c r="AI158" s="33"/>
      <c r="AJ158" s="33"/>
      <c r="AK158" s="33"/>
      <c r="AL158" s="33"/>
      <c r="AM158" s="33"/>
      <c r="AN158" s="33"/>
      <c r="AO158" s="33"/>
      <c r="AP158" s="33"/>
      <c r="AQ158" s="33"/>
      <c r="AR158" s="33"/>
      <c r="AS158" s="33"/>
      <c r="AT158" s="33"/>
      <c r="AU158" s="33"/>
      <c r="AV158" s="33"/>
      <c r="AW158" s="33"/>
      <c r="AX158" s="33"/>
      <c r="AY158" s="33"/>
      <c r="AZ158" s="33"/>
      <c r="BA158" s="33"/>
      <c r="BB158" s="33"/>
      <c r="BC158" s="33"/>
      <c r="BD158" s="33"/>
      <c r="BE158" s="33"/>
      <c r="BF158" s="33"/>
      <c r="BG158" s="33"/>
      <c r="BH158" s="33"/>
      <c r="BI158" s="33"/>
      <c r="BJ158" s="33"/>
      <c r="BK158" s="33"/>
      <c r="BL158" s="33"/>
      <c r="BM158" s="33"/>
      <c r="BN158" s="33"/>
    </row>
    <row r="159" spans="1:66" ht="25.5" customHeight="1">
      <c r="A159" s="58">
        <v>148</v>
      </c>
      <c r="B159" s="62"/>
      <c r="C159" s="63" t="s">
        <v>2537</v>
      </c>
      <c r="D159" s="64" t="s">
        <v>2538</v>
      </c>
      <c r="E159" s="64">
        <v>41</v>
      </c>
      <c r="F159" s="65" t="s">
        <v>75</v>
      </c>
      <c r="G159" s="58"/>
      <c r="H159" s="30">
        <v>0</v>
      </c>
      <c r="I159" s="33"/>
      <c r="J159" s="33"/>
      <c r="K159" s="33"/>
      <c r="L159" s="33"/>
      <c r="M159" s="33"/>
      <c r="N159" s="33"/>
      <c r="O159" s="33"/>
      <c r="P159" s="33"/>
      <c r="Q159" s="33"/>
      <c r="R159" s="33"/>
      <c r="S159" s="33"/>
      <c r="T159" s="33"/>
      <c r="U159" s="33"/>
      <c r="V159" s="33"/>
      <c r="W159" s="33"/>
      <c r="X159" s="33"/>
      <c r="Y159" s="33"/>
      <c r="Z159" s="33"/>
      <c r="AA159" s="33"/>
      <c r="AB159" s="33"/>
      <c r="AC159" s="33"/>
      <c r="AD159" s="33"/>
      <c r="AE159" s="33"/>
      <c r="AF159" s="33"/>
      <c r="AG159" s="33"/>
      <c r="AH159" s="33"/>
      <c r="AI159" s="33"/>
      <c r="AJ159" s="33"/>
      <c r="AK159" s="33"/>
      <c r="AL159" s="33"/>
      <c r="AM159" s="33"/>
      <c r="AN159" s="33"/>
      <c r="AO159" s="33"/>
      <c r="AP159" s="33"/>
      <c r="AQ159" s="33"/>
      <c r="AR159" s="33"/>
      <c r="AS159" s="33"/>
      <c r="AT159" s="33"/>
      <c r="AU159" s="33"/>
      <c r="AV159" s="33"/>
      <c r="AW159" s="33"/>
      <c r="AX159" s="33"/>
      <c r="AY159" s="33"/>
      <c r="AZ159" s="33"/>
      <c r="BA159" s="33"/>
      <c r="BB159" s="33"/>
      <c r="BC159" s="33"/>
      <c r="BD159" s="33"/>
      <c r="BE159" s="33"/>
      <c r="BF159" s="33"/>
      <c r="BG159" s="33"/>
      <c r="BH159" s="33"/>
      <c r="BI159" s="33"/>
      <c r="BJ159" s="33"/>
      <c r="BK159" s="33"/>
      <c r="BL159" s="33"/>
      <c r="BM159" s="33"/>
      <c r="BN159" s="33"/>
    </row>
    <row r="160" spans="1:66" ht="25.5" customHeight="1">
      <c r="A160" s="58">
        <v>149</v>
      </c>
      <c r="B160" s="62"/>
      <c r="C160" s="63" t="s">
        <v>2541</v>
      </c>
      <c r="D160" s="64" t="s">
        <v>2542</v>
      </c>
      <c r="E160" s="64">
        <v>54</v>
      </c>
      <c r="F160" s="65" t="s">
        <v>75</v>
      </c>
      <c r="G160" s="58"/>
      <c r="H160" s="30">
        <v>0</v>
      </c>
      <c r="I160" s="33"/>
      <c r="J160" s="33"/>
      <c r="K160" s="33"/>
      <c r="L160" s="33"/>
      <c r="M160" s="33"/>
      <c r="N160" s="33"/>
      <c r="O160" s="33"/>
      <c r="P160" s="33"/>
      <c r="Q160" s="33"/>
      <c r="R160" s="33"/>
      <c r="S160" s="33"/>
      <c r="T160" s="33"/>
      <c r="U160" s="33"/>
      <c r="V160" s="33"/>
      <c r="W160" s="33"/>
      <c r="X160" s="33"/>
      <c r="Y160" s="33"/>
      <c r="Z160" s="33"/>
      <c r="AA160" s="33"/>
      <c r="AB160" s="33"/>
      <c r="AC160" s="33"/>
      <c r="AD160" s="33"/>
      <c r="AE160" s="33"/>
      <c r="AF160" s="33"/>
      <c r="AG160" s="33"/>
      <c r="AH160" s="33"/>
      <c r="AI160" s="33"/>
      <c r="AJ160" s="33"/>
      <c r="AK160" s="33"/>
      <c r="AL160" s="33"/>
      <c r="AM160" s="33"/>
      <c r="AN160" s="33"/>
      <c r="AO160" s="33"/>
      <c r="AP160" s="33"/>
      <c r="AQ160" s="33"/>
      <c r="AR160" s="33"/>
      <c r="AS160" s="33"/>
      <c r="AT160" s="33"/>
      <c r="AU160" s="33"/>
      <c r="AV160" s="33"/>
      <c r="AW160" s="33"/>
      <c r="AX160" s="33"/>
      <c r="AY160" s="33"/>
      <c r="AZ160" s="33"/>
      <c r="BA160" s="33"/>
      <c r="BB160" s="33"/>
      <c r="BC160" s="33"/>
      <c r="BD160" s="33"/>
      <c r="BE160" s="33"/>
      <c r="BF160" s="33"/>
      <c r="BG160" s="33"/>
      <c r="BH160" s="33"/>
      <c r="BI160" s="33"/>
      <c r="BJ160" s="33"/>
      <c r="BK160" s="33"/>
      <c r="BL160" s="33"/>
      <c r="BM160" s="33"/>
      <c r="BN160" s="33"/>
    </row>
    <row r="161" spans="1:66" ht="25.5" customHeight="1">
      <c r="A161" s="58">
        <v>150</v>
      </c>
      <c r="B161" s="62"/>
      <c r="C161" s="63" t="s">
        <v>2545</v>
      </c>
      <c r="D161" s="64" t="s">
        <v>2546</v>
      </c>
      <c r="E161" s="64">
        <v>34</v>
      </c>
      <c r="F161" s="65" t="s">
        <v>75</v>
      </c>
      <c r="G161" s="58"/>
      <c r="H161" s="30">
        <v>0</v>
      </c>
      <c r="I161" s="33"/>
      <c r="J161" s="33"/>
      <c r="K161" s="33"/>
      <c r="L161" s="33"/>
      <c r="M161" s="33"/>
      <c r="N161" s="33"/>
      <c r="O161" s="33"/>
      <c r="P161" s="33"/>
      <c r="Q161" s="33"/>
      <c r="R161" s="33"/>
      <c r="S161" s="33"/>
      <c r="T161" s="33"/>
      <c r="U161" s="33"/>
      <c r="V161" s="33"/>
      <c r="W161" s="33"/>
      <c r="X161" s="33"/>
      <c r="Y161" s="33"/>
      <c r="Z161" s="33"/>
      <c r="AA161" s="33"/>
      <c r="AB161" s="33"/>
      <c r="AC161" s="33"/>
      <c r="AD161" s="33"/>
      <c r="AE161" s="33"/>
      <c r="AF161" s="33"/>
      <c r="AG161" s="33"/>
      <c r="AH161" s="33"/>
      <c r="AI161" s="33"/>
      <c r="AJ161" s="33"/>
      <c r="AK161" s="33"/>
      <c r="AL161" s="33"/>
      <c r="AM161" s="33"/>
      <c r="AN161" s="33"/>
      <c r="AO161" s="33"/>
      <c r="AP161" s="33"/>
      <c r="AQ161" s="33"/>
      <c r="AR161" s="33"/>
      <c r="AS161" s="33"/>
      <c r="AT161" s="33"/>
      <c r="AU161" s="33"/>
      <c r="AV161" s="33"/>
      <c r="AW161" s="33"/>
      <c r="AX161" s="33"/>
      <c r="AY161" s="33"/>
      <c r="AZ161" s="33"/>
      <c r="BA161" s="33"/>
      <c r="BB161" s="33"/>
      <c r="BC161" s="33"/>
      <c r="BD161" s="33"/>
      <c r="BE161" s="33"/>
      <c r="BF161" s="33"/>
      <c r="BG161" s="33"/>
      <c r="BH161" s="33"/>
      <c r="BI161" s="33"/>
      <c r="BJ161" s="33"/>
      <c r="BK161" s="33"/>
      <c r="BL161" s="33"/>
      <c r="BM161" s="33"/>
      <c r="BN161" s="33"/>
    </row>
    <row r="162" spans="1:66" ht="25.5" customHeight="1">
      <c r="A162" s="58">
        <v>151</v>
      </c>
      <c r="B162" s="62"/>
      <c r="C162" s="63" t="s">
        <v>2549</v>
      </c>
      <c r="D162" s="64" t="s">
        <v>2550</v>
      </c>
      <c r="E162" s="64">
        <v>38</v>
      </c>
      <c r="F162" s="65" t="s">
        <v>75</v>
      </c>
      <c r="G162" s="58"/>
      <c r="H162" s="30">
        <v>0</v>
      </c>
      <c r="I162" s="33"/>
      <c r="J162" s="33"/>
      <c r="K162" s="33"/>
      <c r="L162" s="33"/>
      <c r="M162" s="33"/>
      <c r="N162" s="33"/>
      <c r="O162" s="33"/>
      <c r="P162" s="33"/>
      <c r="Q162" s="33"/>
      <c r="R162" s="33"/>
      <c r="S162" s="33"/>
      <c r="T162" s="33"/>
      <c r="U162" s="33"/>
      <c r="V162" s="33"/>
      <c r="W162" s="33"/>
      <c r="X162" s="33"/>
      <c r="Y162" s="33"/>
      <c r="Z162" s="33"/>
      <c r="AA162" s="33"/>
      <c r="AB162" s="33"/>
      <c r="AC162" s="33"/>
      <c r="AD162" s="33"/>
      <c r="AE162" s="33"/>
      <c r="AF162" s="33"/>
      <c r="AG162" s="33"/>
      <c r="AH162" s="33"/>
      <c r="AI162" s="33"/>
      <c r="AJ162" s="33"/>
      <c r="AK162" s="33"/>
      <c r="AL162" s="33"/>
      <c r="AM162" s="33"/>
      <c r="AN162" s="33"/>
      <c r="AO162" s="33"/>
      <c r="AP162" s="33"/>
      <c r="AQ162" s="33"/>
      <c r="AR162" s="33"/>
      <c r="AS162" s="33"/>
      <c r="AT162" s="33"/>
      <c r="AU162" s="33"/>
      <c r="AV162" s="33"/>
      <c r="AW162" s="33"/>
      <c r="AX162" s="33"/>
      <c r="AY162" s="33"/>
      <c r="AZ162" s="33"/>
      <c r="BA162" s="33"/>
      <c r="BB162" s="33"/>
      <c r="BC162" s="33"/>
      <c r="BD162" s="33"/>
      <c r="BE162" s="33"/>
      <c r="BF162" s="33"/>
      <c r="BG162" s="33"/>
      <c r="BH162" s="33"/>
      <c r="BI162" s="33"/>
      <c r="BJ162" s="33"/>
      <c r="BK162" s="33"/>
      <c r="BL162" s="33"/>
      <c r="BM162" s="33"/>
      <c r="BN162" s="33"/>
    </row>
    <row r="163" spans="1:66" ht="25.5" customHeight="1">
      <c r="A163" s="58">
        <v>152</v>
      </c>
      <c r="B163" s="62"/>
      <c r="C163" s="63" t="s">
        <v>2553</v>
      </c>
      <c r="D163" s="64" t="s">
        <v>2554</v>
      </c>
      <c r="E163" s="64">
        <v>35</v>
      </c>
      <c r="F163" s="65" t="s">
        <v>75</v>
      </c>
      <c r="G163" s="58"/>
      <c r="H163" s="30">
        <v>0</v>
      </c>
      <c r="I163" s="33"/>
      <c r="J163" s="33"/>
      <c r="K163" s="33"/>
      <c r="L163" s="33"/>
      <c r="M163" s="33"/>
      <c r="N163" s="33"/>
      <c r="O163" s="33"/>
      <c r="P163" s="33"/>
      <c r="Q163" s="33"/>
      <c r="R163" s="33"/>
      <c r="S163" s="33"/>
      <c r="T163" s="33"/>
      <c r="U163" s="33"/>
      <c r="V163" s="33"/>
      <c r="W163" s="33"/>
      <c r="X163" s="33"/>
      <c r="Y163" s="33"/>
      <c r="Z163" s="33"/>
      <c r="AA163" s="33"/>
      <c r="AB163" s="33"/>
      <c r="AC163" s="33"/>
      <c r="AD163" s="33"/>
      <c r="AE163" s="33"/>
      <c r="AF163" s="33"/>
      <c r="AG163" s="33"/>
      <c r="AH163" s="33"/>
      <c r="AI163" s="33"/>
      <c r="AJ163" s="33"/>
      <c r="AK163" s="33"/>
      <c r="AL163" s="33"/>
      <c r="AM163" s="33"/>
      <c r="AN163" s="33"/>
      <c r="AO163" s="33"/>
      <c r="AP163" s="33"/>
      <c r="AQ163" s="33"/>
      <c r="AR163" s="33"/>
      <c r="AS163" s="33"/>
      <c r="AT163" s="33"/>
      <c r="AU163" s="33"/>
      <c r="AV163" s="33"/>
      <c r="AW163" s="33"/>
      <c r="AX163" s="33"/>
      <c r="AY163" s="33"/>
      <c r="AZ163" s="33"/>
      <c r="BA163" s="33"/>
      <c r="BB163" s="33"/>
      <c r="BC163" s="33"/>
      <c r="BD163" s="33"/>
      <c r="BE163" s="33"/>
      <c r="BF163" s="33"/>
      <c r="BG163" s="33"/>
      <c r="BH163" s="33"/>
      <c r="BI163" s="33"/>
      <c r="BJ163" s="33"/>
      <c r="BK163" s="33"/>
      <c r="BL163" s="33"/>
      <c r="BM163" s="33"/>
      <c r="BN163" s="33"/>
    </row>
    <row r="164" spans="1:66" ht="25.5" customHeight="1">
      <c r="A164" s="58">
        <v>153</v>
      </c>
      <c r="B164" s="62"/>
      <c r="C164" s="63" t="s">
        <v>2557</v>
      </c>
      <c r="D164" s="64" t="s">
        <v>2558</v>
      </c>
      <c r="E164" s="64">
        <v>53</v>
      </c>
      <c r="F164" s="65" t="s">
        <v>75</v>
      </c>
      <c r="G164" s="58"/>
      <c r="H164" s="30">
        <v>0</v>
      </c>
      <c r="I164" s="33"/>
      <c r="J164" s="33"/>
      <c r="K164" s="33"/>
      <c r="L164" s="33"/>
      <c r="M164" s="33"/>
      <c r="N164" s="33"/>
      <c r="O164" s="33"/>
      <c r="P164" s="33"/>
      <c r="Q164" s="33"/>
      <c r="R164" s="33"/>
      <c r="S164" s="33"/>
      <c r="T164" s="33"/>
      <c r="U164" s="33"/>
      <c r="V164" s="33"/>
      <c r="W164" s="33"/>
      <c r="X164" s="33"/>
      <c r="Y164" s="33"/>
      <c r="Z164" s="33"/>
      <c r="AA164" s="33"/>
      <c r="AB164" s="33"/>
      <c r="AC164" s="33"/>
      <c r="AD164" s="33"/>
      <c r="AE164" s="33"/>
      <c r="AF164" s="33"/>
      <c r="AG164" s="33"/>
      <c r="AH164" s="33"/>
      <c r="AI164" s="33"/>
      <c r="AJ164" s="33"/>
      <c r="AK164" s="33"/>
      <c r="AL164" s="33"/>
      <c r="AM164" s="33"/>
      <c r="AN164" s="33"/>
      <c r="AO164" s="33"/>
      <c r="AP164" s="33"/>
      <c r="AQ164" s="33"/>
      <c r="AR164" s="33"/>
      <c r="AS164" s="33"/>
      <c r="AT164" s="33"/>
      <c r="AU164" s="33"/>
      <c r="AV164" s="33"/>
      <c r="AW164" s="33"/>
      <c r="AX164" s="33"/>
      <c r="AY164" s="33"/>
      <c r="AZ164" s="33"/>
      <c r="BA164" s="33"/>
      <c r="BB164" s="33"/>
      <c r="BC164" s="33"/>
      <c r="BD164" s="33"/>
      <c r="BE164" s="33"/>
      <c r="BF164" s="33"/>
      <c r="BG164" s="33"/>
      <c r="BH164" s="33"/>
      <c r="BI164" s="33"/>
      <c r="BJ164" s="33"/>
      <c r="BK164" s="33"/>
      <c r="BL164" s="33"/>
      <c r="BM164" s="33"/>
      <c r="BN164" s="33"/>
    </row>
    <row r="165" spans="1:66" ht="25.5" customHeight="1">
      <c r="A165" s="58">
        <v>154</v>
      </c>
      <c r="B165" s="62"/>
      <c r="C165" s="63" t="s">
        <v>2566</v>
      </c>
      <c r="D165" s="64" t="s">
        <v>2567</v>
      </c>
      <c r="E165" s="64">
        <v>36</v>
      </c>
      <c r="F165" s="65" t="s">
        <v>75</v>
      </c>
      <c r="G165" s="58"/>
      <c r="H165" s="30">
        <v>0</v>
      </c>
      <c r="I165" s="33"/>
      <c r="J165" s="33"/>
      <c r="K165" s="33"/>
      <c r="L165" s="33"/>
      <c r="M165" s="33"/>
      <c r="N165" s="33"/>
      <c r="O165" s="33"/>
      <c r="P165" s="33"/>
      <c r="Q165" s="33"/>
      <c r="R165" s="33"/>
      <c r="S165" s="33"/>
      <c r="T165" s="33"/>
      <c r="U165" s="33"/>
      <c r="V165" s="33"/>
      <c r="W165" s="33"/>
      <c r="X165" s="33"/>
      <c r="Y165" s="33"/>
      <c r="Z165" s="33"/>
      <c r="AA165" s="33"/>
      <c r="AB165" s="33"/>
      <c r="AC165" s="33"/>
      <c r="AD165" s="33"/>
      <c r="AE165" s="33"/>
      <c r="AF165" s="33"/>
      <c r="AG165" s="33"/>
      <c r="AH165" s="33"/>
      <c r="AI165" s="33"/>
      <c r="AJ165" s="33"/>
      <c r="AK165" s="33"/>
      <c r="AL165" s="33"/>
      <c r="AM165" s="33"/>
      <c r="AN165" s="33"/>
      <c r="AO165" s="33"/>
      <c r="AP165" s="33"/>
      <c r="AQ165" s="33"/>
      <c r="AR165" s="33"/>
      <c r="AS165" s="33"/>
      <c r="AT165" s="33"/>
      <c r="AU165" s="33"/>
      <c r="AV165" s="33"/>
      <c r="AW165" s="33"/>
      <c r="AX165" s="33"/>
      <c r="AY165" s="33"/>
      <c r="AZ165" s="33"/>
      <c r="BA165" s="33"/>
      <c r="BB165" s="33"/>
      <c r="BC165" s="33"/>
      <c r="BD165" s="33"/>
      <c r="BE165" s="33"/>
      <c r="BF165" s="33"/>
      <c r="BG165" s="33"/>
      <c r="BH165" s="33"/>
      <c r="BI165" s="33"/>
      <c r="BJ165" s="33"/>
      <c r="BK165" s="33"/>
      <c r="BL165" s="33"/>
      <c r="BM165" s="33"/>
      <c r="BN165" s="33"/>
    </row>
    <row r="166" spans="1:66" ht="25.5" customHeight="1">
      <c r="A166" s="58">
        <v>155</v>
      </c>
      <c r="B166" s="62"/>
      <c r="C166" s="63" t="s">
        <v>2570</v>
      </c>
      <c r="D166" s="64" t="s">
        <v>2571</v>
      </c>
      <c r="E166" s="64">
        <v>45</v>
      </c>
      <c r="F166" s="65" t="s">
        <v>75</v>
      </c>
      <c r="G166" s="58"/>
      <c r="H166" s="30">
        <v>0</v>
      </c>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c r="AG166" s="33"/>
      <c r="AH166" s="33"/>
      <c r="AI166" s="33"/>
      <c r="AJ166" s="33"/>
      <c r="AK166" s="33"/>
      <c r="AL166" s="33"/>
      <c r="AM166" s="33"/>
      <c r="AN166" s="33"/>
      <c r="AO166" s="33"/>
      <c r="AP166" s="33"/>
      <c r="AQ166" s="33"/>
      <c r="AR166" s="33"/>
      <c r="AS166" s="33"/>
      <c r="AT166" s="33"/>
      <c r="AU166" s="33"/>
      <c r="AV166" s="33"/>
      <c r="AW166" s="33"/>
      <c r="AX166" s="33"/>
      <c r="AY166" s="33"/>
      <c r="AZ166" s="33"/>
      <c r="BA166" s="33"/>
      <c r="BB166" s="33"/>
      <c r="BC166" s="33"/>
      <c r="BD166" s="33"/>
      <c r="BE166" s="33"/>
      <c r="BF166" s="33"/>
      <c r="BG166" s="33"/>
      <c r="BH166" s="33"/>
      <c r="BI166" s="33"/>
      <c r="BJ166" s="33"/>
      <c r="BK166" s="33"/>
      <c r="BL166" s="33"/>
      <c r="BM166" s="33"/>
      <c r="BN166" s="33"/>
    </row>
    <row r="167" spans="1:66" ht="25.5" customHeight="1">
      <c r="A167" s="58">
        <v>156</v>
      </c>
      <c r="B167" s="62"/>
      <c r="C167" s="63" t="s">
        <v>2574</v>
      </c>
      <c r="D167" s="64" t="s">
        <v>2575</v>
      </c>
      <c r="E167" s="64">
        <v>72</v>
      </c>
      <c r="F167" s="65" t="s">
        <v>60</v>
      </c>
      <c r="G167" s="58"/>
      <c r="H167" s="30">
        <v>0</v>
      </c>
      <c r="I167" s="33"/>
      <c r="J167" s="33"/>
      <c r="K167" s="11"/>
      <c r="L167" s="33"/>
      <c r="M167" s="33"/>
      <c r="N167" s="33"/>
      <c r="O167" s="33"/>
      <c r="P167" s="33"/>
      <c r="Q167" s="33"/>
      <c r="R167" s="33"/>
      <c r="S167" s="33"/>
      <c r="T167" s="33"/>
      <c r="U167" s="33"/>
      <c r="V167" s="33"/>
      <c r="W167" s="33"/>
      <c r="X167" s="33"/>
      <c r="Y167" s="33"/>
      <c r="Z167" s="33"/>
      <c r="AA167" s="33"/>
      <c r="AB167" s="33"/>
      <c r="AC167" s="33"/>
      <c r="AD167" s="33"/>
      <c r="AE167" s="33"/>
      <c r="AF167" s="33"/>
      <c r="AG167" s="33"/>
      <c r="AH167" s="33"/>
      <c r="AI167" s="33"/>
      <c r="AJ167" s="33"/>
      <c r="AK167" s="33"/>
      <c r="AL167" s="33"/>
      <c r="AM167" s="33"/>
      <c r="AN167" s="33"/>
      <c r="AO167" s="33"/>
      <c r="AP167" s="33"/>
      <c r="AQ167" s="33"/>
      <c r="AR167" s="33"/>
      <c r="AS167" s="33"/>
      <c r="AT167" s="33"/>
      <c r="AU167" s="33"/>
      <c r="AV167" s="33"/>
      <c r="AW167" s="33"/>
      <c r="AX167" s="33"/>
      <c r="AY167" s="33"/>
      <c r="AZ167" s="33"/>
      <c r="BA167" s="33"/>
      <c r="BB167" s="33"/>
      <c r="BC167" s="33"/>
      <c r="BD167" s="33"/>
      <c r="BE167" s="33"/>
      <c r="BF167" s="33"/>
      <c r="BG167" s="33"/>
      <c r="BH167" s="33"/>
      <c r="BI167" s="33"/>
      <c r="BJ167" s="33"/>
      <c r="BK167" s="33"/>
      <c r="BL167" s="33"/>
      <c r="BM167" s="33"/>
      <c r="BN167" s="33"/>
    </row>
    <row r="168" spans="1:66" ht="25.5" customHeight="1">
      <c r="A168" s="58">
        <v>157</v>
      </c>
      <c r="B168" s="62"/>
      <c r="C168" s="63" t="s">
        <v>2578</v>
      </c>
      <c r="D168" s="64" t="s">
        <v>2579</v>
      </c>
      <c r="E168" s="64">
        <v>57</v>
      </c>
      <c r="F168" s="65" t="s">
        <v>75</v>
      </c>
      <c r="G168" s="58"/>
      <c r="H168" s="30">
        <v>0</v>
      </c>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3"/>
      <c r="AF168" s="33"/>
      <c r="AG168" s="33"/>
      <c r="AH168" s="33"/>
      <c r="AI168" s="33"/>
      <c r="AJ168" s="33"/>
      <c r="AK168" s="33"/>
      <c r="AL168" s="33"/>
      <c r="AM168" s="33"/>
      <c r="AN168" s="33"/>
      <c r="AO168" s="33"/>
      <c r="AP168" s="33"/>
      <c r="AQ168" s="33"/>
      <c r="AR168" s="33"/>
      <c r="AS168" s="33"/>
      <c r="AT168" s="33"/>
      <c r="AU168" s="33"/>
      <c r="AV168" s="33"/>
      <c r="AW168" s="33"/>
      <c r="AX168" s="33"/>
      <c r="AY168" s="33"/>
      <c r="AZ168" s="33"/>
      <c r="BA168" s="33"/>
      <c r="BB168" s="33"/>
      <c r="BC168" s="33"/>
      <c r="BD168" s="33"/>
      <c r="BE168" s="33"/>
      <c r="BF168" s="33"/>
      <c r="BG168" s="33"/>
      <c r="BH168" s="33"/>
      <c r="BI168" s="33"/>
      <c r="BJ168" s="33"/>
      <c r="BK168" s="33"/>
      <c r="BL168" s="33"/>
      <c r="BM168" s="33"/>
      <c r="BN168" s="33"/>
    </row>
    <row r="169" spans="1:66" ht="25.5" customHeight="1">
      <c r="A169" s="58">
        <v>158</v>
      </c>
      <c r="B169" s="62"/>
      <c r="C169" s="63" t="s">
        <v>2582</v>
      </c>
      <c r="D169" s="64" t="s">
        <v>2583</v>
      </c>
      <c r="E169" s="64">
        <v>50</v>
      </c>
      <c r="F169" s="65" t="s">
        <v>60</v>
      </c>
      <c r="G169" s="58"/>
      <c r="H169" s="30">
        <v>0</v>
      </c>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c r="AJ169" s="33"/>
      <c r="AK169" s="33"/>
      <c r="AL169" s="33"/>
      <c r="AM169" s="33"/>
      <c r="AN169" s="33"/>
      <c r="AO169" s="33"/>
      <c r="AP169" s="33"/>
      <c r="AQ169" s="33"/>
      <c r="AR169" s="33"/>
      <c r="AS169" s="33"/>
      <c r="AT169" s="33"/>
      <c r="AU169" s="33"/>
      <c r="AV169" s="33"/>
      <c r="AW169" s="33"/>
      <c r="AX169" s="33"/>
      <c r="AY169" s="33"/>
      <c r="AZ169" s="33"/>
      <c r="BA169" s="33"/>
      <c r="BB169" s="33"/>
      <c r="BC169" s="33"/>
      <c r="BD169" s="33"/>
      <c r="BE169" s="33"/>
      <c r="BF169" s="33"/>
      <c r="BG169" s="33"/>
      <c r="BH169" s="33"/>
      <c r="BI169" s="33"/>
      <c r="BJ169" s="33"/>
      <c r="BK169" s="33"/>
      <c r="BL169" s="33"/>
      <c r="BM169" s="33"/>
      <c r="BN169" s="33"/>
    </row>
    <row r="170" spans="1:66" ht="25.5" customHeight="1">
      <c r="A170" s="58">
        <v>159</v>
      </c>
      <c r="B170" s="62"/>
      <c r="C170" s="63" t="s">
        <v>2586</v>
      </c>
      <c r="D170" s="64" t="s">
        <v>2587</v>
      </c>
      <c r="E170" s="64">
        <v>61</v>
      </c>
      <c r="F170" s="65" t="s">
        <v>75</v>
      </c>
      <c r="G170" s="58"/>
      <c r="H170" s="30">
        <v>0</v>
      </c>
      <c r="I170" s="33"/>
      <c r="J170" s="33"/>
      <c r="K170" s="33"/>
      <c r="L170" s="33"/>
      <c r="M170" s="33"/>
      <c r="N170" s="33"/>
      <c r="O170" s="33"/>
      <c r="P170" s="33"/>
      <c r="Q170" s="33"/>
      <c r="R170" s="33"/>
      <c r="S170" s="33"/>
      <c r="T170" s="33"/>
      <c r="U170" s="33"/>
      <c r="V170" s="33"/>
      <c r="W170" s="33"/>
      <c r="X170" s="33"/>
      <c r="Y170" s="33"/>
      <c r="Z170" s="33"/>
      <c r="AA170" s="33"/>
      <c r="AB170" s="33"/>
      <c r="AC170" s="33"/>
      <c r="AD170" s="33"/>
      <c r="AE170" s="33"/>
      <c r="AF170" s="33"/>
      <c r="AG170" s="33"/>
      <c r="AH170" s="33"/>
      <c r="AI170" s="33"/>
      <c r="AJ170" s="33"/>
      <c r="AK170" s="33"/>
      <c r="AL170" s="33"/>
      <c r="AM170" s="33"/>
      <c r="AN170" s="33"/>
      <c r="AO170" s="33"/>
      <c r="AP170" s="33"/>
      <c r="AQ170" s="33"/>
      <c r="AR170" s="33"/>
      <c r="AS170" s="33"/>
      <c r="AT170" s="33"/>
      <c r="AU170" s="33"/>
      <c r="AV170" s="33"/>
      <c r="AW170" s="33"/>
      <c r="AX170" s="33"/>
      <c r="AY170" s="33"/>
      <c r="AZ170" s="33"/>
      <c r="BA170" s="33"/>
      <c r="BB170" s="33"/>
      <c r="BC170" s="33"/>
      <c r="BD170" s="33"/>
      <c r="BE170" s="33"/>
      <c r="BF170" s="33"/>
      <c r="BG170" s="33"/>
      <c r="BH170" s="33"/>
      <c r="BI170" s="33"/>
      <c r="BJ170" s="33"/>
      <c r="BK170" s="33"/>
      <c r="BL170" s="33"/>
      <c r="BM170" s="33"/>
      <c r="BN170" s="33"/>
    </row>
    <row r="171" spans="1:66" ht="25.5" customHeight="1">
      <c r="A171" s="58">
        <v>160</v>
      </c>
      <c r="B171" s="62"/>
      <c r="C171" s="63" t="s">
        <v>2590</v>
      </c>
      <c r="D171" s="64" t="s">
        <v>2591</v>
      </c>
      <c r="E171" s="64">
        <v>68</v>
      </c>
      <c r="F171" s="65" t="s">
        <v>60</v>
      </c>
      <c r="G171" s="58"/>
      <c r="H171" s="30">
        <v>0</v>
      </c>
      <c r="I171" s="33"/>
      <c r="J171" s="33"/>
      <c r="K171" s="33"/>
      <c r="L171" s="33"/>
      <c r="M171" s="33"/>
      <c r="N171" s="33"/>
      <c r="O171" s="33"/>
      <c r="P171" s="33"/>
      <c r="Q171" s="33"/>
      <c r="R171" s="33"/>
      <c r="S171" s="33"/>
      <c r="T171" s="33"/>
      <c r="U171" s="33"/>
      <c r="V171" s="33"/>
      <c r="W171" s="33"/>
      <c r="X171" s="33"/>
      <c r="Y171" s="33"/>
      <c r="Z171" s="33"/>
      <c r="AA171" s="33"/>
      <c r="AB171" s="33"/>
      <c r="AC171" s="33"/>
      <c r="AD171" s="33"/>
      <c r="AE171" s="33"/>
      <c r="AF171" s="33"/>
      <c r="AG171" s="33"/>
      <c r="AH171" s="33"/>
      <c r="AI171" s="33"/>
      <c r="AJ171" s="33"/>
      <c r="AK171" s="33"/>
      <c r="AL171" s="33"/>
      <c r="AM171" s="33"/>
      <c r="AN171" s="33"/>
      <c r="AO171" s="33"/>
      <c r="AP171" s="33"/>
      <c r="AQ171" s="33"/>
      <c r="AR171" s="33"/>
      <c r="AS171" s="33"/>
      <c r="AT171" s="33"/>
      <c r="AU171" s="33"/>
      <c r="AV171" s="33"/>
      <c r="AW171" s="33"/>
      <c r="AX171" s="33"/>
      <c r="AY171" s="33"/>
      <c r="AZ171" s="33"/>
      <c r="BA171" s="33"/>
      <c r="BB171" s="33"/>
      <c r="BC171" s="33"/>
      <c r="BD171" s="33"/>
      <c r="BE171" s="33"/>
      <c r="BF171" s="33"/>
      <c r="BG171" s="33"/>
      <c r="BH171" s="33"/>
      <c r="BI171" s="33"/>
      <c r="BJ171" s="33"/>
      <c r="BK171" s="33"/>
      <c r="BL171" s="33"/>
      <c r="BM171" s="33"/>
      <c r="BN171" s="33"/>
    </row>
    <row r="172" spans="1:66" ht="25.5" customHeight="1">
      <c r="A172" s="58">
        <v>161</v>
      </c>
      <c r="B172" s="62"/>
      <c r="C172" s="63" t="s">
        <v>2594</v>
      </c>
      <c r="D172" s="64" t="s">
        <v>2595</v>
      </c>
      <c r="E172" s="64">
        <v>24</v>
      </c>
      <c r="F172" s="65" t="s">
        <v>75</v>
      </c>
      <c r="G172" s="58"/>
      <c r="H172" s="30">
        <v>0</v>
      </c>
      <c r="I172" s="33"/>
      <c r="J172" s="33"/>
      <c r="K172" s="33"/>
      <c r="L172" s="33"/>
      <c r="M172" s="33"/>
      <c r="N172" s="33"/>
      <c r="O172" s="33"/>
      <c r="P172" s="33"/>
      <c r="Q172" s="33"/>
      <c r="R172" s="33"/>
      <c r="S172" s="33"/>
      <c r="T172" s="33"/>
      <c r="U172" s="33"/>
      <c r="V172" s="33"/>
      <c r="W172" s="33"/>
      <c r="X172" s="33"/>
      <c r="Y172" s="33"/>
      <c r="Z172" s="33"/>
      <c r="AA172" s="33"/>
      <c r="AB172" s="33"/>
      <c r="AC172" s="33"/>
      <c r="AD172" s="33"/>
      <c r="AE172" s="33"/>
      <c r="AF172" s="33"/>
      <c r="AG172" s="33"/>
      <c r="AH172" s="33"/>
      <c r="AI172" s="33"/>
      <c r="AJ172" s="33"/>
      <c r="AK172" s="33"/>
      <c r="AL172" s="33"/>
      <c r="AM172" s="33"/>
      <c r="AN172" s="33"/>
      <c r="AO172" s="33"/>
      <c r="AP172" s="33"/>
      <c r="AQ172" s="33"/>
      <c r="AR172" s="33"/>
      <c r="AS172" s="33"/>
      <c r="AT172" s="33"/>
      <c r="AU172" s="33"/>
      <c r="AV172" s="33"/>
      <c r="AW172" s="33"/>
      <c r="AX172" s="33"/>
      <c r="AY172" s="33"/>
      <c r="AZ172" s="33"/>
      <c r="BA172" s="33"/>
      <c r="BB172" s="33"/>
      <c r="BC172" s="33"/>
      <c r="BD172" s="33"/>
      <c r="BE172" s="33"/>
      <c r="BF172" s="33"/>
      <c r="BG172" s="33"/>
      <c r="BH172" s="33"/>
      <c r="BI172" s="33"/>
      <c r="BJ172" s="33"/>
      <c r="BK172" s="33"/>
      <c r="BL172" s="33"/>
      <c r="BM172" s="33"/>
      <c r="BN172" s="33"/>
    </row>
    <row r="173" spans="1:66" ht="25.5" customHeight="1">
      <c r="A173" s="58">
        <v>162</v>
      </c>
      <c r="B173" s="62" t="s">
        <v>2598</v>
      </c>
      <c r="C173" s="63" t="s">
        <v>2599</v>
      </c>
      <c r="D173" s="64" t="s">
        <v>2600</v>
      </c>
      <c r="E173" s="64">
        <v>23</v>
      </c>
      <c r="F173" s="65" t="s">
        <v>60</v>
      </c>
      <c r="G173" s="58"/>
      <c r="H173" s="30">
        <v>0</v>
      </c>
      <c r="I173" s="33"/>
      <c r="J173" s="33"/>
      <c r="K173" s="33"/>
      <c r="L173" s="33"/>
      <c r="M173" s="33"/>
      <c r="N173" s="33"/>
      <c r="O173" s="33"/>
      <c r="P173" s="33"/>
      <c r="Q173" s="33"/>
      <c r="R173" s="33"/>
      <c r="S173" s="33"/>
      <c r="T173" s="33"/>
      <c r="U173" s="33"/>
      <c r="V173" s="33"/>
      <c r="W173" s="33"/>
      <c r="X173" s="33"/>
      <c r="Y173" s="33"/>
      <c r="Z173" s="33"/>
      <c r="AA173" s="33"/>
      <c r="AB173" s="33"/>
      <c r="AC173" s="33"/>
      <c r="AD173" s="33"/>
      <c r="AE173" s="33"/>
      <c r="AF173" s="33"/>
      <c r="AG173" s="33"/>
      <c r="AH173" s="33"/>
      <c r="AI173" s="33"/>
      <c r="AJ173" s="33"/>
      <c r="AK173" s="33"/>
      <c r="AL173" s="33"/>
      <c r="AM173" s="33"/>
      <c r="AN173" s="33"/>
      <c r="AO173" s="33"/>
      <c r="AP173" s="33"/>
      <c r="AQ173" s="33"/>
      <c r="AR173" s="33"/>
      <c r="AS173" s="33"/>
      <c r="AT173" s="33"/>
      <c r="AU173" s="33"/>
      <c r="AV173" s="33"/>
      <c r="AW173" s="33"/>
      <c r="AX173" s="33"/>
      <c r="AY173" s="33"/>
      <c r="AZ173" s="33"/>
      <c r="BA173" s="33"/>
      <c r="BB173" s="33"/>
      <c r="BC173" s="33"/>
      <c r="BD173" s="33"/>
      <c r="BE173" s="33"/>
      <c r="BF173" s="33"/>
      <c r="BG173" s="33"/>
      <c r="BH173" s="33"/>
      <c r="BI173" s="33"/>
      <c r="BJ173" s="33"/>
      <c r="BK173" s="33"/>
      <c r="BL173" s="33"/>
      <c r="BM173" s="33"/>
      <c r="BN173" s="33"/>
    </row>
    <row r="174" spans="1:66" ht="25.5" customHeight="1">
      <c r="A174" s="58">
        <v>163</v>
      </c>
      <c r="B174" s="62"/>
      <c r="C174" s="63" t="s">
        <v>2607</v>
      </c>
      <c r="D174" s="64" t="s">
        <v>2608</v>
      </c>
      <c r="E174" s="64">
        <v>38</v>
      </c>
      <c r="F174" s="65" t="s">
        <v>75</v>
      </c>
      <c r="G174" s="58"/>
      <c r="H174" s="30">
        <v>0</v>
      </c>
      <c r="I174" s="33"/>
      <c r="J174" s="33"/>
      <c r="K174" s="33"/>
      <c r="L174" s="33"/>
      <c r="M174" s="33"/>
      <c r="N174" s="33"/>
      <c r="O174" s="33"/>
      <c r="P174" s="33"/>
      <c r="Q174" s="33"/>
      <c r="R174" s="33"/>
      <c r="S174" s="33"/>
      <c r="T174" s="33"/>
      <c r="U174" s="33"/>
      <c r="V174" s="33"/>
      <c r="W174" s="33"/>
      <c r="X174" s="33"/>
      <c r="Y174" s="33"/>
      <c r="Z174" s="33"/>
      <c r="AA174" s="33"/>
      <c r="AB174" s="33"/>
      <c r="AC174" s="33"/>
      <c r="AD174" s="33"/>
      <c r="AE174" s="33"/>
      <c r="AF174" s="33"/>
      <c r="AG174" s="33"/>
      <c r="AH174" s="33"/>
      <c r="AI174" s="33"/>
      <c r="AJ174" s="33"/>
      <c r="AK174" s="33"/>
      <c r="AL174" s="33"/>
      <c r="AM174" s="33"/>
      <c r="AN174" s="33"/>
      <c r="AO174" s="33"/>
      <c r="AP174" s="33"/>
      <c r="AQ174" s="33"/>
      <c r="AR174" s="33"/>
      <c r="AS174" s="33"/>
      <c r="AT174" s="33"/>
      <c r="AU174" s="33"/>
      <c r="AV174" s="33"/>
      <c r="AW174" s="33"/>
      <c r="AX174" s="33"/>
      <c r="AY174" s="33"/>
      <c r="AZ174" s="33"/>
      <c r="BA174" s="33"/>
      <c r="BB174" s="33"/>
      <c r="BC174" s="33"/>
      <c r="BD174" s="33"/>
      <c r="BE174" s="33"/>
      <c r="BF174" s="33"/>
      <c r="BG174" s="33"/>
      <c r="BH174" s="33"/>
      <c r="BI174" s="33"/>
      <c r="BJ174" s="33"/>
      <c r="BK174" s="33"/>
      <c r="BL174" s="33"/>
      <c r="BM174" s="33"/>
      <c r="BN174" s="33"/>
    </row>
    <row r="175" spans="1:66" ht="25.5" customHeight="1">
      <c r="A175" s="58">
        <v>164</v>
      </c>
      <c r="B175" s="62"/>
      <c r="C175" s="63" t="s">
        <v>2611</v>
      </c>
      <c r="D175" s="64" t="s">
        <v>2612</v>
      </c>
      <c r="E175" s="64">
        <v>50</v>
      </c>
      <c r="F175" s="65" t="s">
        <v>60</v>
      </c>
      <c r="G175" s="58"/>
      <c r="H175" s="30">
        <v>0</v>
      </c>
      <c r="I175" s="33"/>
      <c r="J175" s="33"/>
      <c r="K175" s="33"/>
      <c r="L175" s="33"/>
      <c r="M175" s="33"/>
      <c r="N175" s="33"/>
      <c r="O175" s="33"/>
      <c r="P175" s="33"/>
      <c r="Q175" s="33"/>
      <c r="R175" s="33"/>
      <c r="S175" s="33"/>
      <c r="T175" s="33"/>
      <c r="U175" s="33"/>
      <c r="V175" s="33"/>
      <c r="W175" s="33"/>
      <c r="X175" s="33"/>
      <c r="Y175" s="33"/>
      <c r="Z175" s="33"/>
      <c r="AA175" s="33"/>
      <c r="AB175" s="33"/>
      <c r="AC175" s="33"/>
      <c r="AD175" s="33"/>
      <c r="AE175" s="33"/>
      <c r="AF175" s="33"/>
      <c r="AG175" s="33"/>
      <c r="AH175" s="33"/>
      <c r="AI175" s="33"/>
      <c r="AJ175" s="33"/>
      <c r="AK175" s="33"/>
      <c r="AL175" s="33"/>
      <c r="AM175" s="33"/>
      <c r="AN175" s="33"/>
      <c r="AO175" s="33"/>
      <c r="AP175" s="33"/>
      <c r="AQ175" s="33"/>
      <c r="AR175" s="33"/>
      <c r="AS175" s="33"/>
      <c r="AT175" s="33"/>
      <c r="AU175" s="33"/>
      <c r="AV175" s="33"/>
      <c r="AW175" s="33"/>
      <c r="AX175" s="33"/>
      <c r="AY175" s="33"/>
      <c r="AZ175" s="33"/>
      <c r="BA175" s="33"/>
      <c r="BB175" s="33"/>
      <c r="BC175" s="33"/>
      <c r="BD175" s="33"/>
      <c r="BE175" s="33"/>
      <c r="BF175" s="33"/>
      <c r="BG175" s="33"/>
      <c r="BH175" s="33"/>
      <c r="BI175" s="33"/>
      <c r="BJ175" s="33"/>
      <c r="BK175" s="33"/>
      <c r="BL175" s="33"/>
      <c r="BM175" s="33"/>
      <c r="BN175" s="33"/>
    </row>
    <row r="176" spans="1:66" ht="25.5" customHeight="1">
      <c r="A176" s="58">
        <v>165</v>
      </c>
      <c r="B176" s="62"/>
      <c r="C176" s="63" t="s">
        <v>2615</v>
      </c>
      <c r="D176" s="64" t="s">
        <v>2616</v>
      </c>
      <c r="E176" s="64">
        <v>21</v>
      </c>
      <c r="F176" s="65" t="s">
        <v>75</v>
      </c>
      <c r="G176" s="58"/>
      <c r="H176" s="30">
        <v>0</v>
      </c>
      <c r="I176" s="33"/>
      <c r="J176" s="33"/>
      <c r="K176" s="33"/>
      <c r="L176" s="33"/>
      <c r="M176" s="33"/>
      <c r="N176" s="33"/>
      <c r="O176" s="33"/>
      <c r="P176" s="33"/>
      <c r="Q176" s="33"/>
      <c r="R176" s="33"/>
      <c r="S176" s="33"/>
      <c r="T176" s="33"/>
      <c r="U176" s="33"/>
      <c r="V176" s="33"/>
      <c r="W176" s="33"/>
      <c r="X176" s="33"/>
      <c r="Y176" s="33"/>
      <c r="Z176" s="33"/>
      <c r="AA176" s="33"/>
      <c r="AB176" s="33"/>
      <c r="AC176" s="33"/>
      <c r="AD176" s="33"/>
      <c r="AE176" s="33"/>
      <c r="AF176" s="33"/>
      <c r="AG176" s="33"/>
      <c r="AH176" s="33"/>
      <c r="AI176" s="33"/>
      <c r="AJ176" s="33"/>
      <c r="AK176" s="33"/>
      <c r="AL176" s="33"/>
      <c r="AM176" s="33"/>
      <c r="AN176" s="33"/>
      <c r="AO176" s="33"/>
      <c r="AP176" s="33"/>
      <c r="AQ176" s="33"/>
      <c r="AR176" s="33"/>
      <c r="AS176" s="33"/>
      <c r="AT176" s="33"/>
      <c r="AU176" s="33"/>
      <c r="AV176" s="33"/>
      <c r="AW176" s="33"/>
      <c r="AX176" s="33"/>
      <c r="AY176" s="33"/>
      <c r="AZ176" s="33"/>
      <c r="BA176" s="33"/>
      <c r="BB176" s="33"/>
      <c r="BC176" s="33"/>
      <c r="BD176" s="33"/>
      <c r="BE176" s="33"/>
      <c r="BF176" s="33"/>
      <c r="BG176" s="33"/>
      <c r="BH176" s="33"/>
      <c r="BI176" s="33"/>
      <c r="BJ176" s="33"/>
      <c r="BK176" s="33"/>
      <c r="BL176" s="33"/>
      <c r="BM176" s="33"/>
      <c r="BN176" s="33"/>
    </row>
    <row r="177" spans="1:66" ht="25.5" customHeight="1">
      <c r="A177" s="58">
        <v>166</v>
      </c>
      <c r="B177" s="62"/>
      <c r="C177" s="63" t="s">
        <v>2619</v>
      </c>
      <c r="D177" s="64" t="s">
        <v>2620</v>
      </c>
      <c r="E177" s="64">
        <v>46</v>
      </c>
      <c r="F177" s="65" t="s">
        <v>75</v>
      </c>
      <c r="G177" s="58"/>
      <c r="H177" s="30">
        <v>0</v>
      </c>
      <c r="I177" s="33"/>
      <c r="J177" s="33"/>
      <c r="K177" s="33"/>
      <c r="L177" s="33"/>
      <c r="M177" s="33"/>
      <c r="N177" s="33"/>
      <c r="O177" s="33"/>
      <c r="P177" s="33"/>
      <c r="Q177" s="33"/>
      <c r="R177" s="33"/>
      <c r="S177" s="33"/>
      <c r="T177" s="33"/>
      <c r="U177" s="33"/>
      <c r="V177" s="33"/>
      <c r="W177" s="33"/>
      <c r="X177" s="33"/>
      <c r="Y177" s="33"/>
      <c r="Z177" s="33"/>
      <c r="AA177" s="33"/>
      <c r="AB177" s="33"/>
      <c r="AC177" s="33"/>
      <c r="AD177" s="33"/>
      <c r="AE177" s="33"/>
      <c r="AF177" s="33"/>
      <c r="AG177" s="33"/>
      <c r="AH177" s="33"/>
      <c r="AI177" s="33"/>
      <c r="AJ177" s="33"/>
      <c r="AK177" s="33"/>
      <c r="AL177" s="33"/>
      <c r="AM177" s="33"/>
      <c r="AN177" s="33"/>
      <c r="AO177" s="33"/>
      <c r="AP177" s="33"/>
      <c r="AQ177" s="33"/>
      <c r="AR177" s="33"/>
      <c r="AS177" s="33"/>
      <c r="AT177" s="33"/>
      <c r="AU177" s="33"/>
      <c r="AV177" s="33"/>
      <c r="AW177" s="33"/>
      <c r="AX177" s="33"/>
      <c r="AY177" s="33"/>
      <c r="AZ177" s="33"/>
      <c r="BA177" s="33"/>
      <c r="BB177" s="33"/>
      <c r="BC177" s="33"/>
      <c r="BD177" s="33"/>
      <c r="BE177" s="33"/>
      <c r="BF177" s="33"/>
      <c r="BG177" s="33"/>
      <c r="BH177" s="33"/>
      <c r="BI177" s="33"/>
      <c r="BJ177" s="33"/>
      <c r="BK177" s="33"/>
      <c r="BL177" s="33"/>
      <c r="BM177" s="33"/>
      <c r="BN177" s="33"/>
    </row>
    <row r="178" spans="1:66" ht="25.5" customHeight="1">
      <c r="A178" s="58">
        <v>167</v>
      </c>
      <c r="B178" s="62"/>
      <c r="C178" s="63" t="s">
        <v>2623</v>
      </c>
      <c r="D178" s="64" t="s">
        <v>2624</v>
      </c>
      <c r="E178" s="64">
        <v>47</v>
      </c>
      <c r="F178" s="65" t="s">
        <v>75</v>
      </c>
      <c r="G178" s="58"/>
      <c r="H178" s="30">
        <v>0</v>
      </c>
      <c r="I178" s="33"/>
      <c r="J178" s="33"/>
      <c r="K178" s="33"/>
      <c r="L178" s="33"/>
      <c r="M178" s="33"/>
      <c r="N178" s="33"/>
      <c r="O178" s="33"/>
      <c r="P178" s="33"/>
      <c r="Q178" s="33"/>
      <c r="R178" s="33"/>
      <c r="S178" s="33"/>
      <c r="T178" s="33"/>
      <c r="U178" s="33"/>
      <c r="V178" s="33"/>
      <c r="W178" s="33"/>
      <c r="X178" s="33"/>
      <c r="Y178" s="33"/>
      <c r="Z178" s="33"/>
      <c r="AA178" s="33"/>
      <c r="AB178" s="33"/>
      <c r="AC178" s="33"/>
      <c r="AD178" s="33"/>
      <c r="AE178" s="33"/>
      <c r="AF178" s="33"/>
      <c r="AG178" s="33"/>
      <c r="AH178" s="33"/>
      <c r="AI178" s="33"/>
      <c r="AJ178" s="33"/>
      <c r="AK178" s="33"/>
      <c r="AL178" s="33"/>
      <c r="AM178" s="33"/>
      <c r="AN178" s="33"/>
      <c r="AO178" s="33"/>
      <c r="AP178" s="33"/>
      <c r="AQ178" s="33"/>
      <c r="AR178" s="33"/>
      <c r="AS178" s="33"/>
      <c r="AT178" s="33"/>
      <c r="AU178" s="33"/>
      <c r="AV178" s="33"/>
      <c r="AW178" s="33"/>
      <c r="AX178" s="33"/>
      <c r="AY178" s="33"/>
      <c r="AZ178" s="33"/>
      <c r="BA178" s="33"/>
      <c r="BB178" s="33"/>
      <c r="BC178" s="33"/>
      <c r="BD178" s="33"/>
      <c r="BE178" s="33"/>
      <c r="BF178" s="33"/>
      <c r="BG178" s="33"/>
      <c r="BH178" s="33"/>
      <c r="BI178" s="33"/>
      <c r="BJ178" s="33"/>
      <c r="BK178" s="33"/>
      <c r="BL178" s="33"/>
      <c r="BM178" s="33"/>
      <c r="BN178" s="33"/>
    </row>
    <row r="179" spans="1:66" ht="25.5" customHeight="1">
      <c r="A179" s="58">
        <v>168</v>
      </c>
      <c r="B179" s="62"/>
      <c r="C179" s="63" t="s">
        <v>2627</v>
      </c>
      <c r="D179" s="64" t="s">
        <v>2628</v>
      </c>
      <c r="E179" s="64">
        <v>43</v>
      </c>
      <c r="F179" s="65" t="s">
        <v>60</v>
      </c>
      <c r="G179" s="58"/>
      <c r="H179" s="30">
        <v>0</v>
      </c>
      <c r="I179" s="33"/>
      <c r="J179" s="33"/>
      <c r="K179" s="33"/>
      <c r="L179" s="33"/>
      <c r="M179" s="33"/>
      <c r="N179" s="33"/>
      <c r="O179" s="33"/>
      <c r="P179" s="33"/>
      <c r="Q179" s="33"/>
      <c r="R179" s="33"/>
      <c r="S179" s="33"/>
      <c r="T179" s="33"/>
      <c r="U179" s="33"/>
      <c r="V179" s="33"/>
      <c r="W179" s="33"/>
      <c r="X179" s="33"/>
      <c r="Y179" s="33"/>
      <c r="Z179" s="33"/>
      <c r="AA179" s="33"/>
      <c r="AB179" s="33"/>
      <c r="AC179" s="33"/>
      <c r="AD179" s="33"/>
      <c r="AE179" s="33"/>
      <c r="AF179" s="33"/>
      <c r="AG179" s="33"/>
      <c r="AH179" s="33"/>
      <c r="AI179" s="33"/>
      <c r="AJ179" s="33"/>
      <c r="AK179" s="33"/>
      <c r="AL179" s="33"/>
      <c r="AM179" s="33"/>
      <c r="AN179" s="33"/>
      <c r="AO179" s="33"/>
      <c r="AP179" s="33"/>
      <c r="AQ179" s="33"/>
      <c r="AR179" s="33"/>
      <c r="AS179" s="33"/>
      <c r="AT179" s="33"/>
      <c r="AU179" s="33"/>
      <c r="AV179" s="33"/>
      <c r="AW179" s="33"/>
      <c r="AX179" s="33"/>
      <c r="AY179" s="33"/>
      <c r="AZ179" s="33"/>
      <c r="BA179" s="33"/>
      <c r="BB179" s="33"/>
      <c r="BC179" s="33"/>
      <c r="BD179" s="33"/>
      <c r="BE179" s="33"/>
      <c r="BF179" s="33"/>
      <c r="BG179" s="33"/>
      <c r="BH179" s="33"/>
      <c r="BI179" s="33"/>
      <c r="BJ179" s="33"/>
      <c r="BK179" s="33"/>
      <c r="BL179" s="33"/>
      <c r="BM179" s="33"/>
      <c r="BN179" s="33"/>
    </row>
    <row r="180" spans="1:66" ht="25.5" customHeight="1">
      <c r="A180" s="58">
        <v>169</v>
      </c>
      <c r="B180" s="62"/>
      <c r="C180" s="63" t="s">
        <v>2631</v>
      </c>
      <c r="D180" s="64" t="s">
        <v>2632</v>
      </c>
      <c r="E180" s="64">
        <v>45</v>
      </c>
      <c r="F180" s="65" t="s">
        <v>75</v>
      </c>
      <c r="G180" s="58"/>
      <c r="H180" s="30">
        <v>0</v>
      </c>
      <c r="I180" s="33"/>
      <c r="J180" s="33"/>
      <c r="K180" s="33"/>
      <c r="L180" s="33"/>
      <c r="M180" s="33"/>
      <c r="N180" s="33"/>
      <c r="O180" s="33"/>
      <c r="P180" s="33"/>
      <c r="Q180" s="33"/>
      <c r="R180" s="33"/>
      <c r="S180" s="33"/>
      <c r="T180" s="33"/>
      <c r="U180" s="33"/>
      <c r="V180" s="33"/>
      <c r="W180" s="33"/>
      <c r="X180" s="33"/>
      <c r="Y180" s="33"/>
      <c r="Z180" s="33"/>
      <c r="AA180" s="33"/>
      <c r="AB180" s="33"/>
      <c r="AC180" s="33"/>
      <c r="AD180" s="33"/>
      <c r="AE180" s="33"/>
      <c r="AF180" s="33"/>
      <c r="AG180" s="33"/>
      <c r="AH180" s="33"/>
      <c r="AI180" s="33"/>
      <c r="AJ180" s="33"/>
      <c r="AK180" s="33"/>
      <c r="AL180" s="33"/>
      <c r="AM180" s="33"/>
      <c r="AN180" s="33"/>
      <c r="AO180" s="33"/>
      <c r="AP180" s="33"/>
      <c r="AQ180" s="33"/>
      <c r="AR180" s="33"/>
      <c r="AS180" s="33"/>
      <c r="AT180" s="33"/>
      <c r="AU180" s="33"/>
      <c r="AV180" s="33"/>
      <c r="AW180" s="33"/>
      <c r="AX180" s="33"/>
      <c r="AY180" s="33"/>
      <c r="AZ180" s="33"/>
      <c r="BA180" s="33"/>
      <c r="BB180" s="33"/>
      <c r="BC180" s="33"/>
      <c r="BD180" s="33"/>
      <c r="BE180" s="33"/>
      <c r="BF180" s="33"/>
      <c r="BG180" s="33"/>
      <c r="BH180" s="33"/>
      <c r="BI180" s="33"/>
      <c r="BJ180" s="33"/>
      <c r="BK180" s="33"/>
      <c r="BL180" s="33"/>
      <c r="BM180" s="33"/>
      <c r="BN180" s="33"/>
    </row>
    <row r="181" spans="1:66" ht="25.5" customHeight="1">
      <c r="A181" s="58">
        <v>170</v>
      </c>
      <c r="B181" s="62"/>
      <c r="C181" s="63" t="s">
        <v>2635</v>
      </c>
      <c r="D181" s="64" t="s">
        <v>2636</v>
      </c>
      <c r="E181" s="64">
        <v>36</v>
      </c>
      <c r="F181" s="65" t="s">
        <v>75</v>
      </c>
      <c r="G181" s="58"/>
      <c r="H181" s="30">
        <v>0</v>
      </c>
      <c r="I181" s="33"/>
      <c r="J181" s="33"/>
      <c r="K181" s="33"/>
      <c r="L181" s="33"/>
      <c r="M181" s="33"/>
      <c r="N181" s="33"/>
      <c r="O181" s="33"/>
      <c r="P181" s="33"/>
      <c r="Q181" s="33"/>
      <c r="R181" s="33"/>
      <c r="S181" s="33"/>
      <c r="T181" s="33"/>
      <c r="U181" s="33"/>
      <c r="V181" s="33"/>
      <c r="W181" s="33"/>
      <c r="X181" s="33"/>
      <c r="Y181" s="33"/>
      <c r="Z181" s="33"/>
      <c r="AA181" s="33"/>
      <c r="AB181" s="33"/>
      <c r="AC181" s="33"/>
      <c r="AD181" s="33"/>
      <c r="AE181" s="33"/>
      <c r="AF181" s="33"/>
      <c r="AG181" s="33"/>
      <c r="AH181" s="33"/>
      <c r="AI181" s="33"/>
      <c r="AJ181" s="33"/>
      <c r="AK181" s="33"/>
      <c r="AL181" s="33"/>
      <c r="AM181" s="33"/>
      <c r="AN181" s="33"/>
      <c r="AO181" s="33"/>
      <c r="AP181" s="33"/>
      <c r="AQ181" s="33"/>
      <c r="AR181" s="33"/>
      <c r="AS181" s="33"/>
      <c r="AT181" s="33"/>
      <c r="AU181" s="33"/>
      <c r="AV181" s="33"/>
      <c r="AW181" s="33"/>
      <c r="AX181" s="33"/>
      <c r="AY181" s="33"/>
      <c r="AZ181" s="33"/>
      <c r="BA181" s="33"/>
      <c r="BB181" s="33"/>
      <c r="BC181" s="33"/>
      <c r="BD181" s="33"/>
      <c r="BE181" s="33"/>
      <c r="BF181" s="33"/>
      <c r="BG181" s="33"/>
      <c r="BH181" s="33"/>
      <c r="BI181" s="33"/>
      <c r="BJ181" s="33"/>
      <c r="BK181" s="33"/>
      <c r="BL181" s="33"/>
      <c r="BM181" s="33"/>
      <c r="BN181" s="33"/>
    </row>
    <row r="182" spans="1:66" ht="25.5" customHeight="1">
      <c r="A182" s="58">
        <v>171</v>
      </c>
      <c r="B182" s="62" t="s">
        <v>2639</v>
      </c>
      <c r="C182" s="63" t="s">
        <v>2640</v>
      </c>
      <c r="D182" s="64" t="s">
        <v>2641</v>
      </c>
      <c r="E182" s="64">
        <v>29</v>
      </c>
      <c r="F182" s="65" t="s">
        <v>75</v>
      </c>
      <c r="G182" s="58"/>
      <c r="H182" s="30">
        <v>0</v>
      </c>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3"/>
      <c r="AG182" s="33"/>
      <c r="AH182" s="33"/>
      <c r="AI182" s="33"/>
      <c r="AJ182" s="33"/>
      <c r="AK182" s="33"/>
      <c r="AL182" s="33"/>
      <c r="AM182" s="33"/>
      <c r="AN182" s="33"/>
      <c r="AO182" s="33"/>
      <c r="AP182" s="33"/>
      <c r="AQ182" s="33"/>
      <c r="AR182" s="33"/>
      <c r="AS182" s="33"/>
      <c r="AT182" s="33"/>
      <c r="AU182" s="33"/>
      <c r="AV182" s="33"/>
      <c r="AW182" s="33"/>
      <c r="AX182" s="33"/>
      <c r="AY182" s="33"/>
      <c r="AZ182" s="33"/>
      <c r="BA182" s="33"/>
      <c r="BB182" s="33"/>
      <c r="BC182" s="33"/>
      <c r="BD182" s="33"/>
      <c r="BE182" s="33"/>
      <c r="BF182" s="33"/>
      <c r="BG182" s="33"/>
      <c r="BH182" s="33"/>
      <c r="BI182" s="33"/>
      <c r="BJ182" s="33"/>
      <c r="BK182" s="33"/>
      <c r="BL182" s="33"/>
      <c r="BM182" s="33"/>
      <c r="BN182" s="33"/>
    </row>
    <row r="183" spans="1:66" ht="25.5" customHeight="1">
      <c r="A183" s="58">
        <v>172</v>
      </c>
      <c r="B183" s="62"/>
      <c r="C183" s="63" t="s">
        <v>2644</v>
      </c>
      <c r="D183" s="64" t="s">
        <v>2645</v>
      </c>
      <c r="E183" s="64">
        <v>31</v>
      </c>
      <c r="F183" s="65" t="s">
        <v>75</v>
      </c>
      <c r="G183" s="58"/>
      <c r="H183" s="30">
        <v>0</v>
      </c>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G183" s="33"/>
      <c r="AH183" s="33"/>
      <c r="AI183" s="33"/>
      <c r="AJ183" s="33"/>
      <c r="AK183" s="33"/>
      <c r="AL183" s="33"/>
      <c r="AM183" s="33"/>
      <c r="AN183" s="33"/>
      <c r="AO183" s="33"/>
      <c r="AP183" s="33"/>
      <c r="AQ183" s="33"/>
      <c r="AR183" s="33"/>
      <c r="AS183" s="33"/>
      <c r="AT183" s="33"/>
      <c r="AU183" s="33"/>
      <c r="AV183" s="33"/>
      <c r="AW183" s="33"/>
      <c r="AX183" s="33"/>
      <c r="AY183" s="33"/>
      <c r="AZ183" s="33"/>
      <c r="BA183" s="33"/>
      <c r="BB183" s="33"/>
      <c r="BC183" s="33"/>
      <c r="BD183" s="33"/>
      <c r="BE183" s="33"/>
      <c r="BF183" s="33"/>
      <c r="BG183" s="33"/>
      <c r="BH183" s="33"/>
      <c r="BI183" s="33"/>
      <c r="BJ183" s="33"/>
      <c r="BK183" s="33"/>
      <c r="BL183" s="33"/>
      <c r="BM183" s="33"/>
      <c r="BN183" s="33"/>
    </row>
    <row r="184" spans="1:66" ht="25.5" customHeight="1">
      <c r="A184" s="58">
        <v>173</v>
      </c>
      <c r="B184" s="62"/>
      <c r="C184" s="63" t="s">
        <v>2648</v>
      </c>
      <c r="D184" s="64" t="s">
        <v>2649</v>
      </c>
      <c r="E184" s="64">
        <v>54</v>
      </c>
      <c r="F184" s="65" t="s">
        <v>75</v>
      </c>
      <c r="G184" s="58"/>
      <c r="H184" s="30">
        <v>0</v>
      </c>
      <c r="I184" s="33"/>
      <c r="J184" s="33"/>
      <c r="K184" s="33"/>
      <c r="L184" s="33"/>
      <c r="M184" s="33"/>
      <c r="N184" s="33"/>
      <c r="O184" s="33"/>
      <c r="P184" s="33"/>
      <c r="Q184" s="33"/>
      <c r="R184" s="33"/>
      <c r="S184" s="33"/>
      <c r="T184" s="33"/>
      <c r="U184" s="33"/>
      <c r="V184" s="33"/>
      <c r="W184" s="33"/>
      <c r="X184" s="33"/>
      <c r="Y184" s="33"/>
      <c r="Z184" s="33"/>
      <c r="AA184" s="33"/>
      <c r="AB184" s="33"/>
      <c r="AC184" s="33"/>
      <c r="AD184" s="33"/>
      <c r="AE184" s="33"/>
      <c r="AF184" s="33"/>
      <c r="AG184" s="33"/>
      <c r="AH184" s="33"/>
      <c r="AI184" s="33"/>
      <c r="AJ184" s="33"/>
      <c r="AK184" s="33"/>
      <c r="AL184" s="33"/>
      <c r="AM184" s="33"/>
      <c r="AN184" s="33"/>
      <c r="AO184" s="33"/>
      <c r="AP184" s="33"/>
      <c r="AQ184" s="33"/>
      <c r="AR184" s="33"/>
      <c r="AS184" s="33"/>
      <c r="AT184" s="33"/>
      <c r="AU184" s="33"/>
      <c r="AV184" s="33"/>
      <c r="AW184" s="33"/>
      <c r="AX184" s="33"/>
      <c r="AY184" s="33"/>
      <c r="AZ184" s="33"/>
      <c r="BA184" s="33"/>
      <c r="BB184" s="33"/>
      <c r="BC184" s="33"/>
      <c r="BD184" s="33"/>
      <c r="BE184" s="33"/>
      <c r="BF184" s="33"/>
      <c r="BG184" s="33"/>
      <c r="BH184" s="33"/>
      <c r="BI184" s="33"/>
      <c r="BJ184" s="33"/>
      <c r="BK184" s="33"/>
      <c r="BL184" s="33"/>
      <c r="BM184" s="33"/>
      <c r="BN184" s="33"/>
    </row>
    <row r="185" spans="1:66" ht="25.5" customHeight="1">
      <c r="A185" s="58">
        <v>174</v>
      </c>
      <c r="B185" s="62"/>
      <c r="C185" s="63" t="s">
        <v>2652</v>
      </c>
      <c r="D185" s="64" t="s">
        <v>2653</v>
      </c>
      <c r="E185" s="64">
        <v>35</v>
      </c>
      <c r="F185" s="65" t="s">
        <v>75</v>
      </c>
      <c r="G185" s="58"/>
      <c r="H185" s="30">
        <v>0</v>
      </c>
      <c r="I185" s="33"/>
      <c r="J185" s="33"/>
      <c r="K185" s="33"/>
      <c r="L185" s="33"/>
      <c r="M185" s="33"/>
      <c r="N185" s="33"/>
      <c r="O185" s="33"/>
      <c r="P185" s="33"/>
      <c r="Q185" s="33"/>
      <c r="R185" s="33"/>
      <c r="S185" s="33"/>
      <c r="T185" s="33"/>
      <c r="U185" s="33"/>
      <c r="V185" s="33"/>
      <c r="W185" s="33"/>
      <c r="X185" s="33"/>
      <c r="Y185" s="33"/>
      <c r="Z185" s="33"/>
      <c r="AA185" s="33"/>
      <c r="AB185" s="33"/>
      <c r="AC185" s="33"/>
      <c r="AD185" s="33"/>
      <c r="AE185" s="33"/>
      <c r="AF185" s="33"/>
      <c r="AG185" s="33"/>
      <c r="AH185" s="33"/>
      <c r="AI185" s="33"/>
      <c r="AJ185" s="33"/>
      <c r="AK185" s="33"/>
      <c r="AL185" s="33"/>
      <c r="AM185" s="33"/>
      <c r="AN185" s="33"/>
      <c r="AO185" s="33"/>
      <c r="AP185" s="33"/>
      <c r="AQ185" s="33"/>
      <c r="AR185" s="33"/>
      <c r="AS185" s="33"/>
      <c r="AT185" s="33"/>
      <c r="AU185" s="33"/>
      <c r="AV185" s="33"/>
      <c r="AW185" s="33"/>
      <c r="AX185" s="33"/>
      <c r="AY185" s="33"/>
      <c r="AZ185" s="33"/>
      <c r="BA185" s="33"/>
      <c r="BB185" s="33"/>
      <c r="BC185" s="33"/>
      <c r="BD185" s="33"/>
      <c r="BE185" s="33"/>
      <c r="BF185" s="33"/>
      <c r="BG185" s="33"/>
      <c r="BH185" s="33"/>
      <c r="BI185" s="33"/>
      <c r="BJ185" s="33"/>
      <c r="BK185" s="33"/>
      <c r="BL185" s="33"/>
      <c r="BM185" s="33"/>
      <c r="BN185" s="33"/>
    </row>
    <row r="186" spans="1:66" ht="25.5" customHeight="1">
      <c r="A186" s="58">
        <v>175</v>
      </c>
      <c r="B186" s="62"/>
      <c r="C186" s="63" t="s">
        <v>2656</v>
      </c>
      <c r="D186" s="64" t="s">
        <v>2657</v>
      </c>
      <c r="E186" s="64">
        <v>66</v>
      </c>
      <c r="F186" s="65" t="s">
        <v>60</v>
      </c>
      <c r="G186" s="58"/>
      <c r="H186" s="30">
        <v>0</v>
      </c>
      <c r="I186" s="33"/>
      <c r="J186" s="33"/>
      <c r="K186" s="33"/>
      <c r="L186" s="33"/>
      <c r="M186" s="33"/>
      <c r="N186" s="33"/>
      <c r="O186" s="33"/>
      <c r="P186" s="33"/>
      <c r="Q186" s="33"/>
      <c r="R186" s="33"/>
      <c r="S186" s="33"/>
      <c r="T186" s="33"/>
      <c r="U186" s="33"/>
      <c r="V186" s="33"/>
      <c r="W186" s="33"/>
      <c r="X186" s="33"/>
      <c r="Y186" s="33"/>
      <c r="Z186" s="33"/>
      <c r="AA186" s="33"/>
      <c r="AB186" s="33"/>
      <c r="AC186" s="33"/>
      <c r="AD186" s="33"/>
      <c r="AE186" s="33"/>
      <c r="AF186" s="33"/>
      <c r="AG186" s="33"/>
      <c r="AH186" s="33"/>
      <c r="AI186" s="33"/>
      <c r="AJ186" s="33"/>
      <c r="AK186" s="33"/>
      <c r="AL186" s="33"/>
      <c r="AM186" s="33"/>
      <c r="AN186" s="33"/>
      <c r="AO186" s="33"/>
      <c r="AP186" s="33"/>
      <c r="AQ186" s="33"/>
      <c r="AR186" s="33"/>
      <c r="AS186" s="33"/>
      <c r="AT186" s="33"/>
      <c r="AU186" s="33"/>
      <c r="AV186" s="33"/>
      <c r="AW186" s="33"/>
      <c r="AX186" s="33"/>
      <c r="AY186" s="33"/>
      <c r="AZ186" s="33"/>
      <c r="BA186" s="33"/>
      <c r="BB186" s="33"/>
      <c r="BC186" s="33"/>
      <c r="BD186" s="33"/>
      <c r="BE186" s="33"/>
      <c r="BF186" s="33"/>
      <c r="BG186" s="33"/>
      <c r="BH186" s="33"/>
      <c r="BI186" s="33"/>
      <c r="BJ186" s="33"/>
      <c r="BK186" s="33"/>
      <c r="BL186" s="33"/>
      <c r="BM186" s="33"/>
      <c r="BN186" s="33"/>
    </row>
    <row r="187" spans="1:66" ht="25.5" customHeight="1">
      <c r="A187" s="58">
        <v>176</v>
      </c>
      <c r="B187" s="62"/>
      <c r="C187" s="63" t="s">
        <v>2660</v>
      </c>
      <c r="D187" s="64" t="s">
        <v>2661</v>
      </c>
      <c r="E187" s="64">
        <v>64</v>
      </c>
      <c r="F187" s="65" t="s">
        <v>75</v>
      </c>
      <c r="G187" s="58"/>
      <c r="H187" s="30">
        <v>0</v>
      </c>
      <c r="I187" s="33"/>
      <c r="J187" s="33"/>
      <c r="K187" s="33"/>
      <c r="L187" s="33"/>
      <c r="M187" s="33"/>
      <c r="N187" s="33"/>
      <c r="O187" s="33"/>
      <c r="P187" s="33"/>
      <c r="Q187" s="33"/>
      <c r="R187" s="33"/>
      <c r="S187" s="33"/>
      <c r="T187" s="33"/>
      <c r="U187" s="33"/>
      <c r="V187" s="33"/>
      <c r="W187" s="33"/>
      <c r="X187" s="33"/>
      <c r="Y187" s="33"/>
      <c r="Z187" s="33"/>
      <c r="AA187" s="33"/>
      <c r="AB187" s="33"/>
      <c r="AC187" s="33"/>
      <c r="AD187" s="33"/>
      <c r="AE187" s="33"/>
      <c r="AF187" s="33"/>
      <c r="AG187" s="33"/>
      <c r="AH187" s="33"/>
      <c r="AI187" s="33"/>
      <c r="AJ187" s="33"/>
      <c r="AK187" s="33"/>
      <c r="AL187" s="33"/>
      <c r="AM187" s="33"/>
      <c r="AN187" s="33"/>
      <c r="AO187" s="33"/>
      <c r="AP187" s="33"/>
      <c r="AQ187" s="33"/>
      <c r="AR187" s="33"/>
      <c r="AS187" s="33"/>
      <c r="AT187" s="33"/>
      <c r="AU187" s="33"/>
      <c r="AV187" s="33"/>
      <c r="AW187" s="33"/>
      <c r="AX187" s="33"/>
      <c r="AY187" s="33"/>
      <c r="AZ187" s="33"/>
      <c r="BA187" s="33"/>
      <c r="BB187" s="33"/>
      <c r="BC187" s="33"/>
      <c r="BD187" s="33"/>
      <c r="BE187" s="33"/>
      <c r="BF187" s="33"/>
      <c r="BG187" s="33"/>
      <c r="BH187" s="33"/>
      <c r="BI187" s="33"/>
      <c r="BJ187" s="33"/>
      <c r="BK187" s="33"/>
      <c r="BL187" s="33"/>
      <c r="BM187" s="33"/>
      <c r="BN187" s="33"/>
    </row>
    <row r="188" spans="1:66" ht="25.5" customHeight="1">
      <c r="A188" s="58">
        <v>177</v>
      </c>
      <c r="B188" s="62"/>
      <c r="C188" s="63" t="s">
        <v>2691</v>
      </c>
      <c r="D188" s="64" t="s">
        <v>2692</v>
      </c>
      <c r="E188" s="64">
        <v>24</v>
      </c>
      <c r="F188" s="65" t="s">
        <v>60</v>
      </c>
      <c r="G188" s="58"/>
      <c r="H188" s="30">
        <v>0</v>
      </c>
      <c r="I188" s="33"/>
      <c r="J188" s="33"/>
      <c r="K188" s="33"/>
      <c r="L188" s="33"/>
      <c r="M188" s="33"/>
      <c r="N188" s="33"/>
      <c r="O188" s="33"/>
      <c r="P188" s="33"/>
      <c r="Q188" s="33"/>
      <c r="R188" s="33"/>
      <c r="S188" s="33"/>
      <c r="T188" s="33"/>
      <c r="U188" s="33"/>
      <c r="V188" s="33"/>
      <c r="W188" s="33"/>
      <c r="X188" s="33"/>
      <c r="Y188" s="33"/>
      <c r="Z188" s="33"/>
      <c r="AA188" s="33"/>
      <c r="AB188" s="33"/>
      <c r="AC188" s="33"/>
      <c r="AD188" s="33"/>
      <c r="AE188" s="33"/>
      <c r="AF188" s="33"/>
      <c r="AG188" s="33"/>
      <c r="AH188" s="33"/>
      <c r="AI188" s="33"/>
      <c r="AJ188" s="33"/>
      <c r="AK188" s="33"/>
      <c r="AL188" s="33"/>
      <c r="AM188" s="33"/>
      <c r="AN188" s="33"/>
      <c r="AO188" s="33"/>
      <c r="AP188" s="33"/>
      <c r="AQ188" s="33"/>
      <c r="AR188" s="33"/>
      <c r="AS188" s="33"/>
      <c r="AT188" s="33"/>
      <c r="AU188" s="33"/>
      <c r="AV188" s="33"/>
      <c r="AW188" s="33"/>
      <c r="AX188" s="33"/>
      <c r="AY188" s="33"/>
      <c r="AZ188" s="33"/>
      <c r="BA188" s="33"/>
      <c r="BB188" s="33"/>
      <c r="BC188" s="33"/>
      <c r="BD188" s="33"/>
      <c r="BE188" s="33"/>
      <c r="BF188" s="33"/>
      <c r="BG188" s="33"/>
      <c r="BH188" s="33"/>
      <c r="BI188" s="33"/>
      <c r="BJ188" s="33"/>
      <c r="BK188" s="33"/>
      <c r="BL188" s="33"/>
      <c r="BM188" s="33"/>
      <c r="BN188" s="33"/>
    </row>
    <row r="189" spans="1:66" ht="25.5" customHeight="1">
      <c r="A189" s="58">
        <v>178</v>
      </c>
      <c r="B189" s="62"/>
      <c r="C189" s="63" t="s">
        <v>2695</v>
      </c>
      <c r="D189" s="64" t="s">
        <v>2696</v>
      </c>
      <c r="E189" s="64">
        <v>25</v>
      </c>
      <c r="F189" s="65" t="s">
        <v>60</v>
      </c>
      <c r="G189" s="58"/>
      <c r="H189" s="30">
        <v>0</v>
      </c>
      <c r="I189" s="33"/>
      <c r="J189" s="33"/>
      <c r="K189" s="33"/>
      <c r="L189" s="33"/>
      <c r="M189" s="33"/>
      <c r="N189" s="33"/>
      <c r="O189" s="33"/>
      <c r="P189" s="33"/>
      <c r="Q189" s="33"/>
      <c r="R189" s="33"/>
      <c r="S189" s="33"/>
      <c r="T189" s="33"/>
      <c r="U189" s="33"/>
      <c r="V189" s="33"/>
      <c r="W189" s="33"/>
      <c r="X189" s="33"/>
      <c r="Y189" s="33"/>
      <c r="Z189" s="33"/>
      <c r="AA189" s="33"/>
      <c r="AB189" s="33"/>
      <c r="AC189" s="33"/>
      <c r="AD189" s="33"/>
      <c r="AE189" s="33"/>
      <c r="AF189" s="33"/>
      <c r="AG189" s="33"/>
      <c r="AH189" s="33"/>
      <c r="AI189" s="33"/>
      <c r="AJ189" s="33"/>
      <c r="AK189" s="33"/>
      <c r="AL189" s="33"/>
      <c r="AM189" s="33"/>
      <c r="AN189" s="33"/>
      <c r="AO189" s="33"/>
      <c r="AP189" s="33"/>
      <c r="AQ189" s="33"/>
      <c r="AR189" s="33"/>
      <c r="AS189" s="33"/>
      <c r="AT189" s="33"/>
      <c r="AU189" s="33"/>
      <c r="AV189" s="33"/>
      <c r="AW189" s="33"/>
      <c r="AX189" s="33"/>
      <c r="AY189" s="33"/>
      <c r="AZ189" s="33"/>
      <c r="BA189" s="33"/>
      <c r="BB189" s="33"/>
      <c r="BC189" s="33"/>
      <c r="BD189" s="33"/>
      <c r="BE189" s="33"/>
      <c r="BF189" s="33"/>
      <c r="BG189" s="33"/>
      <c r="BH189" s="33"/>
      <c r="BI189" s="33"/>
      <c r="BJ189" s="33"/>
      <c r="BK189" s="33"/>
      <c r="BL189" s="33"/>
      <c r="BM189" s="33"/>
      <c r="BN189" s="33"/>
    </row>
    <row r="190" spans="1:66" ht="25.5" customHeight="1">
      <c r="A190" s="58">
        <v>179</v>
      </c>
      <c r="B190" s="62"/>
      <c r="C190" s="63" t="s">
        <v>2703</v>
      </c>
      <c r="D190" s="64" t="s">
        <v>2704</v>
      </c>
      <c r="E190" s="64">
        <v>58</v>
      </c>
      <c r="F190" s="65" t="s">
        <v>60</v>
      </c>
      <c r="G190" s="58"/>
      <c r="H190" s="30">
        <v>0</v>
      </c>
      <c r="I190" s="33"/>
      <c r="J190" s="33"/>
      <c r="K190" s="33"/>
      <c r="L190" s="33"/>
      <c r="M190" s="33"/>
      <c r="N190" s="33"/>
      <c r="O190" s="33"/>
      <c r="P190" s="33"/>
      <c r="Q190" s="33"/>
      <c r="R190" s="33"/>
      <c r="S190" s="33"/>
      <c r="T190" s="33"/>
      <c r="U190" s="33"/>
      <c r="V190" s="33"/>
      <c r="W190" s="33"/>
      <c r="X190" s="33"/>
      <c r="Y190" s="33"/>
      <c r="Z190" s="33"/>
      <c r="AA190" s="33"/>
      <c r="AB190" s="33"/>
      <c r="AC190" s="33"/>
      <c r="AD190" s="33"/>
      <c r="AE190" s="33"/>
      <c r="AF190" s="33"/>
      <c r="AG190" s="33"/>
      <c r="AH190" s="33"/>
      <c r="AI190" s="33"/>
      <c r="AJ190" s="33"/>
      <c r="AK190" s="33"/>
      <c r="AL190" s="33"/>
      <c r="AM190" s="33"/>
      <c r="AN190" s="33"/>
      <c r="AO190" s="33"/>
      <c r="AP190" s="33"/>
      <c r="AQ190" s="33"/>
      <c r="AR190" s="33"/>
      <c r="AS190" s="33"/>
      <c r="AT190" s="33"/>
      <c r="AU190" s="33"/>
      <c r="AV190" s="33"/>
      <c r="AW190" s="33"/>
      <c r="AX190" s="33"/>
      <c r="AY190" s="33"/>
      <c r="AZ190" s="33"/>
      <c r="BA190" s="33"/>
      <c r="BB190" s="33"/>
      <c r="BC190" s="33"/>
      <c r="BD190" s="33"/>
      <c r="BE190" s="33"/>
      <c r="BF190" s="33"/>
      <c r="BG190" s="33"/>
      <c r="BH190" s="33"/>
      <c r="BI190" s="33"/>
      <c r="BJ190" s="33"/>
      <c r="BK190" s="33"/>
      <c r="BL190" s="33"/>
      <c r="BM190" s="33"/>
      <c r="BN190" s="33"/>
    </row>
    <row r="191" spans="1:66" ht="25.5" customHeight="1">
      <c r="A191" s="58">
        <v>180</v>
      </c>
      <c r="B191" s="62"/>
      <c r="C191" s="63" t="s">
        <v>2724</v>
      </c>
      <c r="D191" s="64" t="s">
        <v>2725</v>
      </c>
      <c r="E191" s="64">
        <v>57</v>
      </c>
      <c r="F191" s="65" t="s">
        <v>75</v>
      </c>
      <c r="G191" s="58"/>
      <c r="H191" s="30" t="s">
        <v>2727</v>
      </c>
      <c r="I191" s="33"/>
      <c r="J191" s="33"/>
      <c r="K191" s="33"/>
      <c r="L191" s="33"/>
      <c r="M191" s="33"/>
      <c r="N191" s="33"/>
      <c r="O191" s="33"/>
      <c r="P191" s="33"/>
      <c r="Q191" s="33"/>
      <c r="R191" s="33"/>
      <c r="S191" s="33"/>
      <c r="T191" s="33"/>
      <c r="U191" s="33"/>
      <c r="V191" s="33"/>
      <c r="W191" s="33"/>
      <c r="X191" s="33"/>
      <c r="Y191" s="33"/>
      <c r="Z191" s="33"/>
      <c r="AA191" s="33"/>
      <c r="AB191" s="33"/>
      <c r="AC191" s="33"/>
      <c r="AD191" s="33"/>
      <c r="AE191" s="33"/>
      <c r="AF191" s="33"/>
      <c r="AG191" s="33"/>
      <c r="AH191" s="33"/>
      <c r="AI191" s="33"/>
      <c r="AJ191" s="33"/>
      <c r="AK191" s="33"/>
      <c r="AL191" s="33"/>
      <c r="AM191" s="33"/>
      <c r="AN191" s="33"/>
      <c r="AO191" s="33"/>
      <c r="AP191" s="33"/>
      <c r="AQ191" s="33"/>
      <c r="AR191" s="33"/>
      <c r="AS191" s="33"/>
      <c r="AT191" s="33"/>
      <c r="AU191" s="33"/>
      <c r="AV191" s="33"/>
      <c r="AW191" s="33"/>
      <c r="AX191" s="33"/>
      <c r="AY191" s="33"/>
      <c r="AZ191" s="33"/>
      <c r="BA191" s="33"/>
      <c r="BB191" s="33"/>
      <c r="BC191" s="33"/>
      <c r="BD191" s="33"/>
      <c r="BE191" s="33"/>
      <c r="BF191" s="33"/>
      <c r="BG191" s="33"/>
      <c r="BH191" s="33"/>
      <c r="BI191" s="33"/>
      <c r="BJ191" s="33"/>
      <c r="BK191" s="33"/>
      <c r="BL191" s="33"/>
      <c r="BM191" s="33"/>
      <c r="BN191" s="33"/>
    </row>
    <row r="192" spans="1:66" ht="25.5" customHeight="1">
      <c r="A192" s="58">
        <v>181</v>
      </c>
      <c r="B192" s="62"/>
      <c r="C192" s="63" t="s">
        <v>2729</v>
      </c>
      <c r="D192" s="64" t="s">
        <v>2730</v>
      </c>
      <c r="E192" s="64">
        <v>64</v>
      </c>
      <c r="F192" s="65" t="s">
        <v>60</v>
      </c>
      <c r="G192" s="58"/>
      <c r="H192" s="30" t="s">
        <v>2732</v>
      </c>
      <c r="I192" s="33"/>
      <c r="J192" s="33"/>
      <c r="K192" s="33"/>
      <c r="L192" s="33"/>
      <c r="M192" s="33"/>
      <c r="N192" s="33"/>
      <c r="O192" s="33"/>
      <c r="P192" s="33"/>
      <c r="Q192" s="33"/>
      <c r="R192" s="33"/>
      <c r="S192" s="33"/>
      <c r="T192" s="33"/>
      <c r="U192" s="33"/>
      <c r="V192" s="33"/>
      <c r="W192" s="33"/>
      <c r="X192" s="33"/>
      <c r="Y192" s="33"/>
      <c r="Z192" s="33"/>
      <c r="AA192" s="33"/>
      <c r="AB192" s="33"/>
      <c r="AC192" s="33"/>
      <c r="AD192" s="33"/>
      <c r="AE192" s="33"/>
      <c r="AF192" s="33"/>
      <c r="AG192" s="33"/>
      <c r="AH192" s="33"/>
      <c r="AI192" s="33"/>
      <c r="AJ192" s="33"/>
      <c r="AK192" s="33"/>
      <c r="AL192" s="33"/>
      <c r="AM192" s="33"/>
      <c r="AN192" s="33"/>
      <c r="AO192" s="33"/>
      <c r="AP192" s="33"/>
      <c r="AQ192" s="33"/>
      <c r="AR192" s="33"/>
      <c r="AS192" s="33"/>
      <c r="AT192" s="33"/>
      <c r="AU192" s="33"/>
      <c r="AV192" s="33"/>
      <c r="AW192" s="33"/>
      <c r="AX192" s="33"/>
      <c r="AY192" s="33"/>
      <c r="AZ192" s="33"/>
      <c r="BA192" s="33"/>
      <c r="BB192" s="33"/>
      <c r="BC192" s="33"/>
      <c r="BD192" s="33"/>
      <c r="BE192" s="33"/>
      <c r="BF192" s="33"/>
      <c r="BG192" s="33"/>
      <c r="BH192" s="33"/>
      <c r="BI192" s="33"/>
      <c r="BJ192" s="33"/>
      <c r="BK192" s="33"/>
      <c r="BL192" s="33"/>
      <c r="BM192" s="33"/>
      <c r="BN192" s="33"/>
    </row>
    <row r="193" spans="1:66" ht="25.5" customHeight="1">
      <c r="A193" s="58">
        <v>182</v>
      </c>
      <c r="B193" s="62"/>
      <c r="C193" s="63" t="s">
        <v>2739</v>
      </c>
      <c r="D193" s="64" t="s">
        <v>2740</v>
      </c>
      <c r="E193" s="64">
        <v>73</v>
      </c>
      <c r="F193" s="65" t="s">
        <v>60</v>
      </c>
      <c r="G193" s="58"/>
      <c r="H193" s="30" t="s">
        <v>2742</v>
      </c>
      <c r="I193" s="33"/>
      <c r="J193" s="33"/>
      <c r="K193" s="33"/>
      <c r="L193" s="33"/>
      <c r="M193" s="33"/>
      <c r="N193" s="33"/>
      <c r="O193" s="33"/>
      <c r="P193" s="33"/>
      <c r="Q193" s="33"/>
      <c r="R193" s="33"/>
      <c r="S193" s="33"/>
      <c r="T193" s="33"/>
      <c r="U193" s="33"/>
      <c r="V193" s="33"/>
      <c r="W193" s="33"/>
      <c r="X193" s="33"/>
      <c r="Y193" s="33"/>
      <c r="Z193" s="33"/>
      <c r="AA193" s="33"/>
      <c r="AB193" s="33"/>
      <c r="AC193" s="33"/>
      <c r="AD193" s="33"/>
      <c r="AE193" s="33"/>
      <c r="AF193" s="33"/>
      <c r="AG193" s="33"/>
      <c r="AH193" s="33"/>
      <c r="AI193" s="33"/>
      <c r="AJ193" s="33"/>
      <c r="AK193" s="33"/>
      <c r="AL193" s="33"/>
      <c r="AM193" s="33"/>
      <c r="AN193" s="33"/>
      <c r="AO193" s="33"/>
      <c r="AP193" s="33"/>
      <c r="AQ193" s="33"/>
      <c r="AR193" s="33"/>
      <c r="AS193" s="33"/>
      <c r="AT193" s="33"/>
      <c r="AU193" s="33"/>
      <c r="AV193" s="33"/>
      <c r="AW193" s="33"/>
      <c r="AX193" s="33"/>
      <c r="AY193" s="33"/>
      <c r="AZ193" s="33"/>
      <c r="BA193" s="33"/>
      <c r="BB193" s="33"/>
      <c r="BC193" s="33"/>
      <c r="BD193" s="33"/>
      <c r="BE193" s="33"/>
      <c r="BF193" s="33"/>
      <c r="BG193" s="33"/>
      <c r="BH193" s="33"/>
      <c r="BI193" s="33"/>
      <c r="BJ193" s="33"/>
      <c r="BK193" s="33"/>
      <c r="BL193" s="33"/>
      <c r="BM193" s="33"/>
      <c r="BN193" s="33"/>
    </row>
    <row r="194" spans="1:66" ht="25.5" customHeight="1">
      <c r="A194" s="58">
        <v>183</v>
      </c>
      <c r="B194" s="62"/>
      <c r="C194" s="63" t="s">
        <v>2744</v>
      </c>
      <c r="D194" s="64" t="s">
        <v>2745</v>
      </c>
      <c r="E194" s="64">
        <v>37</v>
      </c>
      <c r="F194" s="65" t="s">
        <v>75</v>
      </c>
      <c r="G194" s="58"/>
      <c r="H194" s="30">
        <v>0</v>
      </c>
      <c r="I194" s="33"/>
      <c r="J194" s="33"/>
      <c r="K194" s="33"/>
      <c r="L194" s="33"/>
      <c r="M194" s="33"/>
      <c r="N194" s="33"/>
      <c r="O194" s="33"/>
      <c r="P194" s="33"/>
      <c r="Q194" s="33"/>
      <c r="R194" s="33"/>
      <c r="S194" s="33"/>
      <c r="T194" s="33"/>
      <c r="U194" s="33"/>
      <c r="V194" s="33"/>
      <c r="W194" s="33"/>
      <c r="X194" s="33"/>
      <c r="Y194" s="33"/>
      <c r="Z194" s="33"/>
      <c r="AA194" s="33"/>
      <c r="AB194" s="33"/>
      <c r="AC194" s="33"/>
      <c r="AD194" s="33"/>
      <c r="AE194" s="33"/>
      <c r="AF194" s="33"/>
      <c r="AG194" s="33"/>
      <c r="AH194" s="33"/>
      <c r="AI194" s="33"/>
      <c r="AJ194" s="33"/>
      <c r="AK194" s="33"/>
      <c r="AL194" s="33"/>
      <c r="AM194" s="33"/>
      <c r="AN194" s="33"/>
      <c r="AO194" s="33"/>
      <c r="AP194" s="33"/>
      <c r="AQ194" s="33"/>
      <c r="AR194" s="33"/>
      <c r="AS194" s="33"/>
      <c r="AT194" s="33"/>
      <c r="AU194" s="33"/>
      <c r="AV194" s="33"/>
      <c r="AW194" s="33"/>
      <c r="AX194" s="33"/>
      <c r="AY194" s="33"/>
      <c r="AZ194" s="33"/>
      <c r="BA194" s="33"/>
      <c r="BB194" s="33"/>
      <c r="BC194" s="33"/>
      <c r="BD194" s="33"/>
      <c r="BE194" s="33"/>
      <c r="BF194" s="33"/>
      <c r="BG194" s="33"/>
      <c r="BH194" s="33"/>
      <c r="BI194" s="33"/>
      <c r="BJ194" s="33"/>
      <c r="BK194" s="33"/>
      <c r="BL194" s="33"/>
      <c r="BM194" s="33"/>
      <c r="BN194" s="33"/>
    </row>
    <row r="195" spans="1:66" ht="25.5" customHeight="1">
      <c r="A195" s="58">
        <v>184</v>
      </c>
      <c r="B195" s="62"/>
      <c r="C195" s="63" t="s">
        <v>2748</v>
      </c>
      <c r="D195" s="64" t="s">
        <v>2749</v>
      </c>
      <c r="E195" s="64">
        <v>71</v>
      </c>
      <c r="F195" s="65" t="s">
        <v>60</v>
      </c>
      <c r="G195" s="58"/>
      <c r="H195" s="30">
        <v>0</v>
      </c>
      <c r="I195" s="33"/>
      <c r="J195" s="33"/>
      <c r="K195" s="33"/>
      <c r="L195" s="33"/>
      <c r="M195" s="33"/>
      <c r="N195" s="33"/>
      <c r="O195" s="33"/>
      <c r="P195" s="33"/>
      <c r="Q195" s="33"/>
      <c r="R195" s="33"/>
      <c r="S195" s="33"/>
      <c r="T195" s="33"/>
      <c r="U195" s="33"/>
      <c r="V195" s="33"/>
      <c r="W195" s="33"/>
      <c r="X195" s="33"/>
      <c r="Y195" s="33"/>
      <c r="Z195" s="33"/>
      <c r="AA195" s="33"/>
      <c r="AB195" s="33"/>
      <c r="AC195" s="33"/>
      <c r="AD195" s="33"/>
      <c r="AE195" s="33"/>
      <c r="AF195" s="33"/>
      <c r="AG195" s="33"/>
      <c r="AH195" s="33"/>
      <c r="AI195" s="33"/>
      <c r="AJ195" s="33"/>
      <c r="AK195" s="33"/>
      <c r="AL195" s="33"/>
      <c r="AM195" s="33"/>
      <c r="AN195" s="33"/>
      <c r="AO195" s="33"/>
      <c r="AP195" s="33"/>
      <c r="AQ195" s="33"/>
      <c r="AR195" s="33"/>
      <c r="AS195" s="33"/>
      <c r="AT195" s="33"/>
      <c r="AU195" s="33"/>
      <c r="AV195" s="33"/>
      <c r="AW195" s="33"/>
      <c r="AX195" s="33"/>
      <c r="AY195" s="33"/>
      <c r="AZ195" s="33"/>
      <c r="BA195" s="33"/>
      <c r="BB195" s="33"/>
      <c r="BC195" s="33"/>
      <c r="BD195" s="33"/>
      <c r="BE195" s="33"/>
      <c r="BF195" s="33"/>
      <c r="BG195" s="33"/>
      <c r="BH195" s="33"/>
      <c r="BI195" s="33"/>
      <c r="BJ195" s="33"/>
      <c r="BK195" s="33"/>
      <c r="BL195" s="33"/>
      <c r="BM195" s="33"/>
      <c r="BN195" s="33"/>
    </row>
    <row r="196" spans="1:66" ht="25.5" customHeight="1">
      <c r="A196" s="58">
        <v>185</v>
      </c>
      <c r="B196" s="62"/>
      <c r="C196" s="63" t="s">
        <v>2752</v>
      </c>
      <c r="D196" s="64" t="s">
        <v>2753</v>
      </c>
      <c r="E196" s="64">
        <v>59</v>
      </c>
      <c r="F196" s="65" t="s">
        <v>60</v>
      </c>
      <c r="G196" s="58"/>
      <c r="H196" s="30">
        <v>0</v>
      </c>
      <c r="I196" s="33"/>
      <c r="J196" s="33"/>
      <c r="K196" s="33"/>
      <c r="L196" s="33"/>
      <c r="M196" s="33"/>
      <c r="N196" s="33"/>
      <c r="O196" s="33"/>
      <c r="P196" s="33"/>
      <c r="Q196" s="33"/>
      <c r="R196" s="33"/>
      <c r="S196" s="33"/>
      <c r="T196" s="33"/>
      <c r="U196" s="33"/>
      <c r="V196" s="33"/>
      <c r="W196" s="33"/>
      <c r="X196" s="33"/>
      <c r="Y196" s="33"/>
      <c r="Z196" s="33"/>
      <c r="AA196" s="33"/>
      <c r="AB196" s="33"/>
      <c r="AC196" s="33"/>
      <c r="AD196" s="33"/>
      <c r="AE196" s="33"/>
      <c r="AF196" s="33"/>
      <c r="AG196" s="33"/>
      <c r="AH196" s="33"/>
      <c r="AI196" s="33"/>
      <c r="AJ196" s="33"/>
      <c r="AK196" s="33"/>
      <c r="AL196" s="33"/>
      <c r="AM196" s="33"/>
      <c r="AN196" s="33"/>
      <c r="AO196" s="33"/>
      <c r="AP196" s="33"/>
      <c r="AQ196" s="33"/>
      <c r="AR196" s="33"/>
      <c r="AS196" s="33"/>
      <c r="AT196" s="33"/>
      <c r="AU196" s="33"/>
      <c r="AV196" s="33"/>
      <c r="AW196" s="33"/>
      <c r="AX196" s="33"/>
      <c r="AY196" s="33"/>
      <c r="AZ196" s="33"/>
      <c r="BA196" s="33"/>
      <c r="BB196" s="33"/>
      <c r="BC196" s="33"/>
      <c r="BD196" s="33"/>
      <c r="BE196" s="33"/>
      <c r="BF196" s="33"/>
      <c r="BG196" s="33"/>
      <c r="BH196" s="33"/>
      <c r="BI196" s="33"/>
      <c r="BJ196" s="33"/>
      <c r="BK196" s="33"/>
      <c r="BL196" s="33"/>
      <c r="BM196" s="33"/>
      <c r="BN196" s="33"/>
    </row>
    <row r="197" spans="1:66" ht="25.5" customHeight="1">
      <c r="A197" s="58">
        <v>186</v>
      </c>
      <c r="B197" s="62"/>
      <c r="C197" s="63" t="s">
        <v>2756</v>
      </c>
      <c r="D197" s="64" t="s">
        <v>2757</v>
      </c>
      <c r="E197" s="64">
        <v>79</v>
      </c>
      <c r="F197" s="65" t="s">
        <v>60</v>
      </c>
      <c r="G197" s="58"/>
      <c r="H197" s="30">
        <v>0</v>
      </c>
      <c r="I197" s="33"/>
      <c r="J197" s="33"/>
      <c r="K197" s="33"/>
      <c r="L197" s="33"/>
      <c r="M197" s="33"/>
      <c r="N197" s="33"/>
      <c r="O197" s="33"/>
      <c r="P197" s="33"/>
      <c r="Q197" s="33"/>
      <c r="R197" s="33"/>
      <c r="S197" s="33"/>
      <c r="T197" s="33"/>
      <c r="U197" s="33"/>
      <c r="V197" s="33"/>
      <c r="W197" s="33"/>
      <c r="X197" s="33"/>
      <c r="Y197" s="33"/>
      <c r="Z197" s="33"/>
      <c r="AA197" s="33"/>
      <c r="AB197" s="33"/>
      <c r="AC197" s="33"/>
      <c r="AD197" s="33"/>
      <c r="AE197" s="33"/>
      <c r="AF197" s="33"/>
      <c r="AG197" s="33"/>
      <c r="AH197" s="33"/>
      <c r="AI197" s="33"/>
      <c r="AJ197" s="33"/>
      <c r="AK197" s="33"/>
      <c r="AL197" s="33"/>
      <c r="AM197" s="33"/>
      <c r="AN197" s="33"/>
      <c r="AO197" s="33"/>
      <c r="AP197" s="33"/>
      <c r="AQ197" s="33"/>
      <c r="AR197" s="33"/>
      <c r="AS197" s="33"/>
      <c r="AT197" s="33"/>
      <c r="AU197" s="33"/>
      <c r="AV197" s="33"/>
      <c r="AW197" s="33"/>
      <c r="AX197" s="33"/>
      <c r="AY197" s="33"/>
      <c r="AZ197" s="33"/>
      <c r="BA197" s="33"/>
      <c r="BB197" s="33"/>
      <c r="BC197" s="33"/>
      <c r="BD197" s="33"/>
      <c r="BE197" s="33"/>
      <c r="BF197" s="33"/>
      <c r="BG197" s="33"/>
      <c r="BH197" s="33"/>
      <c r="BI197" s="33"/>
      <c r="BJ197" s="33"/>
      <c r="BK197" s="33"/>
      <c r="BL197" s="33"/>
      <c r="BM197" s="33"/>
      <c r="BN197" s="33"/>
    </row>
    <row r="198" spans="1:66" ht="25.5" customHeight="1">
      <c r="A198" s="58">
        <v>187</v>
      </c>
      <c r="B198" s="62"/>
      <c r="C198" s="63" t="s">
        <v>2760</v>
      </c>
      <c r="D198" s="64" t="s">
        <v>2761</v>
      </c>
      <c r="E198" s="64">
        <v>84</v>
      </c>
      <c r="F198" s="65" t="s">
        <v>60</v>
      </c>
      <c r="G198" s="58"/>
      <c r="H198" s="30">
        <v>0</v>
      </c>
      <c r="I198" s="33"/>
      <c r="J198" s="33"/>
      <c r="K198" s="33"/>
      <c r="L198" s="33"/>
      <c r="M198" s="33"/>
      <c r="N198" s="33"/>
      <c r="O198" s="33"/>
      <c r="P198" s="33"/>
      <c r="Q198" s="33"/>
      <c r="R198" s="33"/>
      <c r="S198" s="33"/>
      <c r="T198" s="33"/>
      <c r="U198" s="33"/>
      <c r="V198" s="33"/>
      <c r="W198" s="33"/>
      <c r="X198" s="33"/>
      <c r="Y198" s="33"/>
      <c r="Z198" s="33"/>
      <c r="AA198" s="33"/>
      <c r="AB198" s="33"/>
      <c r="AC198" s="33"/>
      <c r="AD198" s="33"/>
      <c r="AE198" s="33"/>
      <c r="AF198" s="33"/>
      <c r="AG198" s="33"/>
      <c r="AH198" s="33"/>
      <c r="AI198" s="33"/>
      <c r="AJ198" s="33"/>
      <c r="AK198" s="33"/>
      <c r="AL198" s="33"/>
      <c r="AM198" s="33"/>
      <c r="AN198" s="33"/>
      <c r="AO198" s="33"/>
      <c r="AP198" s="33"/>
      <c r="AQ198" s="33"/>
      <c r="AR198" s="33"/>
      <c r="AS198" s="33"/>
      <c r="AT198" s="33"/>
      <c r="AU198" s="33"/>
      <c r="AV198" s="33"/>
      <c r="AW198" s="33"/>
      <c r="AX198" s="33"/>
      <c r="AY198" s="33"/>
      <c r="AZ198" s="33"/>
      <c r="BA198" s="33"/>
      <c r="BB198" s="33"/>
      <c r="BC198" s="33"/>
      <c r="BD198" s="33"/>
      <c r="BE198" s="33"/>
      <c r="BF198" s="33"/>
      <c r="BG198" s="33"/>
      <c r="BH198" s="33"/>
      <c r="BI198" s="33"/>
      <c r="BJ198" s="33"/>
      <c r="BK198" s="33"/>
      <c r="BL198" s="33"/>
      <c r="BM198" s="33"/>
      <c r="BN198" s="33"/>
    </row>
    <row r="199" spans="1:66" ht="25.5" customHeight="1">
      <c r="A199" s="58">
        <v>188</v>
      </c>
      <c r="B199" s="62"/>
      <c r="C199" s="63" t="s">
        <v>2780</v>
      </c>
      <c r="D199" s="64" t="s">
        <v>2781</v>
      </c>
      <c r="E199" s="64">
        <v>47</v>
      </c>
      <c r="F199" s="65" t="s">
        <v>75</v>
      </c>
      <c r="G199" s="58"/>
      <c r="H199" s="30" t="s">
        <v>2785</v>
      </c>
      <c r="I199" s="33"/>
      <c r="J199" s="33"/>
      <c r="K199" s="33"/>
      <c r="L199" s="33"/>
      <c r="M199" s="33"/>
      <c r="N199" s="33"/>
      <c r="O199" s="33"/>
      <c r="P199" s="33"/>
      <c r="Q199" s="33"/>
      <c r="R199" s="33"/>
      <c r="S199" s="33"/>
      <c r="T199" s="33"/>
      <c r="U199" s="33"/>
      <c r="V199" s="33"/>
      <c r="W199" s="33"/>
      <c r="X199" s="33"/>
      <c r="Y199" s="33"/>
      <c r="Z199" s="33"/>
      <c r="AA199" s="33"/>
      <c r="AB199" s="33"/>
      <c r="AC199" s="33"/>
      <c r="AD199" s="33"/>
      <c r="AE199" s="33"/>
      <c r="AF199" s="33"/>
      <c r="AG199" s="33"/>
      <c r="AH199" s="33"/>
      <c r="AI199" s="33"/>
      <c r="AJ199" s="33"/>
      <c r="AK199" s="33"/>
      <c r="AL199" s="33"/>
      <c r="AM199" s="33"/>
      <c r="AN199" s="33"/>
      <c r="AO199" s="33"/>
      <c r="AP199" s="33"/>
      <c r="AQ199" s="33"/>
      <c r="AR199" s="33"/>
      <c r="AS199" s="33"/>
      <c r="AT199" s="33"/>
      <c r="AU199" s="33"/>
      <c r="AV199" s="33"/>
      <c r="AW199" s="33"/>
      <c r="AX199" s="33"/>
      <c r="AY199" s="33"/>
      <c r="AZ199" s="33"/>
      <c r="BA199" s="33"/>
      <c r="BB199" s="33"/>
      <c r="BC199" s="33"/>
      <c r="BD199" s="33"/>
      <c r="BE199" s="33"/>
      <c r="BF199" s="33"/>
      <c r="BG199" s="33"/>
      <c r="BH199" s="33"/>
      <c r="BI199" s="33"/>
      <c r="BJ199" s="33"/>
      <c r="BK199" s="33"/>
      <c r="BL199" s="33"/>
      <c r="BM199" s="33"/>
      <c r="BN199" s="33"/>
    </row>
    <row r="200" spans="1:66" ht="25.5" customHeight="1">
      <c r="A200" s="58">
        <v>189</v>
      </c>
      <c r="B200" s="62">
        <v>155</v>
      </c>
      <c r="C200" s="63" t="s">
        <v>2844</v>
      </c>
      <c r="D200" s="64" t="s">
        <v>2845</v>
      </c>
      <c r="E200" s="64">
        <v>40</v>
      </c>
      <c r="F200" s="65" t="s">
        <v>60</v>
      </c>
      <c r="G200" s="58"/>
      <c r="H200" s="30" t="s">
        <v>228</v>
      </c>
      <c r="I200" s="33"/>
      <c r="J200" s="33"/>
      <c r="K200" s="33"/>
      <c r="L200" s="33"/>
      <c r="M200" s="33"/>
      <c r="N200" s="33"/>
      <c r="O200" s="33"/>
      <c r="P200" s="33"/>
      <c r="Q200" s="33"/>
      <c r="R200" s="33"/>
      <c r="S200" s="33"/>
      <c r="T200" s="33"/>
      <c r="U200" s="33"/>
      <c r="V200" s="33"/>
      <c r="W200" s="33"/>
      <c r="X200" s="33"/>
      <c r="Y200" s="33"/>
      <c r="Z200" s="33"/>
      <c r="AA200" s="33"/>
      <c r="AB200" s="33"/>
      <c r="AC200" s="33"/>
      <c r="AD200" s="33"/>
      <c r="AE200" s="33"/>
      <c r="AF200" s="33"/>
      <c r="AG200" s="33"/>
      <c r="AH200" s="33"/>
      <c r="AI200" s="33"/>
      <c r="AJ200" s="33"/>
      <c r="AK200" s="33"/>
      <c r="AL200" s="33"/>
      <c r="AM200" s="33"/>
      <c r="AN200" s="33"/>
      <c r="AO200" s="33"/>
      <c r="AP200" s="33"/>
      <c r="AQ200" s="33"/>
      <c r="AR200" s="33"/>
      <c r="AS200" s="33"/>
      <c r="AT200" s="33"/>
      <c r="AU200" s="33"/>
      <c r="AV200" s="33"/>
      <c r="AW200" s="33"/>
      <c r="AX200" s="33"/>
      <c r="AY200" s="33"/>
      <c r="AZ200" s="33"/>
      <c r="BA200" s="33"/>
      <c r="BB200" s="33"/>
      <c r="BC200" s="33"/>
      <c r="BD200" s="33"/>
      <c r="BE200" s="33"/>
      <c r="BF200" s="33"/>
      <c r="BG200" s="33"/>
      <c r="BH200" s="33"/>
      <c r="BI200" s="33"/>
      <c r="BJ200" s="33"/>
      <c r="BK200" s="33"/>
      <c r="BL200" s="33"/>
      <c r="BM200" s="33"/>
      <c r="BN200" s="33"/>
    </row>
    <row r="201" spans="1:66" ht="25.5" customHeight="1">
      <c r="A201" s="58">
        <v>190</v>
      </c>
      <c r="B201" s="62" t="s">
        <v>2849</v>
      </c>
      <c r="C201" s="63" t="s">
        <v>2850</v>
      </c>
      <c r="D201" s="64" t="s">
        <v>2851</v>
      </c>
      <c r="E201" s="64">
        <v>23</v>
      </c>
      <c r="F201" s="65" t="s">
        <v>60</v>
      </c>
      <c r="G201" s="58"/>
      <c r="H201" s="30" t="s">
        <v>228</v>
      </c>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3"/>
      <c r="AF201" s="33"/>
      <c r="AG201" s="33"/>
      <c r="AH201" s="33"/>
      <c r="AI201" s="33"/>
      <c r="AJ201" s="33"/>
      <c r="AK201" s="33"/>
      <c r="AL201" s="33"/>
      <c r="AM201" s="33"/>
      <c r="AN201" s="33"/>
      <c r="AO201" s="33"/>
      <c r="AP201" s="33"/>
      <c r="AQ201" s="33"/>
      <c r="AR201" s="33"/>
      <c r="AS201" s="33"/>
      <c r="AT201" s="33"/>
      <c r="AU201" s="33"/>
      <c r="AV201" s="33"/>
      <c r="AW201" s="33"/>
      <c r="AX201" s="33"/>
      <c r="AY201" s="33"/>
      <c r="AZ201" s="33"/>
      <c r="BA201" s="33"/>
      <c r="BB201" s="33"/>
      <c r="BC201" s="33"/>
      <c r="BD201" s="33"/>
      <c r="BE201" s="33"/>
      <c r="BF201" s="33"/>
      <c r="BG201" s="33"/>
      <c r="BH201" s="33"/>
      <c r="BI201" s="33"/>
      <c r="BJ201" s="33"/>
      <c r="BK201" s="33"/>
      <c r="BL201" s="33"/>
      <c r="BM201" s="33"/>
      <c r="BN201" s="33"/>
    </row>
    <row r="202" spans="1:66" ht="25.5" customHeight="1">
      <c r="A202" s="58">
        <v>191</v>
      </c>
      <c r="B202" s="62" t="s">
        <v>2854</v>
      </c>
      <c r="C202" s="63" t="s">
        <v>2855</v>
      </c>
      <c r="D202" s="64" t="s">
        <v>2856</v>
      </c>
      <c r="E202" s="64">
        <v>21</v>
      </c>
      <c r="F202" s="65" t="s">
        <v>60</v>
      </c>
      <c r="G202" s="58"/>
      <c r="H202" s="30" t="s">
        <v>228</v>
      </c>
      <c r="I202" s="33"/>
      <c r="J202" s="33"/>
      <c r="K202" s="33"/>
      <c r="L202" s="33"/>
      <c r="M202" s="33"/>
      <c r="N202" s="33"/>
      <c r="O202" s="33"/>
      <c r="P202" s="33"/>
      <c r="Q202" s="33"/>
      <c r="R202" s="33"/>
      <c r="S202" s="33"/>
      <c r="T202" s="33"/>
      <c r="U202" s="33"/>
      <c r="V202" s="33"/>
      <c r="W202" s="33"/>
      <c r="X202" s="33"/>
      <c r="Y202" s="33"/>
      <c r="Z202" s="33"/>
      <c r="AA202" s="33"/>
      <c r="AB202" s="33"/>
      <c r="AC202" s="33"/>
      <c r="AD202" s="33"/>
      <c r="AE202" s="33"/>
      <c r="AF202" s="33"/>
      <c r="AG202" s="33"/>
      <c r="AH202" s="33"/>
      <c r="AI202" s="33"/>
      <c r="AJ202" s="33"/>
      <c r="AK202" s="33"/>
      <c r="AL202" s="33"/>
      <c r="AM202" s="33"/>
      <c r="AN202" s="33"/>
      <c r="AO202" s="33"/>
      <c r="AP202" s="33"/>
      <c r="AQ202" s="33"/>
      <c r="AR202" s="33"/>
      <c r="AS202" s="33"/>
      <c r="AT202" s="33"/>
      <c r="AU202" s="33"/>
      <c r="AV202" s="33"/>
      <c r="AW202" s="33"/>
      <c r="AX202" s="33"/>
      <c r="AY202" s="33"/>
      <c r="AZ202" s="33"/>
      <c r="BA202" s="33"/>
      <c r="BB202" s="33"/>
      <c r="BC202" s="33"/>
      <c r="BD202" s="33"/>
      <c r="BE202" s="33"/>
      <c r="BF202" s="33"/>
      <c r="BG202" s="33"/>
      <c r="BH202" s="33"/>
      <c r="BI202" s="33"/>
      <c r="BJ202" s="33"/>
      <c r="BK202" s="33"/>
      <c r="BL202" s="33"/>
      <c r="BM202" s="33"/>
      <c r="BN202" s="33"/>
    </row>
    <row r="203" spans="1:66" ht="25.5" customHeight="1">
      <c r="A203" s="58">
        <v>192</v>
      </c>
      <c r="B203" s="62" t="s">
        <v>2859</v>
      </c>
      <c r="C203" s="63" t="s">
        <v>2860</v>
      </c>
      <c r="D203" s="64" t="s">
        <v>2861</v>
      </c>
      <c r="E203" s="64">
        <v>18</v>
      </c>
      <c r="F203" s="65" t="s">
        <v>60</v>
      </c>
      <c r="G203" s="58"/>
      <c r="H203" s="30" t="s">
        <v>228</v>
      </c>
      <c r="I203" s="33"/>
      <c r="J203" s="33"/>
      <c r="K203" s="33"/>
      <c r="L203" s="33"/>
      <c r="M203" s="33"/>
      <c r="N203" s="33"/>
      <c r="O203" s="33"/>
      <c r="P203" s="33"/>
      <c r="Q203" s="33"/>
      <c r="R203" s="33"/>
      <c r="S203" s="33"/>
      <c r="T203" s="33"/>
      <c r="U203" s="33"/>
      <c r="V203" s="33"/>
      <c r="W203" s="33"/>
      <c r="X203" s="33"/>
      <c r="Y203" s="33"/>
      <c r="Z203" s="33"/>
      <c r="AA203" s="33"/>
      <c r="AB203" s="33"/>
      <c r="AC203" s="33"/>
      <c r="AD203" s="33"/>
      <c r="AE203" s="33"/>
      <c r="AF203" s="33"/>
      <c r="AG203" s="33"/>
      <c r="AH203" s="33"/>
      <c r="AI203" s="33"/>
      <c r="AJ203" s="33"/>
      <c r="AK203" s="33"/>
      <c r="AL203" s="33"/>
      <c r="AM203" s="33"/>
      <c r="AN203" s="33"/>
      <c r="AO203" s="33"/>
      <c r="AP203" s="33"/>
      <c r="AQ203" s="33"/>
      <c r="AR203" s="33"/>
      <c r="AS203" s="33"/>
      <c r="AT203" s="33"/>
      <c r="AU203" s="33"/>
      <c r="AV203" s="33"/>
      <c r="AW203" s="33"/>
      <c r="AX203" s="33"/>
      <c r="AY203" s="33"/>
      <c r="AZ203" s="33"/>
      <c r="BA203" s="33"/>
      <c r="BB203" s="33"/>
      <c r="BC203" s="33"/>
      <c r="BD203" s="33"/>
      <c r="BE203" s="33"/>
      <c r="BF203" s="33"/>
      <c r="BG203" s="33"/>
      <c r="BH203" s="33"/>
      <c r="BI203" s="33"/>
      <c r="BJ203" s="33"/>
      <c r="BK203" s="33"/>
      <c r="BL203" s="33"/>
      <c r="BM203" s="33"/>
      <c r="BN203" s="33"/>
    </row>
    <row r="204" spans="1:66" ht="25.5" customHeight="1">
      <c r="A204" s="58">
        <v>193</v>
      </c>
      <c r="B204" s="62" t="s">
        <v>2864</v>
      </c>
      <c r="C204" s="63" t="s">
        <v>2865</v>
      </c>
      <c r="D204" s="64" t="s">
        <v>2866</v>
      </c>
      <c r="E204" s="64">
        <v>21</v>
      </c>
      <c r="F204" s="65" t="s">
        <v>60</v>
      </c>
      <c r="G204" s="58"/>
      <c r="H204" s="30" t="s">
        <v>228</v>
      </c>
      <c r="I204" s="33"/>
      <c r="J204" s="33"/>
      <c r="K204" s="33"/>
      <c r="L204" s="33"/>
      <c r="M204" s="33"/>
      <c r="N204" s="33"/>
      <c r="O204" s="33"/>
      <c r="P204" s="33"/>
      <c r="Q204" s="33"/>
      <c r="R204" s="33"/>
      <c r="S204" s="33"/>
      <c r="T204" s="33"/>
      <c r="U204" s="33"/>
      <c r="V204" s="33"/>
      <c r="W204" s="33"/>
      <c r="X204" s="33"/>
      <c r="Y204" s="33"/>
      <c r="Z204" s="33"/>
      <c r="AA204" s="33"/>
      <c r="AB204" s="33"/>
      <c r="AC204" s="33"/>
      <c r="AD204" s="33"/>
      <c r="AE204" s="33"/>
      <c r="AF204" s="33"/>
      <c r="AG204" s="33"/>
      <c r="AH204" s="33"/>
      <c r="AI204" s="33"/>
      <c r="AJ204" s="33"/>
      <c r="AK204" s="33"/>
      <c r="AL204" s="33"/>
      <c r="AM204" s="33"/>
      <c r="AN204" s="33"/>
      <c r="AO204" s="33"/>
      <c r="AP204" s="33"/>
      <c r="AQ204" s="33"/>
      <c r="AR204" s="33"/>
      <c r="AS204" s="33"/>
      <c r="AT204" s="33"/>
      <c r="AU204" s="33"/>
      <c r="AV204" s="33"/>
      <c r="AW204" s="33"/>
      <c r="AX204" s="33"/>
      <c r="AY204" s="33"/>
      <c r="AZ204" s="33"/>
      <c r="BA204" s="33"/>
      <c r="BB204" s="33"/>
      <c r="BC204" s="33"/>
      <c r="BD204" s="33"/>
      <c r="BE204" s="33"/>
      <c r="BF204" s="33"/>
      <c r="BG204" s="33"/>
      <c r="BH204" s="33"/>
      <c r="BI204" s="33"/>
      <c r="BJ204" s="33"/>
      <c r="BK204" s="33"/>
      <c r="BL204" s="33"/>
      <c r="BM204" s="33"/>
      <c r="BN204" s="33"/>
    </row>
    <row r="205" spans="1:66" ht="25.5" customHeight="1">
      <c r="A205" s="58">
        <v>194</v>
      </c>
      <c r="B205" s="62" t="s">
        <v>2869</v>
      </c>
      <c r="C205" s="63" t="s">
        <v>2870</v>
      </c>
      <c r="D205" s="64" t="s">
        <v>2871</v>
      </c>
      <c r="E205" s="64">
        <v>23</v>
      </c>
      <c r="F205" s="65" t="s">
        <v>60</v>
      </c>
      <c r="G205" s="58"/>
      <c r="H205" s="30" t="s">
        <v>228</v>
      </c>
      <c r="I205" s="33"/>
      <c r="J205" s="33"/>
      <c r="K205" s="33"/>
      <c r="L205" s="33"/>
      <c r="M205" s="33"/>
      <c r="N205" s="33"/>
      <c r="O205" s="33"/>
      <c r="P205" s="33"/>
      <c r="Q205" s="33"/>
      <c r="R205" s="33"/>
      <c r="S205" s="33"/>
      <c r="T205" s="33"/>
      <c r="U205" s="33"/>
      <c r="V205" s="33"/>
      <c r="W205" s="33"/>
      <c r="X205" s="33"/>
      <c r="Y205" s="33"/>
      <c r="Z205" s="33"/>
      <c r="AA205" s="33"/>
      <c r="AB205" s="33"/>
      <c r="AC205" s="33"/>
      <c r="AD205" s="33"/>
      <c r="AE205" s="33"/>
      <c r="AF205" s="33"/>
      <c r="AG205" s="33"/>
      <c r="AH205" s="33"/>
      <c r="AI205" s="33"/>
      <c r="AJ205" s="33"/>
      <c r="AK205" s="33"/>
      <c r="AL205" s="33"/>
      <c r="AM205" s="33"/>
      <c r="AN205" s="33"/>
      <c r="AO205" s="33"/>
      <c r="AP205" s="33"/>
      <c r="AQ205" s="33"/>
      <c r="AR205" s="33"/>
      <c r="AS205" s="33"/>
      <c r="AT205" s="33"/>
      <c r="AU205" s="33"/>
      <c r="AV205" s="33"/>
      <c r="AW205" s="33"/>
      <c r="AX205" s="33"/>
      <c r="AY205" s="33"/>
      <c r="AZ205" s="33"/>
      <c r="BA205" s="33"/>
      <c r="BB205" s="33"/>
      <c r="BC205" s="33"/>
      <c r="BD205" s="33"/>
      <c r="BE205" s="33"/>
      <c r="BF205" s="33"/>
      <c r="BG205" s="33"/>
      <c r="BH205" s="33"/>
      <c r="BI205" s="33"/>
      <c r="BJ205" s="33"/>
      <c r="BK205" s="33"/>
      <c r="BL205" s="33"/>
      <c r="BM205" s="33"/>
      <c r="BN205" s="33"/>
    </row>
    <row r="206" spans="1:66" ht="25.5" customHeight="1">
      <c r="A206" s="58">
        <v>195</v>
      </c>
      <c r="B206" s="62" t="s">
        <v>2874</v>
      </c>
      <c r="C206" s="63" t="s">
        <v>2875</v>
      </c>
      <c r="D206" s="64" t="s">
        <v>2876</v>
      </c>
      <c r="E206" s="64">
        <v>22</v>
      </c>
      <c r="F206" s="65" t="s">
        <v>60</v>
      </c>
      <c r="G206" s="58"/>
      <c r="H206" s="30" t="s">
        <v>228</v>
      </c>
      <c r="I206" s="33"/>
      <c r="J206" s="33"/>
      <c r="K206" s="33"/>
      <c r="L206" s="33"/>
      <c r="M206" s="33"/>
      <c r="N206" s="33"/>
      <c r="O206" s="33"/>
      <c r="P206" s="33"/>
      <c r="Q206" s="33"/>
      <c r="R206" s="33"/>
      <c r="S206" s="33"/>
      <c r="T206" s="33"/>
      <c r="U206" s="33"/>
      <c r="V206" s="33"/>
      <c r="W206" s="33"/>
      <c r="X206" s="33"/>
      <c r="Y206" s="33"/>
      <c r="Z206" s="33"/>
      <c r="AA206" s="33"/>
      <c r="AB206" s="33"/>
      <c r="AC206" s="33"/>
      <c r="AD206" s="33"/>
      <c r="AE206" s="33"/>
      <c r="AF206" s="33"/>
      <c r="AG206" s="33"/>
      <c r="AH206" s="33"/>
      <c r="AI206" s="33"/>
      <c r="AJ206" s="33"/>
      <c r="AK206" s="33"/>
      <c r="AL206" s="33"/>
      <c r="AM206" s="33"/>
      <c r="AN206" s="33"/>
      <c r="AO206" s="33"/>
      <c r="AP206" s="33"/>
      <c r="AQ206" s="33"/>
      <c r="AR206" s="33"/>
      <c r="AS206" s="33"/>
      <c r="AT206" s="33"/>
      <c r="AU206" s="33"/>
      <c r="AV206" s="33"/>
      <c r="AW206" s="33"/>
      <c r="AX206" s="33"/>
      <c r="AY206" s="33"/>
      <c r="AZ206" s="33"/>
      <c r="BA206" s="33"/>
      <c r="BB206" s="33"/>
      <c r="BC206" s="33"/>
      <c r="BD206" s="33"/>
      <c r="BE206" s="33"/>
      <c r="BF206" s="33"/>
      <c r="BG206" s="33"/>
      <c r="BH206" s="33"/>
      <c r="BI206" s="33"/>
      <c r="BJ206" s="33"/>
      <c r="BK206" s="33"/>
      <c r="BL206" s="33"/>
      <c r="BM206" s="33"/>
      <c r="BN206" s="33"/>
    </row>
    <row r="207" spans="1:66" ht="25.5" customHeight="1">
      <c r="A207" s="58">
        <v>196</v>
      </c>
      <c r="B207" s="62" t="s">
        <v>2879</v>
      </c>
      <c r="C207" s="63" t="s">
        <v>2880</v>
      </c>
      <c r="D207" s="64" t="s">
        <v>2881</v>
      </c>
      <c r="E207" s="64">
        <v>24</v>
      </c>
      <c r="F207" s="65" t="s">
        <v>60</v>
      </c>
      <c r="G207" s="58"/>
      <c r="H207" s="30" t="s">
        <v>228</v>
      </c>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c r="AG207" s="33"/>
      <c r="AH207" s="33"/>
      <c r="AI207" s="33"/>
      <c r="AJ207" s="33"/>
      <c r="AK207" s="33"/>
      <c r="AL207" s="33"/>
      <c r="AM207" s="33"/>
      <c r="AN207" s="33"/>
      <c r="AO207" s="33"/>
      <c r="AP207" s="33"/>
      <c r="AQ207" s="33"/>
      <c r="AR207" s="33"/>
      <c r="AS207" s="33"/>
      <c r="AT207" s="33"/>
      <c r="AU207" s="33"/>
      <c r="AV207" s="33"/>
      <c r="AW207" s="33"/>
      <c r="AX207" s="33"/>
      <c r="AY207" s="33"/>
      <c r="AZ207" s="33"/>
      <c r="BA207" s="33"/>
      <c r="BB207" s="33"/>
      <c r="BC207" s="33"/>
      <c r="BD207" s="33"/>
      <c r="BE207" s="33"/>
      <c r="BF207" s="33"/>
      <c r="BG207" s="33"/>
      <c r="BH207" s="33"/>
      <c r="BI207" s="33"/>
      <c r="BJ207" s="33"/>
      <c r="BK207" s="33"/>
      <c r="BL207" s="33"/>
      <c r="BM207" s="33"/>
      <c r="BN207" s="33"/>
    </row>
    <row r="208" spans="1:66" ht="25.5" customHeight="1">
      <c r="A208" s="58">
        <v>197</v>
      </c>
      <c r="B208" s="62" t="s">
        <v>2884</v>
      </c>
      <c r="C208" s="63" t="s">
        <v>2885</v>
      </c>
      <c r="D208" s="64" t="s">
        <v>2886</v>
      </c>
      <c r="E208" s="64">
        <v>28</v>
      </c>
      <c r="F208" s="65" t="s">
        <v>60</v>
      </c>
      <c r="G208" s="58"/>
      <c r="H208" s="30" t="s">
        <v>228</v>
      </c>
      <c r="I208" s="33"/>
      <c r="J208" s="33"/>
      <c r="K208" s="33"/>
      <c r="L208" s="33"/>
      <c r="M208" s="33"/>
      <c r="N208" s="33"/>
      <c r="O208" s="33"/>
      <c r="P208" s="33"/>
      <c r="Q208" s="33"/>
      <c r="R208" s="33"/>
      <c r="S208" s="33"/>
      <c r="T208" s="33"/>
      <c r="U208" s="33"/>
      <c r="V208" s="33"/>
      <c r="W208" s="33"/>
      <c r="X208" s="33"/>
      <c r="Y208" s="33"/>
      <c r="Z208" s="33"/>
      <c r="AA208" s="33"/>
      <c r="AB208" s="33"/>
      <c r="AC208" s="33"/>
      <c r="AD208" s="33"/>
      <c r="AE208" s="33"/>
      <c r="AF208" s="33"/>
      <c r="AG208" s="33"/>
      <c r="AH208" s="33"/>
      <c r="AI208" s="33"/>
      <c r="AJ208" s="33"/>
      <c r="AK208" s="33"/>
      <c r="AL208" s="33"/>
      <c r="AM208" s="33"/>
      <c r="AN208" s="33"/>
      <c r="AO208" s="33"/>
      <c r="AP208" s="33"/>
      <c r="AQ208" s="33"/>
      <c r="AR208" s="33"/>
      <c r="AS208" s="33"/>
      <c r="AT208" s="33"/>
      <c r="AU208" s="33"/>
      <c r="AV208" s="33"/>
      <c r="AW208" s="33"/>
      <c r="AX208" s="33"/>
      <c r="AY208" s="33"/>
      <c r="AZ208" s="33"/>
      <c r="BA208" s="33"/>
      <c r="BB208" s="33"/>
      <c r="BC208" s="33"/>
      <c r="BD208" s="33"/>
      <c r="BE208" s="33"/>
      <c r="BF208" s="33"/>
      <c r="BG208" s="33"/>
      <c r="BH208" s="33"/>
      <c r="BI208" s="33"/>
      <c r="BJ208" s="33"/>
      <c r="BK208" s="33"/>
      <c r="BL208" s="33"/>
      <c r="BM208" s="33"/>
      <c r="BN208" s="33"/>
    </row>
    <row r="209" spans="1:66" ht="25.5" customHeight="1">
      <c r="A209" s="58">
        <v>198</v>
      </c>
      <c r="B209" s="62" t="s">
        <v>2889</v>
      </c>
      <c r="C209" s="63" t="s">
        <v>2890</v>
      </c>
      <c r="D209" s="64" t="s">
        <v>2891</v>
      </c>
      <c r="E209" s="64">
        <v>26</v>
      </c>
      <c r="F209" s="65" t="s">
        <v>60</v>
      </c>
      <c r="G209" s="58"/>
      <c r="H209" s="30" t="s">
        <v>228</v>
      </c>
      <c r="I209" s="33"/>
      <c r="J209" s="33"/>
      <c r="K209" s="33"/>
      <c r="L209" s="33"/>
      <c r="M209" s="33"/>
      <c r="N209" s="33"/>
      <c r="O209" s="33"/>
      <c r="P209" s="33"/>
      <c r="Q209" s="33"/>
      <c r="R209" s="33"/>
      <c r="S209" s="33"/>
      <c r="T209" s="33"/>
      <c r="U209" s="33"/>
      <c r="V209" s="33"/>
      <c r="W209" s="33"/>
      <c r="X209" s="33"/>
      <c r="Y209" s="33"/>
      <c r="Z209" s="33"/>
      <c r="AA209" s="33"/>
      <c r="AB209" s="33"/>
      <c r="AC209" s="33"/>
      <c r="AD209" s="33"/>
      <c r="AE209" s="33"/>
      <c r="AF209" s="33"/>
      <c r="AG209" s="33"/>
      <c r="AH209" s="33"/>
      <c r="AI209" s="33"/>
      <c r="AJ209" s="33"/>
      <c r="AK209" s="33"/>
      <c r="AL209" s="33"/>
      <c r="AM209" s="33"/>
      <c r="AN209" s="33"/>
      <c r="AO209" s="33"/>
      <c r="AP209" s="33"/>
      <c r="AQ209" s="33"/>
      <c r="AR209" s="33"/>
      <c r="AS209" s="33"/>
      <c r="AT209" s="33"/>
      <c r="AU209" s="33"/>
      <c r="AV209" s="33"/>
      <c r="AW209" s="33"/>
      <c r="AX209" s="33"/>
      <c r="AY209" s="33"/>
      <c r="AZ209" s="33"/>
      <c r="BA209" s="33"/>
      <c r="BB209" s="33"/>
      <c r="BC209" s="33"/>
      <c r="BD209" s="33"/>
      <c r="BE209" s="33"/>
      <c r="BF209" s="33"/>
      <c r="BG209" s="33"/>
      <c r="BH209" s="33"/>
      <c r="BI209" s="33"/>
      <c r="BJ209" s="33"/>
      <c r="BK209" s="33"/>
      <c r="BL209" s="33"/>
      <c r="BM209" s="33"/>
      <c r="BN209" s="33"/>
    </row>
    <row r="210" spans="1:66" ht="25.5" customHeight="1">
      <c r="A210" s="58">
        <v>199</v>
      </c>
      <c r="B210" s="62" t="s">
        <v>2894</v>
      </c>
      <c r="C210" s="63" t="s">
        <v>2895</v>
      </c>
      <c r="D210" s="64" t="s">
        <v>2896</v>
      </c>
      <c r="E210" s="64">
        <v>26</v>
      </c>
      <c r="F210" s="65" t="s">
        <v>60</v>
      </c>
      <c r="G210" s="58"/>
      <c r="H210" s="30" t="s">
        <v>228</v>
      </c>
      <c r="I210" s="33"/>
      <c r="J210" s="33"/>
      <c r="K210" s="33"/>
      <c r="L210" s="33"/>
      <c r="M210" s="33"/>
      <c r="N210" s="33"/>
      <c r="O210" s="33"/>
      <c r="P210" s="33"/>
      <c r="Q210" s="33"/>
      <c r="R210" s="33"/>
      <c r="S210" s="33"/>
      <c r="T210" s="33"/>
      <c r="U210" s="33"/>
      <c r="V210" s="33"/>
      <c r="W210" s="33"/>
      <c r="X210" s="33"/>
      <c r="Y210" s="33"/>
      <c r="Z210" s="33"/>
      <c r="AA210" s="33"/>
      <c r="AB210" s="33"/>
      <c r="AC210" s="33"/>
      <c r="AD210" s="33"/>
      <c r="AE210" s="33"/>
      <c r="AF210" s="33"/>
      <c r="AG210" s="33"/>
      <c r="AH210" s="33"/>
      <c r="AI210" s="33"/>
      <c r="AJ210" s="33"/>
      <c r="AK210" s="33"/>
      <c r="AL210" s="33"/>
      <c r="AM210" s="33"/>
      <c r="AN210" s="33"/>
      <c r="AO210" s="33"/>
      <c r="AP210" s="33"/>
      <c r="AQ210" s="33"/>
      <c r="AR210" s="33"/>
      <c r="AS210" s="33"/>
      <c r="AT210" s="33"/>
      <c r="AU210" s="33"/>
      <c r="AV210" s="33"/>
      <c r="AW210" s="33"/>
      <c r="AX210" s="33"/>
      <c r="AY210" s="33"/>
      <c r="AZ210" s="33"/>
      <c r="BA210" s="33"/>
      <c r="BB210" s="33"/>
      <c r="BC210" s="33"/>
      <c r="BD210" s="33"/>
      <c r="BE210" s="33"/>
      <c r="BF210" s="33"/>
      <c r="BG210" s="33"/>
      <c r="BH210" s="33"/>
      <c r="BI210" s="33"/>
      <c r="BJ210" s="33"/>
      <c r="BK210" s="33"/>
      <c r="BL210" s="33"/>
      <c r="BM210" s="33"/>
      <c r="BN210" s="33"/>
    </row>
    <row r="211" spans="1:66" ht="25.5" customHeight="1">
      <c r="A211" s="58">
        <v>200</v>
      </c>
      <c r="B211" s="62" t="s">
        <v>2899</v>
      </c>
      <c r="C211" s="63" t="s">
        <v>2900</v>
      </c>
      <c r="D211" s="64" t="s">
        <v>2901</v>
      </c>
      <c r="E211" s="64">
        <v>26</v>
      </c>
      <c r="F211" s="65" t="s">
        <v>60</v>
      </c>
      <c r="G211" s="58"/>
      <c r="H211" s="30" t="s">
        <v>228</v>
      </c>
      <c r="I211" s="33"/>
      <c r="J211" s="33"/>
      <c r="S211" s="33"/>
      <c r="T211" s="33"/>
      <c r="U211" s="33"/>
      <c r="V211" s="33"/>
      <c r="W211" s="33"/>
      <c r="X211" s="33"/>
      <c r="Y211" s="33"/>
      <c r="Z211" s="33"/>
      <c r="AA211" s="33"/>
      <c r="AB211" s="33"/>
      <c r="AC211" s="33"/>
      <c r="AD211" s="33"/>
      <c r="AE211" s="33"/>
      <c r="AF211" s="33"/>
      <c r="AG211" s="33"/>
      <c r="AH211" s="33"/>
      <c r="AI211" s="33"/>
      <c r="AJ211" s="33"/>
      <c r="AK211" s="33"/>
      <c r="AL211" s="33"/>
      <c r="AM211" s="33"/>
      <c r="AN211" s="33"/>
      <c r="AO211" s="33"/>
      <c r="AP211" s="33"/>
      <c r="AQ211" s="33"/>
      <c r="AR211" s="33"/>
      <c r="AS211" s="33"/>
      <c r="AT211" s="33"/>
      <c r="AU211" s="33"/>
      <c r="AV211" s="33"/>
      <c r="AW211" s="33"/>
      <c r="AX211" s="33"/>
      <c r="AY211" s="33"/>
      <c r="AZ211" s="33"/>
      <c r="BA211" s="33"/>
      <c r="BB211" s="33"/>
      <c r="BC211" s="33"/>
      <c r="BD211" s="33"/>
      <c r="BE211" s="33"/>
      <c r="BF211" s="33"/>
      <c r="BG211" s="33"/>
      <c r="BH211" s="33"/>
      <c r="BI211" s="33"/>
      <c r="BJ211" s="33"/>
      <c r="BK211" s="33"/>
      <c r="BL211" s="33"/>
      <c r="BM211" s="33"/>
      <c r="BN211" s="33"/>
    </row>
    <row r="212" spans="1:66" ht="25.5" customHeight="1">
      <c r="A212" s="58">
        <v>201</v>
      </c>
      <c r="B212" s="62" t="s">
        <v>2904</v>
      </c>
      <c r="C212" s="63" t="s">
        <v>2905</v>
      </c>
      <c r="D212" s="64" t="s">
        <v>2906</v>
      </c>
      <c r="E212" s="64">
        <v>30</v>
      </c>
      <c r="F212" s="65" t="s">
        <v>60</v>
      </c>
      <c r="G212" s="58"/>
      <c r="H212" s="30" t="s">
        <v>228</v>
      </c>
      <c r="I212" s="33"/>
      <c r="J212" s="33"/>
      <c r="S212" s="33"/>
      <c r="T212" s="33"/>
      <c r="U212" s="33"/>
      <c r="V212" s="33"/>
      <c r="W212" s="33"/>
      <c r="X212" s="33"/>
      <c r="Y212" s="33"/>
      <c r="Z212" s="33"/>
      <c r="AA212" s="33"/>
      <c r="AB212" s="33"/>
      <c r="AC212" s="33"/>
      <c r="AD212" s="33"/>
      <c r="AE212" s="33"/>
      <c r="AF212" s="33"/>
      <c r="AG212" s="33"/>
      <c r="AH212" s="33"/>
      <c r="AI212" s="33"/>
      <c r="AJ212" s="33"/>
      <c r="AK212" s="33"/>
      <c r="AL212" s="33"/>
      <c r="AM212" s="33"/>
      <c r="AN212" s="33"/>
      <c r="AO212" s="33"/>
      <c r="AP212" s="33"/>
      <c r="AQ212" s="33"/>
      <c r="AR212" s="33"/>
      <c r="AS212" s="33"/>
      <c r="AT212" s="33"/>
      <c r="AU212" s="33"/>
      <c r="AV212" s="33"/>
      <c r="AW212" s="33"/>
      <c r="AX212" s="33"/>
      <c r="AY212" s="33"/>
      <c r="AZ212" s="33"/>
      <c r="BA212" s="33"/>
      <c r="BB212" s="33"/>
      <c r="BC212" s="33"/>
      <c r="BD212" s="33"/>
      <c r="BE212" s="33"/>
      <c r="BF212" s="33"/>
      <c r="BG212" s="33"/>
      <c r="BH212" s="33"/>
      <c r="BI212" s="33"/>
      <c r="BJ212" s="33"/>
      <c r="BK212" s="33"/>
      <c r="BL212" s="33"/>
      <c r="BM212" s="33"/>
      <c r="BN212" s="33"/>
    </row>
    <row r="213" spans="1:66" ht="25.5" customHeight="1">
      <c r="A213" s="58">
        <v>202</v>
      </c>
      <c r="B213" s="62" t="s">
        <v>2909</v>
      </c>
      <c r="C213" s="63" t="s">
        <v>2910</v>
      </c>
      <c r="D213" s="64" t="s">
        <v>2911</v>
      </c>
      <c r="E213" s="64">
        <v>25</v>
      </c>
      <c r="F213" s="65" t="s">
        <v>60</v>
      </c>
      <c r="G213" s="58"/>
      <c r="H213" s="30" t="s">
        <v>228</v>
      </c>
      <c r="I213" s="33"/>
      <c r="J213" s="33"/>
      <c r="S213" s="33"/>
      <c r="T213" s="33"/>
      <c r="U213" s="33"/>
      <c r="V213" s="33"/>
      <c r="W213" s="33"/>
      <c r="X213" s="33"/>
      <c r="Y213" s="33"/>
      <c r="Z213" s="33"/>
      <c r="AA213" s="33"/>
      <c r="AB213" s="33"/>
      <c r="AC213" s="33"/>
      <c r="AD213" s="33"/>
      <c r="AE213" s="33"/>
      <c r="AF213" s="33"/>
      <c r="AG213" s="33"/>
      <c r="AH213" s="33"/>
      <c r="AI213" s="33"/>
      <c r="AJ213" s="33"/>
      <c r="AK213" s="33"/>
      <c r="AL213" s="33"/>
      <c r="AM213" s="33"/>
      <c r="AN213" s="33"/>
      <c r="AO213" s="33"/>
      <c r="AP213" s="33"/>
      <c r="AQ213" s="33"/>
      <c r="AR213" s="33"/>
      <c r="AS213" s="33"/>
      <c r="AT213" s="33"/>
      <c r="AU213" s="33"/>
      <c r="AV213" s="33"/>
      <c r="AW213" s="33"/>
      <c r="AX213" s="33"/>
      <c r="AY213" s="33"/>
      <c r="AZ213" s="33"/>
      <c r="BA213" s="33"/>
      <c r="BB213" s="33"/>
      <c r="BC213" s="33"/>
      <c r="BD213" s="33"/>
      <c r="BE213" s="33"/>
      <c r="BF213" s="33"/>
      <c r="BG213" s="33"/>
      <c r="BH213" s="33"/>
      <c r="BI213" s="33"/>
      <c r="BJ213" s="33"/>
      <c r="BK213" s="33"/>
      <c r="BL213" s="33"/>
      <c r="BM213" s="33"/>
      <c r="BN213" s="33"/>
    </row>
    <row r="214" spans="1:66" ht="25.5" customHeight="1">
      <c r="A214" s="58">
        <v>203</v>
      </c>
      <c r="B214" s="62" t="s">
        <v>2914</v>
      </c>
      <c r="C214" s="63" t="s">
        <v>2915</v>
      </c>
      <c r="D214" s="64" t="s">
        <v>2916</v>
      </c>
      <c r="E214" s="64">
        <v>25</v>
      </c>
      <c r="F214" s="65" t="s">
        <v>60</v>
      </c>
      <c r="G214" s="58"/>
      <c r="H214" s="30" t="s">
        <v>228</v>
      </c>
      <c r="I214" s="33"/>
      <c r="J214" s="33"/>
      <c r="S214" s="33"/>
      <c r="T214" s="33"/>
      <c r="U214" s="33"/>
      <c r="V214" s="33"/>
      <c r="W214" s="33"/>
      <c r="X214" s="33"/>
      <c r="Y214" s="33"/>
      <c r="Z214" s="33"/>
      <c r="AA214" s="33"/>
      <c r="AB214" s="33"/>
      <c r="AC214" s="33"/>
      <c r="AD214" s="33"/>
      <c r="AE214" s="33"/>
      <c r="AF214" s="33"/>
      <c r="AG214" s="33"/>
      <c r="AH214" s="33"/>
      <c r="AI214" s="33"/>
      <c r="AJ214" s="33"/>
      <c r="AK214" s="33"/>
      <c r="AL214" s="33"/>
      <c r="AM214" s="33"/>
      <c r="AN214" s="33"/>
      <c r="AO214" s="33"/>
      <c r="AP214" s="33"/>
      <c r="AQ214" s="33"/>
      <c r="AR214" s="33"/>
      <c r="AS214" s="33"/>
      <c r="AT214" s="33"/>
      <c r="AU214" s="33"/>
      <c r="AV214" s="33"/>
      <c r="AW214" s="33"/>
      <c r="AX214" s="33"/>
      <c r="AY214" s="33"/>
      <c r="AZ214" s="33"/>
      <c r="BA214" s="33"/>
      <c r="BB214" s="33"/>
      <c r="BC214" s="33"/>
      <c r="BD214" s="33"/>
      <c r="BE214" s="33"/>
      <c r="BF214" s="33"/>
      <c r="BG214" s="33"/>
      <c r="BH214" s="33"/>
      <c r="BI214" s="33"/>
      <c r="BJ214" s="33"/>
      <c r="BK214" s="33"/>
      <c r="BL214" s="33"/>
      <c r="BM214" s="33"/>
      <c r="BN214" s="33"/>
    </row>
    <row r="215" spans="1:66" ht="25.5" customHeight="1">
      <c r="A215" s="58">
        <v>204</v>
      </c>
      <c r="B215" s="62" t="s">
        <v>2919</v>
      </c>
      <c r="C215" s="63" t="s">
        <v>2920</v>
      </c>
      <c r="D215" s="64" t="s">
        <v>2921</v>
      </c>
      <c r="E215" s="64">
        <v>27</v>
      </c>
      <c r="F215" s="65" t="s">
        <v>60</v>
      </c>
      <c r="G215" s="58"/>
      <c r="H215" s="30" t="s">
        <v>228</v>
      </c>
      <c r="I215" s="33"/>
      <c r="J215" s="33"/>
      <c r="S215" s="33"/>
      <c r="T215" s="33"/>
      <c r="U215" s="33"/>
      <c r="V215" s="33"/>
      <c r="W215" s="33"/>
      <c r="X215" s="33"/>
      <c r="Y215" s="33"/>
      <c r="Z215" s="33"/>
      <c r="AA215" s="33"/>
      <c r="AB215" s="33"/>
      <c r="AC215" s="33"/>
      <c r="AD215" s="33"/>
      <c r="AE215" s="33"/>
      <c r="AF215" s="33"/>
      <c r="AG215" s="33"/>
      <c r="AH215" s="33"/>
      <c r="AI215" s="33"/>
      <c r="AJ215" s="33"/>
      <c r="AK215" s="33"/>
      <c r="AL215" s="33"/>
      <c r="AM215" s="33"/>
      <c r="AN215" s="33"/>
      <c r="AO215" s="33"/>
      <c r="AP215" s="33"/>
      <c r="AQ215" s="33"/>
      <c r="AR215" s="33"/>
      <c r="AS215" s="33"/>
      <c r="AT215" s="33"/>
      <c r="AU215" s="33"/>
      <c r="AV215" s="33"/>
      <c r="AW215" s="33"/>
      <c r="AX215" s="33"/>
      <c r="AY215" s="33"/>
      <c r="AZ215" s="33"/>
      <c r="BA215" s="33"/>
      <c r="BB215" s="33"/>
      <c r="BC215" s="33"/>
      <c r="BD215" s="33"/>
      <c r="BE215" s="33"/>
      <c r="BF215" s="33"/>
      <c r="BG215" s="33"/>
      <c r="BH215" s="33"/>
      <c r="BI215" s="33"/>
      <c r="BJ215" s="33"/>
      <c r="BK215" s="33"/>
      <c r="BL215" s="33"/>
      <c r="BM215" s="33"/>
      <c r="BN215" s="33"/>
    </row>
    <row r="216" spans="1:66" ht="25.5" customHeight="1">
      <c r="A216" s="58">
        <v>205</v>
      </c>
      <c r="B216" s="62" t="s">
        <v>2924</v>
      </c>
      <c r="C216" s="63" t="s">
        <v>2925</v>
      </c>
      <c r="D216" s="64" t="s">
        <v>2926</v>
      </c>
      <c r="E216" s="64">
        <v>29</v>
      </c>
      <c r="F216" s="65" t="s">
        <v>75</v>
      </c>
      <c r="G216" s="58"/>
      <c r="H216" s="30" t="s">
        <v>228</v>
      </c>
      <c r="I216" s="33"/>
      <c r="J216" s="33"/>
      <c r="S216" s="33"/>
      <c r="T216" s="33"/>
      <c r="U216" s="33"/>
      <c r="V216" s="33"/>
      <c r="W216" s="33"/>
      <c r="X216" s="33"/>
      <c r="Y216" s="33"/>
      <c r="Z216" s="33"/>
      <c r="AA216" s="33"/>
      <c r="AB216" s="33"/>
      <c r="AC216" s="33"/>
      <c r="AD216" s="33"/>
      <c r="AE216" s="33"/>
      <c r="AF216" s="33"/>
      <c r="AG216" s="33"/>
      <c r="AH216" s="33"/>
      <c r="AI216" s="33"/>
      <c r="AJ216" s="33"/>
      <c r="AK216" s="33"/>
      <c r="AL216" s="33"/>
      <c r="AM216" s="33"/>
      <c r="AN216" s="33"/>
      <c r="AO216" s="33"/>
      <c r="AP216" s="33"/>
      <c r="AQ216" s="33"/>
      <c r="AR216" s="33"/>
      <c r="AS216" s="33"/>
      <c r="AT216" s="33"/>
      <c r="AU216" s="33"/>
      <c r="AV216" s="33"/>
      <c r="AW216" s="33"/>
      <c r="AX216" s="33"/>
      <c r="AY216" s="33"/>
      <c r="AZ216" s="33"/>
      <c r="BA216" s="33"/>
      <c r="BB216" s="33"/>
      <c r="BC216" s="33"/>
      <c r="BD216" s="33"/>
      <c r="BE216" s="33"/>
      <c r="BF216" s="33"/>
      <c r="BG216" s="33"/>
      <c r="BH216" s="33"/>
      <c r="BI216" s="33"/>
      <c r="BJ216" s="33"/>
      <c r="BK216" s="33"/>
      <c r="BL216" s="33"/>
      <c r="BM216" s="33"/>
      <c r="BN216" s="33"/>
    </row>
    <row r="217" spans="1:66" ht="25.5" customHeight="1">
      <c r="A217" s="58">
        <v>206</v>
      </c>
      <c r="B217" s="62" t="s">
        <v>2929</v>
      </c>
      <c r="C217" s="63" t="s">
        <v>2930</v>
      </c>
      <c r="D217" s="64" t="s">
        <v>2931</v>
      </c>
      <c r="E217" s="64">
        <v>27</v>
      </c>
      <c r="F217" s="65" t="s">
        <v>75</v>
      </c>
      <c r="G217" s="58"/>
      <c r="H217" s="30" t="s">
        <v>228</v>
      </c>
      <c r="I217" s="33"/>
      <c r="J217" s="33"/>
      <c r="S217" s="33"/>
      <c r="T217" s="33"/>
      <c r="U217" s="33"/>
      <c r="V217" s="33"/>
      <c r="W217" s="33"/>
      <c r="X217" s="33"/>
      <c r="Y217" s="33"/>
      <c r="Z217" s="33"/>
      <c r="AA217" s="33"/>
      <c r="AB217" s="33"/>
      <c r="AC217" s="33"/>
      <c r="AD217" s="33"/>
      <c r="AE217" s="33"/>
      <c r="AF217" s="33"/>
      <c r="AG217" s="33"/>
      <c r="AH217" s="33"/>
      <c r="AI217" s="33"/>
      <c r="AJ217" s="33"/>
      <c r="AK217" s="33"/>
      <c r="AL217" s="33"/>
      <c r="AM217" s="33"/>
      <c r="AN217" s="33"/>
      <c r="AO217" s="33"/>
      <c r="AP217" s="33"/>
      <c r="AQ217" s="33"/>
      <c r="AR217" s="33"/>
      <c r="AS217" s="33"/>
      <c r="AT217" s="33"/>
      <c r="AU217" s="33"/>
      <c r="AV217" s="33"/>
      <c r="AW217" s="33"/>
      <c r="AX217" s="33"/>
      <c r="AY217" s="33"/>
      <c r="AZ217" s="33"/>
      <c r="BA217" s="33"/>
      <c r="BB217" s="33"/>
      <c r="BC217" s="33"/>
      <c r="BD217" s="33"/>
      <c r="BE217" s="33"/>
      <c r="BF217" s="33"/>
      <c r="BG217" s="33"/>
      <c r="BH217" s="33"/>
      <c r="BI217" s="33"/>
      <c r="BJ217" s="33"/>
      <c r="BK217" s="33"/>
      <c r="BL217" s="33"/>
      <c r="BM217" s="33"/>
      <c r="BN217" s="33"/>
    </row>
    <row r="218" spans="1:66" ht="25.5" customHeight="1">
      <c r="A218" s="58">
        <v>207</v>
      </c>
      <c r="B218" s="62">
        <v>0</v>
      </c>
      <c r="C218" s="63" t="s">
        <v>2934</v>
      </c>
      <c r="D218" s="64" t="s">
        <v>2935</v>
      </c>
      <c r="E218" s="64">
        <v>32</v>
      </c>
      <c r="F218" s="65" t="s">
        <v>60</v>
      </c>
      <c r="G218" s="58"/>
      <c r="H218" s="30" t="s">
        <v>2937</v>
      </c>
      <c r="I218" s="33"/>
      <c r="J218" s="33"/>
      <c r="S218" s="33"/>
      <c r="T218" s="33"/>
      <c r="U218" s="33"/>
      <c r="V218" s="33"/>
      <c r="W218" s="33"/>
      <c r="X218" s="33"/>
      <c r="Y218" s="33"/>
      <c r="Z218" s="33"/>
      <c r="AA218" s="33"/>
      <c r="AB218" s="33"/>
      <c r="AC218" s="33"/>
      <c r="AD218" s="33"/>
      <c r="AE218" s="33"/>
      <c r="AF218" s="33"/>
      <c r="AG218" s="33"/>
      <c r="AH218" s="33"/>
      <c r="AI218" s="33"/>
      <c r="AJ218" s="33"/>
      <c r="AK218" s="33"/>
      <c r="AL218" s="33"/>
      <c r="AM218" s="33"/>
      <c r="AN218" s="33"/>
      <c r="AO218" s="33"/>
      <c r="AP218" s="33"/>
      <c r="AQ218" s="33"/>
      <c r="AR218" s="33"/>
      <c r="AS218" s="33"/>
      <c r="AT218" s="33"/>
      <c r="AU218" s="33"/>
      <c r="AV218" s="33"/>
      <c r="AW218" s="33"/>
      <c r="AX218" s="33"/>
      <c r="AY218" s="33"/>
      <c r="AZ218" s="33"/>
      <c r="BA218" s="33"/>
      <c r="BB218" s="33"/>
      <c r="BC218" s="33"/>
      <c r="BD218" s="33"/>
      <c r="BE218" s="33"/>
      <c r="BF218" s="33"/>
      <c r="BG218" s="33"/>
      <c r="BH218" s="33"/>
      <c r="BI218" s="33"/>
      <c r="BJ218" s="33"/>
      <c r="BK218" s="33"/>
      <c r="BL218" s="33"/>
      <c r="BM218" s="33"/>
      <c r="BN218" s="33"/>
    </row>
    <row r="219" spans="1:66" ht="25.5" customHeight="1">
      <c r="A219" s="58">
        <v>208</v>
      </c>
      <c r="B219" s="62">
        <v>0</v>
      </c>
      <c r="C219" s="63" t="s">
        <v>2939</v>
      </c>
      <c r="D219" s="64" t="s">
        <v>2940</v>
      </c>
      <c r="E219" s="64">
        <v>31</v>
      </c>
      <c r="F219" s="65" t="s">
        <v>60</v>
      </c>
      <c r="G219" s="58"/>
      <c r="H219" s="30" t="s">
        <v>2942</v>
      </c>
      <c r="I219" s="33"/>
      <c r="J219" s="33"/>
      <c r="S219" s="33"/>
      <c r="T219" s="33"/>
      <c r="U219" s="33"/>
      <c r="V219" s="33"/>
      <c r="W219" s="33"/>
      <c r="X219" s="33"/>
      <c r="Y219" s="33"/>
      <c r="Z219" s="33"/>
      <c r="AA219" s="33"/>
      <c r="AB219" s="33"/>
      <c r="AC219" s="33"/>
      <c r="AD219" s="33"/>
      <c r="AE219" s="33"/>
      <c r="AF219" s="33"/>
      <c r="AG219" s="33"/>
      <c r="AH219" s="33"/>
      <c r="AI219" s="33"/>
      <c r="AJ219" s="33"/>
      <c r="AK219" s="33"/>
      <c r="AL219" s="33"/>
      <c r="AM219" s="33"/>
      <c r="AN219" s="33"/>
      <c r="AO219" s="33"/>
      <c r="AP219" s="33"/>
      <c r="AQ219" s="33"/>
      <c r="AR219" s="33"/>
      <c r="AS219" s="33"/>
      <c r="AT219" s="33"/>
      <c r="AU219" s="33"/>
      <c r="AV219" s="33"/>
      <c r="AW219" s="33"/>
      <c r="AX219" s="33"/>
      <c r="AY219" s="33"/>
      <c r="AZ219" s="33"/>
      <c r="BA219" s="33"/>
      <c r="BB219" s="33"/>
      <c r="BC219" s="33"/>
      <c r="BD219" s="33"/>
      <c r="BE219" s="33"/>
      <c r="BF219" s="33"/>
      <c r="BG219" s="33"/>
      <c r="BH219" s="33"/>
      <c r="BI219" s="33"/>
      <c r="BJ219" s="33"/>
      <c r="BK219" s="33"/>
      <c r="BL219" s="33"/>
      <c r="BM219" s="33"/>
      <c r="BN219" s="33"/>
    </row>
    <row r="220" spans="1:66" ht="25.5" customHeight="1">
      <c r="A220" s="58">
        <v>209</v>
      </c>
      <c r="B220" s="62">
        <v>0</v>
      </c>
      <c r="C220" s="63" t="s">
        <v>2944</v>
      </c>
      <c r="D220" s="64" t="s">
        <v>2945</v>
      </c>
      <c r="E220" s="64">
        <v>34</v>
      </c>
      <c r="F220" s="65" t="s">
        <v>60</v>
      </c>
      <c r="G220" s="58"/>
      <c r="H220" s="30" t="s">
        <v>2947</v>
      </c>
      <c r="I220" s="33"/>
      <c r="J220" s="33"/>
      <c r="S220" s="33"/>
      <c r="T220" s="33"/>
      <c r="U220" s="33"/>
      <c r="V220" s="33"/>
      <c r="W220" s="33"/>
      <c r="X220" s="33"/>
      <c r="Y220" s="33"/>
      <c r="Z220" s="33"/>
      <c r="AA220" s="33"/>
      <c r="AB220" s="33"/>
      <c r="AC220" s="33"/>
      <c r="AD220" s="33"/>
      <c r="AE220" s="33"/>
      <c r="AF220" s="33"/>
      <c r="AG220" s="33"/>
      <c r="AH220" s="33"/>
      <c r="AI220" s="33"/>
      <c r="AJ220" s="33"/>
      <c r="AK220" s="33"/>
      <c r="AL220" s="33"/>
      <c r="AM220" s="33"/>
      <c r="AN220" s="33"/>
      <c r="AO220" s="33"/>
      <c r="AP220" s="33"/>
      <c r="AQ220" s="33"/>
      <c r="AR220" s="33"/>
      <c r="AS220" s="33"/>
      <c r="AT220" s="33"/>
      <c r="AU220" s="33"/>
      <c r="AV220" s="33"/>
      <c r="AW220" s="33"/>
      <c r="AX220" s="33"/>
      <c r="AY220" s="33"/>
      <c r="AZ220" s="33"/>
      <c r="BA220" s="33"/>
      <c r="BB220" s="33"/>
      <c r="BC220" s="33"/>
      <c r="BD220" s="33"/>
      <c r="BE220" s="33"/>
      <c r="BF220" s="33"/>
      <c r="BG220" s="33"/>
      <c r="BH220" s="33"/>
      <c r="BI220" s="33"/>
      <c r="BJ220" s="33"/>
      <c r="BK220" s="33"/>
      <c r="BL220" s="33"/>
      <c r="BM220" s="33"/>
      <c r="BN220" s="33"/>
    </row>
    <row r="221" spans="1:66" ht="25.5" customHeight="1">
      <c r="A221" s="58">
        <v>210</v>
      </c>
      <c r="B221" s="62" t="s">
        <v>2949</v>
      </c>
      <c r="C221" s="63" t="s">
        <v>2950</v>
      </c>
      <c r="D221" s="64" t="s">
        <v>2951</v>
      </c>
      <c r="E221" s="64">
        <v>25</v>
      </c>
      <c r="F221" s="65" t="s">
        <v>75</v>
      </c>
      <c r="G221" s="58"/>
      <c r="H221" s="30" t="s">
        <v>228</v>
      </c>
      <c r="I221" s="33"/>
      <c r="J221" s="33"/>
      <c r="S221" s="33"/>
      <c r="T221" s="33"/>
      <c r="U221" s="33"/>
      <c r="V221" s="33"/>
      <c r="W221" s="33"/>
      <c r="X221" s="33"/>
      <c r="Y221" s="33"/>
      <c r="Z221" s="33"/>
      <c r="AA221" s="33"/>
      <c r="AB221" s="33"/>
      <c r="AC221" s="33"/>
      <c r="AD221" s="33"/>
      <c r="AE221" s="33"/>
      <c r="AF221" s="33"/>
      <c r="AG221" s="33"/>
      <c r="AH221" s="33"/>
      <c r="AI221" s="33"/>
      <c r="AJ221" s="33"/>
      <c r="AK221" s="33"/>
      <c r="AL221" s="33"/>
      <c r="AM221" s="33"/>
      <c r="AN221" s="33"/>
      <c r="AO221" s="33"/>
      <c r="AP221" s="33"/>
      <c r="AQ221" s="33"/>
      <c r="AR221" s="33"/>
      <c r="AS221" s="33"/>
      <c r="AT221" s="33"/>
      <c r="AU221" s="33"/>
      <c r="AV221" s="33"/>
      <c r="AW221" s="33"/>
      <c r="AX221" s="33"/>
      <c r="AY221" s="33"/>
      <c r="AZ221" s="33"/>
      <c r="BA221" s="33"/>
      <c r="BB221" s="33"/>
      <c r="BC221" s="33"/>
      <c r="BD221" s="33"/>
      <c r="BE221" s="33"/>
      <c r="BF221" s="33"/>
      <c r="BG221" s="33"/>
      <c r="BH221" s="33"/>
      <c r="BI221" s="33"/>
      <c r="BJ221" s="33"/>
      <c r="BK221" s="33"/>
      <c r="BL221" s="33"/>
      <c r="BM221" s="33"/>
      <c r="BN221" s="33"/>
    </row>
    <row r="222" spans="1:66" ht="25.5" customHeight="1">
      <c r="A222" s="58">
        <v>211</v>
      </c>
      <c r="B222" s="62">
        <v>0</v>
      </c>
      <c r="C222" s="63" t="s">
        <v>2954</v>
      </c>
      <c r="D222" s="64" t="s">
        <v>2955</v>
      </c>
      <c r="E222" s="64">
        <v>33</v>
      </c>
      <c r="F222" s="65" t="s">
        <v>60</v>
      </c>
      <c r="G222" s="58"/>
      <c r="H222" s="30" t="s">
        <v>2957</v>
      </c>
      <c r="I222" s="33"/>
      <c r="J222" s="33"/>
      <c r="S222" s="33"/>
      <c r="T222" s="33"/>
      <c r="U222" s="33"/>
      <c r="V222" s="33"/>
      <c r="W222" s="33"/>
      <c r="X222" s="33"/>
      <c r="Y222" s="33"/>
      <c r="Z222" s="33"/>
      <c r="AA222" s="33"/>
      <c r="AB222" s="33"/>
      <c r="AC222" s="33"/>
      <c r="AD222" s="33"/>
      <c r="AE222" s="33"/>
      <c r="AF222" s="33"/>
      <c r="AG222" s="33"/>
      <c r="AH222" s="33"/>
      <c r="AI222" s="33"/>
      <c r="AJ222" s="33"/>
      <c r="AK222" s="33"/>
      <c r="AL222" s="33"/>
      <c r="AM222" s="33"/>
      <c r="AN222" s="33"/>
      <c r="AO222" s="33"/>
      <c r="AP222" s="33"/>
      <c r="AQ222" s="33"/>
      <c r="AR222" s="33"/>
      <c r="AS222" s="33"/>
      <c r="AT222" s="33"/>
      <c r="AU222" s="33"/>
      <c r="AV222" s="33"/>
      <c r="AW222" s="33"/>
      <c r="AX222" s="33"/>
      <c r="AY222" s="33"/>
      <c r="AZ222" s="33"/>
      <c r="BA222" s="33"/>
      <c r="BB222" s="33"/>
      <c r="BC222" s="33"/>
      <c r="BD222" s="33"/>
      <c r="BE222" s="33"/>
      <c r="BF222" s="33"/>
      <c r="BG222" s="33"/>
      <c r="BH222" s="33"/>
      <c r="BI222" s="33"/>
      <c r="BJ222" s="33"/>
      <c r="BK222" s="33"/>
      <c r="BL222" s="33"/>
      <c r="BM222" s="33"/>
      <c r="BN222" s="33"/>
    </row>
    <row r="223" spans="1:66" ht="25.5" customHeight="1">
      <c r="A223" s="58">
        <v>212</v>
      </c>
      <c r="B223" s="62">
        <v>0</v>
      </c>
      <c r="C223" s="63" t="s">
        <v>2959</v>
      </c>
      <c r="D223" s="64" t="s">
        <v>2960</v>
      </c>
      <c r="E223" s="64">
        <v>32</v>
      </c>
      <c r="F223" s="65" t="s">
        <v>60</v>
      </c>
      <c r="G223" s="58"/>
      <c r="H223" s="30" t="s">
        <v>2962</v>
      </c>
      <c r="I223" s="33"/>
      <c r="J223" s="33"/>
      <c r="S223" s="33"/>
      <c r="T223" s="33"/>
      <c r="U223" s="33"/>
      <c r="V223" s="33"/>
      <c r="W223" s="33"/>
      <c r="X223" s="33"/>
      <c r="Y223" s="33"/>
      <c r="Z223" s="33"/>
      <c r="AA223" s="33"/>
      <c r="AB223" s="33"/>
      <c r="AC223" s="33"/>
      <c r="AD223" s="33"/>
      <c r="AE223" s="33"/>
      <c r="AF223" s="33"/>
      <c r="AG223" s="33"/>
      <c r="AH223" s="33"/>
      <c r="AI223" s="33"/>
      <c r="AJ223" s="33"/>
      <c r="AK223" s="33"/>
      <c r="AL223" s="33"/>
      <c r="AM223" s="33"/>
      <c r="AN223" s="33"/>
      <c r="AO223" s="33"/>
      <c r="AP223" s="33"/>
      <c r="AQ223" s="33"/>
      <c r="AR223" s="33"/>
      <c r="AS223" s="33"/>
      <c r="AT223" s="33"/>
      <c r="AU223" s="33"/>
      <c r="AV223" s="33"/>
      <c r="AW223" s="33"/>
      <c r="AX223" s="33"/>
      <c r="AY223" s="33"/>
      <c r="AZ223" s="33"/>
      <c r="BA223" s="33"/>
      <c r="BB223" s="33"/>
      <c r="BC223" s="33"/>
      <c r="BD223" s="33"/>
      <c r="BE223" s="33"/>
      <c r="BF223" s="33"/>
      <c r="BG223" s="33"/>
      <c r="BH223" s="33"/>
      <c r="BI223" s="33"/>
      <c r="BJ223" s="33"/>
      <c r="BK223" s="33"/>
      <c r="BL223" s="33"/>
      <c r="BM223" s="33"/>
      <c r="BN223" s="33"/>
    </row>
    <row r="224" spans="1:66" ht="25.5" customHeight="1">
      <c r="A224" s="58">
        <v>213</v>
      </c>
      <c r="B224" s="62">
        <v>0</v>
      </c>
      <c r="C224" s="63" t="s">
        <v>2964</v>
      </c>
      <c r="D224" s="64" t="s">
        <v>2965</v>
      </c>
      <c r="E224" s="64">
        <v>32</v>
      </c>
      <c r="F224" s="65" t="s">
        <v>60</v>
      </c>
      <c r="G224" s="58"/>
      <c r="H224" s="30" t="s">
        <v>2967</v>
      </c>
      <c r="I224" s="33"/>
      <c r="J224" s="33"/>
      <c r="S224" s="33"/>
      <c r="T224" s="33"/>
      <c r="U224" s="33"/>
      <c r="V224" s="33"/>
      <c r="W224" s="33"/>
      <c r="X224" s="33"/>
      <c r="Y224" s="33"/>
      <c r="Z224" s="33"/>
      <c r="AA224" s="33"/>
      <c r="AB224" s="33"/>
      <c r="AC224" s="33"/>
      <c r="AD224" s="33"/>
      <c r="AE224" s="33"/>
      <c r="AF224" s="33"/>
      <c r="AG224" s="33"/>
      <c r="AH224" s="33"/>
      <c r="AI224" s="33"/>
      <c r="AJ224" s="33"/>
      <c r="AK224" s="33"/>
      <c r="AL224" s="33"/>
      <c r="AM224" s="33"/>
      <c r="AN224" s="33"/>
      <c r="AO224" s="33"/>
      <c r="AP224" s="33"/>
      <c r="AQ224" s="33"/>
      <c r="AR224" s="33"/>
      <c r="AS224" s="33"/>
      <c r="AT224" s="33"/>
      <c r="AU224" s="33"/>
      <c r="AV224" s="33"/>
      <c r="AW224" s="33"/>
      <c r="AX224" s="33"/>
      <c r="AY224" s="33"/>
      <c r="AZ224" s="33"/>
      <c r="BA224" s="33"/>
      <c r="BB224" s="33"/>
      <c r="BC224" s="33"/>
      <c r="BD224" s="33"/>
      <c r="BE224" s="33"/>
      <c r="BF224" s="33"/>
      <c r="BG224" s="33"/>
      <c r="BH224" s="33"/>
      <c r="BI224" s="33"/>
      <c r="BJ224" s="33"/>
      <c r="BK224" s="33"/>
      <c r="BL224" s="33"/>
      <c r="BM224" s="33"/>
      <c r="BN224" s="33"/>
    </row>
    <row r="225" spans="1:66" ht="25.5" customHeight="1">
      <c r="A225" s="58">
        <v>214</v>
      </c>
      <c r="B225" s="62">
        <v>0</v>
      </c>
      <c r="C225" s="63" t="s">
        <v>2969</v>
      </c>
      <c r="D225" s="64" t="s">
        <v>2970</v>
      </c>
      <c r="E225" s="64">
        <v>35</v>
      </c>
      <c r="F225" s="65" t="s">
        <v>60</v>
      </c>
      <c r="G225" s="58"/>
      <c r="H225" s="30" t="s">
        <v>787</v>
      </c>
      <c r="I225" s="33"/>
      <c r="J225" s="33"/>
      <c r="S225" s="33"/>
      <c r="T225" s="33"/>
      <c r="U225" s="33"/>
      <c r="V225" s="33"/>
      <c r="W225" s="33"/>
      <c r="X225" s="33"/>
      <c r="Y225" s="33"/>
      <c r="Z225" s="33"/>
      <c r="AA225" s="33"/>
      <c r="AB225" s="33"/>
      <c r="AC225" s="33"/>
      <c r="AD225" s="33"/>
      <c r="AE225" s="33"/>
      <c r="AF225" s="33"/>
      <c r="AG225" s="33"/>
      <c r="AH225" s="33"/>
      <c r="AI225" s="33"/>
      <c r="AJ225" s="33"/>
      <c r="AK225" s="33"/>
      <c r="AL225" s="33"/>
      <c r="AM225" s="33"/>
      <c r="AN225" s="33"/>
      <c r="AO225" s="33"/>
      <c r="AP225" s="33"/>
      <c r="AQ225" s="33"/>
      <c r="AR225" s="33"/>
      <c r="AS225" s="33"/>
      <c r="AT225" s="33"/>
      <c r="AU225" s="33"/>
      <c r="AV225" s="33"/>
      <c r="AW225" s="33"/>
      <c r="AX225" s="33"/>
      <c r="AY225" s="33"/>
      <c r="AZ225" s="33"/>
      <c r="BA225" s="33"/>
      <c r="BB225" s="33"/>
      <c r="BC225" s="33"/>
      <c r="BD225" s="33"/>
      <c r="BE225" s="33"/>
      <c r="BF225" s="33"/>
      <c r="BG225" s="33"/>
      <c r="BH225" s="33"/>
      <c r="BI225" s="33"/>
      <c r="BJ225" s="33"/>
      <c r="BK225" s="33"/>
      <c r="BL225" s="33"/>
      <c r="BM225" s="33"/>
      <c r="BN225" s="33"/>
    </row>
    <row r="226" spans="1:66" ht="25.5" customHeight="1">
      <c r="A226" s="58">
        <v>215</v>
      </c>
      <c r="B226" s="62">
        <v>0</v>
      </c>
      <c r="C226" s="63" t="s">
        <v>2973</v>
      </c>
      <c r="D226" s="64" t="s">
        <v>2974</v>
      </c>
      <c r="E226" s="64">
        <v>31</v>
      </c>
      <c r="F226" s="65" t="s">
        <v>60</v>
      </c>
      <c r="G226" s="58"/>
      <c r="H226" s="30" t="s">
        <v>2976</v>
      </c>
      <c r="I226" s="33"/>
      <c r="J226" s="33"/>
      <c r="S226" s="33"/>
      <c r="T226" s="33"/>
      <c r="U226" s="33"/>
      <c r="V226" s="33"/>
      <c r="W226" s="33"/>
      <c r="X226" s="33"/>
      <c r="Y226" s="33"/>
      <c r="Z226" s="33"/>
      <c r="AA226" s="33"/>
      <c r="AB226" s="33"/>
      <c r="AC226" s="33"/>
      <c r="AD226" s="33"/>
      <c r="AE226" s="33"/>
      <c r="AF226" s="33"/>
      <c r="AG226" s="33"/>
      <c r="AH226" s="33"/>
      <c r="AI226" s="33"/>
      <c r="AJ226" s="33"/>
      <c r="AK226" s="33"/>
      <c r="AL226" s="33"/>
      <c r="AM226" s="33"/>
      <c r="AN226" s="33"/>
      <c r="AO226" s="33"/>
      <c r="AP226" s="33"/>
      <c r="AQ226" s="33"/>
      <c r="AR226" s="33"/>
      <c r="AS226" s="33"/>
      <c r="AT226" s="33"/>
      <c r="AU226" s="33"/>
      <c r="AV226" s="33"/>
      <c r="AW226" s="33"/>
      <c r="AX226" s="33"/>
      <c r="AY226" s="33"/>
      <c r="AZ226" s="33"/>
      <c r="BA226" s="33"/>
      <c r="BB226" s="33"/>
      <c r="BC226" s="33"/>
      <c r="BD226" s="33"/>
      <c r="BE226" s="33"/>
      <c r="BF226" s="33"/>
      <c r="BG226" s="33"/>
      <c r="BH226" s="33"/>
      <c r="BI226" s="33"/>
      <c r="BJ226" s="33"/>
      <c r="BK226" s="33"/>
      <c r="BL226" s="33"/>
      <c r="BM226" s="33"/>
      <c r="BN226" s="33"/>
    </row>
    <row r="227" spans="1:66" ht="25.5" customHeight="1">
      <c r="A227" s="58">
        <v>216</v>
      </c>
      <c r="B227" s="62">
        <v>0</v>
      </c>
      <c r="C227" s="63" t="s">
        <v>2978</v>
      </c>
      <c r="D227" s="64" t="s">
        <v>2979</v>
      </c>
      <c r="E227" s="64">
        <v>32</v>
      </c>
      <c r="F227" s="65" t="s">
        <v>60</v>
      </c>
      <c r="G227" s="58"/>
      <c r="H227" s="30" t="s">
        <v>2981</v>
      </c>
      <c r="I227" s="33"/>
      <c r="J227" s="33"/>
      <c r="S227" s="33"/>
      <c r="T227" s="33"/>
      <c r="U227" s="33"/>
      <c r="V227" s="33"/>
      <c r="W227" s="33"/>
      <c r="X227" s="33"/>
      <c r="Y227" s="33"/>
      <c r="Z227" s="33"/>
      <c r="AA227" s="33"/>
      <c r="AB227" s="33"/>
      <c r="AC227" s="33"/>
      <c r="AD227" s="33"/>
      <c r="AE227" s="33"/>
      <c r="AF227" s="33"/>
      <c r="AG227" s="33"/>
      <c r="AH227" s="33"/>
      <c r="AI227" s="33"/>
      <c r="AJ227" s="33"/>
      <c r="AK227" s="33"/>
      <c r="AL227" s="33"/>
      <c r="AM227" s="33"/>
      <c r="AN227" s="33"/>
      <c r="AO227" s="33"/>
      <c r="AP227" s="33"/>
      <c r="AQ227" s="33"/>
      <c r="AR227" s="33"/>
      <c r="AS227" s="33"/>
      <c r="AT227" s="33"/>
      <c r="AU227" s="33"/>
      <c r="AV227" s="33"/>
      <c r="AW227" s="33"/>
      <c r="AX227" s="33"/>
      <c r="AY227" s="33"/>
      <c r="AZ227" s="33"/>
      <c r="BA227" s="33"/>
      <c r="BB227" s="33"/>
      <c r="BC227" s="33"/>
      <c r="BD227" s="33"/>
      <c r="BE227" s="33"/>
      <c r="BF227" s="33"/>
      <c r="BG227" s="33"/>
      <c r="BH227" s="33"/>
      <c r="BI227" s="33"/>
      <c r="BJ227" s="33"/>
      <c r="BK227" s="33"/>
      <c r="BL227" s="33"/>
      <c r="BM227" s="33"/>
      <c r="BN227" s="33"/>
    </row>
    <row r="228" spans="1:66" ht="25.5" customHeight="1">
      <c r="A228" s="58">
        <v>217</v>
      </c>
      <c r="B228" s="62">
        <v>0</v>
      </c>
      <c r="C228" s="63" t="s">
        <v>2983</v>
      </c>
      <c r="D228" s="64" t="s">
        <v>2984</v>
      </c>
      <c r="E228" s="64">
        <v>34</v>
      </c>
      <c r="F228" s="65" t="s">
        <v>60</v>
      </c>
      <c r="G228" s="58"/>
      <c r="H228" s="30" t="s">
        <v>2986</v>
      </c>
      <c r="I228" s="33"/>
      <c r="J228" s="33"/>
      <c r="S228" s="33"/>
      <c r="T228" s="33"/>
      <c r="U228" s="33"/>
      <c r="V228" s="33"/>
      <c r="W228" s="33"/>
      <c r="X228" s="33"/>
      <c r="Y228" s="33"/>
      <c r="Z228" s="33"/>
      <c r="AA228" s="33"/>
      <c r="AB228" s="33"/>
      <c r="AC228" s="33"/>
      <c r="AD228" s="33"/>
      <c r="AE228" s="33"/>
      <c r="AF228" s="33"/>
      <c r="AG228" s="33"/>
      <c r="AH228" s="33"/>
      <c r="AI228" s="33"/>
      <c r="AJ228" s="33"/>
      <c r="AK228" s="33"/>
      <c r="AL228" s="33"/>
      <c r="AM228" s="33"/>
      <c r="AN228" s="33"/>
      <c r="AO228" s="33"/>
      <c r="AP228" s="33"/>
      <c r="AQ228" s="33"/>
      <c r="AR228" s="33"/>
      <c r="AS228" s="33"/>
      <c r="AT228" s="33"/>
      <c r="AU228" s="33"/>
      <c r="AV228" s="33"/>
      <c r="AW228" s="33"/>
      <c r="AX228" s="33"/>
      <c r="AY228" s="33"/>
      <c r="AZ228" s="33"/>
      <c r="BA228" s="33"/>
      <c r="BB228" s="33"/>
      <c r="BC228" s="33"/>
      <c r="BD228" s="33"/>
      <c r="BE228" s="33"/>
      <c r="BF228" s="33"/>
      <c r="BG228" s="33"/>
      <c r="BH228" s="33"/>
      <c r="BI228" s="33"/>
      <c r="BJ228" s="33"/>
      <c r="BK228" s="33"/>
      <c r="BL228" s="33"/>
      <c r="BM228" s="33"/>
      <c r="BN228" s="33"/>
    </row>
    <row r="229" spans="1:66" ht="25.5" customHeight="1">
      <c r="A229" s="58">
        <v>218</v>
      </c>
      <c r="B229" s="62" t="s">
        <v>2988</v>
      </c>
      <c r="C229" s="63" t="s">
        <v>2989</v>
      </c>
      <c r="D229" s="64" t="s">
        <v>2990</v>
      </c>
      <c r="E229" s="64">
        <v>19</v>
      </c>
      <c r="F229" s="65" t="s">
        <v>60</v>
      </c>
      <c r="G229" s="58"/>
      <c r="H229" s="30" t="s">
        <v>228</v>
      </c>
      <c r="I229" s="33"/>
      <c r="J229" s="33"/>
      <c r="S229" s="33"/>
      <c r="T229" s="33"/>
      <c r="U229" s="33"/>
      <c r="V229" s="33"/>
      <c r="W229" s="33"/>
      <c r="X229" s="33"/>
      <c r="Y229" s="33"/>
      <c r="Z229" s="33"/>
      <c r="AA229" s="33"/>
      <c r="AB229" s="33"/>
      <c r="AC229" s="33"/>
      <c r="AD229" s="33"/>
      <c r="AE229" s="33"/>
      <c r="AF229" s="33"/>
      <c r="AG229" s="33"/>
      <c r="AH229" s="33"/>
      <c r="AI229" s="33"/>
      <c r="AJ229" s="33"/>
      <c r="AK229" s="33"/>
      <c r="AL229" s="33"/>
      <c r="AM229" s="33"/>
      <c r="AN229" s="33"/>
      <c r="AO229" s="33"/>
      <c r="AP229" s="33"/>
      <c r="AQ229" s="33"/>
      <c r="AR229" s="33"/>
      <c r="AS229" s="33"/>
      <c r="AT229" s="33"/>
      <c r="AU229" s="33"/>
      <c r="AV229" s="33"/>
      <c r="AW229" s="33"/>
      <c r="AX229" s="33"/>
      <c r="AY229" s="33"/>
      <c r="AZ229" s="33"/>
      <c r="BA229" s="33"/>
      <c r="BB229" s="33"/>
      <c r="BC229" s="33"/>
      <c r="BD229" s="33"/>
      <c r="BE229" s="33"/>
      <c r="BF229" s="33"/>
      <c r="BG229" s="33"/>
      <c r="BH229" s="33"/>
      <c r="BI229" s="33"/>
      <c r="BJ229" s="33"/>
      <c r="BK229" s="33"/>
      <c r="BL229" s="33"/>
      <c r="BM229" s="33"/>
      <c r="BN229" s="33"/>
    </row>
    <row r="230" spans="1:66" ht="25.5" customHeight="1">
      <c r="A230" s="58">
        <v>219</v>
      </c>
      <c r="B230" s="62">
        <v>0</v>
      </c>
      <c r="C230" s="63" t="s">
        <v>2993</v>
      </c>
      <c r="D230" s="64" t="s">
        <v>2994</v>
      </c>
      <c r="E230" s="64">
        <v>50</v>
      </c>
      <c r="F230" s="65" t="s">
        <v>60</v>
      </c>
      <c r="G230" s="58"/>
      <c r="H230" s="30" t="s">
        <v>2996</v>
      </c>
      <c r="I230" s="33"/>
      <c r="J230" s="33"/>
      <c r="S230" s="33"/>
      <c r="T230" s="33"/>
      <c r="U230" s="33"/>
      <c r="V230" s="33"/>
      <c r="W230" s="33"/>
      <c r="X230" s="33"/>
      <c r="Y230" s="33"/>
      <c r="Z230" s="33"/>
      <c r="AA230" s="33"/>
      <c r="AB230" s="33"/>
      <c r="AC230" s="33"/>
      <c r="AD230" s="33"/>
      <c r="AE230" s="33"/>
      <c r="AF230" s="33"/>
      <c r="AG230" s="33"/>
      <c r="AH230" s="33"/>
      <c r="AI230" s="33"/>
      <c r="AJ230" s="33"/>
      <c r="AK230" s="33"/>
      <c r="AL230" s="33"/>
      <c r="AM230" s="33"/>
      <c r="AN230" s="33"/>
      <c r="AO230" s="33"/>
      <c r="AP230" s="33"/>
      <c r="AQ230" s="33"/>
      <c r="AR230" s="33"/>
      <c r="AS230" s="33"/>
      <c r="AT230" s="33"/>
      <c r="AU230" s="33"/>
      <c r="AV230" s="33"/>
      <c r="AW230" s="33"/>
      <c r="AX230" s="33"/>
      <c r="AY230" s="33"/>
      <c r="AZ230" s="33"/>
      <c r="BA230" s="33"/>
      <c r="BB230" s="33"/>
      <c r="BC230" s="33"/>
      <c r="BD230" s="33"/>
      <c r="BE230" s="33"/>
      <c r="BF230" s="33"/>
      <c r="BG230" s="33"/>
      <c r="BH230" s="33"/>
      <c r="BI230" s="33"/>
      <c r="BJ230" s="33"/>
      <c r="BK230" s="33"/>
      <c r="BL230" s="33"/>
      <c r="BM230" s="33"/>
      <c r="BN230" s="33"/>
    </row>
    <row r="231" spans="1:66" ht="25.5" customHeight="1">
      <c r="A231" s="58">
        <v>220</v>
      </c>
      <c r="B231" s="62">
        <v>0</v>
      </c>
      <c r="C231" s="63" t="s">
        <v>2998</v>
      </c>
      <c r="D231" s="64" t="s">
        <v>2999</v>
      </c>
      <c r="E231" s="64">
        <v>23</v>
      </c>
      <c r="F231" s="65" t="s">
        <v>60</v>
      </c>
      <c r="G231" s="58"/>
      <c r="H231" s="30" t="s">
        <v>3001</v>
      </c>
      <c r="I231" s="33"/>
      <c r="J231" s="33"/>
      <c r="S231" s="33"/>
      <c r="T231" s="33"/>
      <c r="U231" s="33"/>
      <c r="V231" s="33"/>
      <c r="W231" s="33"/>
      <c r="X231" s="33"/>
      <c r="Y231" s="33"/>
      <c r="Z231" s="33"/>
      <c r="AA231" s="33"/>
      <c r="AB231" s="33"/>
      <c r="AC231" s="33"/>
      <c r="AD231" s="33"/>
      <c r="AE231" s="33"/>
      <c r="AF231" s="33"/>
      <c r="AG231" s="33"/>
      <c r="AH231" s="33"/>
      <c r="AI231" s="33"/>
      <c r="AJ231" s="33"/>
      <c r="AK231" s="33"/>
      <c r="AL231" s="33"/>
      <c r="AM231" s="33"/>
      <c r="AN231" s="33"/>
      <c r="AO231" s="33"/>
      <c r="AP231" s="33"/>
      <c r="AQ231" s="33"/>
      <c r="AR231" s="33"/>
      <c r="AS231" s="33"/>
      <c r="AT231" s="33"/>
      <c r="AU231" s="33"/>
      <c r="AV231" s="33"/>
      <c r="AW231" s="33"/>
      <c r="AX231" s="33"/>
      <c r="AY231" s="33"/>
      <c r="AZ231" s="33"/>
      <c r="BA231" s="33"/>
      <c r="BB231" s="33"/>
      <c r="BC231" s="33"/>
      <c r="BD231" s="33"/>
      <c r="BE231" s="33"/>
      <c r="BF231" s="33"/>
      <c r="BG231" s="33"/>
      <c r="BH231" s="33"/>
      <c r="BI231" s="33"/>
      <c r="BJ231" s="33"/>
      <c r="BK231" s="33"/>
      <c r="BL231" s="33"/>
      <c r="BM231" s="33"/>
      <c r="BN231" s="33"/>
    </row>
    <row r="232" spans="1:66" ht="25.5" customHeight="1">
      <c r="A232" s="58">
        <v>221</v>
      </c>
      <c r="B232" s="62">
        <v>0</v>
      </c>
      <c r="C232" s="63" t="s">
        <v>3003</v>
      </c>
      <c r="D232" s="64" t="s">
        <v>3004</v>
      </c>
      <c r="E232" s="64">
        <v>18</v>
      </c>
      <c r="F232" s="65" t="s">
        <v>60</v>
      </c>
      <c r="G232" s="58"/>
      <c r="H232" s="30" t="s">
        <v>3006</v>
      </c>
      <c r="I232" s="33"/>
      <c r="J232" s="33"/>
      <c r="S232" s="33"/>
      <c r="T232" s="33"/>
      <c r="U232" s="33"/>
      <c r="V232" s="33"/>
      <c r="W232" s="33"/>
      <c r="X232" s="33"/>
      <c r="Y232" s="33"/>
      <c r="Z232" s="33"/>
      <c r="AA232" s="33"/>
      <c r="AB232" s="33"/>
      <c r="AC232" s="33"/>
      <c r="AD232" s="33"/>
      <c r="AE232" s="33"/>
      <c r="AF232" s="33"/>
      <c r="AG232" s="33"/>
      <c r="AH232" s="33"/>
      <c r="AI232" s="33"/>
      <c r="AJ232" s="33"/>
      <c r="AK232" s="33"/>
      <c r="AL232" s="33"/>
      <c r="AM232" s="33"/>
      <c r="AV232" s="33"/>
      <c r="AW232" s="33"/>
      <c r="AX232" s="33"/>
      <c r="AY232" s="33"/>
      <c r="AZ232" s="33"/>
      <c r="BA232" s="33"/>
      <c r="BB232" s="33"/>
      <c r="BC232" s="33"/>
      <c r="BD232" s="33"/>
      <c r="BE232" s="33"/>
      <c r="BF232" s="33"/>
      <c r="BG232" s="33"/>
      <c r="BH232" s="33"/>
      <c r="BI232" s="33"/>
      <c r="BJ232" s="33"/>
      <c r="BK232" s="33"/>
      <c r="BL232" s="33"/>
      <c r="BM232" s="33"/>
      <c r="BN232" s="33"/>
    </row>
    <row r="233" spans="1:66" ht="25.5" customHeight="1">
      <c r="A233" s="58">
        <v>222</v>
      </c>
      <c r="B233" s="62" t="s">
        <v>3008</v>
      </c>
      <c r="C233" s="63" t="s">
        <v>3009</v>
      </c>
      <c r="D233" s="64" t="s">
        <v>3010</v>
      </c>
      <c r="E233" s="64">
        <v>20</v>
      </c>
      <c r="F233" s="65" t="s">
        <v>75</v>
      </c>
      <c r="G233" s="58"/>
      <c r="H233" s="30" t="s">
        <v>228</v>
      </c>
      <c r="I233" s="33"/>
      <c r="J233" s="33"/>
      <c r="S233" s="33"/>
      <c r="T233" s="33"/>
      <c r="U233" s="33"/>
      <c r="V233" s="33"/>
      <c r="W233" s="33"/>
      <c r="X233" s="33"/>
      <c r="Y233" s="33"/>
      <c r="Z233" s="33"/>
      <c r="AA233" s="33"/>
      <c r="AB233" s="33"/>
      <c r="AC233" s="33"/>
      <c r="AD233" s="33"/>
      <c r="AE233" s="33"/>
      <c r="AF233" s="33"/>
      <c r="AG233" s="33"/>
      <c r="AH233" s="33"/>
      <c r="AI233" s="33"/>
      <c r="AJ233" s="33"/>
      <c r="AK233" s="33"/>
      <c r="AL233" s="33"/>
      <c r="AM233" s="33"/>
      <c r="AV233" s="33"/>
      <c r="AW233" s="33"/>
      <c r="AX233" s="33"/>
      <c r="AY233" s="33"/>
      <c r="AZ233" s="33"/>
      <c r="BA233" s="33"/>
      <c r="BB233" s="33"/>
      <c r="BC233" s="33"/>
      <c r="BD233" s="33"/>
      <c r="BE233" s="33"/>
      <c r="BF233" s="33"/>
      <c r="BG233" s="33"/>
      <c r="BH233" s="33"/>
      <c r="BI233" s="33"/>
      <c r="BJ233" s="33"/>
      <c r="BK233" s="33"/>
      <c r="BL233" s="33"/>
      <c r="BM233" s="33"/>
      <c r="BN233" s="33"/>
    </row>
    <row r="234" spans="1:66" ht="25.5" customHeight="1">
      <c r="A234" s="58">
        <v>223</v>
      </c>
      <c r="B234" s="62" t="s">
        <v>3013</v>
      </c>
      <c r="C234" s="63" t="s">
        <v>3014</v>
      </c>
      <c r="D234" s="64" t="s">
        <v>3015</v>
      </c>
      <c r="E234" s="64">
        <v>20</v>
      </c>
      <c r="F234" s="65" t="s">
        <v>75</v>
      </c>
      <c r="G234" s="58"/>
      <c r="H234" s="30" t="s">
        <v>228</v>
      </c>
      <c r="I234" s="33"/>
      <c r="J234" s="33"/>
      <c r="S234" s="33"/>
      <c r="T234" s="33"/>
      <c r="U234" s="33"/>
      <c r="V234" s="33"/>
      <c r="W234" s="33"/>
      <c r="X234" s="33"/>
      <c r="Y234" s="33"/>
      <c r="Z234" s="33"/>
      <c r="AA234" s="33"/>
      <c r="AB234" s="33"/>
      <c r="AC234" s="33"/>
      <c r="AD234" s="33"/>
      <c r="AE234" s="33"/>
      <c r="AF234" s="33"/>
      <c r="AG234" s="33"/>
      <c r="AH234" s="33"/>
      <c r="AI234" s="33"/>
      <c r="AJ234" s="33"/>
      <c r="AK234" s="33"/>
      <c r="AL234" s="33"/>
      <c r="AM234" s="33"/>
      <c r="AV234" s="33"/>
      <c r="AW234" s="33"/>
      <c r="AX234" s="33"/>
      <c r="AY234" s="33"/>
      <c r="AZ234" s="33"/>
      <c r="BA234" s="33"/>
      <c r="BB234" s="33"/>
      <c r="BC234" s="33"/>
      <c r="BD234" s="33"/>
      <c r="BE234" s="33"/>
      <c r="BF234" s="33"/>
      <c r="BG234" s="33"/>
      <c r="BH234" s="33"/>
      <c r="BI234" s="33"/>
      <c r="BJ234" s="33"/>
      <c r="BK234" s="33"/>
      <c r="BL234" s="33"/>
      <c r="BM234" s="33"/>
      <c r="BN234" s="33"/>
    </row>
    <row r="235" spans="1:66" ht="25.5" customHeight="1">
      <c r="A235" s="58">
        <v>224</v>
      </c>
      <c r="B235" s="62">
        <v>45</v>
      </c>
      <c r="C235" s="63" t="s">
        <v>3018</v>
      </c>
      <c r="D235" s="64" t="s">
        <v>3019</v>
      </c>
      <c r="E235" s="64">
        <v>56</v>
      </c>
      <c r="F235" s="65" t="s">
        <v>60</v>
      </c>
      <c r="G235" s="58"/>
      <c r="H235" s="30" t="s">
        <v>3021</v>
      </c>
      <c r="I235" s="33"/>
      <c r="J235" s="33"/>
      <c r="S235" s="33"/>
      <c r="T235" s="33"/>
      <c r="U235" s="33"/>
      <c r="V235" s="33"/>
      <c r="W235" s="33"/>
      <c r="X235" s="33"/>
      <c r="Y235" s="33"/>
      <c r="Z235" s="33"/>
      <c r="AA235" s="33"/>
      <c r="AB235" s="33"/>
      <c r="AC235" s="33"/>
      <c r="AD235" s="33"/>
      <c r="AE235" s="33"/>
      <c r="AF235" s="33"/>
      <c r="AG235" s="33"/>
      <c r="AH235" s="33"/>
      <c r="AI235" s="33"/>
      <c r="AJ235" s="33"/>
      <c r="AK235" s="33"/>
      <c r="AL235" s="33"/>
      <c r="AM235" s="33"/>
      <c r="AV235" s="33"/>
      <c r="AW235" s="33"/>
      <c r="AX235" s="33"/>
      <c r="AY235" s="33"/>
      <c r="AZ235" s="33"/>
      <c r="BA235" s="33"/>
      <c r="BB235" s="33"/>
      <c r="BC235" s="33"/>
      <c r="BD235" s="33"/>
      <c r="BE235" s="33"/>
      <c r="BF235" s="33"/>
      <c r="BG235" s="33"/>
      <c r="BH235" s="33"/>
      <c r="BI235" s="33"/>
      <c r="BJ235" s="33"/>
      <c r="BK235" s="33"/>
      <c r="BL235" s="33"/>
      <c r="BM235" s="33"/>
      <c r="BN235" s="33"/>
    </row>
    <row r="236" spans="1:66" ht="25.5" customHeight="1">
      <c r="A236" s="58">
        <v>225</v>
      </c>
      <c r="B236" s="62">
        <v>87</v>
      </c>
      <c r="C236" s="63" t="s">
        <v>3088</v>
      </c>
      <c r="D236" s="64" t="s">
        <v>3089</v>
      </c>
      <c r="E236" s="64">
        <v>65</v>
      </c>
      <c r="F236" s="65" t="s">
        <v>60</v>
      </c>
      <c r="G236" s="58"/>
      <c r="H236" s="30">
        <v>0</v>
      </c>
      <c r="I236" s="33"/>
      <c r="J236" s="33"/>
      <c r="S236" s="33"/>
      <c r="T236" s="33"/>
      <c r="U236" s="33"/>
      <c r="V236" s="33"/>
      <c r="W236" s="33"/>
      <c r="X236" s="33"/>
      <c r="Y236" s="33"/>
      <c r="Z236" s="33"/>
      <c r="AA236" s="33"/>
      <c r="AB236" s="33"/>
      <c r="AC236" s="33"/>
      <c r="AD236" s="33"/>
      <c r="AE236" s="33"/>
      <c r="AF236" s="33"/>
      <c r="AG236" s="33"/>
      <c r="AH236" s="33"/>
      <c r="AI236" s="33"/>
      <c r="AJ236" s="33"/>
      <c r="AK236" s="33"/>
      <c r="AL236" s="33"/>
      <c r="AM236" s="33"/>
      <c r="AV236" s="33"/>
      <c r="AW236" s="33"/>
      <c r="AX236" s="33"/>
      <c r="AY236" s="33"/>
      <c r="AZ236" s="33"/>
      <c r="BA236" s="33"/>
      <c r="BB236" s="33"/>
      <c r="BC236" s="33"/>
      <c r="BD236" s="33"/>
      <c r="BE236" s="33"/>
      <c r="BF236" s="33"/>
      <c r="BG236" s="33"/>
      <c r="BH236" s="33"/>
      <c r="BI236" s="33"/>
      <c r="BJ236" s="33"/>
      <c r="BK236" s="33"/>
      <c r="BL236" s="33"/>
      <c r="BM236" s="33"/>
      <c r="BN236" s="33"/>
    </row>
    <row r="237" spans="1:66" ht="25.5" customHeight="1">
      <c r="A237" s="58">
        <v>226</v>
      </c>
      <c r="B237" s="62">
        <v>156</v>
      </c>
      <c r="C237" s="63" t="s">
        <v>3093</v>
      </c>
      <c r="D237" s="64" t="s">
        <v>3094</v>
      </c>
      <c r="E237" s="64">
        <v>50</v>
      </c>
      <c r="F237" s="65" t="s">
        <v>60</v>
      </c>
      <c r="G237" s="58"/>
      <c r="H237" s="30" t="s">
        <v>228</v>
      </c>
      <c r="I237" s="33"/>
      <c r="J237" s="33"/>
      <c r="S237" s="33"/>
      <c r="T237" s="33"/>
      <c r="U237" s="33"/>
      <c r="V237" s="33"/>
      <c r="W237" s="33"/>
      <c r="X237" s="33"/>
      <c r="Y237" s="33"/>
      <c r="Z237" s="33"/>
      <c r="AA237" s="33"/>
      <c r="AB237" s="33"/>
      <c r="AC237" s="33"/>
      <c r="AD237" s="33"/>
      <c r="AE237" s="33"/>
      <c r="AF237" s="33"/>
      <c r="AG237" s="33"/>
      <c r="AH237" s="33"/>
      <c r="AI237" s="33"/>
      <c r="AJ237" s="33"/>
      <c r="AK237" s="33"/>
      <c r="AL237" s="33"/>
      <c r="AM237" s="33"/>
      <c r="AV237" s="33"/>
      <c r="AW237" s="33"/>
      <c r="AX237" s="33"/>
      <c r="AY237" s="33"/>
      <c r="AZ237" s="33"/>
      <c r="BA237" s="33"/>
      <c r="BB237" s="33"/>
      <c r="BC237" s="33"/>
      <c r="BD237" s="33"/>
      <c r="BE237" s="33"/>
      <c r="BF237" s="33"/>
      <c r="BG237" s="33"/>
      <c r="BH237" s="33"/>
      <c r="BI237" s="33"/>
      <c r="BJ237" s="33"/>
      <c r="BK237" s="33"/>
      <c r="BL237" s="33"/>
      <c r="BM237" s="33"/>
      <c r="BN237" s="33"/>
    </row>
    <row r="238" spans="1:66" ht="25.5" customHeight="1">
      <c r="A238" s="58">
        <v>227</v>
      </c>
      <c r="B238" s="62">
        <v>0</v>
      </c>
      <c r="C238" s="63" t="s">
        <v>3098</v>
      </c>
      <c r="D238" s="64" t="s">
        <v>3099</v>
      </c>
      <c r="E238" s="64">
        <v>64</v>
      </c>
      <c r="F238" s="65" t="s">
        <v>75</v>
      </c>
      <c r="G238" s="58"/>
      <c r="H238" s="30" t="s">
        <v>228</v>
      </c>
      <c r="I238" s="33"/>
      <c r="J238" s="33"/>
      <c r="S238" s="33"/>
      <c r="T238" s="33"/>
      <c r="U238" s="33"/>
      <c r="V238" s="33"/>
      <c r="W238" s="33"/>
      <c r="X238" s="33"/>
      <c r="Y238" s="33"/>
      <c r="Z238" s="33"/>
      <c r="AA238" s="33"/>
      <c r="AB238" s="33"/>
      <c r="AC238" s="33"/>
      <c r="AD238" s="33"/>
      <c r="AE238" s="33"/>
      <c r="AF238" s="33"/>
      <c r="AG238" s="33"/>
      <c r="AH238" s="33"/>
      <c r="AI238" s="33"/>
      <c r="AJ238" s="33"/>
      <c r="AK238" s="33"/>
      <c r="AL238" s="33"/>
      <c r="AM238" s="33"/>
      <c r="AV238" s="33"/>
      <c r="AW238" s="33"/>
      <c r="AX238" s="33"/>
      <c r="AY238" s="33"/>
      <c r="AZ238" s="33"/>
      <c r="BA238" s="33"/>
      <c r="BB238" s="33"/>
      <c r="BC238" s="33"/>
      <c r="BD238" s="33"/>
      <c r="BE238" s="33"/>
      <c r="BF238" s="33"/>
      <c r="BG238" s="33"/>
      <c r="BH238" s="33"/>
      <c r="BI238" s="33"/>
      <c r="BJ238" s="33"/>
      <c r="BK238" s="33"/>
      <c r="BL238" s="33"/>
      <c r="BM238" s="33"/>
      <c r="BN238" s="33"/>
    </row>
    <row r="239" spans="1:66" ht="25.5" customHeight="1">
      <c r="A239" s="58">
        <v>228</v>
      </c>
      <c r="B239" s="62">
        <v>0</v>
      </c>
      <c r="C239" s="63" t="s">
        <v>3102</v>
      </c>
      <c r="D239" s="64" t="s">
        <v>3103</v>
      </c>
      <c r="E239" s="64">
        <v>65</v>
      </c>
      <c r="F239" s="65" t="s">
        <v>75</v>
      </c>
      <c r="G239" s="58"/>
      <c r="H239" s="30" t="s">
        <v>3105</v>
      </c>
      <c r="I239" s="33"/>
      <c r="J239" s="33"/>
      <c r="S239" s="33"/>
      <c r="T239" s="33"/>
      <c r="U239" s="33"/>
      <c r="V239" s="33"/>
      <c r="W239" s="33"/>
      <c r="X239" s="33"/>
      <c r="Y239" s="33"/>
      <c r="Z239" s="33"/>
      <c r="AA239" s="33"/>
      <c r="AB239" s="33"/>
      <c r="AC239" s="33"/>
      <c r="AD239" s="33"/>
      <c r="AE239" s="33"/>
      <c r="AF239" s="33"/>
      <c r="AG239" s="33"/>
      <c r="AH239" s="33"/>
      <c r="AI239" s="33"/>
      <c r="AJ239" s="33"/>
      <c r="AK239" s="33"/>
      <c r="AL239" s="33"/>
      <c r="AM239" s="33"/>
      <c r="AV239" s="33"/>
      <c r="AW239" s="33"/>
      <c r="AX239" s="33"/>
      <c r="AY239" s="33"/>
      <c r="AZ239" s="33"/>
      <c r="BA239" s="33"/>
      <c r="BB239" s="33"/>
      <c r="BC239" s="33"/>
      <c r="BD239" s="33"/>
      <c r="BE239" s="33"/>
      <c r="BF239" s="33"/>
      <c r="BG239" s="33"/>
      <c r="BH239" s="33"/>
      <c r="BI239" s="33"/>
      <c r="BJ239" s="33"/>
      <c r="BK239" s="33"/>
      <c r="BL239" s="33"/>
      <c r="BM239" s="33"/>
      <c r="BN239" s="33"/>
    </row>
    <row r="240" spans="1:66" ht="25.5" customHeight="1">
      <c r="A240" s="58">
        <v>229</v>
      </c>
      <c r="B240" s="62" t="s">
        <v>3107</v>
      </c>
      <c r="C240" s="63" t="s">
        <v>3108</v>
      </c>
      <c r="D240" s="64" t="s">
        <v>3109</v>
      </c>
      <c r="E240" s="64">
        <v>34</v>
      </c>
      <c r="F240" s="65" t="s">
        <v>75</v>
      </c>
      <c r="G240" s="58"/>
      <c r="H240" s="30" t="s">
        <v>228</v>
      </c>
      <c r="I240" s="33"/>
      <c r="J240" s="33"/>
      <c r="S240" s="33"/>
      <c r="T240" s="33"/>
      <c r="U240" s="33"/>
      <c r="V240" s="33"/>
      <c r="W240" s="33"/>
      <c r="X240" s="33"/>
      <c r="Y240" s="33"/>
      <c r="Z240" s="33"/>
      <c r="AA240" s="33"/>
      <c r="AB240" s="33"/>
      <c r="AC240" s="33"/>
      <c r="AD240" s="33"/>
      <c r="AE240" s="33"/>
      <c r="AF240" s="33"/>
      <c r="AG240" s="33"/>
      <c r="AH240" s="33"/>
      <c r="AI240" s="33"/>
      <c r="AJ240" s="33"/>
      <c r="AK240" s="33"/>
      <c r="AL240" s="33"/>
      <c r="AM240" s="33"/>
      <c r="AV240" s="33"/>
      <c r="AW240" s="33"/>
      <c r="AX240" s="33"/>
      <c r="AY240" s="33"/>
      <c r="AZ240" s="33"/>
      <c r="BA240" s="33"/>
      <c r="BB240" s="33"/>
      <c r="BC240" s="33"/>
      <c r="BD240" s="33"/>
      <c r="BE240" s="33"/>
      <c r="BF240" s="33"/>
      <c r="BG240" s="33"/>
      <c r="BH240" s="33"/>
      <c r="BI240" s="33"/>
      <c r="BJ240" s="33"/>
      <c r="BK240" s="33"/>
      <c r="BL240" s="33"/>
      <c r="BM240" s="33"/>
      <c r="BN240" s="33"/>
    </row>
    <row r="241" spans="1:66" ht="25.5" customHeight="1">
      <c r="A241" s="58">
        <v>230</v>
      </c>
      <c r="B241" s="62">
        <v>0</v>
      </c>
      <c r="C241" s="63" t="s">
        <v>3112</v>
      </c>
      <c r="D241" s="64" t="s">
        <v>3113</v>
      </c>
      <c r="E241" s="64">
        <v>57</v>
      </c>
      <c r="F241" s="65" t="s">
        <v>60</v>
      </c>
      <c r="G241" s="58"/>
      <c r="H241" s="30" t="s">
        <v>3115</v>
      </c>
      <c r="I241" s="33"/>
      <c r="J241" s="33"/>
      <c r="S241" s="33"/>
      <c r="T241" s="33"/>
      <c r="U241" s="33"/>
      <c r="V241" s="33"/>
      <c r="W241" s="33"/>
      <c r="X241" s="33"/>
      <c r="Y241" s="33"/>
      <c r="Z241" s="33"/>
      <c r="AA241" s="33"/>
      <c r="AB241" s="33"/>
      <c r="AC241" s="33"/>
      <c r="AD241" s="33"/>
      <c r="AE241" s="33"/>
      <c r="AF241" s="33"/>
      <c r="AG241" s="33"/>
      <c r="AH241" s="33"/>
      <c r="AI241" s="33"/>
      <c r="AJ241" s="33"/>
      <c r="AK241" s="33"/>
      <c r="AL241" s="33"/>
      <c r="AM241" s="33"/>
      <c r="AV241" s="33"/>
      <c r="AW241" s="33"/>
      <c r="AX241" s="33"/>
      <c r="AY241" s="33"/>
      <c r="AZ241" s="33"/>
      <c r="BA241" s="33"/>
      <c r="BB241" s="33"/>
      <c r="BC241" s="33"/>
      <c r="BD241" s="33"/>
      <c r="BE241" s="33"/>
      <c r="BF241" s="33"/>
      <c r="BG241" s="33"/>
      <c r="BH241" s="33"/>
      <c r="BI241" s="33"/>
      <c r="BJ241" s="33"/>
      <c r="BK241" s="33"/>
      <c r="BL241" s="33"/>
      <c r="BM241" s="33"/>
      <c r="BN241" s="33"/>
    </row>
    <row r="242" spans="1:66" ht="25.5" customHeight="1">
      <c r="A242" s="58">
        <v>231</v>
      </c>
      <c r="B242" s="62">
        <v>0</v>
      </c>
      <c r="C242" s="63" t="s">
        <v>3117</v>
      </c>
      <c r="D242" s="64" t="s">
        <v>3118</v>
      </c>
      <c r="E242" s="64">
        <v>52</v>
      </c>
      <c r="F242" s="65" t="s">
        <v>75</v>
      </c>
      <c r="G242" s="58"/>
      <c r="H242" s="30" t="s">
        <v>3120</v>
      </c>
      <c r="I242" s="33"/>
      <c r="J242" s="33"/>
      <c r="S242" s="33"/>
      <c r="T242" s="33"/>
      <c r="U242" s="33"/>
      <c r="V242" s="33"/>
      <c r="W242" s="33"/>
      <c r="X242" s="33"/>
      <c r="Y242" s="33"/>
      <c r="Z242" s="33"/>
      <c r="AA242" s="33"/>
      <c r="AB242" s="33"/>
      <c r="AC242" s="33"/>
      <c r="AD242" s="33"/>
      <c r="AE242" s="33"/>
      <c r="AF242" s="33"/>
      <c r="AG242" s="33"/>
      <c r="AH242" s="33"/>
      <c r="AI242" s="33"/>
      <c r="AJ242" s="33"/>
      <c r="AK242" s="33"/>
      <c r="AL242" s="33"/>
      <c r="AM242" s="33"/>
      <c r="AV242" s="33"/>
      <c r="AW242" s="33"/>
      <c r="AX242" s="33"/>
      <c r="AY242" s="33"/>
      <c r="AZ242" s="33"/>
      <c r="BA242" s="33"/>
      <c r="BB242" s="33"/>
      <c r="BC242" s="33"/>
      <c r="BD242" s="33"/>
      <c r="BE242" s="33"/>
      <c r="BF242" s="33"/>
      <c r="BG242" s="33"/>
      <c r="BH242" s="33"/>
      <c r="BI242" s="33"/>
      <c r="BJ242" s="33"/>
      <c r="BK242" s="33"/>
      <c r="BL242" s="33"/>
      <c r="BM242" s="33"/>
      <c r="BN242" s="33"/>
    </row>
    <row r="243" spans="1:66" ht="25.5" customHeight="1">
      <c r="A243" s="58">
        <v>232</v>
      </c>
      <c r="B243" s="62">
        <v>0</v>
      </c>
      <c r="C243" s="63" t="s">
        <v>3122</v>
      </c>
      <c r="D243" s="64" t="s">
        <v>3123</v>
      </c>
      <c r="E243" s="64">
        <v>45</v>
      </c>
      <c r="F243" s="65" t="s">
        <v>75</v>
      </c>
      <c r="G243" s="58"/>
      <c r="H243" s="30" t="s">
        <v>3125</v>
      </c>
      <c r="I243" s="33"/>
      <c r="J243" s="33"/>
      <c r="S243" s="33"/>
      <c r="T243" s="33"/>
      <c r="U243" s="33"/>
      <c r="V243" s="33"/>
      <c r="W243" s="33"/>
      <c r="X243" s="33"/>
      <c r="Y243" s="33"/>
      <c r="Z243" s="33"/>
      <c r="AA243" s="33"/>
      <c r="AB243" s="33"/>
      <c r="AC243" s="33"/>
      <c r="AD243" s="33"/>
      <c r="AE243" s="33"/>
      <c r="AF243" s="33"/>
      <c r="AG243" s="33"/>
      <c r="AH243" s="33"/>
      <c r="AI243" s="33"/>
      <c r="AJ243" s="33"/>
      <c r="AK243" s="33"/>
      <c r="AL243" s="33"/>
      <c r="AM243" s="33"/>
      <c r="AV243" s="33"/>
      <c r="AW243" s="33"/>
      <c r="AX243" s="33"/>
      <c r="AY243" s="33"/>
      <c r="AZ243" s="33"/>
      <c r="BA243" s="33"/>
      <c r="BB243" s="33"/>
      <c r="BC243" s="33"/>
      <c r="BD243" s="33"/>
      <c r="BE243" s="33"/>
      <c r="BF243" s="33"/>
      <c r="BG243" s="33"/>
      <c r="BH243" s="33"/>
      <c r="BI243" s="33"/>
      <c r="BJ243" s="33"/>
      <c r="BK243" s="33"/>
      <c r="BL243" s="33"/>
      <c r="BM243" s="33"/>
      <c r="BN243" s="33"/>
    </row>
    <row r="244" spans="1:66" ht="25.5" customHeight="1">
      <c r="A244" s="58">
        <v>233</v>
      </c>
      <c r="B244" s="62">
        <v>0</v>
      </c>
      <c r="C244" s="63" t="s">
        <v>3127</v>
      </c>
      <c r="D244" s="64" t="s">
        <v>3128</v>
      </c>
      <c r="E244" s="64">
        <v>73</v>
      </c>
      <c r="F244" s="65" t="s">
        <v>60</v>
      </c>
      <c r="G244" s="58"/>
      <c r="H244" s="30" t="s">
        <v>3130</v>
      </c>
      <c r="I244" s="33"/>
      <c r="J244" s="33"/>
      <c r="S244" s="33"/>
      <c r="T244" s="33"/>
      <c r="U244" s="33"/>
      <c r="V244" s="33"/>
      <c r="W244" s="33"/>
      <c r="X244" s="33"/>
      <c r="Y244" s="33"/>
      <c r="Z244" s="33"/>
      <c r="AA244" s="33"/>
      <c r="AB244" s="33"/>
      <c r="AC244" s="33"/>
      <c r="AD244" s="33"/>
      <c r="AE244" s="33"/>
      <c r="AF244" s="33"/>
      <c r="AG244" s="33"/>
      <c r="AH244" s="33"/>
      <c r="AI244" s="33"/>
      <c r="AJ244" s="33"/>
      <c r="AK244" s="33"/>
      <c r="AL244" s="33"/>
      <c r="AM244" s="33"/>
      <c r="AV244" s="33"/>
      <c r="AW244" s="33"/>
      <c r="AX244" s="33"/>
      <c r="AY244" s="33"/>
      <c r="AZ244" s="33"/>
      <c r="BA244" s="33"/>
      <c r="BB244" s="33"/>
      <c r="BC244" s="33"/>
      <c r="BD244" s="33"/>
      <c r="BE244" s="33"/>
      <c r="BF244" s="33"/>
      <c r="BG244" s="33"/>
      <c r="BH244" s="33"/>
      <c r="BI244" s="33"/>
      <c r="BJ244" s="33"/>
      <c r="BK244" s="33"/>
      <c r="BL244" s="33"/>
      <c r="BM244" s="33"/>
      <c r="BN244" s="33"/>
    </row>
    <row r="245" spans="1:66" ht="25.5" customHeight="1">
      <c r="A245" s="58">
        <v>234</v>
      </c>
      <c r="B245" s="62">
        <v>0</v>
      </c>
      <c r="C245" s="63" t="s">
        <v>3132</v>
      </c>
      <c r="D245" s="64" t="s">
        <v>3133</v>
      </c>
      <c r="E245" s="64">
        <v>35</v>
      </c>
      <c r="F245" s="65" t="s">
        <v>75</v>
      </c>
      <c r="G245" s="58"/>
      <c r="H245" s="30" t="s">
        <v>3135</v>
      </c>
      <c r="I245" s="33"/>
      <c r="J245" s="33"/>
      <c r="S245" s="33"/>
      <c r="T245" s="33"/>
      <c r="U245" s="33"/>
      <c r="V245" s="33"/>
      <c r="W245" s="33"/>
      <c r="X245" s="33"/>
      <c r="Y245" s="33"/>
      <c r="Z245" s="33"/>
      <c r="AA245" s="33"/>
      <c r="AB245" s="33"/>
      <c r="AC245" s="33"/>
      <c r="AD245" s="33"/>
      <c r="AE245" s="33"/>
      <c r="AF245" s="33"/>
      <c r="AG245" s="33"/>
      <c r="AH245" s="33"/>
      <c r="AI245" s="33"/>
      <c r="AJ245" s="33"/>
      <c r="AK245" s="33"/>
      <c r="AL245" s="33"/>
      <c r="AM245" s="33"/>
      <c r="AV245" s="33"/>
      <c r="AW245" s="33"/>
      <c r="AX245" s="33"/>
      <c r="AY245" s="33"/>
      <c r="AZ245" s="33"/>
      <c r="BA245" s="33"/>
      <c r="BB245" s="33"/>
      <c r="BC245" s="33"/>
      <c r="BD245" s="33"/>
      <c r="BE245" s="33"/>
      <c r="BF245" s="33"/>
      <c r="BG245" s="33"/>
      <c r="BH245" s="33"/>
      <c r="BI245" s="33"/>
      <c r="BJ245" s="33"/>
      <c r="BK245" s="33"/>
      <c r="BL245" s="33"/>
      <c r="BM245" s="33"/>
      <c r="BN245" s="33"/>
    </row>
    <row r="246" spans="1:66" ht="25.5" customHeight="1">
      <c r="A246" s="58">
        <v>235</v>
      </c>
      <c r="B246" s="62" t="s">
        <v>3137</v>
      </c>
      <c r="C246" s="63" t="s">
        <v>3138</v>
      </c>
      <c r="D246" s="64" t="s">
        <v>3139</v>
      </c>
      <c r="E246" s="64">
        <v>28</v>
      </c>
      <c r="F246" s="65" t="s">
        <v>60</v>
      </c>
      <c r="G246" s="58"/>
      <c r="H246" s="30" t="s">
        <v>228</v>
      </c>
      <c r="I246" s="33"/>
      <c r="J246" s="33"/>
      <c r="S246" s="33"/>
      <c r="T246" s="33"/>
      <c r="U246" s="33"/>
      <c r="V246" s="33"/>
      <c r="W246" s="33"/>
      <c r="X246" s="33"/>
      <c r="Y246" s="33"/>
      <c r="Z246" s="33"/>
      <c r="AA246" s="33"/>
      <c r="AB246" s="33"/>
      <c r="AC246" s="33"/>
      <c r="AD246" s="33"/>
      <c r="AE246" s="33"/>
      <c r="AF246" s="33"/>
      <c r="AG246" s="33"/>
      <c r="AH246" s="33"/>
      <c r="AI246" s="33"/>
      <c r="AJ246" s="33"/>
      <c r="AK246" s="33"/>
      <c r="AL246" s="33"/>
      <c r="AM246" s="33"/>
      <c r="AV246" s="33"/>
      <c r="AW246" s="33"/>
      <c r="AX246" s="33"/>
      <c r="AY246" s="33"/>
      <c r="AZ246" s="33"/>
      <c r="BA246" s="33"/>
      <c r="BB246" s="33"/>
      <c r="BC246" s="33"/>
      <c r="BD246" s="33"/>
      <c r="BE246" s="33"/>
      <c r="BF246" s="33"/>
      <c r="BG246" s="33"/>
      <c r="BH246" s="33"/>
      <c r="BI246" s="33"/>
      <c r="BJ246" s="33"/>
      <c r="BK246" s="33"/>
      <c r="BL246" s="33"/>
      <c r="BM246" s="33"/>
      <c r="BN246" s="33"/>
    </row>
    <row r="247" spans="1:66" ht="25.5" customHeight="1">
      <c r="A247" s="58">
        <v>236</v>
      </c>
      <c r="B247" s="62">
        <v>0</v>
      </c>
      <c r="C247" s="63" t="s">
        <v>3142</v>
      </c>
      <c r="D247" s="64" t="s">
        <v>3143</v>
      </c>
      <c r="E247" s="64">
        <v>46</v>
      </c>
      <c r="F247" s="65" t="s">
        <v>60</v>
      </c>
      <c r="G247" s="58"/>
      <c r="H247" s="30" t="s">
        <v>3145</v>
      </c>
      <c r="I247" s="33"/>
      <c r="J247" s="33"/>
      <c r="S247" s="33"/>
      <c r="T247" s="33"/>
      <c r="U247" s="33"/>
      <c r="V247" s="33"/>
      <c r="W247" s="33"/>
      <c r="X247" s="33"/>
      <c r="Y247" s="33"/>
      <c r="Z247" s="33"/>
      <c r="AA247" s="33"/>
      <c r="AB247" s="33"/>
      <c r="AC247" s="33"/>
      <c r="AD247" s="33"/>
      <c r="AE247" s="33"/>
      <c r="AF247" s="33"/>
      <c r="AG247" s="33"/>
      <c r="AH247" s="33"/>
      <c r="AI247" s="33"/>
      <c r="AJ247" s="33"/>
      <c r="AK247" s="33"/>
      <c r="AL247" s="33"/>
      <c r="AM247" s="33"/>
      <c r="AV247" s="33"/>
      <c r="AW247" s="33"/>
      <c r="AX247" s="33"/>
      <c r="AY247" s="33"/>
      <c r="AZ247" s="33"/>
      <c r="BA247" s="33"/>
      <c r="BB247" s="33"/>
      <c r="BC247" s="33"/>
      <c r="BD247" s="33"/>
      <c r="BE247" s="33"/>
      <c r="BF247" s="33"/>
      <c r="BG247" s="33"/>
      <c r="BH247" s="33"/>
      <c r="BI247" s="33"/>
      <c r="BJ247" s="33"/>
      <c r="BK247" s="33"/>
      <c r="BL247" s="33"/>
      <c r="BM247" s="33"/>
      <c r="BN247" s="33"/>
    </row>
    <row r="248" spans="1:66" ht="25.5" customHeight="1">
      <c r="A248" s="58">
        <v>237</v>
      </c>
      <c r="B248" s="62">
        <v>0</v>
      </c>
      <c r="C248" s="63" t="s">
        <v>3147</v>
      </c>
      <c r="D248" s="64" t="s">
        <v>3148</v>
      </c>
      <c r="E248" s="64">
        <v>38</v>
      </c>
      <c r="F248" s="65" t="s">
        <v>60</v>
      </c>
      <c r="G248" s="58"/>
      <c r="H248" s="30" t="s">
        <v>3150</v>
      </c>
      <c r="I248" s="33"/>
      <c r="J248" s="33"/>
      <c r="S248" s="33"/>
      <c r="T248" s="33"/>
      <c r="U248" s="33"/>
      <c r="V248" s="33"/>
      <c r="W248" s="33"/>
      <c r="X248" s="33"/>
      <c r="Y248" s="33"/>
      <c r="Z248" s="33"/>
      <c r="AA248" s="33"/>
      <c r="AB248" s="33"/>
      <c r="AC248" s="33"/>
      <c r="AD248" s="33"/>
      <c r="AE248" s="33"/>
      <c r="AF248" s="33"/>
      <c r="AG248" s="33"/>
      <c r="AH248" s="33"/>
      <c r="AI248" s="33"/>
      <c r="AJ248" s="33"/>
      <c r="AK248" s="33"/>
      <c r="AL248" s="33"/>
      <c r="AM248" s="33"/>
      <c r="AV248" s="33"/>
      <c r="AW248" s="33"/>
      <c r="AX248" s="33"/>
      <c r="AY248" s="33"/>
      <c r="AZ248" s="33"/>
      <c r="BA248" s="33"/>
      <c r="BB248" s="33"/>
      <c r="BC248" s="33"/>
      <c r="BD248" s="33"/>
      <c r="BE248" s="33"/>
      <c r="BF248" s="33"/>
      <c r="BG248" s="33"/>
      <c r="BH248" s="33"/>
      <c r="BI248" s="33"/>
      <c r="BJ248" s="33"/>
      <c r="BK248" s="33"/>
      <c r="BL248" s="33"/>
      <c r="BM248" s="33"/>
      <c r="BN248" s="33"/>
    </row>
    <row r="249" spans="1:66" ht="25.5" customHeight="1">
      <c r="A249" s="58">
        <v>238</v>
      </c>
      <c r="B249" s="62">
        <v>0</v>
      </c>
      <c r="C249" s="63" t="s">
        <v>3152</v>
      </c>
      <c r="D249" s="64" t="s">
        <v>3153</v>
      </c>
      <c r="E249" s="64">
        <v>39</v>
      </c>
      <c r="F249" s="65" t="s">
        <v>60</v>
      </c>
      <c r="G249" s="58"/>
      <c r="H249" s="30" t="s">
        <v>3155</v>
      </c>
      <c r="I249" s="33"/>
      <c r="J249" s="33"/>
      <c r="S249" s="33"/>
      <c r="T249" s="33"/>
      <c r="U249" s="33"/>
      <c r="V249" s="33"/>
      <c r="W249" s="33"/>
      <c r="X249" s="33"/>
      <c r="Y249" s="33"/>
      <c r="Z249" s="33"/>
      <c r="AA249" s="33"/>
      <c r="AB249" s="33"/>
      <c r="AC249" s="33"/>
      <c r="AD249" s="33"/>
      <c r="AE249" s="33"/>
      <c r="AF249" s="33"/>
      <c r="AG249" s="33"/>
      <c r="AH249" s="33"/>
      <c r="AI249" s="33"/>
      <c r="AJ249" s="33"/>
      <c r="AK249" s="33"/>
      <c r="AL249" s="33"/>
      <c r="AM249" s="33"/>
      <c r="AV249" s="33"/>
      <c r="AW249" s="33"/>
      <c r="AX249" s="33"/>
      <c r="AY249" s="33"/>
      <c r="AZ249" s="33"/>
      <c r="BA249" s="33"/>
      <c r="BB249" s="33"/>
      <c r="BC249" s="33"/>
      <c r="BD249" s="33"/>
      <c r="BE249" s="33"/>
      <c r="BF249" s="33"/>
      <c r="BG249" s="33"/>
      <c r="BH249" s="33"/>
      <c r="BI249" s="33"/>
      <c r="BJ249" s="33"/>
      <c r="BK249" s="33"/>
      <c r="BL249" s="33"/>
      <c r="BM249" s="33"/>
      <c r="BN249" s="33"/>
    </row>
    <row r="250" spans="1:66" ht="25.5" customHeight="1">
      <c r="A250" s="58">
        <v>239</v>
      </c>
      <c r="B250" s="62">
        <v>0</v>
      </c>
      <c r="C250" s="63" t="s">
        <v>3157</v>
      </c>
      <c r="D250" s="64" t="s">
        <v>3158</v>
      </c>
      <c r="E250" s="64">
        <v>55</v>
      </c>
      <c r="F250" s="65" t="s">
        <v>60</v>
      </c>
      <c r="G250" s="58"/>
      <c r="H250" s="30" t="s">
        <v>3160</v>
      </c>
      <c r="I250" s="33"/>
      <c r="J250" s="33"/>
      <c r="S250" s="33"/>
      <c r="T250" s="33"/>
      <c r="U250" s="33"/>
      <c r="V250" s="33"/>
      <c r="W250" s="33"/>
      <c r="X250" s="33"/>
      <c r="Y250" s="33"/>
      <c r="Z250" s="33"/>
      <c r="AA250" s="33"/>
      <c r="AB250" s="33"/>
      <c r="AC250" s="33"/>
      <c r="AD250" s="33"/>
      <c r="AE250" s="33"/>
      <c r="AF250" s="33"/>
      <c r="AG250" s="33"/>
      <c r="AH250" s="33"/>
      <c r="AI250" s="33"/>
      <c r="AJ250" s="33"/>
      <c r="AK250" s="33"/>
      <c r="AL250" s="33"/>
      <c r="AM250" s="33"/>
      <c r="AV250" s="33"/>
      <c r="AW250" s="33"/>
      <c r="AX250" s="33"/>
      <c r="AY250" s="33"/>
      <c r="AZ250" s="33"/>
      <c r="BA250" s="33"/>
      <c r="BB250" s="33"/>
      <c r="BC250" s="33"/>
      <c r="BD250" s="33"/>
      <c r="BE250" s="33"/>
      <c r="BF250" s="33"/>
      <c r="BG250" s="33"/>
      <c r="BH250" s="33"/>
      <c r="BI250" s="33"/>
      <c r="BJ250" s="33"/>
      <c r="BK250" s="33"/>
      <c r="BL250" s="33"/>
      <c r="BM250" s="33"/>
      <c r="BN250" s="33"/>
    </row>
    <row r="251" spans="1:66" ht="25.5" customHeight="1">
      <c r="A251" s="58">
        <v>240</v>
      </c>
      <c r="B251" s="62">
        <v>0</v>
      </c>
      <c r="C251" s="63" t="s">
        <v>3162</v>
      </c>
      <c r="D251" s="64" t="s">
        <v>3163</v>
      </c>
      <c r="E251" s="64">
        <v>24</v>
      </c>
      <c r="F251" s="65" t="s">
        <v>60</v>
      </c>
      <c r="G251" s="58"/>
      <c r="H251" s="30" t="s">
        <v>3165</v>
      </c>
      <c r="I251" s="33"/>
      <c r="J251" s="33"/>
      <c r="S251" s="33"/>
      <c r="T251" s="33"/>
      <c r="U251" s="33"/>
      <c r="V251" s="33"/>
      <c r="W251" s="33"/>
      <c r="X251" s="33"/>
      <c r="Y251" s="33"/>
      <c r="Z251" s="33"/>
      <c r="AA251" s="33"/>
      <c r="AB251" s="33"/>
      <c r="AC251" s="33"/>
      <c r="AD251" s="33"/>
      <c r="AE251" s="33"/>
      <c r="AF251" s="33"/>
      <c r="AG251" s="33"/>
      <c r="AH251" s="33"/>
      <c r="AI251" s="33"/>
      <c r="AJ251" s="33"/>
      <c r="AK251" s="33"/>
      <c r="AL251" s="33"/>
      <c r="AM251" s="33"/>
      <c r="AV251" s="33"/>
      <c r="AW251" s="33"/>
      <c r="AX251" s="33"/>
      <c r="AY251" s="33"/>
      <c r="AZ251" s="33"/>
      <c r="BA251" s="33"/>
      <c r="BB251" s="33"/>
      <c r="BC251" s="33"/>
      <c r="BD251" s="33"/>
      <c r="BE251" s="33"/>
      <c r="BF251" s="33"/>
      <c r="BG251" s="33"/>
      <c r="BH251" s="33"/>
      <c r="BI251" s="33"/>
      <c r="BJ251" s="33"/>
      <c r="BK251" s="33"/>
      <c r="BL251" s="33"/>
      <c r="BM251" s="33"/>
      <c r="BN251" s="33"/>
    </row>
    <row r="252" spans="1:66" ht="25.5" customHeight="1">
      <c r="A252" s="58">
        <v>241</v>
      </c>
      <c r="B252" s="62">
        <v>0</v>
      </c>
      <c r="C252" s="63" t="s">
        <v>3167</v>
      </c>
      <c r="D252" s="64" t="s">
        <v>3168</v>
      </c>
      <c r="E252" s="64">
        <v>56</v>
      </c>
      <c r="F252" s="65" t="s">
        <v>60</v>
      </c>
      <c r="G252" s="58"/>
      <c r="H252" s="30" t="s">
        <v>3170</v>
      </c>
      <c r="I252" s="33"/>
      <c r="J252" s="33"/>
      <c r="S252" s="33"/>
      <c r="T252" s="33"/>
      <c r="U252" s="33"/>
      <c r="V252" s="33"/>
      <c r="W252" s="33"/>
      <c r="X252" s="33"/>
      <c r="Y252" s="33"/>
      <c r="Z252" s="33"/>
      <c r="AA252" s="33"/>
      <c r="AB252" s="33"/>
      <c r="AC252" s="33"/>
      <c r="AD252" s="33"/>
      <c r="AE252" s="33"/>
      <c r="AF252" s="33"/>
      <c r="AG252" s="33"/>
      <c r="AH252" s="33"/>
      <c r="AI252" s="33"/>
      <c r="AJ252" s="33"/>
      <c r="AK252" s="33"/>
      <c r="AL252" s="33"/>
      <c r="AM252" s="33"/>
      <c r="AV252" s="33"/>
      <c r="AW252" s="33"/>
      <c r="AX252" s="33"/>
      <c r="AY252" s="33"/>
      <c r="AZ252" s="33"/>
      <c r="BA252" s="33"/>
      <c r="BB252" s="33"/>
      <c r="BC252" s="33"/>
      <c r="BD252" s="33"/>
      <c r="BE252" s="33"/>
      <c r="BF252" s="33"/>
      <c r="BG252" s="33"/>
      <c r="BH252" s="33"/>
      <c r="BI252" s="33"/>
      <c r="BJ252" s="33"/>
      <c r="BK252" s="33"/>
      <c r="BL252" s="33"/>
      <c r="BM252" s="33"/>
      <c r="BN252" s="33"/>
    </row>
    <row r="253" spans="1:66" ht="25.5" customHeight="1">
      <c r="A253" s="58">
        <v>242</v>
      </c>
      <c r="B253" s="62">
        <v>0</v>
      </c>
      <c r="C253" s="63" t="s">
        <v>3172</v>
      </c>
      <c r="D253" s="64" t="s">
        <v>3173</v>
      </c>
      <c r="E253" s="64">
        <v>50</v>
      </c>
      <c r="F253" s="65" t="s">
        <v>60</v>
      </c>
      <c r="G253" s="58"/>
      <c r="H253" s="30" t="s">
        <v>3175</v>
      </c>
      <c r="I253" s="33"/>
      <c r="J253" s="33"/>
      <c r="S253" s="33"/>
      <c r="T253" s="33"/>
      <c r="U253" s="33"/>
      <c r="V253" s="33"/>
      <c r="W253" s="33"/>
      <c r="X253" s="33"/>
      <c r="Y253" s="33"/>
      <c r="Z253" s="33"/>
      <c r="AA253" s="33"/>
      <c r="AB253" s="33"/>
      <c r="AC253" s="33"/>
      <c r="AD253" s="33"/>
      <c r="AE253" s="33"/>
      <c r="AF253" s="33"/>
      <c r="AG253" s="33"/>
      <c r="AH253" s="33"/>
      <c r="AI253" s="33"/>
      <c r="AJ253" s="33"/>
      <c r="AK253" s="33"/>
      <c r="AL253" s="33"/>
      <c r="AM253" s="33"/>
      <c r="AV253" s="33"/>
      <c r="AW253" s="33"/>
      <c r="AX253" s="33"/>
      <c r="AY253" s="33"/>
      <c r="AZ253" s="33"/>
      <c r="BA253" s="33"/>
      <c r="BB253" s="33"/>
      <c r="BC253" s="33"/>
      <c r="BD253" s="33"/>
      <c r="BE253" s="33"/>
      <c r="BF253" s="33"/>
      <c r="BG253" s="33"/>
      <c r="BH253" s="33"/>
      <c r="BI253" s="33"/>
      <c r="BJ253" s="33"/>
      <c r="BK253" s="33"/>
      <c r="BL253" s="33"/>
      <c r="BM253" s="33"/>
      <c r="BN253" s="33"/>
    </row>
    <row r="254" spans="1:66" ht="25.5" customHeight="1">
      <c r="A254" s="58">
        <v>243</v>
      </c>
      <c r="B254" s="62" t="s">
        <v>3177</v>
      </c>
      <c r="C254" s="63" t="s">
        <v>3178</v>
      </c>
      <c r="D254" s="64" t="s">
        <v>3179</v>
      </c>
      <c r="E254" s="64">
        <v>21</v>
      </c>
      <c r="F254" s="65" t="s">
        <v>60</v>
      </c>
      <c r="G254" s="58"/>
      <c r="H254" s="30" t="s">
        <v>228</v>
      </c>
      <c r="I254" s="33"/>
      <c r="J254" s="33"/>
      <c r="S254" s="33"/>
      <c r="T254" s="33"/>
      <c r="U254" s="33"/>
      <c r="V254" s="33"/>
      <c r="W254" s="33"/>
      <c r="X254" s="33"/>
      <c r="Y254" s="33"/>
      <c r="Z254" s="33"/>
      <c r="AA254" s="33"/>
      <c r="AB254" s="33"/>
      <c r="AC254" s="33"/>
      <c r="AD254" s="33"/>
      <c r="AE254" s="33"/>
      <c r="AF254" s="33"/>
      <c r="AG254" s="33"/>
      <c r="AH254" s="33"/>
      <c r="AI254" s="33"/>
      <c r="AJ254" s="33"/>
      <c r="AK254" s="33"/>
      <c r="AL254" s="33"/>
      <c r="AM254" s="33"/>
      <c r="AV254" s="33"/>
      <c r="AW254" s="33"/>
      <c r="AX254" s="33"/>
      <c r="AY254" s="33"/>
      <c r="AZ254" s="33"/>
      <c r="BA254" s="33"/>
      <c r="BB254" s="33"/>
      <c r="BC254" s="33"/>
      <c r="BD254" s="33"/>
      <c r="BE254" s="33"/>
      <c r="BF254" s="33"/>
      <c r="BG254" s="33"/>
      <c r="BH254" s="33"/>
      <c r="BI254" s="33"/>
      <c r="BJ254" s="33"/>
      <c r="BK254" s="33"/>
      <c r="BL254" s="33"/>
      <c r="BM254" s="33"/>
      <c r="BN254" s="33"/>
    </row>
    <row r="255" spans="1:66" ht="25.5" customHeight="1">
      <c r="A255" s="58">
        <v>244</v>
      </c>
      <c r="B255" s="62">
        <v>0</v>
      </c>
      <c r="C255" s="63" t="s">
        <v>3182</v>
      </c>
      <c r="D255" s="64" t="s">
        <v>3183</v>
      </c>
      <c r="E255" s="64">
        <v>33</v>
      </c>
      <c r="F255" s="65" t="s">
        <v>60</v>
      </c>
      <c r="G255" s="58"/>
      <c r="H255" s="30" t="s">
        <v>3185</v>
      </c>
      <c r="I255" s="33"/>
      <c r="J255" s="33"/>
      <c r="S255" s="33"/>
      <c r="T255" s="33"/>
      <c r="AC255" s="33"/>
      <c r="AD255" s="33"/>
      <c r="AE255" s="33"/>
      <c r="AF255" s="33"/>
      <c r="AG255" s="33"/>
      <c r="AH255" s="33"/>
      <c r="AI255" s="33"/>
      <c r="AJ255" s="33"/>
      <c r="AK255" s="33"/>
      <c r="AL255" s="33"/>
      <c r="AM255" s="33"/>
      <c r="AV255" s="33"/>
      <c r="AW255" s="33"/>
      <c r="AX255" s="33"/>
      <c r="AY255" s="33"/>
      <c r="AZ255" s="33"/>
      <c r="BA255" s="33"/>
      <c r="BB255" s="33"/>
      <c r="BC255" s="33"/>
      <c r="BD255" s="33"/>
      <c r="BE255" s="33"/>
      <c r="BF255" s="33"/>
      <c r="BG255" s="33"/>
      <c r="BH255" s="33"/>
      <c r="BI255" s="33"/>
      <c r="BJ255" s="33"/>
      <c r="BK255" s="33"/>
      <c r="BL255" s="33"/>
      <c r="BM255" s="33"/>
      <c r="BN255" s="33"/>
    </row>
    <row r="256" spans="1:66" ht="25.5" customHeight="1">
      <c r="A256" s="58">
        <v>245</v>
      </c>
      <c r="B256" s="62">
        <v>0</v>
      </c>
      <c r="C256" s="63" t="s">
        <v>3187</v>
      </c>
      <c r="D256" s="64" t="s">
        <v>3188</v>
      </c>
      <c r="E256" s="64">
        <v>38</v>
      </c>
      <c r="F256" s="65" t="s">
        <v>60</v>
      </c>
      <c r="G256" s="58"/>
      <c r="H256" s="30" t="s">
        <v>3190</v>
      </c>
      <c r="I256" s="33"/>
      <c r="J256" s="33"/>
      <c r="S256" s="33"/>
      <c r="T256" s="33"/>
      <c r="AC256" s="33"/>
      <c r="AD256" s="33"/>
      <c r="AM256" s="33"/>
      <c r="AV256" s="33"/>
      <c r="AW256" s="33"/>
      <c r="AX256" s="33"/>
      <c r="AY256" s="33"/>
      <c r="AZ256" s="33"/>
      <c r="BA256" s="33"/>
      <c r="BB256" s="33"/>
      <c r="BC256" s="33"/>
      <c r="BD256" s="33"/>
      <c r="BE256" s="33"/>
      <c r="BF256" s="33"/>
      <c r="BG256" s="33"/>
      <c r="BH256" s="33"/>
      <c r="BI256" s="33"/>
      <c r="BJ256" s="33"/>
      <c r="BK256" s="33"/>
      <c r="BL256" s="33"/>
      <c r="BM256" s="33"/>
      <c r="BN256" s="33"/>
    </row>
    <row r="257" spans="1:66" ht="25.5" customHeight="1">
      <c r="A257" s="58">
        <v>246</v>
      </c>
      <c r="B257" s="62" t="s">
        <v>3197</v>
      </c>
      <c r="C257" s="63" t="s">
        <v>3198</v>
      </c>
      <c r="D257" s="64" t="s">
        <v>3199</v>
      </c>
      <c r="E257" s="64">
        <v>73</v>
      </c>
      <c r="F257" s="65" t="s">
        <v>60</v>
      </c>
      <c r="G257" s="58"/>
      <c r="H257" s="30" t="s">
        <v>228</v>
      </c>
      <c r="I257" s="33"/>
      <c r="J257" s="33"/>
      <c r="S257" s="33"/>
      <c r="T257" s="33"/>
      <c r="AC257" s="33"/>
      <c r="AD257" s="33"/>
      <c r="AM257" s="33"/>
      <c r="AV257" s="33"/>
      <c r="AW257" s="33"/>
      <c r="AX257" s="33"/>
      <c r="AY257" s="33"/>
      <c r="AZ257" s="33"/>
      <c r="BA257" s="33"/>
      <c r="BB257" s="33"/>
      <c r="BC257" s="33"/>
      <c r="BD257" s="33"/>
      <c r="BE257" s="33"/>
      <c r="BF257" s="33"/>
      <c r="BG257" s="33"/>
      <c r="BH257" s="33"/>
      <c r="BI257" s="33"/>
      <c r="BJ257" s="33"/>
      <c r="BK257" s="33"/>
      <c r="BL257" s="33"/>
      <c r="BM257" s="33"/>
      <c r="BN257" s="33"/>
    </row>
    <row r="258" spans="1:66" ht="25.5" customHeight="1">
      <c r="A258" s="58">
        <v>247</v>
      </c>
      <c r="B258" s="62" t="s">
        <v>3202</v>
      </c>
      <c r="C258" s="63" t="s">
        <v>3203</v>
      </c>
      <c r="D258" s="64" t="s">
        <v>3204</v>
      </c>
      <c r="E258" s="64">
        <v>19</v>
      </c>
      <c r="F258" s="65" t="s">
        <v>60</v>
      </c>
      <c r="G258" s="58"/>
      <c r="H258" s="30" t="s">
        <v>228</v>
      </c>
      <c r="I258" s="33"/>
      <c r="J258" s="33"/>
      <c r="S258" s="33"/>
      <c r="T258" s="33"/>
      <c r="AC258" s="33"/>
      <c r="AD258" s="33"/>
      <c r="AM258" s="33"/>
      <c r="AV258" s="33"/>
      <c r="AW258" s="33"/>
      <c r="AX258" s="33"/>
      <c r="AY258" s="33"/>
      <c r="AZ258" s="33"/>
      <c r="BA258" s="33"/>
      <c r="BB258" s="33"/>
      <c r="BC258" s="33"/>
      <c r="BD258" s="33"/>
      <c r="BE258" s="33"/>
      <c r="BF258" s="33"/>
      <c r="BG258" s="33"/>
      <c r="BH258" s="33"/>
      <c r="BI258" s="33"/>
      <c r="BJ258" s="33"/>
      <c r="BK258" s="33"/>
      <c r="BL258" s="33"/>
      <c r="BM258" s="33"/>
      <c r="BN258" s="33"/>
    </row>
    <row r="259" spans="1:66" ht="25.5" customHeight="1">
      <c r="A259" s="58">
        <v>248</v>
      </c>
      <c r="B259" s="62">
        <v>0</v>
      </c>
      <c r="C259" s="63" t="s">
        <v>3207</v>
      </c>
      <c r="D259" s="64" t="s">
        <v>3208</v>
      </c>
      <c r="E259" s="64">
        <v>27</v>
      </c>
      <c r="F259" s="65" t="s">
        <v>60</v>
      </c>
      <c r="G259" s="58"/>
      <c r="H259" s="30" t="s">
        <v>3210</v>
      </c>
      <c r="I259" s="33"/>
      <c r="J259" s="33"/>
      <c r="S259" s="33"/>
      <c r="T259" s="33"/>
      <c r="AC259" s="33"/>
      <c r="AD259" s="33"/>
      <c r="AM259" s="33"/>
      <c r="AV259" s="33"/>
      <c r="AW259" s="33"/>
      <c r="AX259" s="33"/>
      <c r="AY259" s="33"/>
      <c r="AZ259" s="33"/>
      <c r="BA259" s="33"/>
      <c r="BB259" s="33"/>
      <c r="BC259" s="33"/>
      <c r="BD259" s="33"/>
      <c r="BE259" s="33"/>
      <c r="BF259" s="33"/>
      <c r="BG259" s="33"/>
      <c r="BH259" s="33"/>
      <c r="BI259" s="33"/>
      <c r="BJ259" s="33"/>
      <c r="BK259" s="33"/>
      <c r="BL259" s="33"/>
      <c r="BM259" s="33"/>
      <c r="BN259" s="33"/>
    </row>
    <row r="260" spans="1:66" ht="25.5" customHeight="1">
      <c r="A260" s="58">
        <v>249</v>
      </c>
      <c r="B260" s="62">
        <v>0</v>
      </c>
      <c r="C260" s="63" t="s">
        <v>3212</v>
      </c>
      <c r="D260" s="64" t="s">
        <v>3213</v>
      </c>
      <c r="E260" s="64">
        <v>52</v>
      </c>
      <c r="F260" s="65" t="s">
        <v>75</v>
      </c>
      <c r="G260" s="58"/>
      <c r="H260" s="30" t="s">
        <v>228</v>
      </c>
      <c r="I260" s="33"/>
      <c r="J260" s="33"/>
      <c r="S260" s="33"/>
      <c r="T260" s="33"/>
      <c r="AC260" s="33"/>
      <c r="AD260" s="33"/>
      <c r="AM260" s="33"/>
      <c r="AV260" s="33"/>
      <c r="AW260" s="33"/>
      <c r="AX260" s="33"/>
      <c r="AY260" s="33"/>
      <c r="AZ260" s="33"/>
      <c r="BA260" s="33"/>
      <c r="BB260" s="33"/>
      <c r="BC260" s="33"/>
      <c r="BD260" s="33"/>
      <c r="BE260" s="33"/>
      <c r="BF260" s="33"/>
      <c r="BG260" s="33"/>
      <c r="BH260" s="33"/>
      <c r="BI260" s="33"/>
      <c r="BJ260" s="33"/>
      <c r="BK260" s="33"/>
      <c r="BL260" s="33"/>
      <c r="BM260" s="33"/>
      <c r="BN260" s="33"/>
    </row>
    <row r="261" spans="1:66" ht="25.5" customHeight="1">
      <c r="A261" s="58">
        <v>250</v>
      </c>
      <c r="B261" s="62">
        <v>0</v>
      </c>
      <c r="C261" s="63" t="s">
        <v>3216</v>
      </c>
      <c r="D261" s="64" t="s">
        <v>3217</v>
      </c>
      <c r="E261" s="64">
        <v>31</v>
      </c>
      <c r="F261" s="65" t="s">
        <v>75</v>
      </c>
      <c r="G261" s="58"/>
      <c r="H261" s="30" t="s">
        <v>492</v>
      </c>
      <c r="I261" s="33"/>
      <c r="J261" s="33"/>
      <c r="S261" s="33"/>
      <c r="T261" s="33"/>
      <c r="AC261" s="33"/>
      <c r="AD261" s="33"/>
      <c r="AM261" s="33"/>
      <c r="AV261" s="33"/>
      <c r="AW261" s="33"/>
      <c r="AX261" s="33"/>
      <c r="AY261" s="33"/>
      <c r="AZ261" s="33"/>
      <c r="BA261" s="33"/>
      <c r="BB261" s="33"/>
      <c r="BC261" s="33"/>
      <c r="BD261" s="33"/>
      <c r="BE261" s="33"/>
      <c r="BF261" s="33"/>
      <c r="BG261" s="33"/>
      <c r="BH261" s="33"/>
      <c r="BI261" s="33"/>
      <c r="BJ261" s="33"/>
      <c r="BK261" s="33"/>
      <c r="BL261" s="33"/>
      <c r="BM261" s="33"/>
      <c r="BN261" s="33"/>
    </row>
    <row r="262" spans="1:66" ht="25.5" customHeight="1">
      <c r="A262" s="58">
        <v>251</v>
      </c>
      <c r="B262" s="62">
        <v>0</v>
      </c>
      <c r="C262" s="63" t="s">
        <v>3220</v>
      </c>
      <c r="D262" s="64" t="s">
        <v>3221</v>
      </c>
      <c r="E262" s="64">
        <v>50</v>
      </c>
      <c r="F262" s="65" t="s">
        <v>75</v>
      </c>
      <c r="G262" s="58"/>
      <c r="H262" s="30" t="s">
        <v>3223</v>
      </c>
      <c r="I262" s="33"/>
      <c r="J262" s="33"/>
      <c r="S262" s="33"/>
      <c r="T262" s="33"/>
      <c r="AC262" s="33"/>
      <c r="AD262" s="33"/>
      <c r="AM262" s="33"/>
      <c r="AV262" s="33"/>
      <c r="AW262" s="33"/>
      <c r="AX262" s="33"/>
      <c r="AY262" s="33"/>
      <c r="AZ262" s="33"/>
      <c r="BA262" s="33"/>
      <c r="BB262" s="33"/>
      <c r="BC262" s="33"/>
      <c r="BD262" s="33"/>
      <c r="BE262" s="33"/>
      <c r="BF262" s="33"/>
      <c r="BG262" s="33"/>
      <c r="BH262" s="33"/>
      <c r="BI262" s="33"/>
      <c r="BJ262" s="33"/>
      <c r="BK262" s="33"/>
      <c r="BL262" s="33"/>
      <c r="BM262" s="33"/>
      <c r="BN262" s="33"/>
    </row>
    <row r="263" spans="1:66" ht="25.5" customHeight="1">
      <c r="A263" s="58">
        <v>252</v>
      </c>
      <c r="B263" s="62">
        <v>0</v>
      </c>
      <c r="C263" s="63" t="s">
        <v>3225</v>
      </c>
      <c r="D263" s="64" t="s">
        <v>3226</v>
      </c>
      <c r="E263" s="64">
        <v>38</v>
      </c>
      <c r="F263" s="65" t="s">
        <v>75</v>
      </c>
      <c r="G263" s="58"/>
      <c r="H263" s="30" t="s">
        <v>3228</v>
      </c>
      <c r="I263" s="33"/>
      <c r="J263" s="33"/>
      <c r="S263" s="33"/>
      <c r="T263" s="33"/>
      <c r="AC263" s="33"/>
      <c r="AD263" s="33"/>
      <c r="AM263" s="33"/>
      <c r="AV263" s="33"/>
      <c r="AW263" s="33"/>
      <c r="AX263" s="33"/>
      <c r="AY263" s="33"/>
      <c r="AZ263" s="33"/>
      <c r="BA263" s="33"/>
      <c r="BB263" s="33"/>
      <c r="BC263" s="33"/>
      <c r="BD263" s="33"/>
      <c r="BE263" s="33"/>
      <c r="BF263" s="33"/>
      <c r="BG263" s="33"/>
      <c r="BH263" s="33"/>
      <c r="BI263" s="33"/>
      <c r="BJ263" s="33"/>
      <c r="BK263" s="33"/>
      <c r="BL263" s="33"/>
      <c r="BM263" s="33"/>
      <c r="BN263" s="33"/>
    </row>
    <row r="264" spans="1:66" ht="25.5" customHeight="1">
      <c r="A264" s="58">
        <v>253</v>
      </c>
      <c r="B264" s="62">
        <v>0</v>
      </c>
      <c r="C264" s="63" t="s">
        <v>3230</v>
      </c>
      <c r="D264" s="64" t="s">
        <v>3231</v>
      </c>
      <c r="E264" s="64">
        <v>53</v>
      </c>
      <c r="F264" s="65" t="s">
        <v>75</v>
      </c>
      <c r="G264" s="58"/>
      <c r="H264" s="30" t="s">
        <v>228</v>
      </c>
      <c r="I264" s="33"/>
      <c r="J264" s="33"/>
      <c r="S264" s="33"/>
      <c r="T264" s="33"/>
      <c r="AC264" s="33"/>
      <c r="AD264" s="33"/>
      <c r="AM264" s="33"/>
      <c r="AV264" s="33"/>
      <c r="AW264" s="33"/>
      <c r="AX264" s="33"/>
      <c r="AY264" s="33"/>
      <c r="AZ264" s="33"/>
      <c r="BA264" s="33"/>
      <c r="BB264" s="33"/>
      <c r="BC264" s="33"/>
      <c r="BD264" s="33"/>
      <c r="BE264" s="33"/>
      <c r="BF264" s="33"/>
      <c r="BG264" s="33"/>
      <c r="BH264" s="33"/>
      <c r="BI264" s="33"/>
      <c r="BJ264" s="33"/>
      <c r="BK264" s="33"/>
      <c r="BL264" s="33"/>
      <c r="BM264" s="33"/>
      <c r="BN264" s="33"/>
    </row>
    <row r="265" spans="1:66" ht="25.5" customHeight="1">
      <c r="A265" s="58">
        <v>254</v>
      </c>
      <c r="B265" s="62">
        <v>0</v>
      </c>
      <c r="C265" s="63" t="s">
        <v>3234</v>
      </c>
      <c r="D265" s="64" t="s">
        <v>3235</v>
      </c>
      <c r="E265" s="64">
        <v>46</v>
      </c>
      <c r="F265" s="65" t="s">
        <v>75</v>
      </c>
      <c r="G265" s="58"/>
      <c r="H265" s="30" t="s">
        <v>228</v>
      </c>
      <c r="I265" s="33"/>
      <c r="J265" s="33"/>
      <c r="S265" s="33"/>
      <c r="T265" s="33"/>
      <c r="AC265" s="33"/>
      <c r="AD265" s="33"/>
      <c r="AM265" s="33"/>
      <c r="AV265" s="33"/>
      <c r="AW265" s="33"/>
      <c r="AX265" s="33"/>
      <c r="AY265" s="33"/>
      <c r="AZ265" s="33"/>
      <c r="BA265" s="33"/>
      <c r="BB265" s="33"/>
      <c r="BC265" s="33"/>
      <c r="BD265" s="33"/>
      <c r="BE265" s="33"/>
      <c r="BF265" s="33"/>
      <c r="BG265" s="33"/>
      <c r="BH265" s="33"/>
      <c r="BI265" s="33"/>
      <c r="BJ265" s="33"/>
      <c r="BK265" s="33"/>
      <c r="BL265" s="33"/>
      <c r="BM265" s="33"/>
      <c r="BN265" s="33"/>
    </row>
    <row r="266" spans="1:66" ht="25.5" customHeight="1">
      <c r="A266" s="58">
        <v>255</v>
      </c>
      <c r="B266" s="62" t="s">
        <v>3238</v>
      </c>
      <c r="C266" s="63" t="s">
        <v>3239</v>
      </c>
      <c r="D266" s="64" t="s">
        <v>3240</v>
      </c>
      <c r="E266" s="64">
        <v>23</v>
      </c>
      <c r="F266" s="65" t="s">
        <v>75</v>
      </c>
      <c r="G266" s="58"/>
      <c r="H266" s="30" t="s">
        <v>228</v>
      </c>
      <c r="I266" s="33"/>
      <c r="J266" s="33"/>
      <c r="S266" s="33"/>
      <c r="T266" s="33"/>
      <c r="AC266" s="33"/>
      <c r="AD266" s="33"/>
      <c r="AM266" s="33"/>
      <c r="AV266" s="33"/>
      <c r="AW266" s="33"/>
      <c r="AX266" s="33"/>
      <c r="AY266" s="33"/>
      <c r="AZ266" s="33"/>
      <c r="BA266" s="33"/>
      <c r="BB266" s="33"/>
      <c r="BC266" s="33"/>
      <c r="BD266" s="33"/>
      <c r="BE266" s="33"/>
      <c r="BF266" s="33"/>
      <c r="BG266" s="33"/>
      <c r="BH266" s="33"/>
      <c r="BI266" s="33"/>
      <c r="BJ266" s="33"/>
      <c r="BK266" s="33"/>
      <c r="BL266" s="33"/>
      <c r="BM266" s="33"/>
      <c r="BN266" s="33"/>
    </row>
    <row r="267" spans="1:66" ht="25.5" customHeight="1">
      <c r="A267" s="58">
        <v>256</v>
      </c>
      <c r="B267" s="62" t="s">
        <v>3243</v>
      </c>
      <c r="C267" s="63" t="s">
        <v>3244</v>
      </c>
      <c r="D267" s="64" t="s">
        <v>3245</v>
      </c>
      <c r="E267" s="64">
        <v>29</v>
      </c>
      <c r="F267" s="65" t="s">
        <v>75</v>
      </c>
      <c r="G267" s="58"/>
      <c r="H267" s="30" t="s">
        <v>228</v>
      </c>
      <c r="I267" s="33"/>
      <c r="J267" s="33"/>
      <c r="S267" s="33"/>
      <c r="T267" s="33"/>
      <c r="AC267" s="33"/>
      <c r="AD267" s="33"/>
      <c r="AM267" s="33"/>
      <c r="AV267" s="33"/>
      <c r="AW267" s="33"/>
      <c r="AX267" s="33"/>
      <c r="AY267" s="33"/>
      <c r="AZ267" s="33"/>
      <c r="BA267" s="33"/>
      <c r="BB267" s="33"/>
      <c r="BC267" s="33"/>
      <c r="BD267" s="33"/>
      <c r="BE267" s="33"/>
      <c r="BF267" s="33"/>
      <c r="BG267" s="33"/>
      <c r="BH267" s="33"/>
      <c r="BI267" s="33"/>
      <c r="BJ267" s="33"/>
      <c r="BK267" s="33"/>
      <c r="BL267" s="33"/>
      <c r="BM267" s="33"/>
      <c r="BN267" s="33"/>
    </row>
    <row r="268" spans="1:66" ht="25.5" customHeight="1">
      <c r="A268" s="58">
        <v>257</v>
      </c>
      <c r="B268" s="62" t="s">
        <v>3248</v>
      </c>
      <c r="C268" s="63" t="s">
        <v>3249</v>
      </c>
      <c r="D268" s="64" t="s">
        <v>3250</v>
      </c>
      <c r="E268" s="64">
        <v>73</v>
      </c>
      <c r="F268" s="65" t="s">
        <v>60</v>
      </c>
      <c r="G268" s="58"/>
      <c r="H268" s="30" t="s">
        <v>228</v>
      </c>
      <c r="I268" s="33"/>
      <c r="J268" s="33"/>
      <c r="S268" s="33"/>
      <c r="T268" s="33"/>
      <c r="AC268" s="33"/>
      <c r="AD268" s="33"/>
      <c r="AM268" s="33"/>
      <c r="AV268" s="33"/>
      <c r="AW268" s="33"/>
      <c r="AX268" s="33"/>
      <c r="AY268" s="33"/>
      <c r="AZ268" s="33"/>
      <c r="BA268" s="33"/>
      <c r="BB268" s="33"/>
      <c r="BC268" s="33"/>
      <c r="BD268" s="33"/>
      <c r="BE268" s="33"/>
      <c r="BF268" s="33"/>
      <c r="BG268" s="33"/>
      <c r="BH268" s="33"/>
      <c r="BI268" s="33"/>
      <c r="BJ268" s="33"/>
      <c r="BK268" s="33"/>
      <c r="BL268" s="33"/>
      <c r="BM268" s="33"/>
      <c r="BN268" s="33"/>
    </row>
    <row r="269" spans="1:66" ht="25.5" customHeight="1">
      <c r="A269" s="58">
        <v>258</v>
      </c>
      <c r="B269" s="62">
        <v>0</v>
      </c>
      <c r="C269" s="63" t="s">
        <v>3253</v>
      </c>
      <c r="D269" s="64" t="s">
        <v>3254</v>
      </c>
      <c r="E269" s="64">
        <v>37</v>
      </c>
      <c r="F269" s="65" t="s">
        <v>75</v>
      </c>
      <c r="G269" s="58"/>
      <c r="H269" s="30" t="s">
        <v>3256</v>
      </c>
      <c r="AW269" s="33"/>
      <c r="AX269" s="33"/>
      <c r="AY269" s="33"/>
      <c r="AZ269" s="33"/>
      <c r="BA269" s="33"/>
      <c r="BB269" s="33"/>
      <c r="BC269" s="33"/>
      <c r="BD269" s="33"/>
      <c r="BF269" s="33"/>
      <c r="BG269" s="33"/>
      <c r="BH269" s="33"/>
      <c r="BI269" s="33"/>
      <c r="BJ269" s="33"/>
      <c r="BK269" s="33"/>
      <c r="BL269" s="33"/>
      <c r="BM269" s="33"/>
    </row>
    <row r="270" spans="1:66" ht="25.5" customHeight="1">
      <c r="A270" s="58">
        <v>259</v>
      </c>
      <c r="B270" s="62">
        <v>0</v>
      </c>
      <c r="C270" s="63" t="s">
        <v>3258</v>
      </c>
      <c r="D270" s="64" t="s">
        <v>3259</v>
      </c>
      <c r="E270" s="64">
        <v>31</v>
      </c>
      <c r="F270" s="65" t="s">
        <v>60</v>
      </c>
      <c r="G270" s="58"/>
      <c r="H270" s="30" t="s">
        <v>3261</v>
      </c>
      <c r="BF270" s="33"/>
      <c r="BG270" s="33"/>
      <c r="BH270" s="33"/>
      <c r="BI270" s="33"/>
      <c r="BJ270" s="33"/>
      <c r="BK270" s="33"/>
      <c r="BL270" s="33"/>
      <c r="BM270" s="33"/>
    </row>
    <row r="271" spans="1:66" ht="25.5" customHeight="1">
      <c r="A271" s="58">
        <v>260</v>
      </c>
      <c r="B271" s="62">
        <v>0</v>
      </c>
      <c r="C271" s="63" t="s">
        <v>3263</v>
      </c>
      <c r="D271" s="64" t="s">
        <v>3264</v>
      </c>
      <c r="E271" s="64">
        <v>59</v>
      </c>
      <c r="F271" s="65" t="s">
        <v>60</v>
      </c>
      <c r="G271" s="58"/>
      <c r="H271" s="30" t="s">
        <v>3266</v>
      </c>
      <c r="BF271" s="33"/>
      <c r="BG271" s="33"/>
      <c r="BH271" s="33"/>
      <c r="BI271" s="33"/>
      <c r="BJ271" s="33"/>
      <c r="BK271" s="33"/>
      <c r="BL271" s="33"/>
      <c r="BM271" s="33"/>
    </row>
    <row r="272" spans="1:66" ht="25.5" customHeight="1">
      <c r="A272" s="58">
        <v>261</v>
      </c>
      <c r="B272" s="62" t="s">
        <v>3268</v>
      </c>
      <c r="C272" s="63" t="s">
        <v>3269</v>
      </c>
      <c r="D272" s="64" t="s">
        <v>3270</v>
      </c>
      <c r="E272" s="64">
        <v>29</v>
      </c>
      <c r="F272" s="65" t="s">
        <v>75</v>
      </c>
      <c r="G272" s="58"/>
      <c r="H272" s="30" t="s">
        <v>228</v>
      </c>
      <c r="BF272" s="33"/>
      <c r="BG272" s="33"/>
      <c r="BH272" s="33"/>
      <c r="BI272" s="33"/>
      <c r="BJ272" s="33"/>
      <c r="BK272" s="33"/>
      <c r="BL272" s="33"/>
      <c r="BM272" s="33"/>
    </row>
    <row r="273" spans="1:65" ht="25.5" customHeight="1">
      <c r="A273" s="58">
        <v>262</v>
      </c>
      <c r="B273" s="62">
        <v>0</v>
      </c>
      <c r="C273" s="63" t="s">
        <v>3273</v>
      </c>
      <c r="D273" s="64" t="s">
        <v>3274</v>
      </c>
      <c r="E273" s="64">
        <v>34</v>
      </c>
      <c r="F273" s="65" t="s">
        <v>75</v>
      </c>
      <c r="G273" s="58"/>
      <c r="H273" s="30" t="s">
        <v>2815</v>
      </c>
      <c r="BF273" s="33"/>
      <c r="BG273" s="33"/>
      <c r="BH273" s="33"/>
      <c r="BI273" s="33"/>
      <c r="BJ273" s="33"/>
      <c r="BK273" s="33"/>
      <c r="BL273" s="33"/>
      <c r="BM273" s="33"/>
    </row>
    <row r="274" spans="1:65" ht="25.5" customHeight="1">
      <c r="A274" s="58">
        <v>263</v>
      </c>
      <c r="B274" s="62">
        <v>0</v>
      </c>
      <c r="C274" s="63" t="s">
        <v>3277</v>
      </c>
      <c r="D274" s="64" t="s">
        <v>3278</v>
      </c>
      <c r="E274" s="64">
        <v>22</v>
      </c>
      <c r="F274" s="65" t="s">
        <v>75</v>
      </c>
      <c r="G274" s="58"/>
      <c r="H274" s="30" t="s">
        <v>3170</v>
      </c>
      <c r="BF274" s="33"/>
      <c r="BG274" s="33"/>
      <c r="BH274" s="33"/>
      <c r="BI274" s="33"/>
      <c r="BJ274" s="33"/>
      <c r="BK274" s="33"/>
      <c r="BL274" s="33"/>
      <c r="BM274" s="33"/>
    </row>
    <row r="275" spans="1:65" ht="25.5" customHeight="1">
      <c r="A275" s="58">
        <v>264</v>
      </c>
      <c r="B275" s="62">
        <v>0</v>
      </c>
      <c r="C275" s="63" t="s">
        <v>3281</v>
      </c>
      <c r="D275" s="64" t="s">
        <v>3282</v>
      </c>
      <c r="E275" s="64">
        <v>43</v>
      </c>
      <c r="F275" s="65" t="s">
        <v>75</v>
      </c>
      <c r="G275" s="58"/>
      <c r="H275" s="30" t="s">
        <v>3284</v>
      </c>
      <c r="BF275" s="33"/>
      <c r="BG275" s="33"/>
      <c r="BH275" s="33"/>
      <c r="BI275" s="33"/>
      <c r="BJ275" s="33"/>
      <c r="BK275" s="33"/>
      <c r="BL275" s="33"/>
      <c r="BM275" s="33"/>
    </row>
    <row r="276" spans="1:65" ht="25.5" customHeight="1">
      <c r="A276" s="58">
        <v>265</v>
      </c>
      <c r="B276" s="62">
        <v>0</v>
      </c>
      <c r="C276" s="63" t="s">
        <v>3286</v>
      </c>
      <c r="D276" s="64" t="s">
        <v>3287</v>
      </c>
      <c r="E276" s="64">
        <v>37</v>
      </c>
      <c r="F276" s="65" t="s">
        <v>60</v>
      </c>
      <c r="G276" s="58"/>
      <c r="H276" s="30" t="s">
        <v>3289</v>
      </c>
      <c r="BF276" s="33"/>
      <c r="BG276" s="33"/>
      <c r="BH276" s="33"/>
      <c r="BI276" s="33"/>
      <c r="BJ276" s="33"/>
      <c r="BK276" s="33"/>
      <c r="BL276" s="33"/>
      <c r="BM276" s="33"/>
    </row>
    <row r="277" spans="1:65" ht="25.5" customHeight="1">
      <c r="A277" s="58">
        <v>266</v>
      </c>
      <c r="B277" s="62" t="s">
        <v>3291</v>
      </c>
      <c r="C277" s="63" t="s">
        <v>3292</v>
      </c>
      <c r="D277" s="64" t="s">
        <v>3293</v>
      </c>
      <c r="E277" s="64">
        <v>29</v>
      </c>
      <c r="F277" s="65" t="s">
        <v>75</v>
      </c>
      <c r="G277" s="58"/>
      <c r="H277" s="30" t="s">
        <v>228</v>
      </c>
      <c r="BF277" s="33"/>
      <c r="BG277" s="33"/>
      <c r="BH277" s="33"/>
      <c r="BI277" s="33"/>
      <c r="BJ277" s="33"/>
      <c r="BK277" s="33"/>
      <c r="BL277" s="33"/>
      <c r="BM277" s="33"/>
    </row>
    <row r="278" spans="1:65" ht="25.5" customHeight="1">
      <c r="A278" s="58">
        <v>267</v>
      </c>
      <c r="B278" s="62">
        <v>0</v>
      </c>
      <c r="C278" s="63" t="s">
        <v>3296</v>
      </c>
      <c r="D278" s="64" t="s">
        <v>3297</v>
      </c>
      <c r="E278" s="64">
        <v>36</v>
      </c>
      <c r="F278" s="65" t="s">
        <v>60</v>
      </c>
      <c r="G278" s="58"/>
      <c r="H278" s="30" t="s">
        <v>3299</v>
      </c>
      <c r="BF278" s="33"/>
      <c r="BG278" s="33"/>
      <c r="BH278" s="33"/>
      <c r="BI278" s="33"/>
      <c r="BJ278" s="33"/>
      <c r="BK278" s="33"/>
      <c r="BL278" s="33"/>
      <c r="BM278" s="33"/>
    </row>
    <row r="279" spans="1:65" ht="25.5" customHeight="1">
      <c r="A279" s="58">
        <v>268</v>
      </c>
      <c r="B279" s="62">
        <v>0</v>
      </c>
      <c r="C279" s="63" t="s">
        <v>3301</v>
      </c>
      <c r="D279" s="64" t="s">
        <v>3302</v>
      </c>
      <c r="E279" s="64">
        <v>41</v>
      </c>
      <c r="F279" s="65" t="s">
        <v>75</v>
      </c>
      <c r="G279" s="58"/>
      <c r="H279" s="30" t="s">
        <v>3304</v>
      </c>
      <c r="BF279" s="33"/>
      <c r="BG279" s="33"/>
      <c r="BH279" s="33"/>
      <c r="BI279" s="33"/>
      <c r="BJ279" s="33"/>
      <c r="BK279" s="33"/>
      <c r="BL279" s="33"/>
      <c r="BM279" s="33"/>
    </row>
    <row r="280" spans="1:65" ht="25.5" customHeight="1">
      <c r="A280" s="58">
        <v>269</v>
      </c>
      <c r="B280" s="62">
        <v>0</v>
      </c>
      <c r="C280" s="63" t="s">
        <v>3306</v>
      </c>
      <c r="D280" s="64" t="s">
        <v>3307</v>
      </c>
      <c r="E280" s="64">
        <v>44</v>
      </c>
      <c r="F280" s="65" t="s">
        <v>60</v>
      </c>
      <c r="G280" s="58"/>
      <c r="H280" s="30" t="s">
        <v>3309</v>
      </c>
      <c r="BF280" s="33"/>
      <c r="BG280" s="33"/>
      <c r="BH280" s="33"/>
      <c r="BI280" s="33"/>
      <c r="BJ280" s="33"/>
      <c r="BK280" s="33"/>
      <c r="BL280" s="33"/>
      <c r="BM280" s="33"/>
    </row>
    <row r="281" spans="1:65" ht="25.5" customHeight="1">
      <c r="A281" s="58">
        <v>270</v>
      </c>
      <c r="B281" s="62">
        <v>0</v>
      </c>
      <c r="C281" s="63" t="s">
        <v>3311</v>
      </c>
      <c r="D281" s="64" t="s">
        <v>3312</v>
      </c>
      <c r="E281" s="64">
        <v>30</v>
      </c>
      <c r="F281" s="65" t="s">
        <v>75</v>
      </c>
      <c r="G281" s="58"/>
      <c r="H281" s="30" t="s">
        <v>3314</v>
      </c>
      <c r="BF281" s="33"/>
      <c r="BG281" s="33"/>
      <c r="BH281" s="33"/>
      <c r="BI281" s="33"/>
      <c r="BJ281" s="33"/>
      <c r="BK281" s="33"/>
      <c r="BL281" s="33"/>
      <c r="BM281" s="33"/>
    </row>
    <row r="282" spans="1:65" ht="25.5" customHeight="1">
      <c r="A282" s="58">
        <v>271</v>
      </c>
      <c r="B282" s="62">
        <v>0</v>
      </c>
      <c r="C282" s="63" t="s">
        <v>3316</v>
      </c>
      <c r="D282" s="64" t="s">
        <v>3317</v>
      </c>
      <c r="E282" s="64">
        <v>37</v>
      </c>
      <c r="F282" s="65" t="s">
        <v>75</v>
      </c>
      <c r="G282" s="58"/>
      <c r="H282" s="30" t="s">
        <v>3319</v>
      </c>
      <c r="BF282" s="33"/>
      <c r="BG282" s="33"/>
      <c r="BH282" s="33"/>
      <c r="BI282" s="33"/>
      <c r="BJ282" s="33"/>
      <c r="BK282" s="33"/>
      <c r="BL282" s="33"/>
      <c r="BM282" s="33"/>
    </row>
    <row r="283" spans="1:65" ht="25.5" customHeight="1">
      <c r="A283" s="58">
        <v>272</v>
      </c>
      <c r="B283" s="62" t="s">
        <v>3321</v>
      </c>
      <c r="C283" s="63" t="s">
        <v>3322</v>
      </c>
      <c r="D283" s="64" t="s">
        <v>3323</v>
      </c>
      <c r="E283" s="64">
        <v>27</v>
      </c>
      <c r="F283" s="65" t="s">
        <v>60</v>
      </c>
      <c r="G283" s="58"/>
      <c r="H283" s="30" t="s">
        <v>228</v>
      </c>
      <c r="BF283" s="33"/>
      <c r="BG283" s="33"/>
      <c r="BH283" s="33"/>
      <c r="BI283" s="33"/>
      <c r="BJ283" s="33"/>
      <c r="BK283" s="33"/>
      <c r="BL283" s="33"/>
      <c r="BM283" s="33"/>
    </row>
    <row r="284" spans="1:65" ht="25.5" customHeight="1">
      <c r="A284" s="58">
        <v>273</v>
      </c>
      <c r="B284" s="62">
        <v>0</v>
      </c>
      <c r="C284" s="63" t="s">
        <v>3326</v>
      </c>
      <c r="D284" s="64" t="s">
        <v>3327</v>
      </c>
      <c r="E284" s="64">
        <v>55</v>
      </c>
      <c r="F284" s="65" t="s">
        <v>75</v>
      </c>
      <c r="G284" s="58"/>
      <c r="H284" s="30" t="s">
        <v>2815</v>
      </c>
      <c r="BF284" s="33"/>
      <c r="BG284" s="33"/>
      <c r="BH284" s="33"/>
      <c r="BI284" s="33"/>
      <c r="BJ284" s="33"/>
      <c r="BK284" s="33"/>
      <c r="BL284" s="33"/>
      <c r="BM284" s="33"/>
    </row>
    <row r="285" spans="1:65" ht="25.5" customHeight="1">
      <c r="A285" s="58">
        <v>274</v>
      </c>
      <c r="B285" s="62">
        <v>0</v>
      </c>
      <c r="C285" s="63" t="s">
        <v>3330</v>
      </c>
      <c r="D285" s="64" t="s">
        <v>3331</v>
      </c>
      <c r="E285" s="64">
        <v>32</v>
      </c>
      <c r="F285" s="65" t="s">
        <v>60</v>
      </c>
      <c r="G285" s="58"/>
      <c r="H285" s="30" t="s">
        <v>2815</v>
      </c>
      <c r="BF285" s="33"/>
      <c r="BG285" s="33"/>
      <c r="BH285" s="33"/>
      <c r="BI285" s="33"/>
      <c r="BJ285" s="33"/>
      <c r="BK285" s="33"/>
      <c r="BL285" s="33"/>
      <c r="BM285" s="33"/>
    </row>
    <row r="286" spans="1:65" ht="25.5" customHeight="1">
      <c r="A286" s="58">
        <v>275</v>
      </c>
      <c r="B286" s="62">
        <v>0</v>
      </c>
      <c r="C286" s="63" t="s">
        <v>3334</v>
      </c>
      <c r="D286" s="64" t="s">
        <v>3335</v>
      </c>
      <c r="E286" s="64">
        <v>58</v>
      </c>
      <c r="F286" s="65" t="s">
        <v>60</v>
      </c>
      <c r="G286" s="58"/>
      <c r="H286" s="30" t="s">
        <v>3337</v>
      </c>
      <c r="BF286" s="33"/>
      <c r="BG286" s="33"/>
      <c r="BH286" s="33"/>
      <c r="BI286" s="33"/>
      <c r="BJ286" s="33"/>
      <c r="BK286" s="33"/>
      <c r="BL286" s="33"/>
      <c r="BM286" s="33"/>
    </row>
    <row r="287" spans="1:65" ht="25.5" customHeight="1">
      <c r="A287" s="58">
        <v>276</v>
      </c>
      <c r="B287" s="62">
        <v>0</v>
      </c>
      <c r="C287" s="63" t="s">
        <v>3339</v>
      </c>
      <c r="D287" s="64" t="s">
        <v>3340</v>
      </c>
      <c r="E287" s="64">
        <v>38</v>
      </c>
      <c r="F287" s="65" t="s">
        <v>60</v>
      </c>
      <c r="G287" s="58"/>
      <c r="H287" s="30" t="s">
        <v>3342</v>
      </c>
      <c r="BF287" s="33"/>
      <c r="BG287" s="33"/>
      <c r="BH287" s="33"/>
      <c r="BI287" s="33"/>
      <c r="BJ287" s="33"/>
      <c r="BK287" s="33"/>
      <c r="BL287" s="33"/>
      <c r="BM287" s="33"/>
    </row>
    <row r="288" spans="1:65" ht="25.5" customHeight="1">
      <c r="A288" s="58">
        <v>277</v>
      </c>
      <c r="B288" s="62">
        <v>0</v>
      </c>
      <c r="C288" s="63" t="s">
        <v>3344</v>
      </c>
      <c r="D288" s="64" t="s">
        <v>3345</v>
      </c>
      <c r="E288" s="64">
        <v>29</v>
      </c>
      <c r="F288" s="65" t="s">
        <v>60</v>
      </c>
      <c r="G288" s="58"/>
      <c r="H288" s="30" t="s">
        <v>3347</v>
      </c>
      <c r="BF288" s="33"/>
      <c r="BG288" s="33"/>
      <c r="BH288" s="33"/>
      <c r="BI288" s="33"/>
      <c r="BJ288" s="33"/>
      <c r="BK288" s="33"/>
      <c r="BL288" s="33"/>
      <c r="BM288" s="33"/>
    </row>
    <row r="289" spans="1:65" ht="25.5" customHeight="1">
      <c r="A289" s="58">
        <v>278</v>
      </c>
      <c r="B289" s="62">
        <v>0</v>
      </c>
      <c r="C289" s="63" t="s">
        <v>3349</v>
      </c>
      <c r="D289" s="64" t="s">
        <v>3350</v>
      </c>
      <c r="E289" s="64">
        <v>26</v>
      </c>
      <c r="F289" s="65" t="s">
        <v>60</v>
      </c>
      <c r="G289" s="58"/>
      <c r="H289" s="30" t="s">
        <v>2010</v>
      </c>
      <c r="BF289" s="33"/>
      <c r="BG289" s="33"/>
      <c r="BH289" s="33"/>
      <c r="BI289" s="33"/>
      <c r="BJ289" s="33"/>
      <c r="BK289" s="33"/>
      <c r="BL289" s="33"/>
      <c r="BM289" s="33"/>
    </row>
    <row r="290" spans="1:65" ht="25.5" customHeight="1">
      <c r="A290" s="58">
        <v>279</v>
      </c>
      <c r="B290" s="62" t="s">
        <v>3353</v>
      </c>
      <c r="C290" s="63" t="s">
        <v>3354</v>
      </c>
      <c r="D290" s="64" t="s">
        <v>3355</v>
      </c>
      <c r="E290" s="64">
        <v>29</v>
      </c>
      <c r="F290" s="65" t="s">
        <v>60</v>
      </c>
      <c r="G290" s="58"/>
      <c r="H290" s="30" t="s">
        <v>228</v>
      </c>
      <c r="BF290" s="33"/>
      <c r="BG290" s="33"/>
      <c r="BH290" s="33"/>
      <c r="BI290" s="33"/>
      <c r="BJ290" s="33"/>
      <c r="BK290" s="33"/>
      <c r="BL290" s="33"/>
      <c r="BM290" s="33"/>
    </row>
    <row r="291" spans="1:65" ht="25.5" customHeight="1">
      <c r="A291" s="58">
        <v>280</v>
      </c>
      <c r="B291" s="62" t="s">
        <v>3358</v>
      </c>
      <c r="C291" s="63" t="s">
        <v>3359</v>
      </c>
      <c r="D291" s="64" t="s">
        <v>3360</v>
      </c>
      <c r="E291" s="64">
        <v>25</v>
      </c>
      <c r="F291" s="65" t="s">
        <v>75</v>
      </c>
      <c r="G291" s="58"/>
      <c r="H291" s="30" t="s">
        <v>228</v>
      </c>
      <c r="BF291" s="33"/>
      <c r="BG291" s="33"/>
      <c r="BH291" s="33"/>
      <c r="BI291" s="33"/>
      <c r="BJ291" s="33"/>
      <c r="BK291" s="33"/>
      <c r="BL291" s="33"/>
      <c r="BM291" s="33"/>
    </row>
    <row r="292" spans="1:65" ht="25.5" customHeight="1">
      <c r="A292" s="58">
        <v>281</v>
      </c>
      <c r="B292" s="62" t="s">
        <v>3362</v>
      </c>
      <c r="C292" s="63" t="s">
        <v>3363</v>
      </c>
      <c r="D292" s="64" t="s">
        <v>3364</v>
      </c>
      <c r="E292" s="64">
        <v>25</v>
      </c>
      <c r="F292" s="65" t="s">
        <v>60</v>
      </c>
      <c r="G292" s="58"/>
      <c r="H292" s="30" t="s">
        <v>228</v>
      </c>
      <c r="BF292" s="33"/>
      <c r="BG292" s="33"/>
      <c r="BH292" s="33"/>
      <c r="BI292" s="33"/>
      <c r="BJ292" s="33"/>
      <c r="BK292" s="33"/>
      <c r="BL292" s="33"/>
      <c r="BM292" s="33"/>
    </row>
    <row r="293" spans="1:65" ht="25.5" customHeight="1">
      <c r="A293" s="58">
        <v>282</v>
      </c>
      <c r="B293" s="62" t="s">
        <v>3367</v>
      </c>
      <c r="C293" s="63" t="s">
        <v>3368</v>
      </c>
      <c r="D293" s="64" t="s">
        <v>3369</v>
      </c>
      <c r="E293" s="64">
        <v>27</v>
      </c>
      <c r="F293" s="65" t="s">
        <v>60</v>
      </c>
      <c r="G293" s="58"/>
      <c r="H293" s="30" t="s">
        <v>228</v>
      </c>
      <c r="BF293" s="33"/>
      <c r="BG293" s="33"/>
      <c r="BH293" s="33"/>
      <c r="BI293" s="33"/>
      <c r="BJ293" s="33"/>
      <c r="BK293" s="33"/>
      <c r="BL293" s="33"/>
      <c r="BM293" s="33"/>
    </row>
    <row r="294" spans="1:65" ht="25.5" customHeight="1">
      <c r="A294" s="58">
        <v>283</v>
      </c>
      <c r="B294" s="62">
        <v>0</v>
      </c>
      <c r="C294" s="63" t="s">
        <v>3372</v>
      </c>
      <c r="D294" s="64" t="s">
        <v>3373</v>
      </c>
      <c r="E294" s="64">
        <v>28</v>
      </c>
      <c r="F294" s="65" t="s">
        <v>60</v>
      </c>
      <c r="G294" s="58"/>
      <c r="H294" s="30" t="s">
        <v>3375</v>
      </c>
    </row>
    <row r="295" spans="1:65" ht="25.5" customHeight="1">
      <c r="A295" s="58">
        <v>284</v>
      </c>
      <c r="B295" s="62" t="s">
        <v>3377</v>
      </c>
      <c r="C295" s="63" t="s">
        <v>3378</v>
      </c>
      <c r="D295" s="64" t="s">
        <v>3379</v>
      </c>
      <c r="E295" s="64">
        <v>24</v>
      </c>
      <c r="F295" s="65" t="s">
        <v>75</v>
      </c>
      <c r="G295" s="58"/>
      <c r="H295" s="30" t="s">
        <v>228</v>
      </c>
    </row>
    <row r="296" spans="1:65" ht="25.5" customHeight="1">
      <c r="A296" s="58">
        <v>285</v>
      </c>
      <c r="B296" s="62" t="s">
        <v>3382</v>
      </c>
      <c r="C296" s="63" t="s">
        <v>3383</v>
      </c>
      <c r="D296" s="64" t="s">
        <v>3384</v>
      </c>
      <c r="E296" s="64">
        <v>30</v>
      </c>
      <c r="F296" s="65" t="s">
        <v>75</v>
      </c>
      <c r="G296" s="58"/>
      <c r="H296" s="30" t="s">
        <v>228</v>
      </c>
    </row>
    <row r="297" spans="1:65" ht="25.5" customHeight="1">
      <c r="A297" s="58">
        <v>286</v>
      </c>
      <c r="B297" s="62" t="s">
        <v>3387</v>
      </c>
      <c r="C297" s="63" t="s">
        <v>3388</v>
      </c>
      <c r="D297" s="64" t="s">
        <v>3389</v>
      </c>
      <c r="E297" s="64">
        <v>20</v>
      </c>
      <c r="F297" s="65" t="s">
        <v>75</v>
      </c>
      <c r="G297" s="58"/>
      <c r="H297" s="30" t="s">
        <v>228</v>
      </c>
    </row>
    <row r="298" spans="1:65" ht="25.5" customHeight="1">
      <c r="A298" s="58">
        <v>287</v>
      </c>
      <c r="B298" s="62">
        <v>0</v>
      </c>
      <c r="C298" s="63" t="s">
        <v>3392</v>
      </c>
      <c r="D298" s="64" t="s">
        <v>3393</v>
      </c>
      <c r="E298" s="64">
        <v>21</v>
      </c>
      <c r="F298" s="65" t="s">
        <v>75</v>
      </c>
      <c r="G298" s="58"/>
      <c r="H298" s="30" t="s">
        <v>3395</v>
      </c>
    </row>
    <row r="299" spans="1:65" ht="25.5" customHeight="1">
      <c r="A299" s="58">
        <v>288</v>
      </c>
      <c r="B299" s="62">
        <v>0</v>
      </c>
      <c r="C299" s="63" t="s">
        <v>3397</v>
      </c>
      <c r="D299" s="64" t="s">
        <v>3398</v>
      </c>
      <c r="E299" s="64">
        <v>36</v>
      </c>
      <c r="F299" s="65" t="s">
        <v>60</v>
      </c>
      <c r="G299" s="58"/>
      <c r="H299" s="30" t="s">
        <v>2272</v>
      </c>
    </row>
    <row r="300" spans="1:65" ht="25.5" customHeight="1">
      <c r="A300" s="58">
        <v>289</v>
      </c>
      <c r="B300" s="62">
        <v>0</v>
      </c>
      <c r="C300" s="63" t="s">
        <v>3401</v>
      </c>
      <c r="D300" s="64" t="s">
        <v>3402</v>
      </c>
      <c r="E300" s="64">
        <v>31</v>
      </c>
      <c r="F300" s="65" t="s">
        <v>60</v>
      </c>
      <c r="G300" s="58"/>
      <c r="H300" s="30" t="s">
        <v>3404</v>
      </c>
    </row>
    <row r="301" spans="1:65" ht="25.5" customHeight="1">
      <c r="A301" s="58">
        <v>290</v>
      </c>
      <c r="B301" s="62">
        <v>0</v>
      </c>
      <c r="C301" s="63" t="s">
        <v>3406</v>
      </c>
      <c r="D301" s="64" t="s">
        <v>3407</v>
      </c>
      <c r="E301" s="64">
        <v>52</v>
      </c>
      <c r="F301" s="65" t="s">
        <v>75</v>
      </c>
      <c r="G301" s="58"/>
      <c r="H301" s="30" t="s">
        <v>3409</v>
      </c>
    </row>
    <row r="302" spans="1:65" ht="25.5" customHeight="1">
      <c r="A302" s="58">
        <v>291</v>
      </c>
      <c r="B302" s="62">
        <v>0</v>
      </c>
      <c r="C302" s="63" t="s">
        <v>3411</v>
      </c>
      <c r="D302" s="64" t="s">
        <v>3412</v>
      </c>
      <c r="E302" s="64">
        <v>29</v>
      </c>
      <c r="F302" s="65" t="s">
        <v>75</v>
      </c>
      <c r="G302" s="58"/>
      <c r="H302" s="30" t="s">
        <v>3414</v>
      </c>
    </row>
    <row r="303" spans="1:65" ht="25.5" customHeight="1">
      <c r="A303" s="58">
        <v>292</v>
      </c>
      <c r="B303" s="62">
        <v>0</v>
      </c>
      <c r="C303" s="63" t="s">
        <v>3416</v>
      </c>
      <c r="D303" s="64" t="s">
        <v>3417</v>
      </c>
      <c r="E303" s="64">
        <v>63</v>
      </c>
      <c r="F303" s="65" t="s">
        <v>60</v>
      </c>
      <c r="G303" s="58"/>
      <c r="H303" s="30" t="s">
        <v>3419</v>
      </c>
    </row>
    <row r="304" spans="1:65" ht="25.5" customHeight="1">
      <c r="A304" s="58">
        <v>293</v>
      </c>
      <c r="B304" s="62">
        <v>0</v>
      </c>
      <c r="C304" s="63" t="s">
        <v>3421</v>
      </c>
      <c r="D304" s="64" t="s">
        <v>3422</v>
      </c>
      <c r="E304" s="64">
        <v>29</v>
      </c>
      <c r="F304" s="65" t="s">
        <v>60</v>
      </c>
      <c r="G304" s="58"/>
      <c r="H304" s="30" t="s">
        <v>3424</v>
      </c>
    </row>
    <row r="305" spans="1:8" ht="25.5" customHeight="1">
      <c r="A305" s="58">
        <v>294</v>
      </c>
      <c r="B305" s="62">
        <v>0</v>
      </c>
      <c r="C305" s="63" t="s">
        <v>3426</v>
      </c>
      <c r="D305" s="64" t="s">
        <v>3427</v>
      </c>
      <c r="E305" s="64">
        <v>58</v>
      </c>
      <c r="F305" s="65" t="s">
        <v>60</v>
      </c>
      <c r="G305" s="58"/>
      <c r="H305" s="30" t="s">
        <v>3429</v>
      </c>
    </row>
    <row r="306" spans="1:8" ht="25.5" customHeight="1">
      <c r="A306" s="58">
        <v>295</v>
      </c>
      <c r="B306" s="62">
        <v>0</v>
      </c>
      <c r="C306" s="63" t="s">
        <v>3431</v>
      </c>
      <c r="D306" s="64" t="s">
        <v>3432</v>
      </c>
      <c r="E306" s="64">
        <v>55</v>
      </c>
      <c r="F306" s="65" t="s">
        <v>75</v>
      </c>
      <c r="G306" s="58"/>
      <c r="H306" s="30" t="s">
        <v>3434</v>
      </c>
    </row>
    <row r="307" spans="1:8" ht="25.5" customHeight="1">
      <c r="A307" s="58">
        <v>296</v>
      </c>
      <c r="B307" s="62">
        <v>0</v>
      </c>
      <c r="C307" s="63" t="s">
        <v>3436</v>
      </c>
      <c r="D307" s="64" t="s">
        <v>3437</v>
      </c>
      <c r="E307" s="64">
        <v>40</v>
      </c>
      <c r="F307" s="65" t="s">
        <v>75</v>
      </c>
      <c r="G307" s="58"/>
      <c r="H307" s="30" t="s">
        <v>1522</v>
      </c>
    </row>
    <row r="308" spans="1:8" ht="25.5" customHeight="1">
      <c r="A308" s="58">
        <v>297</v>
      </c>
      <c r="B308" s="62">
        <v>0</v>
      </c>
      <c r="C308" s="63" t="s">
        <v>3440</v>
      </c>
      <c r="D308" s="64" t="s">
        <v>3441</v>
      </c>
      <c r="E308" s="64">
        <v>49</v>
      </c>
      <c r="F308" s="65" t="s">
        <v>75</v>
      </c>
      <c r="G308" s="58"/>
      <c r="H308" s="30" t="s">
        <v>3443</v>
      </c>
    </row>
    <row r="309" spans="1:8" ht="25.5" customHeight="1">
      <c r="A309" s="58">
        <v>298</v>
      </c>
      <c r="B309" s="62">
        <v>0</v>
      </c>
      <c r="C309" s="63" t="s">
        <v>3445</v>
      </c>
      <c r="D309" s="64" t="s">
        <v>3446</v>
      </c>
      <c r="E309" s="64">
        <v>56</v>
      </c>
      <c r="F309" s="65" t="s">
        <v>75</v>
      </c>
      <c r="G309" s="58"/>
      <c r="H309" s="30" t="s">
        <v>3448</v>
      </c>
    </row>
    <row r="310" spans="1:8" ht="25.5" customHeight="1">
      <c r="A310" s="58">
        <v>299</v>
      </c>
      <c r="B310" s="62">
        <v>0</v>
      </c>
      <c r="C310" s="63" t="s">
        <v>3450</v>
      </c>
      <c r="D310" s="64" t="s">
        <v>3451</v>
      </c>
      <c r="E310" s="64">
        <v>30</v>
      </c>
      <c r="F310" s="65" t="s">
        <v>75</v>
      </c>
      <c r="G310" s="58"/>
      <c r="H310" s="30" t="s">
        <v>3453</v>
      </c>
    </row>
    <row r="311" spans="1:8" ht="25.5" customHeight="1">
      <c r="A311" s="58">
        <v>300</v>
      </c>
      <c r="B311" s="62">
        <v>0</v>
      </c>
      <c r="C311" s="63" t="s">
        <v>3455</v>
      </c>
      <c r="D311" s="64" t="s">
        <v>3456</v>
      </c>
      <c r="E311" s="64">
        <v>55</v>
      </c>
      <c r="F311" s="65" t="s">
        <v>60</v>
      </c>
      <c r="G311" s="58"/>
      <c r="H311" s="30" t="s">
        <v>2842</v>
      </c>
    </row>
    <row r="312" spans="1:8" ht="25.5" customHeight="1">
      <c r="A312" s="58">
        <v>301</v>
      </c>
      <c r="B312" s="62">
        <v>0</v>
      </c>
      <c r="C312" s="63" t="s">
        <v>3459</v>
      </c>
      <c r="D312" s="64" t="s">
        <v>3460</v>
      </c>
      <c r="E312" s="64">
        <v>53</v>
      </c>
      <c r="F312" s="65" t="s">
        <v>60</v>
      </c>
      <c r="G312" s="58"/>
      <c r="H312" s="30" t="s">
        <v>3462</v>
      </c>
    </row>
    <row r="313" spans="1:8" ht="25.5" customHeight="1">
      <c r="A313" s="58">
        <v>302</v>
      </c>
      <c r="B313" s="62">
        <v>0</v>
      </c>
      <c r="C313" s="63" t="s">
        <v>3464</v>
      </c>
      <c r="D313" s="64" t="s">
        <v>3465</v>
      </c>
      <c r="E313" s="64">
        <v>40</v>
      </c>
      <c r="F313" s="65" t="s">
        <v>75</v>
      </c>
      <c r="G313" s="58"/>
      <c r="H313" s="30" t="s">
        <v>3467</v>
      </c>
    </row>
    <row r="314" spans="1:8" ht="25.5" customHeight="1">
      <c r="A314" s="58">
        <v>303</v>
      </c>
      <c r="B314" s="62">
        <v>0</v>
      </c>
      <c r="C314" s="63" t="s">
        <v>3469</v>
      </c>
      <c r="D314" s="64" t="s">
        <v>3470</v>
      </c>
      <c r="E314" s="64">
        <v>39</v>
      </c>
      <c r="F314" s="65" t="s">
        <v>75</v>
      </c>
      <c r="G314" s="58"/>
      <c r="H314" s="30" t="s">
        <v>3472</v>
      </c>
    </row>
    <row r="315" spans="1:8" ht="25.5" customHeight="1">
      <c r="A315" s="58">
        <v>304</v>
      </c>
      <c r="B315" s="62">
        <v>0</v>
      </c>
      <c r="C315" s="63" t="s">
        <v>3474</v>
      </c>
      <c r="D315" s="64" t="s">
        <v>3475</v>
      </c>
      <c r="E315" s="64">
        <v>38</v>
      </c>
      <c r="F315" s="65" t="s">
        <v>60</v>
      </c>
      <c r="G315" s="58"/>
      <c r="H315" s="30" t="s">
        <v>3477</v>
      </c>
    </row>
    <row r="316" spans="1:8" ht="25.5" customHeight="1">
      <c r="A316" s="58">
        <v>305</v>
      </c>
      <c r="B316" s="62">
        <v>0</v>
      </c>
      <c r="C316" s="63" t="s">
        <v>3479</v>
      </c>
      <c r="D316" s="64" t="s">
        <v>3480</v>
      </c>
      <c r="E316" s="64">
        <v>36</v>
      </c>
      <c r="F316" s="65" t="s">
        <v>75</v>
      </c>
      <c r="G316" s="58"/>
      <c r="H316" s="30" t="s">
        <v>3482</v>
      </c>
    </row>
    <row r="317" spans="1:8" ht="25.5" customHeight="1">
      <c r="A317" s="58">
        <v>306</v>
      </c>
      <c r="B317" s="62">
        <v>0</v>
      </c>
      <c r="C317" s="63" t="s">
        <v>3484</v>
      </c>
      <c r="D317" s="64" t="s">
        <v>3485</v>
      </c>
      <c r="E317" s="64">
        <v>62</v>
      </c>
      <c r="F317" s="65" t="s">
        <v>75</v>
      </c>
      <c r="G317" s="58"/>
      <c r="H317" s="30" t="s">
        <v>1621</v>
      </c>
    </row>
    <row r="318" spans="1:8" ht="25.5" customHeight="1">
      <c r="A318" s="58">
        <v>307</v>
      </c>
      <c r="B318" s="62" t="s">
        <v>3488</v>
      </c>
      <c r="C318" s="63" t="s">
        <v>3489</v>
      </c>
      <c r="D318" s="64" t="s">
        <v>3490</v>
      </c>
      <c r="E318" s="64">
        <v>26</v>
      </c>
      <c r="F318" s="65" t="s">
        <v>75</v>
      </c>
      <c r="G318" s="58"/>
      <c r="H318" s="30" t="s">
        <v>228</v>
      </c>
    </row>
    <row r="319" spans="1:8" ht="25.5" customHeight="1">
      <c r="A319" s="58">
        <v>308</v>
      </c>
      <c r="B319" s="62">
        <v>0</v>
      </c>
      <c r="C319" s="63" t="s">
        <v>3493</v>
      </c>
      <c r="D319" s="64" t="s">
        <v>3494</v>
      </c>
      <c r="E319" s="64">
        <v>65</v>
      </c>
      <c r="F319" s="65" t="s">
        <v>60</v>
      </c>
      <c r="G319" s="58"/>
      <c r="H319" s="30" t="s">
        <v>3496</v>
      </c>
    </row>
    <row r="320" spans="1:8" ht="25.5" customHeight="1">
      <c r="A320" s="58">
        <v>309</v>
      </c>
      <c r="B320" s="62">
        <v>0</v>
      </c>
      <c r="C320" s="63" t="s">
        <v>3498</v>
      </c>
      <c r="D320" s="64" t="s">
        <v>3499</v>
      </c>
      <c r="E320" s="64">
        <v>55</v>
      </c>
      <c r="F320" s="65" t="s">
        <v>60</v>
      </c>
      <c r="G320" s="58"/>
      <c r="H320" s="30" t="s">
        <v>3501</v>
      </c>
    </row>
    <row r="321" spans="1:8" ht="25.5" customHeight="1">
      <c r="A321" s="58">
        <v>310</v>
      </c>
      <c r="B321" s="62">
        <v>0</v>
      </c>
      <c r="C321" s="63" t="s">
        <v>3503</v>
      </c>
      <c r="D321" s="64" t="s">
        <v>3504</v>
      </c>
      <c r="E321" s="64">
        <v>69</v>
      </c>
      <c r="F321" s="65" t="s">
        <v>60</v>
      </c>
      <c r="G321" s="58"/>
      <c r="H321" s="30" t="s">
        <v>3506</v>
      </c>
    </row>
    <row r="322" spans="1:8" ht="25.5" customHeight="1">
      <c r="A322" s="58">
        <v>311</v>
      </c>
      <c r="B322" s="62">
        <v>0</v>
      </c>
      <c r="C322" s="63" t="s">
        <v>3508</v>
      </c>
      <c r="D322" s="64" t="s">
        <v>3509</v>
      </c>
      <c r="E322" s="64">
        <v>67</v>
      </c>
      <c r="F322" s="65" t="s">
        <v>75</v>
      </c>
      <c r="G322" s="58"/>
      <c r="H322" s="30" t="s">
        <v>3511</v>
      </c>
    </row>
    <row r="323" spans="1:8" ht="25.5" customHeight="1">
      <c r="A323" s="58">
        <v>312</v>
      </c>
      <c r="B323" s="62">
        <v>0</v>
      </c>
      <c r="C323" s="63" t="s">
        <v>3513</v>
      </c>
      <c r="D323" s="64" t="s">
        <v>3514</v>
      </c>
      <c r="E323" s="64">
        <v>52</v>
      </c>
      <c r="F323" s="65" t="s">
        <v>60</v>
      </c>
      <c r="G323" s="58"/>
      <c r="H323" s="30" t="s">
        <v>3516</v>
      </c>
    </row>
    <row r="324" spans="1:8" ht="25.5" customHeight="1">
      <c r="A324" s="58">
        <v>313</v>
      </c>
      <c r="B324" s="62">
        <v>0</v>
      </c>
      <c r="C324" s="63" t="s">
        <v>3518</v>
      </c>
      <c r="D324" s="64" t="s">
        <v>3519</v>
      </c>
      <c r="E324" s="64">
        <v>54</v>
      </c>
      <c r="F324" s="65" t="s">
        <v>60</v>
      </c>
      <c r="G324" s="58"/>
      <c r="H324" s="30" t="s">
        <v>3521</v>
      </c>
    </row>
    <row r="325" spans="1:8" ht="25.5" customHeight="1">
      <c r="A325" s="58">
        <v>314</v>
      </c>
      <c r="B325" s="62" t="s">
        <v>3523</v>
      </c>
      <c r="C325" s="63" t="s">
        <v>3524</v>
      </c>
      <c r="D325" s="64" t="s">
        <v>3525</v>
      </c>
      <c r="E325" s="64">
        <v>22</v>
      </c>
      <c r="F325" s="65" t="s">
        <v>60</v>
      </c>
      <c r="G325" s="58"/>
      <c r="H325" s="30" t="s">
        <v>228</v>
      </c>
    </row>
    <row r="326" spans="1:8" ht="25.5" customHeight="1">
      <c r="A326" s="58">
        <v>315</v>
      </c>
      <c r="B326" s="62">
        <v>0</v>
      </c>
      <c r="C326" s="63" t="s">
        <v>3528</v>
      </c>
      <c r="D326" s="64" t="s">
        <v>3529</v>
      </c>
      <c r="E326" s="64">
        <v>56</v>
      </c>
      <c r="F326" s="65" t="s">
        <v>60</v>
      </c>
      <c r="G326" s="58"/>
      <c r="H326" s="30" t="s">
        <v>3531</v>
      </c>
    </row>
    <row r="327" spans="1:8" ht="25.5" customHeight="1">
      <c r="A327" s="58">
        <v>316</v>
      </c>
      <c r="B327" s="62">
        <v>0</v>
      </c>
      <c r="C327" s="63" t="s">
        <v>3533</v>
      </c>
      <c r="D327" s="64" t="s">
        <v>3534</v>
      </c>
      <c r="E327" s="64">
        <v>50</v>
      </c>
      <c r="F327" s="65" t="s">
        <v>60</v>
      </c>
      <c r="G327" s="58"/>
      <c r="H327" s="30" t="s">
        <v>3536</v>
      </c>
    </row>
    <row r="328" spans="1:8" ht="25.5" customHeight="1">
      <c r="A328" s="58">
        <v>317</v>
      </c>
      <c r="B328" s="62">
        <v>0</v>
      </c>
      <c r="C328" s="63" t="s">
        <v>3538</v>
      </c>
      <c r="D328" s="64" t="s">
        <v>3539</v>
      </c>
      <c r="E328" s="64">
        <v>53</v>
      </c>
      <c r="F328" s="65" t="s">
        <v>60</v>
      </c>
      <c r="G328" s="58"/>
      <c r="H328" s="30" t="s">
        <v>3541</v>
      </c>
    </row>
    <row r="329" spans="1:8" ht="25.5" customHeight="1">
      <c r="A329" s="58">
        <v>318</v>
      </c>
      <c r="B329" s="62">
        <v>0</v>
      </c>
      <c r="C329" s="63" t="s">
        <v>3543</v>
      </c>
      <c r="D329" s="64" t="s">
        <v>3544</v>
      </c>
      <c r="E329" s="64">
        <v>51</v>
      </c>
      <c r="F329" s="65" t="s">
        <v>75</v>
      </c>
      <c r="G329" s="58"/>
      <c r="H329" s="30" t="s">
        <v>730</v>
      </c>
    </row>
    <row r="330" spans="1:8" ht="25.5" customHeight="1">
      <c r="A330" s="58">
        <v>319</v>
      </c>
      <c r="B330" s="62">
        <v>0</v>
      </c>
      <c r="C330" s="63" t="s">
        <v>3547</v>
      </c>
      <c r="D330" s="64" t="s">
        <v>3548</v>
      </c>
      <c r="E330" s="64">
        <v>39</v>
      </c>
      <c r="F330" s="65" t="s">
        <v>60</v>
      </c>
      <c r="G330" s="58"/>
      <c r="H330" s="30" t="s">
        <v>3550</v>
      </c>
    </row>
    <row r="331" spans="1:8" ht="25.5" customHeight="1">
      <c r="A331" s="58">
        <v>320</v>
      </c>
      <c r="B331" s="62">
        <v>0</v>
      </c>
      <c r="C331" s="63" t="s">
        <v>3552</v>
      </c>
      <c r="D331" s="64" t="s">
        <v>3553</v>
      </c>
      <c r="E331" s="64">
        <v>73</v>
      </c>
      <c r="F331" s="65" t="s">
        <v>75</v>
      </c>
      <c r="G331" s="58"/>
      <c r="H331" s="30" t="s">
        <v>3555</v>
      </c>
    </row>
    <row r="332" spans="1:8" ht="25.5" customHeight="1">
      <c r="A332" s="58">
        <v>321</v>
      </c>
      <c r="B332" s="62">
        <v>0</v>
      </c>
      <c r="C332" s="63" t="s">
        <v>3557</v>
      </c>
      <c r="D332" s="64" t="s">
        <v>3558</v>
      </c>
      <c r="E332" s="64">
        <v>38</v>
      </c>
      <c r="F332" s="65" t="s">
        <v>60</v>
      </c>
      <c r="G332" s="58"/>
      <c r="H332" s="30" t="s">
        <v>3560</v>
      </c>
    </row>
    <row r="333" spans="1:8" ht="25.5" customHeight="1">
      <c r="A333" s="58">
        <v>322</v>
      </c>
      <c r="B333" s="62">
        <v>0</v>
      </c>
      <c r="C333" s="63" t="s">
        <v>3562</v>
      </c>
      <c r="D333" s="64" t="s">
        <v>3563</v>
      </c>
      <c r="E333" s="64">
        <v>43</v>
      </c>
      <c r="F333" s="65" t="s">
        <v>75</v>
      </c>
      <c r="G333" s="58"/>
      <c r="H333" s="30" t="s">
        <v>3565</v>
      </c>
    </row>
    <row r="334" spans="1:8" ht="25.5" customHeight="1">
      <c r="A334" s="58">
        <v>323</v>
      </c>
      <c r="B334" s="62">
        <v>0</v>
      </c>
      <c r="C334" s="63" t="s">
        <v>3567</v>
      </c>
      <c r="D334" s="64" t="s">
        <v>3568</v>
      </c>
      <c r="E334" s="64">
        <v>20</v>
      </c>
      <c r="F334" s="65" t="s">
        <v>75</v>
      </c>
      <c r="G334" s="58"/>
      <c r="H334" s="30" t="s">
        <v>3570</v>
      </c>
    </row>
    <row r="335" spans="1:8" ht="25.5" customHeight="1">
      <c r="A335" s="58">
        <v>324</v>
      </c>
      <c r="B335" s="62" t="s">
        <v>3572</v>
      </c>
      <c r="C335" s="63" t="s">
        <v>3573</v>
      </c>
      <c r="D335" s="64" t="s">
        <v>3574</v>
      </c>
      <c r="E335" s="64">
        <v>21</v>
      </c>
      <c r="F335" s="65" t="s">
        <v>60</v>
      </c>
      <c r="G335" s="58"/>
      <c r="H335" s="30" t="s">
        <v>228</v>
      </c>
    </row>
    <row r="336" spans="1:8" ht="25.5" customHeight="1">
      <c r="A336" s="58">
        <v>325</v>
      </c>
      <c r="B336" s="62">
        <v>0</v>
      </c>
      <c r="C336" s="63" t="s">
        <v>3577</v>
      </c>
      <c r="D336" s="64" t="s">
        <v>3578</v>
      </c>
      <c r="E336" s="64">
        <v>56</v>
      </c>
      <c r="F336" s="65" t="s">
        <v>75</v>
      </c>
      <c r="G336" s="58"/>
      <c r="H336" s="30" t="s">
        <v>3580</v>
      </c>
    </row>
    <row r="337" spans="1:8" ht="25.5" customHeight="1">
      <c r="A337" s="58">
        <v>326</v>
      </c>
      <c r="B337" s="62">
        <v>0</v>
      </c>
      <c r="C337" s="63" t="s">
        <v>3588</v>
      </c>
      <c r="D337" s="64" t="s">
        <v>3589</v>
      </c>
      <c r="E337" s="64">
        <v>55</v>
      </c>
      <c r="F337" s="65" t="s">
        <v>75</v>
      </c>
      <c r="G337" s="58"/>
      <c r="H337" s="30" t="s">
        <v>228</v>
      </c>
    </row>
    <row r="338" spans="1:8" ht="25.5" customHeight="1">
      <c r="A338" s="58">
        <v>327</v>
      </c>
      <c r="B338" s="62">
        <v>0</v>
      </c>
      <c r="C338" s="63" t="s">
        <v>3592</v>
      </c>
      <c r="D338" s="64" t="s">
        <v>3593</v>
      </c>
      <c r="E338" s="64">
        <v>56</v>
      </c>
      <c r="F338" s="65" t="s">
        <v>60</v>
      </c>
      <c r="G338" s="58"/>
      <c r="H338" s="30" t="s">
        <v>3595</v>
      </c>
    </row>
    <row r="339" spans="1:8" ht="25.5" customHeight="1">
      <c r="A339" s="58">
        <v>328</v>
      </c>
      <c r="B339" s="62">
        <v>0</v>
      </c>
      <c r="C339" s="63" t="s">
        <v>3597</v>
      </c>
      <c r="D339" s="64" t="s">
        <v>3598</v>
      </c>
      <c r="E339" s="64">
        <v>83</v>
      </c>
      <c r="F339" s="65" t="s">
        <v>75</v>
      </c>
      <c r="G339" s="58"/>
      <c r="H339" s="30" t="s">
        <v>228</v>
      </c>
    </row>
    <row r="340" spans="1:8" ht="25.5" customHeight="1">
      <c r="A340" s="58">
        <v>329</v>
      </c>
      <c r="B340" s="62">
        <v>0</v>
      </c>
      <c r="C340" s="63" t="s">
        <v>3614</v>
      </c>
      <c r="D340" s="64" t="s">
        <v>3615</v>
      </c>
      <c r="E340" s="64">
        <v>41</v>
      </c>
      <c r="F340" s="65" t="s">
        <v>60</v>
      </c>
      <c r="G340" s="58"/>
      <c r="H340" s="30" t="s">
        <v>228</v>
      </c>
    </row>
    <row r="341" spans="1:8" ht="25.5" customHeight="1">
      <c r="A341" s="58">
        <v>330</v>
      </c>
      <c r="B341" s="62">
        <v>0</v>
      </c>
      <c r="C341" s="63" t="s">
        <v>3627</v>
      </c>
      <c r="D341" s="64" t="s">
        <v>3628</v>
      </c>
      <c r="E341" s="64">
        <v>44</v>
      </c>
      <c r="F341" s="65" t="s">
        <v>75</v>
      </c>
      <c r="G341" s="58"/>
      <c r="H341" s="30" t="s">
        <v>3630</v>
      </c>
    </row>
    <row r="342" spans="1:8" ht="25.5" customHeight="1">
      <c r="A342" s="58">
        <v>331</v>
      </c>
      <c r="B342" s="62">
        <v>0</v>
      </c>
      <c r="C342" s="63" t="s">
        <v>3632</v>
      </c>
      <c r="D342" s="64" t="s">
        <v>3633</v>
      </c>
      <c r="E342" s="64">
        <v>55</v>
      </c>
      <c r="F342" s="65" t="s">
        <v>60</v>
      </c>
      <c r="G342" s="58"/>
      <c r="H342" s="30" t="s">
        <v>3635</v>
      </c>
    </row>
    <row r="343" spans="1:8" ht="25.5" customHeight="1">
      <c r="A343" s="58">
        <v>332</v>
      </c>
      <c r="B343" s="62">
        <v>0</v>
      </c>
      <c r="C343" s="63" t="s">
        <v>3658</v>
      </c>
      <c r="D343" s="64" t="s">
        <v>3659</v>
      </c>
      <c r="E343" s="64">
        <v>58</v>
      </c>
      <c r="F343" s="65" t="s">
        <v>60</v>
      </c>
      <c r="G343" s="58"/>
      <c r="H343" s="30" t="s">
        <v>3662</v>
      </c>
    </row>
    <row r="344" spans="1:8" ht="25.5" customHeight="1">
      <c r="A344" s="58">
        <v>333</v>
      </c>
      <c r="B344" s="62">
        <v>0</v>
      </c>
      <c r="C344" s="63" t="s">
        <v>3673</v>
      </c>
      <c r="D344" s="64" t="s">
        <v>3674</v>
      </c>
      <c r="E344" s="64">
        <v>62</v>
      </c>
      <c r="F344" s="65" t="s">
        <v>75</v>
      </c>
      <c r="G344" s="58"/>
      <c r="H344" s="30" t="s">
        <v>3676</v>
      </c>
    </row>
    <row r="345" spans="1:8" ht="25.5" customHeight="1">
      <c r="A345" s="58">
        <v>334</v>
      </c>
      <c r="B345" s="62">
        <v>0</v>
      </c>
      <c r="C345" s="63" t="s">
        <v>3682</v>
      </c>
      <c r="D345" s="64" t="s">
        <v>3683</v>
      </c>
      <c r="E345" s="64">
        <v>54</v>
      </c>
      <c r="F345" s="65" t="s">
        <v>60</v>
      </c>
      <c r="G345" s="58"/>
      <c r="H345" s="30" t="s">
        <v>3685</v>
      </c>
    </row>
    <row r="346" spans="1:8" ht="25.5" customHeight="1">
      <c r="A346" s="58">
        <v>335</v>
      </c>
      <c r="B346" s="62">
        <v>0</v>
      </c>
      <c r="C346" s="63" t="s">
        <v>3712</v>
      </c>
      <c r="D346" s="64" t="s">
        <v>3713</v>
      </c>
      <c r="E346" s="64">
        <v>77</v>
      </c>
      <c r="F346" s="65" t="s">
        <v>60</v>
      </c>
      <c r="G346" s="58"/>
      <c r="H346" s="30" t="s">
        <v>228</v>
      </c>
    </row>
    <row r="347" spans="1:8" ht="25.5" customHeight="1">
      <c r="A347" s="58">
        <v>336</v>
      </c>
      <c r="B347" s="62"/>
      <c r="C347" s="63" t="s">
        <v>3726</v>
      </c>
      <c r="D347" s="64" t="s">
        <v>3727</v>
      </c>
      <c r="E347" s="64">
        <v>57</v>
      </c>
      <c r="F347" s="65" t="s">
        <v>60</v>
      </c>
      <c r="G347" s="58"/>
      <c r="H347" s="30" t="s">
        <v>3414</v>
      </c>
    </row>
    <row r="348" spans="1:8" ht="25.5" customHeight="1">
      <c r="A348" s="58">
        <v>337</v>
      </c>
      <c r="B348" s="62">
        <v>0</v>
      </c>
      <c r="C348" s="63" t="s">
        <v>3746</v>
      </c>
      <c r="D348" s="64" t="s">
        <v>3747</v>
      </c>
      <c r="E348" s="64">
        <v>66</v>
      </c>
      <c r="F348" s="65" t="s">
        <v>60</v>
      </c>
      <c r="G348" s="58"/>
      <c r="H348" s="30" t="s">
        <v>228</v>
      </c>
    </row>
    <row r="349" spans="1:8" ht="25.5" customHeight="1">
      <c r="A349" s="58">
        <v>338</v>
      </c>
      <c r="B349" s="62">
        <v>0</v>
      </c>
      <c r="C349" s="63" t="s">
        <v>3759</v>
      </c>
      <c r="D349" s="64" t="s">
        <v>3760</v>
      </c>
      <c r="E349" s="64">
        <v>55</v>
      </c>
      <c r="F349" s="65" t="s">
        <v>75</v>
      </c>
      <c r="G349" s="58"/>
      <c r="H349" s="30" t="s">
        <v>228</v>
      </c>
    </row>
    <row r="350" spans="1:8" ht="25.5" customHeight="1">
      <c r="A350" s="58">
        <v>339</v>
      </c>
      <c r="B350" s="62">
        <v>0</v>
      </c>
      <c r="C350" s="63" t="s">
        <v>3770</v>
      </c>
      <c r="D350" s="64" t="s">
        <v>3771</v>
      </c>
      <c r="E350" s="64">
        <v>33</v>
      </c>
      <c r="F350" s="65" t="s">
        <v>75</v>
      </c>
      <c r="G350" s="58"/>
      <c r="H350" s="30" t="s">
        <v>228</v>
      </c>
    </row>
    <row r="351" spans="1:8" ht="25.5" customHeight="1">
      <c r="A351" s="58">
        <v>340</v>
      </c>
      <c r="B351" s="62">
        <v>0</v>
      </c>
      <c r="C351" s="63" t="s">
        <v>3780</v>
      </c>
      <c r="D351" s="64" t="s">
        <v>3781</v>
      </c>
      <c r="E351" s="64">
        <v>57</v>
      </c>
      <c r="F351" s="65" t="s">
        <v>60</v>
      </c>
      <c r="G351" s="58"/>
      <c r="H351" s="30" t="s">
        <v>228</v>
      </c>
    </row>
    <row r="352" spans="1:8" ht="25.5" customHeight="1">
      <c r="A352" s="58">
        <v>341</v>
      </c>
      <c r="B352" s="62">
        <v>0</v>
      </c>
      <c r="C352" s="63" t="s">
        <v>3789</v>
      </c>
      <c r="D352" s="64" t="s">
        <v>3790</v>
      </c>
      <c r="E352" s="64">
        <v>63</v>
      </c>
      <c r="F352" s="65" t="s">
        <v>75</v>
      </c>
      <c r="G352" s="58"/>
      <c r="H352" s="30" t="s">
        <v>228</v>
      </c>
    </row>
    <row r="353" spans="1:8" ht="25.5" customHeight="1">
      <c r="A353" s="58">
        <v>342</v>
      </c>
      <c r="B353" s="62"/>
      <c r="C353" s="63" t="s">
        <v>3797</v>
      </c>
      <c r="D353" s="64" t="s">
        <v>3798</v>
      </c>
      <c r="E353" s="64">
        <v>27</v>
      </c>
      <c r="F353" s="65" t="s">
        <v>60</v>
      </c>
      <c r="G353" s="58"/>
      <c r="H353" s="30" t="s">
        <v>3800</v>
      </c>
    </row>
    <row r="354" spans="1:8" ht="25.5" customHeight="1">
      <c r="A354" s="58">
        <v>343</v>
      </c>
      <c r="B354" s="62">
        <v>0</v>
      </c>
      <c r="C354" s="63" t="s">
        <v>3807</v>
      </c>
      <c r="D354" s="64" t="s">
        <v>3808</v>
      </c>
      <c r="E354" s="64">
        <v>29</v>
      </c>
      <c r="F354" s="65" t="s">
        <v>60</v>
      </c>
      <c r="G354" s="58"/>
      <c r="H354" s="30" t="s">
        <v>228</v>
      </c>
    </row>
    <row r="355" spans="1:8" ht="25.5" customHeight="1">
      <c r="A355" s="58">
        <v>344</v>
      </c>
      <c r="B355" s="62">
        <v>0</v>
      </c>
      <c r="C355" s="63" t="s">
        <v>3811</v>
      </c>
      <c r="D355" s="64" t="s">
        <v>3812</v>
      </c>
      <c r="E355" s="64">
        <v>60</v>
      </c>
      <c r="F355" s="65" t="s">
        <v>60</v>
      </c>
      <c r="G355" s="58"/>
      <c r="H355" s="30" t="s">
        <v>228</v>
      </c>
    </row>
    <row r="356" spans="1:8" ht="25.5" customHeight="1">
      <c r="A356" s="58">
        <v>345</v>
      </c>
      <c r="B356" s="62">
        <v>0</v>
      </c>
      <c r="C356" s="63" t="s">
        <v>3814</v>
      </c>
      <c r="D356" s="64" t="s">
        <v>3815</v>
      </c>
      <c r="E356" s="64">
        <v>64</v>
      </c>
      <c r="F356" s="65" t="s">
        <v>60</v>
      </c>
      <c r="G356" s="58"/>
      <c r="H356" s="30" t="s">
        <v>228</v>
      </c>
    </row>
    <row r="357" spans="1:8" ht="25.5" customHeight="1">
      <c r="A357" s="58">
        <v>346</v>
      </c>
      <c r="B357" s="62">
        <v>0</v>
      </c>
      <c r="C357" s="63" t="s">
        <v>3818</v>
      </c>
      <c r="D357" s="64" t="s">
        <v>3819</v>
      </c>
      <c r="E357" s="64">
        <v>58</v>
      </c>
      <c r="F357" s="65" t="s">
        <v>75</v>
      </c>
      <c r="G357" s="58"/>
      <c r="H357" s="30" t="s">
        <v>228</v>
      </c>
    </row>
    <row r="358" spans="1:8" ht="25.5" customHeight="1">
      <c r="A358" s="58">
        <v>347</v>
      </c>
      <c r="B358" s="62">
        <v>0</v>
      </c>
      <c r="C358" s="63" t="s">
        <v>3846</v>
      </c>
      <c r="D358" s="64" t="s">
        <v>3847</v>
      </c>
      <c r="E358" s="64">
        <v>46</v>
      </c>
      <c r="F358" s="65" t="s">
        <v>75</v>
      </c>
      <c r="G358" s="58"/>
      <c r="H358" s="30" t="s">
        <v>228</v>
      </c>
    </row>
    <row r="359" spans="1:8" ht="25.5" customHeight="1">
      <c r="A359" s="58">
        <v>348</v>
      </c>
      <c r="B359" s="62">
        <v>0</v>
      </c>
      <c r="C359" s="63" t="s">
        <v>3850</v>
      </c>
      <c r="D359" s="64" t="s">
        <v>3851</v>
      </c>
      <c r="E359" s="64">
        <v>41</v>
      </c>
      <c r="F359" s="65" t="s">
        <v>60</v>
      </c>
      <c r="G359" s="58"/>
      <c r="H359" s="30" t="s">
        <v>228</v>
      </c>
    </row>
    <row r="360" spans="1:8" ht="25.5" customHeight="1">
      <c r="A360" s="58">
        <v>349</v>
      </c>
      <c r="B360" s="62">
        <v>0</v>
      </c>
      <c r="C360" s="63" t="s">
        <v>3854</v>
      </c>
      <c r="D360" s="64" t="s">
        <v>3855</v>
      </c>
      <c r="E360" s="64">
        <v>36</v>
      </c>
      <c r="F360" s="65" t="s">
        <v>60</v>
      </c>
      <c r="G360" s="58"/>
      <c r="H360" s="30" t="s">
        <v>228</v>
      </c>
    </row>
    <row r="361" spans="1:8" ht="25.5" customHeight="1">
      <c r="A361" s="58">
        <v>350</v>
      </c>
      <c r="B361" s="62">
        <v>0</v>
      </c>
      <c r="C361" s="63" t="s">
        <v>3858</v>
      </c>
      <c r="D361" s="64" t="s">
        <v>3859</v>
      </c>
      <c r="E361" s="64">
        <v>36</v>
      </c>
      <c r="F361" s="65" t="s">
        <v>60</v>
      </c>
      <c r="G361" s="58"/>
      <c r="H361" s="30" t="s">
        <v>228</v>
      </c>
    </row>
    <row r="362" spans="1:8" ht="25.5" customHeight="1">
      <c r="A362" s="58">
        <v>351</v>
      </c>
      <c r="B362" s="62">
        <v>0</v>
      </c>
      <c r="C362" s="63" t="s">
        <v>3862</v>
      </c>
      <c r="D362" s="64" t="s">
        <v>3863</v>
      </c>
      <c r="E362" s="64">
        <v>39</v>
      </c>
      <c r="F362" s="65" t="s">
        <v>75</v>
      </c>
      <c r="G362" s="58"/>
      <c r="H362" s="30" t="s">
        <v>228</v>
      </c>
    </row>
    <row r="363" spans="1:8" ht="25.5" customHeight="1">
      <c r="A363" s="58">
        <v>352</v>
      </c>
      <c r="B363" s="62">
        <v>0</v>
      </c>
      <c r="C363" s="63" t="s">
        <v>3866</v>
      </c>
      <c r="D363" s="64" t="s">
        <v>3867</v>
      </c>
      <c r="E363" s="64">
        <v>51</v>
      </c>
      <c r="F363" s="65" t="s">
        <v>60</v>
      </c>
      <c r="G363" s="58"/>
      <c r="H363" s="30" t="s">
        <v>228</v>
      </c>
    </row>
    <row r="364" spans="1:8" ht="25.5" customHeight="1">
      <c r="A364" s="58">
        <v>353</v>
      </c>
      <c r="B364" s="62">
        <v>0</v>
      </c>
      <c r="C364" s="63" t="s">
        <v>3876</v>
      </c>
      <c r="D364" s="64" t="s">
        <v>3877</v>
      </c>
      <c r="E364" s="64">
        <v>48</v>
      </c>
      <c r="F364" s="65" t="s">
        <v>60</v>
      </c>
      <c r="G364" s="58"/>
      <c r="H364" s="30" t="s">
        <v>228</v>
      </c>
    </row>
    <row r="365" spans="1:8" ht="25.5" customHeight="1">
      <c r="A365" s="58">
        <v>354</v>
      </c>
      <c r="B365" s="62">
        <v>0</v>
      </c>
      <c r="C365" s="63" t="s">
        <v>3929</v>
      </c>
      <c r="D365" s="64" t="s">
        <v>3930</v>
      </c>
      <c r="E365" s="64">
        <v>38</v>
      </c>
      <c r="F365" s="65" t="s">
        <v>60</v>
      </c>
      <c r="G365" s="58"/>
      <c r="H365" s="30" t="s">
        <v>228</v>
      </c>
    </row>
    <row r="366" spans="1:8" ht="25.5" customHeight="1">
      <c r="A366" s="58">
        <v>355</v>
      </c>
      <c r="B366" s="62">
        <v>100</v>
      </c>
      <c r="C366" s="63" t="s">
        <v>3934</v>
      </c>
      <c r="D366" s="64" t="s">
        <v>3935</v>
      </c>
      <c r="E366" s="64">
        <v>48</v>
      </c>
      <c r="F366" s="65" t="s">
        <v>75</v>
      </c>
      <c r="G366" s="58"/>
      <c r="H366" s="30" t="s">
        <v>3938</v>
      </c>
    </row>
    <row r="367" spans="1:8" ht="25.5" customHeight="1">
      <c r="A367" s="58">
        <v>356</v>
      </c>
      <c r="B367" s="62">
        <v>154</v>
      </c>
      <c r="C367" s="63" t="s">
        <v>3941</v>
      </c>
      <c r="D367" s="64" t="s">
        <v>3942</v>
      </c>
      <c r="E367" s="64">
        <v>49</v>
      </c>
      <c r="F367" s="65" t="s">
        <v>75</v>
      </c>
      <c r="G367" s="58"/>
      <c r="H367" s="30" t="s">
        <v>3944</v>
      </c>
    </row>
    <row r="368" spans="1:8" ht="25.5" customHeight="1">
      <c r="A368" s="58">
        <v>357</v>
      </c>
      <c r="B368" s="62">
        <v>0</v>
      </c>
      <c r="C368" s="63" t="s">
        <v>3946</v>
      </c>
      <c r="D368" s="64" t="s">
        <v>3947</v>
      </c>
      <c r="E368" s="64">
        <v>61</v>
      </c>
      <c r="F368" s="65" t="s">
        <v>60</v>
      </c>
      <c r="G368" s="58"/>
      <c r="H368" s="30" t="s">
        <v>228</v>
      </c>
    </row>
    <row r="369" spans="1:8" ht="25.5" customHeight="1">
      <c r="A369" s="58">
        <v>358</v>
      </c>
      <c r="B369" s="62">
        <v>241</v>
      </c>
      <c r="C369" s="63" t="s">
        <v>3951</v>
      </c>
      <c r="D369" s="64" t="s">
        <v>3952</v>
      </c>
      <c r="E369" s="64">
        <v>46</v>
      </c>
      <c r="F369" s="65" t="s">
        <v>75</v>
      </c>
      <c r="G369" s="58"/>
      <c r="H369" s="30" t="s">
        <v>3954</v>
      </c>
    </row>
    <row r="370" spans="1:8" ht="25.5" customHeight="1">
      <c r="A370" s="58">
        <v>359</v>
      </c>
      <c r="B370" s="62">
        <v>244</v>
      </c>
      <c r="C370" s="63" t="s">
        <v>3956</v>
      </c>
      <c r="D370" s="64" t="s">
        <v>3957</v>
      </c>
      <c r="E370" s="64">
        <v>41</v>
      </c>
      <c r="F370" s="65" t="s">
        <v>60</v>
      </c>
      <c r="G370" s="58"/>
      <c r="H370" s="30" t="s">
        <v>3959</v>
      </c>
    </row>
    <row r="371" spans="1:8" ht="25.5" customHeight="1">
      <c r="A371" s="58">
        <v>360</v>
      </c>
      <c r="B371" s="62">
        <v>248</v>
      </c>
      <c r="C371" s="63" t="s">
        <v>3961</v>
      </c>
      <c r="D371" s="64" t="s">
        <v>3962</v>
      </c>
      <c r="E371" s="64">
        <v>65</v>
      </c>
      <c r="F371" s="65" t="s">
        <v>60</v>
      </c>
      <c r="G371" s="58"/>
      <c r="H371" s="30" t="s">
        <v>3964</v>
      </c>
    </row>
    <row r="372" spans="1:8" ht="25.5" customHeight="1">
      <c r="A372" s="58">
        <v>361</v>
      </c>
      <c r="B372" s="62">
        <v>299</v>
      </c>
      <c r="C372" s="63" t="s">
        <v>3966</v>
      </c>
      <c r="D372" s="64" t="s">
        <v>3967</v>
      </c>
      <c r="E372" s="64">
        <v>48</v>
      </c>
      <c r="F372" s="65" t="s">
        <v>75</v>
      </c>
      <c r="G372" s="58"/>
      <c r="H372" s="30" t="s">
        <v>3969</v>
      </c>
    </row>
    <row r="373" spans="1:8" ht="25.5" customHeight="1">
      <c r="A373" s="58">
        <v>362</v>
      </c>
      <c r="B373" s="62">
        <v>289</v>
      </c>
      <c r="C373" s="63" t="s">
        <v>3971</v>
      </c>
      <c r="D373" s="64" t="s">
        <v>3972</v>
      </c>
      <c r="E373" s="64">
        <v>45</v>
      </c>
      <c r="F373" s="65" t="s">
        <v>1099</v>
      </c>
      <c r="G373" s="58"/>
      <c r="H373" s="30" t="s">
        <v>3975</v>
      </c>
    </row>
    <row r="374" spans="1:8" ht="25.5" customHeight="1">
      <c r="A374" s="58">
        <v>363</v>
      </c>
      <c r="B374" s="62">
        <v>288</v>
      </c>
      <c r="C374" s="63" t="s">
        <v>3977</v>
      </c>
      <c r="D374" s="64" t="s">
        <v>3978</v>
      </c>
      <c r="E374" s="64">
        <v>43</v>
      </c>
      <c r="F374" s="65" t="s">
        <v>424</v>
      </c>
      <c r="G374" s="58"/>
      <c r="H374" s="30" t="s">
        <v>3980</v>
      </c>
    </row>
    <row r="375" spans="1:8" ht="25.5" customHeight="1">
      <c r="A375" s="58">
        <v>364</v>
      </c>
      <c r="B375" s="62">
        <v>245</v>
      </c>
      <c r="C375" s="63" t="s">
        <v>3982</v>
      </c>
      <c r="D375" s="64" t="s">
        <v>3983</v>
      </c>
      <c r="E375" s="64">
        <v>76</v>
      </c>
      <c r="F375" s="65" t="s">
        <v>60</v>
      </c>
      <c r="G375" s="58"/>
      <c r="H375" s="30" t="s">
        <v>3985</v>
      </c>
    </row>
    <row r="376" spans="1:8" ht="25.5" customHeight="1">
      <c r="A376" s="58">
        <v>365</v>
      </c>
      <c r="B376" s="62">
        <v>179</v>
      </c>
      <c r="C376" s="63" t="s">
        <v>3987</v>
      </c>
      <c r="D376" s="64" t="s">
        <v>3988</v>
      </c>
      <c r="E376" s="64">
        <v>39</v>
      </c>
      <c r="F376" s="65" t="s">
        <v>75</v>
      </c>
      <c r="G376" s="58"/>
      <c r="H376" s="30" t="s">
        <v>1035</v>
      </c>
    </row>
    <row r="377" spans="1:8" ht="25.5" customHeight="1">
      <c r="A377" s="58">
        <v>366</v>
      </c>
      <c r="B377" s="62" t="s">
        <v>4007</v>
      </c>
      <c r="C377" s="63" t="s">
        <v>4008</v>
      </c>
      <c r="D377" s="64" t="s">
        <v>4009</v>
      </c>
      <c r="E377" s="64">
        <v>54</v>
      </c>
      <c r="F377" s="65" t="s">
        <v>424</v>
      </c>
      <c r="G377" s="58"/>
      <c r="H377" s="30" t="s">
        <v>4011</v>
      </c>
    </row>
    <row r="378" spans="1:8" ht="25.5" customHeight="1">
      <c r="A378" s="58">
        <v>367</v>
      </c>
      <c r="B378" s="62">
        <v>278</v>
      </c>
      <c r="C378" s="63" t="s">
        <v>4020</v>
      </c>
      <c r="D378" s="64" t="s">
        <v>4021</v>
      </c>
      <c r="E378" s="64">
        <v>56</v>
      </c>
      <c r="F378" s="65" t="s">
        <v>1099</v>
      </c>
      <c r="G378" s="58"/>
      <c r="H378" s="30" t="s">
        <v>4023</v>
      </c>
    </row>
    <row r="379" spans="1:8" ht="25.5" customHeight="1">
      <c r="A379" s="58">
        <v>368</v>
      </c>
      <c r="B379" s="62">
        <v>292</v>
      </c>
      <c r="C379" s="63" t="s">
        <v>4025</v>
      </c>
      <c r="D379" s="64" t="s">
        <v>4026</v>
      </c>
      <c r="E379" s="64">
        <v>42</v>
      </c>
      <c r="F379" s="65" t="s">
        <v>424</v>
      </c>
      <c r="G379" s="58"/>
      <c r="H379" s="30" t="s">
        <v>4028</v>
      </c>
    </row>
    <row r="380" spans="1:8" ht="25.5" customHeight="1">
      <c r="A380" s="58">
        <v>369</v>
      </c>
      <c r="B380" s="62">
        <v>295</v>
      </c>
      <c r="C380" s="63" t="s">
        <v>4030</v>
      </c>
      <c r="D380" s="64" t="s">
        <v>4031</v>
      </c>
      <c r="E380" s="64">
        <v>31</v>
      </c>
      <c r="F380" s="65" t="s">
        <v>60</v>
      </c>
      <c r="G380" s="58"/>
      <c r="H380" s="30" t="s">
        <v>4033</v>
      </c>
    </row>
    <row r="381" spans="1:8" ht="25.5" customHeight="1">
      <c r="A381" s="58">
        <v>370</v>
      </c>
      <c r="B381" s="62">
        <v>200</v>
      </c>
      <c r="C381" s="63" t="s">
        <v>4035</v>
      </c>
      <c r="D381" s="64" t="s">
        <v>4036</v>
      </c>
      <c r="E381" s="64">
        <v>48</v>
      </c>
      <c r="F381" s="65" t="s">
        <v>75</v>
      </c>
      <c r="G381" s="58"/>
      <c r="H381" s="30" t="s">
        <v>4040</v>
      </c>
    </row>
    <row r="382" spans="1:8" ht="25.5" customHeight="1">
      <c r="A382" s="58">
        <v>371</v>
      </c>
      <c r="B382" s="62"/>
      <c r="C382" s="63" t="s">
        <v>4061</v>
      </c>
      <c r="D382" s="64" t="s">
        <v>4062</v>
      </c>
      <c r="E382" s="64">
        <v>37</v>
      </c>
      <c r="F382" s="65" t="s">
        <v>75</v>
      </c>
      <c r="G382" s="58"/>
      <c r="H382" s="30"/>
    </row>
    <row r="383" spans="1:8" ht="25.5" customHeight="1">
      <c r="A383" s="58">
        <v>372</v>
      </c>
      <c r="B383" s="62"/>
      <c r="C383" s="63" t="s">
        <v>4064</v>
      </c>
      <c r="D383" s="64" t="s">
        <v>4065</v>
      </c>
      <c r="E383" s="64">
        <v>43</v>
      </c>
      <c r="F383" s="65" t="s">
        <v>60</v>
      </c>
      <c r="G383" s="58"/>
      <c r="H383" s="30"/>
    </row>
    <row r="384" spans="1:8" ht="25.5" customHeight="1">
      <c r="A384" s="58">
        <v>373</v>
      </c>
      <c r="B384" s="62"/>
      <c r="C384" s="63" t="s">
        <v>4080</v>
      </c>
      <c r="D384" s="64" t="s">
        <v>4081</v>
      </c>
      <c r="E384" s="64">
        <v>25</v>
      </c>
      <c r="F384" s="65" t="s">
        <v>75</v>
      </c>
      <c r="G384" s="58"/>
      <c r="H384" s="30" t="s">
        <v>4083</v>
      </c>
    </row>
    <row r="385" spans="1:8" ht="25.5" customHeight="1">
      <c r="A385" s="58">
        <v>374</v>
      </c>
      <c r="B385" s="62"/>
      <c r="C385" s="63" t="s">
        <v>4085</v>
      </c>
      <c r="D385" s="64" t="s">
        <v>4086</v>
      </c>
      <c r="E385" s="64">
        <v>21</v>
      </c>
      <c r="F385" s="65" t="s">
        <v>60</v>
      </c>
      <c r="G385" s="58"/>
      <c r="H385" s="30"/>
    </row>
    <row r="386" spans="1:8" ht="25.5" customHeight="1">
      <c r="A386" s="58">
        <v>375</v>
      </c>
      <c r="B386" s="62"/>
      <c r="C386" s="63" t="s">
        <v>4088</v>
      </c>
      <c r="D386" s="64" t="s">
        <v>4089</v>
      </c>
      <c r="E386" s="64">
        <v>22</v>
      </c>
      <c r="F386" s="65" t="s">
        <v>60</v>
      </c>
      <c r="G386" s="58"/>
      <c r="H386" s="30"/>
    </row>
    <row r="387" spans="1:8" ht="25.5" customHeight="1">
      <c r="A387" s="58">
        <v>376</v>
      </c>
      <c r="B387" s="62"/>
      <c r="C387" s="63" t="s">
        <v>4091</v>
      </c>
      <c r="D387" s="64" t="s">
        <v>4092</v>
      </c>
      <c r="E387" s="64">
        <v>18</v>
      </c>
      <c r="F387" s="65" t="s">
        <v>60</v>
      </c>
      <c r="G387" s="58"/>
      <c r="H387" s="30"/>
    </row>
    <row r="388" spans="1:8" ht="25.5" customHeight="1">
      <c r="A388" s="58">
        <v>377</v>
      </c>
      <c r="B388" s="62"/>
      <c r="C388" s="63" t="s">
        <v>4094</v>
      </c>
      <c r="D388" s="64" t="s">
        <v>4095</v>
      </c>
      <c r="E388" s="64">
        <v>23</v>
      </c>
      <c r="F388" s="65" t="s">
        <v>60</v>
      </c>
      <c r="G388" s="58"/>
      <c r="H388" s="30"/>
    </row>
    <row r="389" spans="1:8" ht="25.5" customHeight="1">
      <c r="A389" s="58">
        <v>378</v>
      </c>
      <c r="B389" s="62"/>
      <c r="C389" s="63" t="s">
        <v>4097</v>
      </c>
      <c r="D389" s="64" t="s">
        <v>4098</v>
      </c>
      <c r="E389" s="64">
        <v>24</v>
      </c>
      <c r="F389" s="65" t="s">
        <v>60</v>
      </c>
      <c r="G389" s="58"/>
      <c r="H389" s="30"/>
    </row>
    <row r="390" spans="1:8" ht="25.5" customHeight="1">
      <c r="A390" s="58">
        <v>379</v>
      </c>
      <c r="B390" s="62"/>
      <c r="C390" s="63" t="s">
        <v>4100</v>
      </c>
      <c r="D390" s="64" t="s">
        <v>4101</v>
      </c>
      <c r="E390" s="64">
        <v>18</v>
      </c>
      <c r="F390" s="65" t="s">
        <v>60</v>
      </c>
      <c r="G390" s="58"/>
      <c r="H390" s="30"/>
    </row>
    <row r="391" spans="1:8" ht="25.5" customHeight="1">
      <c r="A391" s="58">
        <v>380</v>
      </c>
      <c r="B391" s="62"/>
      <c r="C391" s="63" t="s">
        <v>4103</v>
      </c>
      <c r="D391" s="64" t="s">
        <v>4104</v>
      </c>
      <c r="E391" s="64">
        <v>18</v>
      </c>
      <c r="F391" s="65" t="s">
        <v>60</v>
      </c>
      <c r="G391" s="58"/>
      <c r="H391" s="30"/>
    </row>
    <row r="392" spans="1:8" ht="25.5" customHeight="1">
      <c r="A392" s="58">
        <v>381</v>
      </c>
      <c r="B392" s="62"/>
      <c r="C392" s="63" t="s">
        <v>4106</v>
      </c>
      <c r="D392" s="64" t="s">
        <v>4107</v>
      </c>
      <c r="E392" s="64">
        <v>23</v>
      </c>
      <c r="F392" s="65" t="s">
        <v>60</v>
      </c>
      <c r="G392" s="58"/>
      <c r="H392" s="30"/>
    </row>
    <row r="393" spans="1:8" ht="25.5" customHeight="1">
      <c r="A393" s="58">
        <v>382</v>
      </c>
      <c r="B393" s="62"/>
      <c r="C393" s="63" t="s">
        <v>4109</v>
      </c>
      <c r="D393" s="64" t="s">
        <v>4110</v>
      </c>
      <c r="E393" s="64">
        <v>18</v>
      </c>
      <c r="F393" s="65" t="s">
        <v>75</v>
      </c>
      <c r="G393" s="58"/>
      <c r="H393" s="30"/>
    </row>
    <row r="394" spans="1:8" ht="25.5" customHeight="1">
      <c r="A394" s="58">
        <v>383</v>
      </c>
      <c r="B394" s="62"/>
      <c r="C394" s="63" t="s">
        <v>4112</v>
      </c>
      <c r="D394" s="64" t="s">
        <v>4113</v>
      </c>
      <c r="E394" s="64">
        <v>29</v>
      </c>
      <c r="F394" s="65" t="s">
        <v>60</v>
      </c>
      <c r="G394" s="58"/>
      <c r="H394" s="30"/>
    </row>
    <row r="395" spans="1:8" ht="25.5" customHeight="1">
      <c r="A395" s="58">
        <v>384</v>
      </c>
      <c r="B395" s="62"/>
      <c r="C395" s="63" t="s">
        <v>4115</v>
      </c>
      <c r="D395" s="64" t="s">
        <v>4116</v>
      </c>
      <c r="E395" s="64">
        <v>27</v>
      </c>
      <c r="F395" s="65" t="s">
        <v>60</v>
      </c>
      <c r="G395" s="58"/>
      <c r="H395" s="30"/>
    </row>
    <row r="396" spans="1:8" ht="25.5" customHeight="1">
      <c r="A396" s="58">
        <v>385</v>
      </c>
      <c r="B396" s="62"/>
      <c r="C396" s="63" t="s">
        <v>4118</v>
      </c>
      <c r="D396" s="64" t="s">
        <v>4119</v>
      </c>
      <c r="E396" s="64">
        <v>24</v>
      </c>
      <c r="F396" s="65" t="s">
        <v>60</v>
      </c>
      <c r="G396" s="58"/>
      <c r="H396" s="30"/>
    </row>
    <row r="397" spans="1:8" ht="25.5" customHeight="1">
      <c r="A397" s="58">
        <v>386</v>
      </c>
      <c r="B397" s="62"/>
      <c r="C397" s="63" t="s">
        <v>4121</v>
      </c>
      <c r="D397" s="64" t="s">
        <v>4122</v>
      </c>
      <c r="E397" s="64">
        <v>25</v>
      </c>
      <c r="F397" s="65" t="s">
        <v>60</v>
      </c>
      <c r="G397" s="58"/>
      <c r="H397" s="30"/>
    </row>
    <row r="398" spans="1:8" ht="25.5" customHeight="1">
      <c r="A398" s="58">
        <v>387</v>
      </c>
      <c r="B398" s="62"/>
      <c r="C398" s="63" t="s">
        <v>4124</v>
      </c>
      <c r="D398" s="64" t="s">
        <v>4125</v>
      </c>
      <c r="E398" s="64">
        <v>25</v>
      </c>
      <c r="F398" s="65" t="s">
        <v>60</v>
      </c>
      <c r="G398" s="58"/>
      <c r="H398" s="30"/>
    </row>
    <row r="399" spans="1:8" ht="25.5" customHeight="1">
      <c r="A399" s="58">
        <v>388</v>
      </c>
      <c r="B399" s="62"/>
      <c r="C399" s="63" t="s">
        <v>4127</v>
      </c>
      <c r="D399" s="64" t="s">
        <v>4128</v>
      </c>
      <c r="E399" s="64">
        <v>25</v>
      </c>
      <c r="F399" s="65" t="s">
        <v>60</v>
      </c>
      <c r="G399" s="58"/>
      <c r="H399" s="30"/>
    </row>
    <row r="400" spans="1:8" ht="25.5" customHeight="1">
      <c r="A400" s="58">
        <v>389</v>
      </c>
      <c r="B400" s="62"/>
      <c r="C400" s="63" t="s">
        <v>4130</v>
      </c>
      <c r="D400" s="64" t="s">
        <v>4131</v>
      </c>
      <c r="E400" s="64">
        <v>25</v>
      </c>
      <c r="F400" s="65" t="s">
        <v>60</v>
      </c>
      <c r="G400" s="58"/>
      <c r="H400" s="30"/>
    </row>
    <row r="401" spans="1:8" ht="25.5" customHeight="1">
      <c r="A401" s="58">
        <v>390</v>
      </c>
      <c r="B401" s="62"/>
      <c r="C401" s="63" t="s">
        <v>4133</v>
      </c>
      <c r="D401" s="64" t="s">
        <v>4134</v>
      </c>
      <c r="E401" s="64">
        <v>25</v>
      </c>
      <c r="F401" s="65" t="s">
        <v>60</v>
      </c>
      <c r="G401" s="58"/>
      <c r="H401" s="30"/>
    </row>
    <row r="402" spans="1:8" ht="25.5" customHeight="1">
      <c r="A402" s="58">
        <v>391</v>
      </c>
      <c r="B402" s="62"/>
      <c r="C402" s="63" t="s">
        <v>4136</v>
      </c>
      <c r="D402" s="64" t="s">
        <v>4137</v>
      </c>
      <c r="E402" s="64">
        <v>29</v>
      </c>
      <c r="F402" s="65" t="s">
        <v>75</v>
      </c>
      <c r="G402" s="58"/>
      <c r="H402" s="30" t="s">
        <v>4139</v>
      </c>
    </row>
    <row r="403" spans="1:8" ht="25.5" customHeight="1">
      <c r="A403" s="58">
        <v>392</v>
      </c>
      <c r="B403" s="62"/>
      <c r="C403" s="63" t="s">
        <v>4141</v>
      </c>
      <c r="D403" s="64" t="s">
        <v>4142</v>
      </c>
      <c r="E403" s="64">
        <v>27</v>
      </c>
      <c r="F403" s="65" t="s">
        <v>75</v>
      </c>
      <c r="G403" s="58"/>
      <c r="H403" s="30" t="s">
        <v>4144</v>
      </c>
    </row>
    <row r="404" spans="1:8" ht="25.5" customHeight="1">
      <c r="A404" s="58">
        <v>393</v>
      </c>
      <c r="B404" s="62"/>
      <c r="C404" s="63" t="s">
        <v>4146</v>
      </c>
      <c r="D404" s="64" t="s">
        <v>4147</v>
      </c>
      <c r="E404" s="64">
        <v>28</v>
      </c>
      <c r="F404" s="65" t="s">
        <v>75</v>
      </c>
      <c r="G404" s="58"/>
      <c r="H404" s="30" t="s">
        <v>4149</v>
      </c>
    </row>
    <row r="405" spans="1:8" ht="25.5" customHeight="1">
      <c r="A405" s="58">
        <v>394</v>
      </c>
      <c r="B405" s="62"/>
      <c r="C405" s="63" t="s">
        <v>4151</v>
      </c>
      <c r="D405" s="64" t="s">
        <v>4152</v>
      </c>
      <c r="E405" s="64">
        <v>29</v>
      </c>
      <c r="F405" s="65" t="s">
        <v>75</v>
      </c>
      <c r="G405" s="58"/>
      <c r="H405" s="30" t="s">
        <v>4154</v>
      </c>
    </row>
    <row r="406" spans="1:8" ht="25.5" customHeight="1">
      <c r="A406" s="58">
        <v>395</v>
      </c>
      <c r="B406" s="62"/>
      <c r="C406" s="63" t="s">
        <v>4156</v>
      </c>
      <c r="D406" s="64" t="s">
        <v>4157</v>
      </c>
      <c r="E406" s="64">
        <v>29</v>
      </c>
      <c r="F406" s="65" t="s">
        <v>75</v>
      </c>
      <c r="G406" s="58"/>
      <c r="H406" s="30" t="s">
        <v>3185</v>
      </c>
    </row>
    <row r="407" spans="1:8" ht="25.5" customHeight="1">
      <c r="A407" s="58">
        <v>396</v>
      </c>
      <c r="B407" s="62"/>
      <c r="C407" s="63" t="s">
        <v>4160</v>
      </c>
      <c r="D407" s="64" t="s">
        <v>4161</v>
      </c>
      <c r="E407" s="64">
        <v>25</v>
      </c>
      <c r="F407" s="65" t="s">
        <v>75</v>
      </c>
      <c r="G407" s="58"/>
      <c r="H407" s="30" t="s">
        <v>4162</v>
      </c>
    </row>
    <row r="408" spans="1:8" ht="25.5" customHeight="1">
      <c r="A408" s="58">
        <v>397</v>
      </c>
      <c r="B408" s="62"/>
      <c r="C408" s="63" t="s">
        <v>4164</v>
      </c>
      <c r="D408" s="64" t="s">
        <v>4165</v>
      </c>
      <c r="E408" s="64">
        <v>25</v>
      </c>
      <c r="F408" s="65" t="s">
        <v>75</v>
      </c>
      <c r="G408" s="58"/>
      <c r="H408" s="30" t="s">
        <v>4167</v>
      </c>
    </row>
    <row r="409" spans="1:8" ht="25.5" customHeight="1">
      <c r="A409" s="58">
        <v>398</v>
      </c>
      <c r="B409" s="62"/>
      <c r="C409" s="63" t="s">
        <v>4169</v>
      </c>
      <c r="D409" s="64" t="s">
        <v>4170</v>
      </c>
      <c r="E409" s="64">
        <v>32</v>
      </c>
      <c r="F409" s="65" t="s">
        <v>60</v>
      </c>
      <c r="G409" s="58"/>
      <c r="H409" s="30" t="s">
        <v>4172</v>
      </c>
    </row>
    <row r="410" spans="1:8" ht="25.5" customHeight="1">
      <c r="A410" s="58">
        <v>399</v>
      </c>
      <c r="B410" s="62"/>
      <c r="C410" s="63" t="s">
        <v>4174</v>
      </c>
      <c r="D410" s="64" t="s">
        <v>4175</v>
      </c>
      <c r="E410" s="64">
        <v>35</v>
      </c>
      <c r="F410" s="65" t="s">
        <v>60</v>
      </c>
      <c r="G410" s="58"/>
      <c r="H410" s="30" t="s">
        <v>4177</v>
      </c>
    </row>
    <row r="411" spans="1:8" ht="25.5" customHeight="1">
      <c r="A411" s="58">
        <v>400</v>
      </c>
      <c r="B411" s="62"/>
      <c r="C411" s="63" t="s">
        <v>4179</v>
      </c>
      <c r="D411" s="64" t="s">
        <v>4180</v>
      </c>
      <c r="E411" s="64">
        <v>48</v>
      </c>
      <c r="F411" s="65" t="s">
        <v>75</v>
      </c>
      <c r="G411" s="58"/>
      <c r="H411" s="30" t="s">
        <v>4182</v>
      </c>
    </row>
    <row r="412" spans="1:8" ht="25.5" customHeight="1">
      <c r="A412" s="58">
        <v>401</v>
      </c>
      <c r="B412" s="62"/>
      <c r="C412" s="63" t="s">
        <v>4184</v>
      </c>
      <c r="D412" s="64" t="s">
        <v>4185</v>
      </c>
      <c r="E412" s="64">
        <v>46</v>
      </c>
      <c r="F412" s="65" t="s">
        <v>60</v>
      </c>
      <c r="G412" s="58"/>
      <c r="H412" s="30"/>
    </row>
    <row r="413" spans="1:8" ht="25.5" customHeight="1">
      <c r="A413" s="58">
        <v>402</v>
      </c>
      <c r="B413" s="62"/>
      <c r="C413" s="63" t="s">
        <v>4187</v>
      </c>
      <c r="D413" s="64" t="s">
        <v>4188</v>
      </c>
      <c r="E413" s="64">
        <v>48</v>
      </c>
      <c r="F413" s="65" t="s">
        <v>60</v>
      </c>
      <c r="G413" s="58"/>
      <c r="H413" s="30"/>
    </row>
    <row r="414" spans="1:8" ht="25.5" customHeight="1">
      <c r="A414" s="58">
        <v>403</v>
      </c>
      <c r="B414" s="62"/>
      <c r="C414" s="63" t="s">
        <v>4190</v>
      </c>
      <c r="D414" s="64" t="s">
        <v>4191</v>
      </c>
      <c r="E414" s="64">
        <v>68</v>
      </c>
      <c r="F414" s="65" t="s">
        <v>75</v>
      </c>
      <c r="G414" s="58"/>
      <c r="H414" s="30"/>
    </row>
    <row r="415" spans="1:8" ht="25.5" customHeight="1">
      <c r="A415" s="58">
        <v>404</v>
      </c>
      <c r="B415" s="62"/>
      <c r="C415" s="63" t="s">
        <v>4199</v>
      </c>
      <c r="D415" s="64" t="s">
        <v>4200</v>
      </c>
      <c r="E415" s="64">
        <v>51</v>
      </c>
      <c r="F415" s="65" t="s">
        <v>60</v>
      </c>
      <c r="G415" s="58"/>
      <c r="H415" s="30"/>
    </row>
    <row r="416" spans="1:8" ht="25.5" customHeight="1">
      <c r="A416" s="58">
        <v>405</v>
      </c>
      <c r="B416" s="62"/>
      <c r="C416" s="63" t="s">
        <v>4202</v>
      </c>
      <c r="D416" s="64" t="s">
        <v>4203</v>
      </c>
      <c r="E416" s="64">
        <v>43</v>
      </c>
      <c r="F416" s="65" t="s">
        <v>60</v>
      </c>
      <c r="G416" s="58"/>
      <c r="H416" s="30"/>
    </row>
    <row r="417" spans="1:8" ht="25.5" customHeight="1">
      <c r="A417" s="58">
        <v>406</v>
      </c>
      <c r="B417" s="62"/>
      <c r="C417" s="63" t="s">
        <v>4205</v>
      </c>
      <c r="D417" s="64" t="s">
        <v>4206</v>
      </c>
      <c r="E417" s="64">
        <v>22</v>
      </c>
      <c r="F417" s="65" t="s">
        <v>75</v>
      </c>
      <c r="G417" s="58"/>
      <c r="H417" s="30"/>
    </row>
    <row r="418" spans="1:8" ht="25.5" customHeight="1">
      <c r="A418" s="58">
        <v>407</v>
      </c>
      <c r="B418" s="62">
        <v>246</v>
      </c>
      <c r="C418" s="63" t="s">
        <v>4208</v>
      </c>
      <c r="D418" s="64" t="s">
        <v>4209</v>
      </c>
      <c r="E418" s="64">
        <v>59</v>
      </c>
      <c r="F418" s="65" t="s">
        <v>60</v>
      </c>
      <c r="G418" s="58"/>
      <c r="H418" s="30" t="s">
        <v>4211</v>
      </c>
    </row>
    <row r="419" spans="1:8" ht="25.5" customHeight="1">
      <c r="A419" s="58">
        <v>408</v>
      </c>
      <c r="B419" s="62"/>
      <c r="C419" s="63" t="s">
        <v>4213</v>
      </c>
      <c r="D419" s="64" t="s">
        <v>4214</v>
      </c>
      <c r="E419" s="64">
        <v>41</v>
      </c>
      <c r="F419" s="65" t="s">
        <v>60</v>
      </c>
      <c r="G419" s="58"/>
      <c r="H419" s="30"/>
    </row>
    <row r="420" spans="1:8" ht="25.5" customHeight="1">
      <c r="A420" s="58">
        <v>409</v>
      </c>
      <c r="B420" s="62"/>
      <c r="C420" s="63" t="s">
        <v>4224</v>
      </c>
      <c r="D420" s="64" t="s">
        <v>4225</v>
      </c>
      <c r="E420" s="64">
        <v>39</v>
      </c>
      <c r="F420" s="65" t="s">
        <v>60</v>
      </c>
      <c r="G420" s="58"/>
      <c r="H420" s="30"/>
    </row>
    <row r="421" spans="1:8" ht="25.5" customHeight="1">
      <c r="A421" s="58">
        <v>410</v>
      </c>
      <c r="B421" s="62"/>
      <c r="C421" s="63" t="s">
        <v>4227</v>
      </c>
      <c r="D421" s="64" t="s">
        <v>4228</v>
      </c>
      <c r="E421" s="64">
        <v>28</v>
      </c>
      <c r="F421" s="65" t="s">
        <v>75</v>
      </c>
      <c r="G421" s="58"/>
      <c r="H421" s="30"/>
    </row>
    <row r="422" spans="1:8" ht="25.5" customHeight="1">
      <c r="A422" s="58">
        <v>411</v>
      </c>
      <c r="B422" s="62"/>
      <c r="C422" s="63" t="s">
        <v>4244</v>
      </c>
      <c r="D422" s="64" t="s">
        <v>4245</v>
      </c>
      <c r="E422" s="64">
        <v>35</v>
      </c>
      <c r="F422" s="65" t="s">
        <v>60</v>
      </c>
      <c r="G422" s="58"/>
      <c r="H422" s="30"/>
    </row>
    <row r="423" spans="1:8" ht="25.5" customHeight="1">
      <c r="A423" s="58">
        <v>412</v>
      </c>
      <c r="B423" s="62"/>
      <c r="C423" s="63" t="s">
        <v>4247</v>
      </c>
      <c r="D423" s="64" t="s">
        <v>4248</v>
      </c>
      <c r="E423" s="64">
        <v>29</v>
      </c>
      <c r="F423" s="65" t="s">
        <v>60</v>
      </c>
      <c r="G423" s="58"/>
      <c r="H423" s="30"/>
    </row>
    <row r="424" spans="1:8" ht="25.5" customHeight="1">
      <c r="A424" s="58">
        <v>413</v>
      </c>
      <c r="B424" s="62"/>
      <c r="C424" s="63" t="s">
        <v>4250</v>
      </c>
      <c r="D424" s="64" t="s">
        <v>4251</v>
      </c>
      <c r="E424" s="64">
        <v>48</v>
      </c>
      <c r="F424" s="65" t="s">
        <v>60</v>
      </c>
      <c r="G424" s="58"/>
      <c r="H424" s="30"/>
    </row>
    <row r="425" spans="1:8" ht="25.5" customHeight="1">
      <c r="A425" s="58">
        <v>414</v>
      </c>
      <c r="B425" s="62"/>
      <c r="C425" s="63" t="s">
        <v>4253</v>
      </c>
      <c r="D425" s="64" t="s">
        <v>4254</v>
      </c>
      <c r="E425" s="64">
        <v>46</v>
      </c>
      <c r="F425" s="65" t="s">
        <v>60</v>
      </c>
      <c r="G425" s="58"/>
      <c r="H425" s="30"/>
    </row>
    <row r="426" spans="1:8" ht="25.5" customHeight="1">
      <c r="A426" s="58">
        <v>415</v>
      </c>
      <c r="B426" s="62"/>
      <c r="C426" s="63" t="s">
        <v>4728</v>
      </c>
      <c r="D426" s="64" t="s">
        <v>4257</v>
      </c>
      <c r="E426" s="64">
        <v>37</v>
      </c>
      <c r="F426" s="65" t="s">
        <v>60</v>
      </c>
      <c r="G426" s="58"/>
      <c r="H426" s="30"/>
    </row>
    <row r="427" spans="1:8" ht="25.5" customHeight="1">
      <c r="A427" s="58">
        <v>416</v>
      </c>
      <c r="B427" s="62"/>
      <c r="C427" s="63" t="s">
        <v>4302</v>
      </c>
      <c r="D427" s="64" t="s">
        <v>4303</v>
      </c>
      <c r="E427" s="64">
        <v>62</v>
      </c>
      <c r="F427" s="65" t="s">
        <v>60</v>
      </c>
      <c r="G427" s="58"/>
      <c r="H427" s="30"/>
    </row>
    <row r="428" spans="1:8" ht="25.5" customHeight="1">
      <c r="A428" s="58">
        <v>417</v>
      </c>
      <c r="B428" s="62"/>
      <c r="C428" s="63" t="s">
        <v>4327</v>
      </c>
      <c r="D428" s="64" t="s">
        <v>4328</v>
      </c>
      <c r="E428" s="64">
        <v>18</v>
      </c>
      <c r="F428" s="65" t="s">
        <v>60</v>
      </c>
      <c r="G428" s="58"/>
      <c r="H428" s="30"/>
    </row>
    <row r="429" spans="1:8" ht="25.5" customHeight="1">
      <c r="A429" s="58">
        <v>418</v>
      </c>
      <c r="B429" s="62"/>
      <c r="C429" s="63" t="s">
        <v>4330</v>
      </c>
      <c r="D429" s="64" t="s">
        <v>4331</v>
      </c>
      <c r="E429" s="64">
        <v>35</v>
      </c>
      <c r="F429" s="65" t="s">
        <v>60</v>
      </c>
      <c r="G429" s="58"/>
      <c r="H429" s="30"/>
    </row>
    <row r="430" spans="1:8" ht="25.5" customHeight="1">
      <c r="A430" s="58">
        <v>419</v>
      </c>
      <c r="B430" s="62"/>
      <c r="C430" s="63" t="s">
        <v>4333</v>
      </c>
      <c r="D430" s="64" t="s">
        <v>4334</v>
      </c>
      <c r="E430" s="64">
        <v>31</v>
      </c>
      <c r="F430" s="65" t="s">
        <v>60</v>
      </c>
      <c r="G430" s="58"/>
      <c r="H430" s="30"/>
    </row>
    <row r="431" spans="1:8" ht="25.5" customHeight="1">
      <c r="A431" s="58">
        <v>420</v>
      </c>
      <c r="B431" s="62"/>
      <c r="C431" s="63" t="s">
        <v>4336</v>
      </c>
      <c r="D431" s="64" t="s">
        <v>4337</v>
      </c>
      <c r="E431" s="64">
        <v>55</v>
      </c>
      <c r="F431" s="65" t="s">
        <v>60</v>
      </c>
      <c r="G431" s="58"/>
      <c r="H431" s="30"/>
    </row>
    <row r="432" spans="1:8" ht="25.5" customHeight="1">
      <c r="A432" s="58">
        <v>421</v>
      </c>
      <c r="B432" s="62"/>
      <c r="C432" s="63" t="s">
        <v>4339</v>
      </c>
      <c r="D432" s="64" t="s">
        <v>4340</v>
      </c>
      <c r="E432" s="64">
        <v>34</v>
      </c>
      <c r="F432" s="65" t="s">
        <v>60</v>
      </c>
      <c r="G432" s="58"/>
      <c r="H432" s="30"/>
    </row>
    <row r="433" spans="1:8" ht="25.5" customHeight="1">
      <c r="A433" s="58">
        <v>422</v>
      </c>
      <c r="B433" s="62"/>
      <c r="C433" s="63" t="s">
        <v>4342</v>
      </c>
      <c r="D433" s="64" t="s">
        <v>4343</v>
      </c>
      <c r="E433" s="64">
        <v>56</v>
      </c>
      <c r="F433" s="65" t="s">
        <v>60</v>
      </c>
      <c r="G433" s="58"/>
      <c r="H433" s="30"/>
    </row>
    <row r="434" spans="1:8" ht="25.5" customHeight="1">
      <c r="A434" s="58">
        <v>423</v>
      </c>
      <c r="B434" s="62"/>
      <c r="C434" s="63" t="s">
        <v>4349</v>
      </c>
      <c r="D434" s="64" t="s">
        <v>4350</v>
      </c>
      <c r="E434" s="64">
        <v>58</v>
      </c>
      <c r="F434" s="65" t="s">
        <v>60</v>
      </c>
      <c r="G434" s="58"/>
      <c r="H434" s="30"/>
    </row>
    <row r="435" spans="1:8" ht="25.5" customHeight="1">
      <c r="A435" s="58">
        <v>424</v>
      </c>
      <c r="B435" s="62"/>
      <c r="C435" s="63" t="s">
        <v>4352</v>
      </c>
      <c r="D435" s="64" t="s">
        <v>4353</v>
      </c>
      <c r="E435" s="64">
        <v>50</v>
      </c>
      <c r="F435" s="65" t="s">
        <v>75</v>
      </c>
      <c r="G435" s="58"/>
      <c r="H435" s="30"/>
    </row>
    <row r="436" spans="1:8" ht="25.5" customHeight="1">
      <c r="A436" s="58">
        <v>425</v>
      </c>
      <c r="B436" s="62"/>
      <c r="C436" s="63" t="s">
        <v>4355</v>
      </c>
      <c r="D436" s="64" t="s">
        <v>4356</v>
      </c>
      <c r="E436" s="64">
        <v>40</v>
      </c>
      <c r="F436" s="65" t="s">
        <v>75</v>
      </c>
      <c r="G436" s="58"/>
      <c r="H436" s="30"/>
    </row>
    <row r="437" spans="1:8" ht="25.5" customHeight="1">
      <c r="A437" s="58">
        <v>426</v>
      </c>
      <c r="B437" s="62"/>
      <c r="C437" s="63" t="s">
        <v>4358</v>
      </c>
      <c r="D437" s="64" t="s">
        <v>4359</v>
      </c>
      <c r="E437" s="64">
        <v>53</v>
      </c>
      <c r="F437" s="65" t="s">
        <v>75</v>
      </c>
      <c r="G437" s="58"/>
      <c r="H437" s="30"/>
    </row>
    <row r="438" spans="1:8" ht="25.5" customHeight="1">
      <c r="A438" s="58">
        <v>427</v>
      </c>
      <c r="B438" s="62"/>
      <c r="C438" s="63" t="s">
        <v>4361</v>
      </c>
      <c r="D438" s="64" t="s">
        <v>4362</v>
      </c>
      <c r="E438" s="64">
        <v>43</v>
      </c>
      <c r="F438" s="65" t="s">
        <v>60</v>
      </c>
      <c r="G438" s="58"/>
      <c r="H438" s="30"/>
    </row>
    <row r="439" spans="1:8" ht="25.5" customHeight="1">
      <c r="A439" s="58">
        <v>428</v>
      </c>
      <c r="B439" s="62"/>
      <c r="C439" s="63" t="s">
        <v>4364</v>
      </c>
      <c r="D439" s="64" t="s">
        <v>4365</v>
      </c>
      <c r="E439" s="64">
        <v>43</v>
      </c>
      <c r="F439" s="65" t="s">
        <v>60</v>
      </c>
      <c r="G439" s="58"/>
      <c r="H439" s="30"/>
    </row>
    <row r="440" spans="1:8" ht="25.5" customHeight="1">
      <c r="A440" s="58">
        <v>429</v>
      </c>
      <c r="B440" s="62"/>
      <c r="C440" s="63" t="s">
        <v>4367</v>
      </c>
      <c r="D440" s="64" t="s">
        <v>4368</v>
      </c>
      <c r="E440" s="64">
        <v>25</v>
      </c>
      <c r="F440" s="65" t="s">
        <v>60</v>
      </c>
      <c r="G440" s="58"/>
      <c r="H440" s="30"/>
    </row>
    <row r="441" spans="1:8" ht="25.5" customHeight="1">
      <c r="A441" s="58">
        <v>430</v>
      </c>
      <c r="B441" s="62"/>
      <c r="C441" s="63" t="s">
        <v>4370</v>
      </c>
      <c r="D441" s="64" t="s">
        <v>4371</v>
      </c>
      <c r="E441" s="64">
        <v>42</v>
      </c>
      <c r="F441" s="65" t="s">
        <v>60</v>
      </c>
      <c r="G441" s="58"/>
      <c r="H441" s="30"/>
    </row>
    <row r="442" spans="1:8" ht="25.5" customHeight="1">
      <c r="A442" s="58">
        <v>431</v>
      </c>
      <c r="B442" s="62"/>
      <c r="C442" s="63" t="s">
        <v>4372</v>
      </c>
      <c r="D442" s="64" t="s">
        <v>4373</v>
      </c>
      <c r="E442" s="64">
        <v>70</v>
      </c>
      <c r="F442" s="65" t="s">
        <v>75</v>
      </c>
      <c r="G442" s="58"/>
      <c r="H442" s="30"/>
    </row>
  </sheetData>
  <mergeCells count="7">
    <mergeCell ref="BF10:BL10"/>
    <mergeCell ref="A10:G10"/>
    <mergeCell ref="K10:Q10"/>
    <mergeCell ref="U10:AA10"/>
    <mergeCell ref="AE10:AK10"/>
    <mergeCell ref="AN10:AT10"/>
    <mergeCell ref="AW10:BC10"/>
  </mergeCells>
  <conditionalFormatting sqref="C5">
    <cfRule type="duplicateValues" dxfId="290" priority="29"/>
  </conditionalFormatting>
  <conditionalFormatting sqref="D5">
    <cfRule type="duplicateValues" dxfId="289" priority="28"/>
  </conditionalFormatting>
  <conditionalFormatting sqref="BI5">
    <cfRule type="duplicateValues" dxfId="288" priority="27"/>
  </conditionalFormatting>
  <conditionalFormatting sqref="K10">
    <cfRule type="duplicateValues" dxfId="287" priority="18"/>
  </conditionalFormatting>
  <conditionalFormatting sqref="U10">
    <cfRule type="duplicateValues" dxfId="286" priority="17"/>
  </conditionalFormatting>
  <conditionalFormatting sqref="AE10">
    <cfRule type="duplicateValues" dxfId="285" priority="16"/>
  </conditionalFormatting>
  <conditionalFormatting sqref="AN10">
    <cfRule type="duplicateValues" dxfId="284" priority="15"/>
  </conditionalFormatting>
  <conditionalFormatting sqref="BI11 BF10">
    <cfRule type="duplicateValues" dxfId="283" priority="14"/>
  </conditionalFormatting>
  <conditionalFormatting sqref="BG11">
    <cfRule type="duplicateValues" dxfId="282" priority="13"/>
  </conditionalFormatting>
  <conditionalFormatting sqref="N11">
    <cfRule type="duplicateValues" dxfId="281" priority="19"/>
  </conditionalFormatting>
  <conditionalFormatting sqref="L11:M11">
    <cfRule type="duplicateValues" dxfId="280" priority="20"/>
  </conditionalFormatting>
  <conditionalFormatting sqref="X11">
    <cfRule type="duplicateValues" dxfId="279" priority="21"/>
  </conditionalFormatting>
  <conditionalFormatting sqref="V11">
    <cfRule type="duplicateValues" dxfId="278" priority="22"/>
  </conditionalFormatting>
  <conditionalFormatting sqref="AQ11">
    <cfRule type="duplicateValues" dxfId="277" priority="23"/>
  </conditionalFormatting>
  <conditionalFormatting sqref="AO11">
    <cfRule type="duplicateValues" dxfId="276" priority="24"/>
  </conditionalFormatting>
  <conditionalFormatting sqref="AH11">
    <cfRule type="duplicateValues" dxfId="275" priority="25"/>
  </conditionalFormatting>
  <conditionalFormatting sqref="AF11">
    <cfRule type="duplicateValues" dxfId="274" priority="26"/>
  </conditionalFormatting>
  <conditionalFormatting sqref="BH11">
    <cfRule type="duplicateValues" dxfId="273" priority="12"/>
  </conditionalFormatting>
  <conditionalFormatting sqref="W11">
    <cfRule type="duplicateValues" dxfId="272" priority="11"/>
  </conditionalFormatting>
  <conditionalFormatting sqref="AG11">
    <cfRule type="duplicateValues" dxfId="271" priority="10"/>
  </conditionalFormatting>
  <conditionalFormatting sqref="AP11">
    <cfRule type="duplicateValues" dxfId="270" priority="9"/>
  </conditionalFormatting>
  <conditionalFormatting sqref="K167">
    <cfRule type="containsText" dxfId="269" priority="8" operator="containsText" text="Female">
      <formula>NOT(ISERROR(SEARCH("Female",K167)))</formula>
    </cfRule>
  </conditionalFormatting>
  <conditionalFormatting sqref="BH116:BH293 BH6:BH11">
    <cfRule type="duplicateValues" dxfId="268" priority="140"/>
  </conditionalFormatting>
  <conditionalFormatting sqref="AZ11">
    <cfRule type="duplicateValues" dxfId="267" priority="3"/>
  </conditionalFormatting>
  <conditionalFormatting sqref="AX11">
    <cfRule type="duplicateValues" dxfId="266" priority="4"/>
  </conditionalFormatting>
  <conditionalFormatting sqref="AY11">
    <cfRule type="duplicateValues" dxfId="265" priority="2"/>
  </conditionalFormatting>
  <conditionalFormatting sqref="AW10">
    <cfRule type="duplicateValues" dxfId="264" priority="1"/>
  </conditionalFormatting>
  <conditionalFormatting sqref="C12:C442">
    <cfRule type="duplicateValues" dxfId="263" priority="4863"/>
  </conditionalFormatting>
  <conditionalFormatting sqref="B6:B442">
    <cfRule type="duplicateValues" dxfId="262" priority="4864"/>
  </conditionalFormatting>
  <conditionalFormatting sqref="B8:C9 B11:C442">
    <cfRule type="duplicateValues" dxfId="261" priority="4865"/>
  </conditionalFormatting>
  <conditionalFormatting sqref="C6:C442">
    <cfRule type="duplicateValues" dxfId="260" priority="4867"/>
  </conditionalFormatting>
  <conditionalFormatting sqref="AZ12:AZ45">
    <cfRule type="duplicateValues" dxfId="259" priority="4868"/>
  </conditionalFormatting>
  <conditionalFormatting sqref="AX12:AY45">
    <cfRule type="duplicateValues" dxfId="258" priority="4869"/>
  </conditionalFormatting>
  <conditionalFormatting sqref="AY12:AY45">
    <cfRule type="duplicateValues" dxfId="257" priority="4870"/>
  </conditionalFormatting>
  <conditionalFormatting sqref="BH12:BH115">
    <cfRule type="duplicateValues" dxfId="256" priority="4872"/>
  </conditionalFormatting>
  <conditionalFormatting sqref="X12:X90">
    <cfRule type="duplicateValues" dxfId="255" priority="4873"/>
  </conditionalFormatting>
  <conditionalFormatting sqref="W12:W90">
    <cfRule type="duplicateValues" dxfId="254" priority="4874"/>
  </conditionalFormatting>
  <conditionalFormatting sqref="AH12:AH51">
    <cfRule type="duplicateValues" dxfId="253" priority="4875"/>
  </conditionalFormatting>
  <conditionalFormatting sqref="AF12:AG51">
    <cfRule type="duplicateValues" dxfId="252" priority="4876"/>
  </conditionalFormatting>
  <conditionalFormatting sqref="AG12:AG51">
    <cfRule type="duplicateValues" dxfId="251" priority="4877"/>
  </conditionalFormatting>
  <conditionalFormatting sqref="N12:N112">
    <cfRule type="duplicateValues" dxfId="250" priority="4878"/>
  </conditionalFormatting>
  <conditionalFormatting sqref="M12:M112">
    <cfRule type="duplicateValues" dxfId="249" priority="4879"/>
  </conditionalFormatting>
  <conditionalFormatting sqref="AQ12:AQ15">
    <cfRule type="duplicateValues" dxfId="248" priority="4880"/>
  </conditionalFormatting>
  <conditionalFormatting sqref="AO12:AP15">
    <cfRule type="duplicateValues" dxfId="247" priority="4881"/>
  </conditionalFormatting>
  <conditionalFormatting sqref="AP12:AP15">
    <cfRule type="duplicateValues" dxfId="246" priority="4882"/>
  </conditionalFormatting>
  <hyperlinks>
    <hyperlink ref="C5" r:id="rId1" xr:uid="{D0E2EDE6-D8D8-4E22-B6D8-46EB653F066F}"/>
    <hyperlink ref="B7" r:id="rId2" xr:uid="{67C1787E-6CD1-457C-997B-F1B72CDF460F}"/>
    <hyperlink ref="B6" r:id="rId3" xr:uid="{35C1D9E7-769A-44A2-8991-4F8D72F10240}"/>
  </hyperlinks>
  <pageMargins left="0.7" right="0.7" top="0.75" bottom="0.75" header="0.3" footer="0.3"/>
  <tableParts count="7">
    <tablePart r:id="rId4"/>
    <tablePart r:id="rId5"/>
    <tablePart r:id="rId6"/>
    <tablePart r:id="rId7"/>
    <tablePart r:id="rId8"/>
    <tablePart r:id="rId9"/>
    <tablePart r:id="rId10"/>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CAB02-FF57-4852-B348-7EFC2B8F49AE}">
  <dimension ref="A1:J145"/>
  <sheetViews>
    <sheetView workbookViewId="0">
      <selection activeCell="A114" sqref="A114:XFD114"/>
    </sheetView>
  </sheetViews>
  <sheetFormatPr defaultRowHeight="15"/>
  <cols>
    <col min="1" max="1" width="11.7109375" customWidth="1"/>
    <col min="2" max="2" width="9.140625" style="71"/>
    <col min="3" max="3" width="23.42578125" customWidth="1"/>
    <col min="4" max="4" width="31.85546875" customWidth="1"/>
    <col min="5" max="5" width="18.42578125" customWidth="1"/>
    <col min="6" max="6" width="25.28515625" style="71" customWidth="1"/>
    <col min="7" max="7" width="20.140625" customWidth="1"/>
    <col min="8" max="8" width="20.42578125" customWidth="1"/>
    <col min="9" max="9" width="20.5703125" customWidth="1"/>
    <col min="10" max="10" width="15.7109375" customWidth="1"/>
  </cols>
  <sheetData>
    <row r="1" spans="1:10">
      <c r="A1" s="21" t="s">
        <v>4751</v>
      </c>
      <c r="B1" s="74" t="s">
        <v>196</v>
      </c>
      <c r="C1" s="21" t="s">
        <v>198</v>
      </c>
      <c r="D1" s="21" t="s">
        <v>4752</v>
      </c>
      <c r="E1" s="74" t="s">
        <v>4753</v>
      </c>
      <c r="F1" s="74" t="s">
        <v>204</v>
      </c>
      <c r="G1" s="21" t="s">
        <v>4754</v>
      </c>
      <c r="H1" s="21" t="s">
        <v>4755</v>
      </c>
      <c r="I1" s="74" t="s">
        <v>4756</v>
      </c>
      <c r="J1" s="74" t="s">
        <v>4757</v>
      </c>
    </row>
    <row r="2" spans="1:10" ht="15.75">
      <c r="A2" s="84" t="s">
        <v>4055</v>
      </c>
      <c r="B2" s="71">
        <v>235</v>
      </c>
      <c r="C2" t="s">
        <v>4056</v>
      </c>
      <c r="D2" t="s">
        <v>182</v>
      </c>
      <c r="F2" s="117" t="s">
        <v>433</v>
      </c>
      <c r="G2" t="s">
        <v>4758</v>
      </c>
      <c r="H2" t="s">
        <v>4758</v>
      </c>
      <c r="I2" t="s">
        <v>4758</v>
      </c>
      <c r="J2" t="s">
        <v>4758</v>
      </c>
    </row>
    <row r="3" spans="1:10" ht="15.75">
      <c r="A3" s="84" t="s">
        <v>1940</v>
      </c>
      <c r="B3" s="71">
        <v>238</v>
      </c>
      <c r="C3" t="s">
        <v>4759</v>
      </c>
      <c r="D3" t="s">
        <v>169</v>
      </c>
      <c r="F3" s="117" t="s">
        <v>433</v>
      </c>
      <c r="G3" t="s">
        <v>4758</v>
      </c>
      <c r="H3" t="s">
        <v>4758</v>
      </c>
      <c r="I3" t="s">
        <v>4758</v>
      </c>
      <c r="J3" t="s">
        <v>4758</v>
      </c>
    </row>
    <row r="4" spans="1:10" ht="15.75">
      <c r="A4" s="84" t="s">
        <v>1946</v>
      </c>
      <c r="B4" s="71">
        <v>239</v>
      </c>
      <c r="C4" t="s">
        <v>4760</v>
      </c>
      <c r="D4" s="94" t="s">
        <v>168</v>
      </c>
      <c r="E4" s="94"/>
      <c r="F4" s="117" t="s">
        <v>433</v>
      </c>
      <c r="G4" t="s">
        <v>4758</v>
      </c>
      <c r="H4" t="s">
        <v>4758</v>
      </c>
      <c r="I4" t="s">
        <v>4758</v>
      </c>
      <c r="J4" t="s">
        <v>4758</v>
      </c>
    </row>
    <row r="5" spans="1:10" ht="15.75">
      <c r="A5" s="84" t="s">
        <v>1951</v>
      </c>
      <c r="B5" s="71">
        <v>24</v>
      </c>
      <c r="C5" t="s">
        <v>4761</v>
      </c>
      <c r="D5" s="94" t="s">
        <v>168</v>
      </c>
      <c r="E5" s="94"/>
      <c r="F5" s="117" t="s">
        <v>433</v>
      </c>
      <c r="G5" t="s">
        <v>4758</v>
      </c>
      <c r="H5" s="75" t="s">
        <v>4758</v>
      </c>
      <c r="I5" t="s">
        <v>4758</v>
      </c>
    </row>
    <row r="6" spans="1:10" ht="16.5">
      <c r="A6" s="85" t="s">
        <v>430</v>
      </c>
      <c r="B6" s="71">
        <v>249</v>
      </c>
      <c r="C6" t="s">
        <v>431</v>
      </c>
      <c r="D6" s="94" t="s">
        <v>167</v>
      </c>
      <c r="E6" s="94"/>
      <c r="F6" s="117" t="s">
        <v>433</v>
      </c>
      <c r="G6" t="s">
        <v>4758</v>
      </c>
      <c r="H6" t="s">
        <v>4758</v>
      </c>
      <c r="I6" t="s">
        <v>4758</v>
      </c>
    </row>
    <row r="7" spans="1:10" ht="16.5">
      <c r="A7" s="85" t="s">
        <v>1956</v>
      </c>
      <c r="B7" s="71">
        <v>25</v>
      </c>
      <c r="C7" t="s">
        <v>4762</v>
      </c>
      <c r="D7" t="s">
        <v>170</v>
      </c>
      <c r="F7" s="117" t="s">
        <v>433</v>
      </c>
      <c r="G7" t="s">
        <v>4758</v>
      </c>
      <c r="H7" t="s">
        <v>4758</v>
      </c>
      <c r="I7" t="s">
        <v>4758</v>
      </c>
      <c r="J7" t="s">
        <v>4758</v>
      </c>
    </row>
    <row r="8" spans="1:10">
      <c r="A8" s="86" t="s">
        <v>1961</v>
      </c>
      <c r="B8" s="71">
        <v>252</v>
      </c>
      <c r="C8" t="s">
        <v>4763</v>
      </c>
      <c r="D8" t="s">
        <v>170</v>
      </c>
      <c r="F8" s="117" t="s">
        <v>433</v>
      </c>
      <c r="G8" t="s">
        <v>4758</v>
      </c>
      <c r="H8" t="s">
        <v>4758</v>
      </c>
      <c r="I8" t="s">
        <v>4758</v>
      </c>
    </row>
    <row r="9" spans="1:10" ht="16.5">
      <c r="A9" s="85" t="s">
        <v>1803</v>
      </c>
      <c r="B9" s="71">
        <v>279</v>
      </c>
      <c r="C9" t="s">
        <v>4764</v>
      </c>
      <c r="D9" t="s">
        <v>168</v>
      </c>
      <c r="F9" s="117" t="s">
        <v>433</v>
      </c>
      <c r="G9" t="s">
        <v>4758</v>
      </c>
      <c r="H9" t="s">
        <v>4758</v>
      </c>
      <c r="I9" t="s">
        <v>4758</v>
      </c>
    </row>
    <row r="10" spans="1:10" ht="16.5">
      <c r="A10" s="85" t="s">
        <v>1966</v>
      </c>
      <c r="B10" s="71">
        <v>28</v>
      </c>
      <c r="C10" t="s">
        <v>4765</v>
      </c>
      <c r="D10" t="s">
        <v>171</v>
      </c>
      <c r="F10" s="117" t="s">
        <v>433</v>
      </c>
      <c r="G10" t="s">
        <v>4758</v>
      </c>
      <c r="H10" t="s">
        <v>4758</v>
      </c>
      <c r="I10" t="s">
        <v>4758</v>
      </c>
    </row>
    <row r="11" spans="1:10" ht="16.5">
      <c r="A11" s="85" t="s">
        <v>1971</v>
      </c>
      <c r="B11" s="71">
        <v>281</v>
      </c>
      <c r="C11" t="s">
        <v>4766</v>
      </c>
      <c r="D11" t="s">
        <v>171</v>
      </c>
      <c r="F11" s="117" t="s">
        <v>433</v>
      </c>
      <c r="G11" t="s">
        <v>4758</v>
      </c>
      <c r="H11" t="s">
        <v>4758</v>
      </c>
      <c r="I11" t="s">
        <v>4758</v>
      </c>
    </row>
    <row r="12" spans="1:10" ht="16.5">
      <c r="A12" s="85" t="s">
        <v>1976</v>
      </c>
      <c r="B12" s="71">
        <v>282</v>
      </c>
      <c r="C12" t="s">
        <v>4767</v>
      </c>
      <c r="D12" t="s">
        <v>170</v>
      </c>
      <c r="F12" s="117" t="s">
        <v>433</v>
      </c>
      <c r="G12" t="s">
        <v>4758</v>
      </c>
      <c r="H12" t="s">
        <v>4758</v>
      </c>
      <c r="I12" t="s">
        <v>4758</v>
      </c>
    </row>
    <row r="13" spans="1:10" ht="16.5">
      <c r="A13" s="85" t="s">
        <v>1981</v>
      </c>
      <c r="B13" s="71">
        <v>283</v>
      </c>
      <c r="C13" t="s">
        <v>4768</v>
      </c>
      <c r="D13" t="s">
        <v>168</v>
      </c>
      <c r="F13" s="117" t="s">
        <v>433</v>
      </c>
      <c r="G13" t="s">
        <v>4758</v>
      </c>
      <c r="H13" t="s">
        <v>4758</v>
      </c>
      <c r="I13" t="s">
        <v>4758</v>
      </c>
      <c r="J13" t="s">
        <v>4758</v>
      </c>
    </row>
    <row r="14" spans="1:10" ht="16.5">
      <c r="A14" s="85" t="s">
        <v>1986</v>
      </c>
      <c r="B14" s="71">
        <v>284</v>
      </c>
      <c r="C14" t="s">
        <v>4769</v>
      </c>
      <c r="D14" t="s">
        <v>167</v>
      </c>
      <c r="F14" s="117" t="s">
        <v>433</v>
      </c>
      <c r="G14" t="s">
        <v>4758</v>
      </c>
      <c r="H14" t="s">
        <v>4758</v>
      </c>
      <c r="I14" t="s">
        <v>4758</v>
      </c>
    </row>
    <row r="15" spans="1:10" ht="16.5">
      <c r="A15" s="85" t="s">
        <v>1991</v>
      </c>
      <c r="B15" s="71">
        <v>285</v>
      </c>
      <c r="C15" t="s">
        <v>4770</v>
      </c>
      <c r="D15" t="s">
        <v>167</v>
      </c>
      <c r="F15" s="117" t="s">
        <v>433</v>
      </c>
      <c r="G15" t="s">
        <v>4758</v>
      </c>
      <c r="H15" t="s">
        <v>4758</v>
      </c>
      <c r="I15" t="s">
        <v>4758</v>
      </c>
    </row>
    <row r="16" spans="1:10" ht="16.5">
      <c r="A16" s="85" t="s">
        <v>1996</v>
      </c>
      <c r="B16" s="71">
        <v>286</v>
      </c>
      <c r="C16" t="s">
        <v>4771</v>
      </c>
      <c r="D16" t="s">
        <v>168</v>
      </c>
      <c r="F16" s="117" t="s">
        <v>433</v>
      </c>
      <c r="G16" t="s">
        <v>4758</v>
      </c>
      <c r="H16" t="s">
        <v>4758</v>
      </c>
      <c r="I16" t="s">
        <v>4758</v>
      </c>
    </row>
    <row r="17" spans="1:9" ht="16.5">
      <c r="A17" s="85" t="s">
        <v>2001</v>
      </c>
      <c r="B17" s="71">
        <v>293</v>
      </c>
      <c r="C17" t="s">
        <v>4772</v>
      </c>
      <c r="D17" t="s">
        <v>167</v>
      </c>
      <c r="F17" s="117" t="s">
        <v>433</v>
      </c>
      <c r="G17" t="s">
        <v>4758</v>
      </c>
      <c r="H17" t="s">
        <v>4758</v>
      </c>
      <c r="I17" t="s">
        <v>4758</v>
      </c>
    </row>
    <row r="18" spans="1:9" ht="16.5">
      <c r="A18" s="85" t="s">
        <v>2006</v>
      </c>
      <c r="B18" s="71">
        <v>297</v>
      </c>
      <c r="C18" t="s">
        <v>4773</v>
      </c>
      <c r="D18" t="s">
        <v>168</v>
      </c>
      <c r="F18" s="117" t="s">
        <v>433</v>
      </c>
      <c r="G18" t="s">
        <v>4758</v>
      </c>
      <c r="H18" t="s">
        <v>4758</v>
      </c>
      <c r="I18" t="s">
        <v>4758</v>
      </c>
    </row>
    <row r="19" spans="1:9" ht="16.5">
      <c r="A19" s="85" t="s">
        <v>446</v>
      </c>
      <c r="B19" s="71">
        <v>31</v>
      </c>
      <c r="C19" t="s">
        <v>4774</v>
      </c>
      <c r="D19" t="s">
        <v>167</v>
      </c>
      <c r="F19" s="117" t="s">
        <v>433</v>
      </c>
      <c r="G19" t="s">
        <v>4758</v>
      </c>
      <c r="H19" t="s">
        <v>4758</v>
      </c>
      <c r="I19" t="s">
        <v>4758</v>
      </c>
    </row>
    <row r="20" spans="1:9" ht="15.75">
      <c r="A20" s="84" t="s">
        <v>2012</v>
      </c>
      <c r="B20" s="71">
        <v>33</v>
      </c>
      <c r="C20" t="s">
        <v>4775</v>
      </c>
      <c r="D20" t="s">
        <v>168</v>
      </c>
      <c r="F20" s="117" t="s">
        <v>433</v>
      </c>
      <c r="G20" t="s">
        <v>4758</v>
      </c>
      <c r="H20" t="s">
        <v>4758</v>
      </c>
      <c r="I20" t="s">
        <v>4758</v>
      </c>
    </row>
    <row r="21" spans="1:9" ht="15.75">
      <c r="A21" s="84" t="s">
        <v>2016</v>
      </c>
      <c r="B21" s="71">
        <v>342</v>
      </c>
      <c r="C21" t="s">
        <v>4776</v>
      </c>
      <c r="D21" t="s">
        <v>167</v>
      </c>
      <c r="F21" s="117" t="s">
        <v>433</v>
      </c>
      <c r="G21" t="s">
        <v>4758</v>
      </c>
      <c r="H21" t="s">
        <v>4758</v>
      </c>
      <c r="I21" t="s">
        <v>4758</v>
      </c>
    </row>
    <row r="22" spans="1:9" ht="15.75">
      <c r="A22" s="84" t="s">
        <v>2021</v>
      </c>
      <c r="B22" s="71">
        <v>355</v>
      </c>
      <c r="C22" t="s">
        <v>4777</v>
      </c>
      <c r="D22" t="s">
        <v>167</v>
      </c>
      <c r="F22" s="117" t="s">
        <v>433</v>
      </c>
      <c r="G22" t="s">
        <v>4758</v>
      </c>
      <c r="H22" t="s">
        <v>4758</v>
      </c>
      <c r="I22" t="s">
        <v>4758</v>
      </c>
    </row>
    <row r="23" spans="1:9" ht="15.75">
      <c r="A23" s="84" t="s">
        <v>2026</v>
      </c>
      <c r="B23" s="71">
        <v>357</v>
      </c>
      <c r="C23" t="s">
        <v>4778</v>
      </c>
      <c r="D23" t="s">
        <v>170</v>
      </c>
      <c r="F23" s="117" t="s">
        <v>433</v>
      </c>
      <c r="G23" t="s">
        <v>4758</v>
      </c>
      <c r="H23" t="s">
        <v>4758</v>
      </c>
      <c r="I23" t="s">
        <v>4758</v>
      </c>
    </row>
    <row r="24" spans="1:9" ht="15.75">
      <c r="A24" s="84" t="s">
        <v>2839</v>
      </c>
      <c r="B24" s="71">
        <v>362</v>
      </c>
      <c r="C24" t="s">
        <v>4779</v>
      </c>
      <c r="D24" t="s">
        <v>170</v>
      </c>
      <c r="F24" s="117" t="s">
        <v>433</v>
      </c>
      <c r="G24" t="s">
        <v>4758</v>
      </c>
      <c r="H24" t="s">
        <v>4758</v>
      </c>
      <c r="I24" t="s">
        <v>4758</v>
      </c>
    </row>
    <row r="25" spans="1:9" ht="15.75">
      <c r="A25" s="84" t="s">
        <v>2031</v>
      </c>
      <c r="C25" t="s">
        <v>4780</v>
      </c>
      <c r="D25" t="s">
        <v>168</v>
      </c>
      <c r="F25" s="117" t="s">
        <v>433</v>
      </c>
      <c r="G25" t="s">
        <v>4758</v>
      </c>
      <c r="H25" t="s">
        <v>4758</v>
      </c>
      <c r="I25" t="s">
        <v>4758</v>
      </c>
    </row>
    <row r="26" spans="1:9" ht="15.75">
      <c r="A26" s="84" t="s">
        <v>2036</v>
      </c>
      <c r="C26" t="s">
        <v>4781</v>
      </c>
      <c r="D26" t="s">
        <v>167</v>
      </c>
      <c r="F26" s="117" t="s">
        <v>433</v>
      </c>
      <c r="G26" t="s">
        <v>4758</v>
      </c>
      <c r="H26" t="s">
        <v>4758</v>
      </c>
      <c r="I26" t="s">
        <v>4758</v>
      </c>
    </row>
    <row r="27" spans="1:9" ht="15.75">
      <c r="A27" s="84" t="s">
        <v>794</v>
      </c>
      <c r="C27" t="s">
        <v>4782</v>
      </c>
      <c r="D27" t="s">
        <v>32</v>
      </c>
      <c r="F27" s="117" t="s">
        <v>433</v>
      </c>
      <c r="G27" t="s">
        <v>4758</v>
      </c>
      <c r="H27" t="s">
        <v>4758</v>
      </c>
      <c r="I27" t="s">
        <v>4783</v>
      </c>
    </row>
    <row r="28" spans="1:9" ht="15.75">
      <c r="A28" s="84" t="s">
        <v>4432</v>
      </c>
      <c r="C28" t="s">
        <v>4433</v>
      </c>
      <c r="D28" t="s">
        <v>32</v>
      </c>
      <c r="F28" s="117" t="s">
        <v>433</v>
      </c>
      <c r="G28" t="s">
        <v>4758</v>
      </c>
      <c r="H28" t="s">
        <v>4758</v>
      </c>
      <c r="I28" t="s">
        <v>4784</v>
      </c>
    </row>
    <row r="29" spans="1:9" ht="16.5">
      <c r="A29" s="87" t="s">
        <v>2253</v>
      </c>
      <c r="C29" t="s">
        <v>2254</v>
      </c>
      <c r="D29" t="s">
        <v>183</v>
      </c>
      <c r="F29" s="117" t="s">
        <v>433</v>
      </c>
      <c r="G29" t="s">
        <v>4758</v>
      </c>
      <c r="H29" t="s">
        <v>4758</v>
      </c>
      <c r="I29" t="s">
        <v>4784</v>
      </c>
    </row>
    <row r="30" spans="1:9" ht="15.75">
      <c r="A30" s="84" t="s">
        <v>2269</v>
      </c>
      <c r="C30" t="s">
        <v>2270</v>
      </c>
      <c r="D30" t="s">
        <v>183</v>
      </c>
      <c r="F30" s="117" t="s">
        <v>433</v>
      </c>
      <c r="G30" t="s">
        <v>4758</v>
      </c>
      <c r="H30" t="s">
        <v>4758</v>
      </c>
      <c r="I30" t="s">
        <v>4784</v>
      </c>
    </row>
    <row r="31" spans="1:9" ht="16.5">
      <c r="A31" s="87" t="s">
        <v>2279</v>
      </c>
      <c r="C31" t="s">
        <v>2280</v>
      </c>
      <c r="D31" t="s">
        <v>168</v>
      </c>
      <c r="F31" s="117" t="s">
        <v>433</v>
      </c>
      <c r="G31" t="s">
        <v>4758</v>
      </c>
      <c r="H31" t="s">
        <v>4758</v>
      </c>
      <c r="I31" t="s">
        <v>4784</v>
      </c>
    </row>
    <row r="32" spans="1:9" ht="15.75">
      <c r="A32" s="84" t="s">
        <v>2258</v>
      </c>
      <c r="C32" t="s">
        <v>2259</v>
      </c>
      <c r="D32" t="s">
        <v>168</v>
      </c>
      <c r="F32" s="117" t="s">
        <v>433</v>
      </c>
      <c r="G32" t="s">
        <v>4758</v>
      </c>
      <c r="H32" t="s">
        <v>4758</v>
      </c>
      <c r="I32" t="s">
        <v>4784</v>
      </c>
    </row>
    <row r="33" spans="1:9" ht="15.75">
      <c r="A33" s="84" t="s">
        <v>2247</v>
      </c>
      <c r="C33" t="s">
        <v>2248</v>
      </c>
      <c r="D33" t="s">
        <v>168</v>
      </c>
      <c r="F33" s="117" t="s">
        <v>2250</v>
      </c>
      <c r="G33" t="s">
        <v>4758</v>
      </c>
      <c r="H33" t="s">
        <v>4758</v>
      </c>
      <c r="I33" t="s">
        <v>4784</v>
      </c>
    </row>
    <row r="34" spans="1:9" ht="15.75">
      <c r="A34" s="84" t="s">
        <v>2242</v>
      </c>
      <c r="C34" t="s">
        <v>2243</v>
      </c>
      <c r="D34" t="s">
        <v>183</v>
      </c>
      <c r="F34" s="117" t="s">
        <v>433</v>
      </c>
      <c r="G34" t="s">
        <v>4758</v>
      </c>
      <c r="H34" t="s">
        <v>4758</v>
      </c>
      <c r="I34" t="s">
        <v>4784</v>
      </c>
    </row>
    <row r="35" spans="1:9" ht="15.75">
      <c r="A35" s="84" t="s">
        <v>2263</v>
      </c>
      <c r="C35" t="s">
        <v>2264</v>
      </c>
      <c r="D35" t="s">
        <v>183</v>
      </c>
      <c r="F35" s="117" t="s">
        <v>433</v>
      </c>
      <c r="G35" t="s">
        <v>4758</v>
      </c>
      <c r="H35" t="s">
        <v>4758</v>
      </c>
      <c r="I35" t="s">
        <v>4784</v>
      </c>
    </row>
    <row r="36" spans="1:9" ht="15.75">
      <c r="A36" s="84" t="s">
        <v>2274</v>
      </c>
      <c r="C36" t="s">
        <v>2275</v>
      </c>
      <c r="D36" t="s">
        <v>168</v>
      </c>
      <c r="F36" s="117" t="s">
        <v>433</v>
      </c>
      <c r="G36" t="s">
        <v>4758</v>
      </c>
      <c r="H36" t="s">
        <v>4758</v>
      </c>
      <c r="I36" t="s">
        <v>4784</v>
      </c>
    </row>
    <row r="37" spans="1:9" ht="15.75">
      <c r="A37" s="84" t="s">
        <v>2056</v>
      </c>
      <c r="C37" t="s">
        <v>4785</v>
      </c>
      <c r="D37" t="s">
        <v>168</v>
      </c>
      <c r="F37" s="117" t="s">
        <v>433</v>
      </c>
      <c r="G37" t="s">
        <v>4758</v>
      </c>
      <c r="H37" t="s">
        <v>4758</v>
      </c>
      <c r="I37" t="s">
        <v>4758</v>
      </c>
    </row>
    <row r="38" spans="1:9" ht="15.75">
      <c r="A38" s="84" t="s">
        <v>2227</v>
      </c>
      <c r="C38" t="s">
        <v>4786</v>
      </c>
      <c r="D38" s="75"/>
      <c r="E38" s="105" t="s">
        <v>179</v>
      </c>
      <c r="F38" s="117" t="s">
        <v>433</v>
      </c>
      <c r="G38" t="s">
        <v>4758</v>
      </c>
      <c r="H38" t="s">
        <v>4758</v>
      </c>
      <c r="I38" t="s">
        <v>4784</v>
      </c>
    </row>
    <row r="39" spans="1:9" ht="15.75">
      <c r="A39" s="84" t="s">
        <v>2062</v>
      </c>
      <c r="C39" t="s">
        <v>4787</v>
      </c>
      <c r="D39" t="s">
        <v>32</v>
      </c>
      <c r="F39" s="117" t="s">
        <v>433</v>
      </c>
      <c r="G39" t="s">
        <v>4758</v>
      </c>
      <c r="H39" t="s">
        <v>4758</v>
      </c>
      <c r="I39" t="s">
        <v>4758</v>
      </c>
    </row>
    <row r="40" spans="1:9" ht="15.75">
      <c r="A40" s="84" t="s">
        <v>2067</v>
      </c>
      <c r="C40" t="s">
        <v>4788</v>
      </c>
      <c r="D40" t="s">
        <v>170</v>
      </c>
      <c r="F40" s="117" t="s">
        <v>433</v>
      </c>
      <c r="G40" t="s">
        <v>4758</v>
      </c>
      <c r="H40" t="s">
        <v>4758</v>
      </c>
      <c r="I40" t="s">
        <v>4758</v>
      </c>
    </row>
    <row r="41" spans="1:9" ht="15.75">
      <c r="A41" s="84" t="s">
        <v>2073</v>
      </c>
      <c r="C41" t="s">
        <v>4789</v>
      </c>
      <c r="D41" t="s">
        <v>167</v>
      </c>
      <c r="F41" s="117" t="s">
        <v>433</v>
      </c>
      <c r="G41" t="s">
        <v>4758</v>
      </c>
      <c r="H41" t="s">
        <v>4758</v>
      </c>
      <c r="I41" t="s">
        <v>4758</v>
      </c>
    </row>
    <row r="42" spans="1:9" ht="15.75">
      <c r="A42" s="84" t="s">
        <v>2079</v>
      </c>
      <c r="C42" t="s">
        <v>4790</v>
      </c>
      <c r="D42" t="s">
        <v>183</v>
      </c>
      <c r="F42" s="117" t="s">
        <v>433</v>
      </c>
      <c r="G42" t="s">
        <v>4758</v>
      </c>
      <c r="H42" t="s">
        <v>4758</v>
      </c>
      <c r="I42" t="s">
        <v>4758</v>
      </c>
    </row>
    <row r="43" spans="1:9" ht="15.75">
      <c r="A43" s="88" t="s">
        <v>2084</v>
      </c>
      <c r="C43" t="s">
        <v>4791</v>
      </c>
      <c r="D43" t="s">
        <v>170</v>
      </c>
      <c r="F43" s="117" t="s">
        <v>433</v>
      </c>
      <c r="G43" t="s">
        <v>4758</v>
      </c>
      <c r="H43" t="s">
        <v>4758</v>
      </c>
      <c r="I43" t="s">
        <v>4758</v>
      </c>
    </row>
    <row r="44" spans="1:9" ht="15.75">
      <c r="A44" s="88" t="s">
        <v>2041</v>
      </c>
      <c r="C44" t="s">
        <v>4792</v>
      </c>
      <c r="D44" t="s">
        <v>183</v>
      </c>
      <c r="F44" s="117" t="s">
        <v>433</v>
      </c>
      <c r="G44" t="s">
        <v>4758</v>
      </c>
      <c r="H44" s="75" t="s">
        <v>4758</v>
      </c>
      <c r="I44" t="s">
        <v>4758</v>
      </c>
    </row>
    <row r="45" spans="1:9" ht="15.75">
      <c r="A45" s="88" t="s">
        <v>2090</v>
      </c>
      <c r="C45" t="s">
        <v>4793</v>
      </c>
      <c r="D45" t="s">
        <v>172</v>
      </c>
      <c r="F45" s="117" t="s">
        <v>433</v>
      </c>
      <c r="G45" t="s">
        <v>4758</v>
      </c>
      <c r="H45" t="s">
        <v>4758</v>
      </c>
      <c r="I45" t="s">
        <v>4758</v>
      </c>
    </row>
    <row r="46" spans="1:9" ht="15.75">
      <c r="A46" s="89" t="s">
        <v>2232</v>
      </c>
      <c r="C46" t="s">
        <v>4794</v>
      </c>
      <c r="D46" s="75"/>
      <c r="E46" s="105" t="s">
        <v>179</v>
      </c>
      <c r="F46" s="117" t="s">
        <v>433</v>
      </c>
      <c r="G46" t="s">
        <v>4758</v>
      </c>
      <c r="H46" t="s">
        <v>4758</v>
      </c>
      <c r="I46" t="s">
        <v>4784</v>
      </c>
    </row>
    <row r="47" spans="1:9" ht="15.75">
      <c r="A47" s="84" t="s">
        <v>1220</v>
      </c>
      <c r="C47" t="s">
        <v>1221</v>
      </c>
      <c r="D47" t="s">
        <v>132</v>
      </c>
      <c r="F47" s="117" t="s">
        <v>433</v>
      </c>
      <c r="G47" t="s">
        <v>4758</v>
      </c>
      <c r="H47" t="s">
        <v>4758</v>
      </c>
      <c r="I47" t="s">
        <v>4758</v>
      </c>
    </row>
    <row r="48" spans="1:9" ht="15.75">
      <c r="A48" s="84" t="s">
        <v>2095</v>
      </c>
      <c r="C48" t="s">
        <v>4795</v>
      </c>
      <c r="D48" t="s">
        <v>170</v>
      </c>
      <c r="F48" s="117" t="s">
        <v>433</v>
      </c>
      <c r="G48" t="s">
        <v>4758</v>
      </c>
      <c r="H48" t="s">
        <v>4758</v>
      </c>
      <c r="I48" t="s">
        <v>4758</v>
      </c>
    </row>
    <row r="49" spans="1:10" ht="15.75">
      <c r="A49" s="84" t="s">
        <v>607</v>
      </c>
      <c r="C49" t="s">
        <v>4796</v>
      </c>
      <c r="D49" s="75"/>
      <c r="E49" s="105" t="s">
        <v>179</v>
      </c>
      <c r="F49" s="117" t="s">
        <v>433</v>
      </c>
      <c r="G49" t="s">
        <v>4758</v>
      </c>
      <c r="H49" t="s">
        <v>4758</v>
      </c>
      <c r="I49" t="s">
        <v>4784</v>
      </c>
    </row>
    <row r="50" spans="1:10" ht="15.75">
      <c r="A50" s="84" t="s">
        <v>4555</v>
      </c>
      <c r="C50" t="s">
        <v>2270</v>
      </c>
      <c r="D50" t="s">
        <v>2113</v>
      </c>
      <c r="F50" s="117" t="s">
        <v>433</v>
      </c>
      <c r="G50" t="s">
        <v>4758</v>
      </c>
      <c r="H50" t="s">
        <v>4758</v>
      </c>
      <c r="I50" t="s">
        <v>4758</v>
      </c>
    </row>
    <row r="51" spans="1:10" ht="15.75">
      <c r="A51" s="84" t="s">
        <v>2100</v>
      </c>
      <c r="C51" t="s">
        <v>2101</v>
      </c>
      <c r="D51" t="s">
        <v>658</v>
      </c>
      <c r="F51" s="117" t="s">
        <v>433</v>
      </c>
      <c r="G51" t="s">
        <v>4758</v>
      </c>
      <c r="H51" t="s">
        <v>4758</v>
      </c>
      <c r="I51" t="s">
        <v>4758</v>
      </c>
    </row>
    <row r="52" spans="1:10" ht="15.75">
      <c r="A52" s="88" t="s">
        <v>655</v>
      </c>
      <c r="C52" t="s">
        <v>656</v>
      </c>
      <c r="D52" t="s">
        <v>658</v>
      </c>
      <c r="F52" s="117" t="s">
        <v>433</v>
      </c>
      <c r="G52" t="s">
        <v>4758</v>
      </c>
      <c r="H52" t="s">
        <v>4758</v>
      </c>
      <c r="I52" t="s">
        <v>4784</v>
      </c>
    </row>
    <row r="53" spans="1:10" ht="15.75">
      <c r="A53" s="88" t="s">
        <v>2105</v>
      </c>
      <c r="C53" t="s">
        <v>2106</v>
      </c>
      <c r="D53" t="s">
        <v>184</v>
      </c>
      <c r="F53" s="117" t="s">
        <v>433</v>
      </c>
      <c r="G53" t="s">
        <v>4758</v>
      </c>
      <c r="H53" t="s">
        <v>4758</v>
      </c>
      <c r="I53" t="s">
        <v>4758</v>
      </c>
    </row>
    <row r="54" spans="1:10" ht="15.75">
      <c r="A54" s="88" t="s">
        <v>2209</v>
      </c>
      <c r="C54" t="s">
        <v>2210</v>
      </c>
      <c r="D54" t="s">
        <v>175</v>
      </c>
      <c r="F54" s="117" t="s">
        <v>433</v>
      </c>
      <c r="G54" t="s">
        <v>4758</v>
      </c>
      <c r="H54" t="s">
        <v>4758</v>
      </c>
      <c r="I54" t="s">
        <v>4758</v>
      </c>
      <c r="J54" t="s">
        <v>4797</v>
      </c>
    </row>
    <row r="55" spans="1:10" ht="15.75">
      <c r="A55" s="88" t="s">
        <v>4560</v>
      </c>
      <c r="C55" t="s">
        <v>4561</v>
      </c>
      <c r="D55" t="s">
        <v>168</v>
      </c>
      <c r="F55" s="117" t="s">
        <v>433</v>
      </c>
      <c r="G55" t="s">
        <v>4758</v>
      </c>
      <c r="H55" t="s">
        <v>4758</v>
      </c>
      <c r="I55" t="s">
        <v>4758</v>
      </c>
    </row>
    <row r="56" spans="1:10" ht="15.75">
      <c r="A56" s="88" t="s">
        <v>2110</v>
      </c>
      <c r="C56" t="s">
        <v>2111</v>
      </c>
      <c r="D56" t="s">
        <v>2113</v>
      </c>
      <c r="F56" s="117" t="s">
        <v>433</v>
      </c>
      <c r="G56" t="s">
        <v>4758</v>
      </c>
      <c r="H56" t="s">
        <v>4758</v>
      </c>
      <c r="I56" t="s">
        <v>4758</v>
      </c>
    </row>
    <row r="57" spans="1:10" ht="15.75">
      <c r="A57" s="88" t="s">
        <v>4565</v>
      </c>
      <c r="C57" t="s">
        <v>4566</v>
      </c>
      <c r="D57" t="s">
        <v>183</v>
      </c>
      <c r="F57" s="117" t="s">
        <v>433</v>
      </c>
      <c r="G57" t="s">
        <v>4758</v>
      </c>
      <c r="H57" t="s">
        <v>4758</v>
      </c>
      <c r="I57" t="s">
        <v>4758</v>
      </c>
    </row>
    <row r="58" spans="1:10" ht="15.75">
      <c r="A58" s="89" t="s">
        <v>2116</v>
      </c>
      <c r="C58" t="s">
        <v>2117</v>
      </c>
      <c r="D58" t="s">
        <v>168</v>
      </c>
      <c r="F58" s="117" t="s">
        <v>433</v>
      </c>
      <c r="G58" t="s">
        <v>4758</v>
      </c>
      <c r="H58" t="s">
        <v>4758</v>
      </c>
      <c r="I58" t="s">
        <v>4758</v>
      </c>
    </row>
    <row r="59" spans="1:10" ht="15.75">
      <c r="A59" s="89" t="s">
        <v>2121</v>
      </c>
      <c r="C59" t="s">
        <v>2122</v>
      </c>
      <c r="D59" t="s">
        <v>168</v>
      </c>
      <c r="F59" s="117" t="s">
        <v>433</v>
      </c>
      <c r="G59" t="s">
        <v>4758</v>
      </c>
      <c r="H59" t="s">
        <v>4758</v>
      </c>
      <c r="I59" t="s">
        <v>4758</v>
      </c>
    </row>
    <row r="60" spans="1:10" ht="15.75">
      <c r="A60" s="89" t="s">
        <v>2126</v>
      </c>
      <c r="C60" t="s">
        <v>2127</v>
      </c>
      <c r="D60" t="s">
        <v>4798</v>
      </c>
      <c r="E60" t="s">
        <v>178</v>
      </c>
      <c r="F60" s="117" t="s">
        <v>433</v>
      </c>
      <c r="G60" t="s">
        <v>4758</v>
      </c>
      <c r="H60" t="s">
        <v>4758</v>
      </c>
      <c r="I60" t="s">
        <v>4758</v>
      </c>
    </row>
    <row r="61" spans="1:10" ht="15.75">
      <c r="A61" s="89" t="s">
        <v>2132</v>
      </c>
      <c r="C61" t="s">
        <v>2133</v>
      </c>
      <c r="D61" t="s">
        <v>658</v>
      </c>
      <c r="F61" s="117" t="s">
        <v>433</v>
      </c>
      <c r="G61" t="s">
        <v>4758</v>
      </c>
      <c r="H61" t="s">
        <v>4758</v>
      </c>
      <c r="I61" t="s">
        <v>4758</v>
      </c>
    </row>
    <row r="62" spans="1:10" ht="15.75">
      <c r="A62" s="89" t="s">
        <v>2137</v>
      </c>
      <c r="C62" t="s">
        <v>2138</v>
      </c>
      <c r="D62" t="s">
        <v>168</v>
      </c>
      <c r="F62" s="117" t="s">
        <v>433</v>
      </c>
      <c r="G62" t="s">
        <v>4758</v>
      </c>
      <c r="H62" t="s">
        <v>4758</v>
      </c>
      <c r="I62" t="s">
        <v>4758</v>
      </c>
    </row>
    <row r="63" spans="1:10" ht="15.75">
      <c r="A63" s="84" t="s">
        <v>612</v>
      </c>
      <c r="C63" t="s">
        <v>613</v>
      </c>
      <c r="D63" s="75"/>
      <c r="E63" s="105" t="s">
        <v>179</v>
      </c>
      <c r="F63" s="117" t="s">
        <v>433</v>
      </c>
      <c r="G63" t="s">
        <v>4758</v>
      </c>
      <c r="H63" t="s">
        <v>4758</v>
      </c>
      <c r="I63" t="s">
        <v>4784</v>
      </c>
    </row>
    <row r="64" spans="1:10" ht="15.75">
      <c r="A64" s="84" t="s">
        <v>2142</v>
      </c>
      <c r="C64" t="s">
        <v>2143</v>
      </c>
      <c r="D64" t="s">
        <v>141</v>
      </c>
      <c r="E64" s="106" t="s">
        <v>178</v>
      </c>
      <c r="F64" s="117" t="s">
        <v>433</v>
      </c>
      <c r="G64" t="s">
        <v>4758</v>
      </c>
      <c r="H64" t="s">
        <v>4758</v>
      </c>
      <c r="I64" t="s">
        <v>4758</v>
      </c>
    </row>
    <row r="65" spans="1:9" ht="15.75">
      <c r="A65" s="84" t="s">
        <v>2148</v>
      </c>
      <c r="C65" t="s">
        <v>2149</v>
      </c>
      <c r="D65" t="s">
        <v>2151</v>
      </c>
      <c r="E65" t="s">
        <v>178</v>
      </c>
      <c r="F65" s="117" t="s">
        <v>433</v>
      </c>
      <c r="G65" t="s">
        <v>4758</v>
      </c>
      <c r="H65" t="s">
        <v>4758</v>
      </c>
      <c r="I65" t="s">
        <v>4758</v>
      </c>
    </row>
    <row r="66" spans="1:9" ht="15.75">
      <c r="A66" s="84" t="s">
        <v>2154</v>
      </c>
      <c r="C66" t="s">
        <v>2155</v>
      </c>
      <c r="D66" t="s">
        <v>4799</v>
      </c>
      <c r="E66" s="106" t="s">
        <v>178</v>
      </c>
      <c r="F66" s="117" t="s">
        <v>433</v>
      </c>
      <c r="G66" t="s">
        <v>4758</v>
      </c>
      <c r="H66" t="s">
        <v>4758</v>
      </c>
      <c r="I66" t="s">
        <v>4758</v>
      </c>
    </row>
    <row r="67" spans="1:9" ht="15.75">
      <c r="A67" s="84" t="s">
        <v>2160</v>
      </c>
      <c r="C67" t="s">
        <v>2161</v>
      </c>
      <c r="D67" t="s">
        <v>168</v>
      </c>
      <c r="F67" s="117" t="s">
        <v>433</v>
      </c>
      <c r="G67" t="s">
        <v>4758</v>
      </c>
      <c r="H67" t="s">
        <v>4758</v>
      </c>
      <c r="I67" t="s">
        <v>4758</v>
      </c>
    </row>
    <row r="68" spans="1:9" ht="15.75">
      <c r="A68" s="84" t="s">
        <v>2166</v>
      </c>
      <c r="C68" t="s">
        <v>2167</v>
      </c>
      <c r="D68" t="s">
        <v>4800</v>
      </c>
      <c r="E68" s="106" t="s">
        <v>178</v>
      </c>
      <c r="F68" s="117" t="s">
        <v>433</v>
      </c>
      <c r="G68" t="s">
        <v>4758</v>
      </c>
      <c r="H68" t="s">
        <v>4758</v>
      </c>
      <c r="I68" t="s">
        <v>4758</v>
      </c>
    </row>
    <row r="69" spans="1:9" ht="15.75">
      <c r="A69" s="88" t="s">
        <v>2173</v>
      </c>
      <c r="C69" t="s">
        <v>2174</v>
      </c>
      <c r="D69" t="s">
        <v>2176</v>
      </c>
      <c r="E69" s="106" t="s">
        <v>178</v>
      </c>
      <c r="F69" s="117" t="s">
        <v>433</v>
      </c>
      <c r="G69" t="s">
        <v>4758</v>
      </c>
      <c r="H69" t="s">
        <v>4758</v>
      </c>
      <c r="I69" t="s">
        <v>4758</v>
      </c>
    </row>
    <row r="70" spans="1:9" ht="15.75">
      <c r="A70" s="84" t="s">
        <v>2180</v>
      </c>
      <c r="C70" t="s">
        <v>2181</v>
      </c>
      <c r="D70" t="s">
        <v>4801</v>
      </c>
      <c r="E70" s="106" t="s">
        <v>178</v>
      </c>
      <c r="F70" s="117" t="s">
        <v>433</v>
      </c>
      <c r="G70" t="s">
        <v>4758</v>
      </c>
      <c r="H70" t="s">
        <v>4758</v>
      </c>
      <c r="I70" t="s">
        <v>4758</v>
      </c>
    </row>
    <row r="71" spans="1:9" ht="15.75">
      <c r="A71" s="84" t="s">
        <v>2186</v>
      </c>
      <c r="C71" t="s">
        <v>2187</v>
      </c>
      <c r="D71" t="s">
        <v>4802</v>
      </c>
      <c r="E71" s="106" t="s">
        <v>178</v>
      </c>
      <c r="F71" s="117" t="s">
        <v>433</v>
      </c>
      <c r="G71" t="s">
        <v>4758</v>
      </c>
      <c r="H71" t="s">
        <v>4758</v>
      </c>
      <c r="I71" t="s">
        <v>4758</v>
      </c>
    </row>
    <row r="72" spans="1:9" ht="15.75">
      <c r="A72" s="88" t="s">
        <v>2192</v>
      </c>
      <c r="C72" t="s">
        <v>2193</v>
      </c>
      <c r="D72" t="s">
        <v>4803</v>
      </c>
      <c r="E72" s="106" t="s">
        <v>178</v>
      </c>
      <c r="F72" s="117" t="s">
        <v>433</v>
      </c>
      <c r="G72" t="s">
        <v>4758</v>
      </c>
      <c r="H72" t="s">
        <v>4758</v>
      </c>
      <c r="I72" t="s">
        <v>4758</v>
      </c>
    </row>
    <row r="73" spans="1:9" ht="15.75">
      <c r="A73" s="84" t="s">
        <v>2198</v>
      </c>
      <c r="C73" t="s">
        <v>2199</v>
      </c>
      <c r="D73" t="s">
        <v>4802</v>
      </c>
      <c r="E73" s="106" t="s">
        <v>178</v>
      </c>
      <c r="F73" s="117" t="s">
        <v>433</v>
      </c>
      <c r="G73" t="s">
        <v>4758</v>
      </c>
      <c r="H73" t="s">
        <v>4758</v>
      </c>
      <c r="I73" t="s">
        <v>4758</v>
      </c>
    </row>
    <row r="74" spans="1:9" ht="15.75">
      <c r="A74" s="84" t="s">
        <v>2203</v>
      </c>
      <c r="C74" t="s">
        <v>2204</v>
      </c>
      <c r="D74" t="s">
        <v>4804</v>
      </c>
      <c r="E74" s="106" t="s">
        <v>178</v>
      </c>
      <c r="F74" s="117" t="s">
        <v>433</v>
      </c>
      <c r="G74" t="s">
        <v>4758</v>
      </c>
      <c r="H74" t="s">
        <v>4758</v>
      </c>
      <c r="I74" t="s">
        <v>4758</v>
      </c>
    </row>
    <row r="75" spans="1:9" ht="15.75">
      <c r="A75" s="84" t="s">
        <v>2214</v>
      </c>
      <c r="C75" t="s">
        <v>2215</v>
      </c>
      <c r="D75" t="s">
        <v>2217</v>
      </c>
      <c r="E75" s="106" t="s">
        <v>178</v>
      </c>
      <c r="F75" s="117" t="s">
        <v>433</v>
      </c>
      <c r="G75" t="s">
        <v>4758</v>
      </c>
      <c r="H75" t="s">
        <v>4758</v>
      </c>
      <c r="I75" t="s">
        <v>4758</v>
      </c>
    </row>
    <row r="76" spans="1:9" ht="15.75">
      <c r="A76" s="84" t="s">
        <v>856</v>
      </c>
      <c r="C76" t="s">
        <v>857</v>
      </c>
      <c r="D76" s="75"/>
      <c r="E76" s="105" t="s">
        <v>179</v>
      </c>
      <c r="F76" s="117" t="s">
        <v>433</v>
      </c>
      <c r="G76" t="s">
        <v>4758</v>
      </c>
      <c r="H76" t="s">
        <v>4758</v>
      </c>
      <c r="I76" t="s">
        <v>4784</v>
      </c>
    </row>
    <row r="77" spans="1:9" ht="15.75">
      <c r="A77" s="84" t="s">
        <v>2290</v>
      </c>
      <c r="C77" t="s">
        <v>2291</v>
      </c>
      <c r="D77" s="75"/>
      <c r="E77" s="105" t="s">
        <v>179</v>
      </c>
      <c r="F77" s="117" t="s">
        <v>433</v>
      </c>
      <c r="G77" t="s">
        <v>4758</v>
      </c>
      <c r="H77" t="s">
        <v>4758</v>
      </c>
      <c r="I77" t="s">
        <v>4784</v>
      </c>
    </row>
    <row r="78" spans="1:9" ht="15.75">
      <c r="A78" s="84" t="s">
        <v>633</v>
      </c>
      <c r="C78" t="s">
        <v>634</v>
      </c>
      <c r="D78" s="75"/>
      <c r="E78" s="105" t="s">
        <v>179</v>
      </c>
      <c r="F78" s="117" t="s">
        <v>433</v>
      </c>
      <c r="G78" t="s">
        <v>4758</v>
      </c>
      <c r="H78" t="e">
        <v>#N/A</v>
      </c>
    </row>
    <row r="79" spans="1:9" ht="15.75">
      <c r="A79" s="84" t="s">
        <v>638</v>
      </c>
      <c r="C79" t="s">
        <v>639</v>
      </c>
      <c r="D79" s="75"/>
      <c r="E79" s="105" t="s">
        <v>179</v>
      </c>
      <c r="F79" s="117" t="s">
        <v>433</v>
      </c>
      <c r="G79" t="s">
        <v>4758</v>
      </c>
      <c r="H79" t="e">
        <v>#N/A</v>
      </c>
    </row>
    <row r="80" spans="1:9" ht="15.75">
      <c r="A80" s="88" t="s">
        <v>4479</v>
      </c>
      <c r="C80" t="s">
        <v>2155</v>
      </c>
      <c r="D80" t="s">
        <v>4805</v>
      </c>
      <c r="E80" t="s">
        <v>178</v>
      </c>
      <c r="F80" s="117" t="s">
        <v>433</v>
      </c>
      <c r="G80" t="s">
        <v>4758</v>
      </c>
      <c r="H80" t="e">
        <v>#N/A</v>
      </c>
    </row>
    <row r="81" spans="1:8" ht="15.75">
      <c r="A81" s="84" t="s">
        <v>643</v>
      </c>
      <c r="C81" t="s">
        <v>644</v>
      </c>
      <c r="D81" t="s">
        <v>181</v>
      </c>
      <c r="F81" s="117" t="s">
        <v>433</v>
      </c>
      <c r="G81" t="s">
        <v>4758</v>
      </c>
      <c r="H81" t="e">
        <v>#N/A</v>
      </c>
    </row>
    <row r="82" spans="1:8" ht="15.75">
      <c r="A82" s="84" t="s">
        <v>2664</v>
      </c>
      <c r="C82" t="s">
        <v>2665</v>
      </c>
      <c r="D82" s="75"/>
      <c r="E82" s="105" t="s">
        <v>179</v>
      </c>
      <c r="F82" s="117" t="s">
        <v>433</v>
      </c>
      <c r="G82" t="s">
        <v>4758</v>
      </c>
      <c r="H82" t="s">
        <v>4758</v>
      </c>
    </row>
    <row r="83" spans="1:8" ht="15.75">
      <c r="A83" s="84" t="s">
        <v>2674</v>
      </c>
      <c r="C83" t="s">
        <v>2675</v>
      </c>
      <c r="D83" s="75"/>
      <c r="E83" s="105" t="s">
        <v>179</v>
      </c>
      <c r="F83" s="117" t="s">
        <v>433</v>
      </c>
      <c r="G83" t="s">
        <v>4758</v>
      </c>
      <c r="H83" t="s">
        <v>4758</v>
      </c>
    </row>
    <row r="84" spans="1:8" ht="15.75">
      <c r="A84" s="84" t="s">
        <v>2678</v>
      </c>
      <c r="C84" t="s">
        <v>2679</v>
      </c>
      <c r="D84" t="s">
        <v>180</v>
      </c>
      <c r="F84" s="117" t="s">
        <v>433</v>
      </c>
      <c r="G84" t="s">
        <v>4758</v>
      </c>
      <c r="H84" t="s">
        <v>4758</v>
      </c>
    </row>
    <row r="85" spans="1:8" ht="15.75">
      <c r="A85" s="84" t="s">
        <v>2683</v>
      </c>
      <c r="C85" t="s">
        <v>2684</v>
      </c>
      <c r="D85" t="s">
        <v>4806</v>
      </c>
      <c r="E85" s="106" t="s">
        <v>178</v>
      </c>
      <c r="F85" s="117" t="s">
        <v>433</v>
      </c>
      <c r="G85" t="s">
        <v>4758</v>
      </c>
      <c r="H85" t="s">
        <v>4758</v>
      </c>
    </row>
    <row r="86" spans="1:8" ht="15.75">
      <c r="A86" s="84" t="s">
        <v>2687</v>
      </c>
      <c r="C86" t="s">
        <v>2688</v>
      </c>
      <c r="D86" s="75"/>
      <c r="E86" s="105" t="s">
        <v>179</v>
      </c>
      <c r="F86" s="117" t="s">
        <v>433</v>
      </c>
      <c r="G86" t="s">
        <v>4758</v>
      </c>
      <c r="H86" t="s">
        <v>4758</v>
      </c>
    </row>
    <row r="87" spans="1:8" ht="15.75">
      <c r="A87" s="84" t="s">
        <v>4476</v>
      </c>
      <c r="C87" t="s">
        <v>2254</v>
      </c>
      <c r="D87" t="s">
        <v>4807</v>
      </c>
      <c r="E87" s="106" t="s">
        <v>178</v>
      </c>
      <c r="F87" s="117" t="s">
        <v>433</v>
      </c>
      <c r="G87" t="s">
        <v>4758</v>
      </c>
      <c r="H87" t="s">
        <v>4758</v>
      </c>
    </row>
    <row r="88" spans="1:8" ht="15.75">
      <c r="A88" s="84" t="s">
        <v>2718</v>
      </c>
      <c r="C88" t="s">
        <v>2719</v>
      </c>
      <c r="D88" s="168" t="s">
        <v>82</v>
      </c>
      <c r="E88" s="105"/>
      <c r="F88" s="117" t="s">
        <v>433</v>
      </c>
      <c r="G88" t="s">
        <v>4758</v>
      </c>
      <c r="H88" t="s">
        <v>4758</v>
      </c>
    </row>
    <row r="89" spans="1:8" ht="15.75">
      <c r="A89" s="84" t="s">
        <v>2769</v>
      </c>
      <c r="C89" t="s">
        <v>2770</v>
      </c>
      <c r="D89" t="s">
        <v>177</v>
      </c>
      <c r="F89" s="117" t="s">
        <v>2250</v>
      </c>
      <c r="G89" t="s">
        <v>4758</v>
      </c>
      <c r="H89" t="s">
        <v>4758</v>
      </c>
    </row>
    <row r="90" spans="1:8" ht="15.75">
      <c r="A90" s="84" t="s">
        <v>2773</v>
      </c>
      <c r="C90" t="s">
        <v>2774</v>
      </c>
      <c r="D90" t="s">
        <v>4808</v>
      </c>
      <c r="E90" s="106" t="s">
        <v>178</v>
      </c>
      <c r="F90" s="117" t="s">
        <v>433</v>
      </c>
      <c r="G90" t="s">
        <v>4758</v>
      </c>
      <c r="H90" t="s">
        <v>4758</v>
      </c>
    </row>
    <row r="91" spans="1:8" ht="15.75">
      <c r="A91" s="84" t="s">
        <v>2776</v>
      </c>
      <c r="C91" t="s">
        <v>2777</v>
      </c>
      <c r="D91" s="75"/>
      <c r="E91" s="105" t="s">
        <v>179</v>
      </c>
      <c r="F91" s="117" t="s">
        <v>433</v>
      </c>
      <c r="G91" t="s">
        <v>4758</v>
      </c>
      <c r="H91" t="s">
        <v>4758</v>
      </c>
    </row>
    <row r="92" spans="1:8" ht="15.75">
      <c r="A92" s="84" t="s">
        <v>3620</v>
      </c>
      <c r="C92" t="s">
        <v>3621</v>
      </c>
      <c r="D92" t="s">
        <v>177</v>
      </c>
      <c r="F92" s="117" t="s">
        <v>3622</v>
      </c>
      <c r="G92" t="s">
        <v>4758</v>
      </c>
      <c r="H92" t="s">
        <v>4758</v>
      </c>
    </row>
    <row r="93" spans="1:8" ht="15.75">
      <c r="A93" s="84" t="s">
        <v>3624</v>
      </c>
      <c r="C93" t="s">
        <v>3625</v>
      </c>
      <c r="D93" t="s">
        <v>177</v>
      </c>
      <c r="F93" s="117" t="s">
        <v>2250</v>
      </c>
      <c r="G93" t="s">
        <v>4758</v>
      </c>
      <c r="H93" t="s">
        <v>4758</v>
      </c>
    </row>
    <row r="94" spans="1:8" ht="15.75">
      <c r="A94" s="83" t="s">
        <v>3648</v>
      </c>
      <c r="C94" t="s">
        <v>3649</v>
      </c>
      <c r="D94" t="s">
        <v>177</v>
      </c>
      <c r="F94" s="117" t="s">
        <v>2250</v>
      </c>
      <c r="G94" t="s">
        <v>4758</v>
      </c>
      <c r="H94" t="s">
        <v>4758</v>
      </c>
    </row>
    <row r="95" spans="1:8" ht="15.75">
      <c r="A95" s="83" t="s">
        <v>3669</v>
      </c>
      <c r="C95" t="s">
        <v>3670</v>
      </c>
      <c r="D95" s="105" t="s">
        <v>168</v>
      </c>
      <c r="F95" s="117" t="s">
        <v>433</v>
      </c>
      <c r="G95" t="s">
        <v>4758</v>
      </c>
      <c r="H95" t="s">
        <v>4758</v>
      </c>
    </row>
    <row r="96" spans="1:8" ht="15.75">
      <c r="A96" s="83" t="s">
        <v>3678</v>
      </c>
      <c r="C96" t="s">
        <v>3679</v>
      </c>
      <c r="D96" t="s">
        <v>4809</v>
      </c>
      <c r="E96" t="s">
        <v>178</v>
      </c>
      <c r="F96" s="117" t="s">
        <v>433</v>
      </c>
      <c r="G96" t="s">
        <v>4758</v>
      </c>
      <c r="H96" t="s">
        <v>4758</v>
      </c>
    </row>
    <row r="97" spans="1:8" ht="15.75">
      <c r="A97" s="83" t="s">
        <v>3601</v>
      </c>
      <c r="C97" t="s">
        <v>3602</v>
      </c>
      <c r="D97" s="75"/>
      <c r="E97" s="105" t="s">
        <v>179</v>
      </c>
      <c r="F97" s="118" t="s">
        <v>3603</v>
      </c>
      <c r="G97" t="s">
        <v>4758</v>
      </c>
      <c r="H97" t="s">
        <v>4758</v>
      </c>
    </row>
    <row r="98" spans="1:8" ht="15.75">
      <c r="A98" s="83" t="s">
        <v>3605</v>
      </c>
      <c r="C98" t="s">
        <v>3606</v>
      </c>
      <c r="D98" s="75"/>
      <c r="E98" s="105" t="s">
        <v>179</v>
      </c>
      <c r="F98" s="118" t="s">
        <v>3603</v>
      </c>
      <c r="G98" t="s">
        <v>4758</v>
      </c>
      <c r="H98" t="s">
        <v>4758</v>
      </c>
    </row>
    <row r="99" spans="1:8" ht="15.75">
      <c r="A99" s="83" t="s">
        <v>3608</v>
      </c>
      <c r="C99" t="s">
        <v>3609</v>
      </c>
      <c r="D99" s="75"/>
      <c r="E99" s="105" t="s">
        <v>179</v>
      </c>
      <c r="F99" s="118" t="s">
        <v>3603</v>
      </c>
      <c r="G99" t="s">
        <v>4758</v>
      </c>
      <c r="H99" t="s">
        <v>4758</v>
      </c>
    </row>
    <row r="100" spans="1:8" ht="15.75">
      <c r="A100" s="83" t="s">
        <v>3611</v>
      </c>
      <c r="C100" t="s">
        <v>3612</v>
      </c>
      <c r="D100" s="75"/>
      <c r="E100" s="105" t="s">
        <v>179</v>
      </c>
      <c r="F100" s="118" t="s">
        <v>3603</v>
      </c>
      <c r="G100" t="s">
        <v>4758</v>
      </c>
      <c r="H100" t="s">
        <v>4758</v>
      </c>
    </row>
    <row r="101" spans="1:8" ht="15.75">
      <c r="A101" s="83" t="s">
        <v>3614</v>
      </c>
      <c r="C101" t="s">
        <v>3615</v>
      </c>
      <c r="D101" s="75"/>
      <c r="E101" s="105" t="s">
        <v>179</v>
      </c>
      <c r="F101" s="118" t="s">
        <v>3603</v>
      </c>
      <c r="G101" t="s">
        <v>4758</v>
      </c>
      <c r="H101" t="s">
        <v>4758</v>
      </c>
    </row>
    <row r="102" spans="1:8" ht="15.75">
      <c r="A102" s="83" t="s">
        <v>3617</v>
      </c>
      <c r="C102" t="s">
        <v>3618</v>
      </c>
      <c r="D102" s="75"/>
      <c r="E102" s="105" t="s">
        <v>179</v>
      </c>
      <c r="F102" s="118" t="s">
        <v>3603</v>
      </c>
      <c r="G102" t="s">
        <v>4758</v>
      </c>
      <c r="H102" t="s">
        <v>4758</v>
      </c>
    </row>
    <row r="103" spans="1:8" ht="15.75">
      <c r="A103" s="83" t="s">
        <v>4577</v>
      </c>
      <c r="C103" t="s">
        <v>3638</v>
      </c>
      <c r="D103" s="75"/>
      <c r="E103" s="105" t="s">
        <v>179</v>
      </c>
      <c r="F103" s="118" t="s">
        <v>4578</v>
      </c>
      <c r="G103" t="s">
        <v>4758</v>
      </c>
      <c r="H103" t="s">
        <v>4758</v>
      </c>
    </row>
    <row r="104" spans="1:8" ht="15.75">
      <c r="A104" s="83" t="s">
        <v>3637</v>
      </c>
      <c r="C104" t="s">
        <v>3638</v>
      </c>
      <c r="D104" s="75"/>
      <c r="E104" s="105" t="s">
        <v>179</v>
      </c>
      <c r="F104" s="118" t="s">
        <v>3640</v>
      </c>
      <c r="G104" t="s">
        <v>4758</v>
      </c>
      <c r="H104" t="s">
        <v>4758</v>
      </c>
    </row>
    <row r="105" spans="1:8" ht="17.25" customHeight="1">
      <c r="A105" s="83" t="s">
        <v>3664</v>
      </c>
      <c r="C105" t="s">
        <v>3665</v>
      </c>
      <c r="D105" s="75"/>
      <c r="E105" s="105" t="s">
        <v>179</v>
      </c>
      <c r="F105" s="119" t="s">
        <v>4810</v>
      </c>
      <c r="G105" t="s">
        <v>4758</v>
      </c>
      <c r="H105" t="s">
        <v>4758</v>
      </c>
    </row>
    <row r="106" spans="1:8" ht="15.75">
      <c r="A106" s="83" t="s">
        <v>3703</v>
      </c>
      <c r="C106" t="s">
        <v>3704</v>
      </c>
      <c r="D106" t="s">
        <v>4811</v>
      </c>
      <c r="E106" t="s">
        <v>178</v>
      </c>
      <c r="F106" s="117" t="s">
        <v>433</v>
      </c>
      <c r="G106" t="s">
        <v>4758</v>
      </c>
      <c r="H106" t="s">
        <v>4758</v>
      </c>
    </row>
    <row r="107" spans="1:8" ht="15.75">
      <c r="A107" s="83" t="s">
        <v>3707</v>
      </c>
      <c r="C107" t="s">
        <v>3708</v>
      </c>
      <c r="D107" s="75"/>
      <c r="E107" s="105" t="s">
        <v>179</v>
      </c>
      <c r="F107" s="117" t="s">
        <v>433</v>
      </c>
      <c r="G107" t="s">
        <v>4758</v>
      </c>
      <c r="H107" t="s">
        <v>4758</v>
      </c>
    </row>
    <row r="108" spans="1:8" ht="15.75">
      <c r="A108" s="83" t="s">
        <v>3735</v>
      </c>
      <c r="C108" t="s">
        <v>3736</v>
      </c>
      <c r="D108" t="s">
        <v>168</v>
      </c>
      <c r="F108" s="117" t="s">
        <v>433</v>
      </c>
      <c r="G108" t="s">
        <v>4758</v>
      </c>
      <c r="H108" t="s">
        <v>4812</v>
      </c>
    </row>
    <row r="109" spans="1:8" ht="15.75">
      <c r="A109" s="83" t="s">
        <v>3750</v>
      </c>
      <c r="C109" t="s">
        <v>4813</v>
      </c>
      <c r="D109" t="s">
        <v>176</v>
      </c>
      <c r="F109" s="117" t="s">
        <v>433</v>
      </c>
      <c r="G109" t="s">
        <v>4758</v>
      </c>
      <c r="H109" t="e">
        <v>#N/A</v>
      </c>
    </row>
    <row r="110" spans="1:8" ht="15.75">
      <c r="A110" s="83" t="s">
        <v>3754</v>
      </c>
      <c r="C110" t="s">
        <v>3755</v>
      </c>
      <c r="D110" t="s">
        <v>176</v>
      </c>
      <c r="F110" s="117" t="s">
        <v>433</v>
      </c>
      <c r="G110" t="s">
        <v>4758</v>
      </c>
      <c r="H110" t="s">
        <v>4812</v>
      </c>
    </row>
    <row r="111" spans="1:8" ht="15.75">
      <c r="A111" s="83" t="s">
        <v>3793</v>
      </c>
      <c r="C111" t="s">
        <v>3794</v>
      </c>
      <c r="D111" s="75"/>
      <c r="E111" s="105" t="s">
        <v>179</v>
      </c>
      <c r="F111" s="117" t="s">
        <v>433</v>
      </c>
      <c r="G111" t="s">
        <v>4758</v>
      </c>
      <c r="H111" t="e">
        <v>#N/A</v>
      </c>
    </row>
    <row r="112" spans="1:8" ht="15.75">
      <c r="A112" s="83" t="s">
        <v>4298</v>
      </c>
      <c r="C112" t="s">
        <v>4299</v>
      </c>
      <c r="D112" s="75"/>
      <c r="E112" s="105" t="s">
        <v>179</v>
      </c>
      <c r="F112" s="117" t="s">
        <v>433</v>
      </c>
      <c r="G112" t="s">
        <v>4758</v>
      </c>
      <c r="H112" t="e">
        <v>#N/A</v>
      </c>
    </row>
    <row r="113" spans="1:10" ht="15.75">
      <c r="A113" s="83" t="s">
        <v>4300</v>
      </c>
      <c r="C113" t="s">
        <v>4301</v>
      </c>
      <c r="D113" s="75"/>
      <c r="E113" s="105" t="s">
        <v>179</v>
      </c>
      <c r="F113" s="117" t="s">
        <v>433</v>
      </c>
      <c r="G113" t="s">
        <v>4758</v>
      </c>
      <c r="H113" t="e">
        <v>#N/A</v>
      </c>
    </row>
    <row r="114" spans="1:10" ht="15.75">
      <c r="A114" s="84" t="s">
        <v>4612</v>
      </c>
      <c r="B114" s="71">
        <v>227</v>
      </c>
      <c r="C114" t="s">
        <v>4203</v>
      </c>
      <c r="D114" t="s">
        <v>168</v>
      </c>
      <c r="F114" s="117" t="s">
        <v>3603</v>
      </c>
      <c r="G114" t="s">
        <v>4758</v>
      </c>
      <c r="H114" t="s">
        <v>4758</v>
      </c>
      <c r="I114" t="s">
        <v>4758</v>
      </c>
      <c r="J114" t="s">
        <v>4814</v>
      </c>
    </row>
    <row r="115" spans="1:10" ht="15.75">
      <c r="A115" s="84" t="s">
        <v>595</v>
      </c>
      <c r="B115" s="71">
        <v>231</v>
      </c>
      <c r="C115" t="s">
        <v>4815</v>
      </c>
      <c r="D115" t="s">
        <v>167</v>
      </c>
      <c r="F115" s="117" t="s">
        <v>433</v>
      </c>
      <c r="G115" t="s">
        <v>4758</v>
      </c>
      <c r="H115" t="s">
        <v>4758</v>
      </c>
      <c r="I115" t="s">
        <v>4758</v>
      </c>
      <c r="J115" t="s">
        <v>4758</v>
      </c>
    </row>
    <row r="116" spans="1:10">
      <c r="A116" s="86" t="s">
        <v>4305</v>
      </c>
      <c r="C116" s="149" t="s">
        <v>4306</v>
      </c>
      <c r="E116" s="105" t="s">
        <v>179</v>
      </c>
      <c r="F116" s="117" t="s">
        <v>433</v>
      </c>
      <c r="G116" t="s">
        <v>4758</v>
      </c>
      <c r="H116" t="s">
        <v>4814</v>
      </c>
      <c r="I116" t="s">
        <v>4814</v>
      </c>
      <c r="J116" t="s">
        <v>4814</v>
      </c>
    </row>
    <row r="117" spans="1:10" ht="15.75">
      <c r="A117" s="90" t="s">
        <v>4816</v>
      </c>
      <c r="B117" s="95">
        <v>217</v>
      </c>
      <c r="C117" s="91" t="s">
        <v>4817</v>
      </c>
      <c r="D117" s="91" t="s">
        <v>176</v>
      </c>
      <c r="E117" s="91"/>
      <c r="F117" s="120" t="s">
        <v>433</v>
      </c>
      <c r="G117" s="91" t="s">
        <v>4814</v>
      </c>
      <c r="H117" s="91" t="s">
        <v>4814</v>
      </c>
      <c r="I117" s="91" t="s">
        <v>4814</v>
      </c>
      <c r="J117" s="91" t="s">
        <v>4814</v>
      </c>
    </row>
    <row r="118" spans="1:10" ht="15.75">
      <c r="A118" s="90" t="s">
        <v>4818</v>
      </c>
      <c r="B118" s="95">
        <v>218</v>
      </c>
      <c r="C118" s="91" t="s">
        <v>4819</v>
      </c>
      <c r="D118" s="91" t="s">
        <v>176</v>
      </c>
      <c r="E118" s="91"/>
      <c r="F118" s="120" t="s">
        <v>433</v>
      </c>
      <c r="G118" s="91" t="s">
        <v>4814</v>
      </c>
      <c r="H118" s="91" t="s">
        <v>4814</v>
      </c>
      <c r="I118" s="91" t="s">
        <v>4814</v>
      </c>
      <c r="J118" s="91" t="s">
        <v>4814</v>
      </c>
    </row>
    <row r="119" spans="1:10" ht="15.75">
      <c r="A119" s="90" t="s">
        <v>4820</v>
      </c>
      <c r="B119" s="95">
        <v>219</v>
      </c>
      <c r="C119" s="91" t="s">
        <v>4821</v>
      </c>
      <c r="D119" s="91" t="s">
        <v>176</v>
      </c>
      <c r="E119" s="91"/>
      <c r="F119" s="120" t="s">
        <v>433</v>
      </c>
      <c r="G119" s="91" t="s">
        <v>4814</v>
      </c>
      <c r="H119" s="91" t="s">
        <v>4814</v>
      </c>
      <c r="I119" s="91" t="s">
        <v>4814</v>
      </c>
      <c r="J119" s="91" t="s">
        <v>4814</v>
      </c>
    </row>
    <row r="120" spans="1:10" ht="15.75">
      <c r="A120" s="90" t="s">
        <v>4822</v>
      </c>
      <c r="B120" s="95">
        <v>220</v>
      </c>
      <c r="C120" s="91" t="s">
        <v>4823</v>
      </c>
      <c r="D120" s="91" t="s">
        <v>176</v>
      </c>
      <c r="E120" s="91"/>
      <c r="F120" s="120" t="s">
        <v>433</v>
      </c>
      <c r="G120" s="91" t="s">
        <v>4814</v>
      </c>
      <c r="H120" s="91" t="s">
        <v>4814</v>
      </c>
      <c r="I120" s="91" t="s">
        <v>4814</v>
      </c>
      <c r="J120" s="91" t="s">
        <v>4814</v>
      </c>
    </row>
    <row r="121" spans="1:10" ht="15.75">
      <c r="A121" s="90" t="s">
        <v>4824</v>
      </c>
      <c r="B121" s="95">
        <v>221</v>
      </c>
      <c r="C121" s="91" t="s">
        <v>4825</v>
      </c>
      <c r="D121" s="91" t="s">
        <v>176</v>
      </c>
      <c r="E121" s="91"/>
      <c r="F121" s="120" t="s">
        <v>433</v>
      </c>
      <c r="G121" s="91" t="s">
        <v>4814</v>
      </c>
      <c r="H121" s="91" t="s">
        <v>4814</v>
      </c>
      <c r="I121" s="91" t="s">
        <v>4814</v>
      </c>
      <c r="J121" s="91" t="s">
        <v>4814</v>
      </c>
    </row>
    <row r="122" spans="1:10" ht="15.75">
      <c r="A122" s="90" t="s">
        <v>4826</v>
      </c>
      <c r="B122" s="95">
        <v>222</v>
      </c>
      <c r="C122" s="91" t="s">
        <v>4827</v>
      </c>
      <c r="D122" s="91" t="s">
        <v>176</v>
      </c>
      <c r="E122" s="91"/>
      <c r="F122" s="120" t="s">
        <v>433</v>
      </c>
      <c r="G122" s="91" t="s">
        <v>4814</v>
      </c>
      <c r="H122" s="91" t="s">
        <v>4814</v>
      </c>
      <c r="I122" s="91" t="s">
        <v>4814</v>
      </c>
      <c r="J122" s="91" t="s">
        <v>4814</v>
      </c>
    </row>
    <row r="123" spans="1:10" ht="15.75">
      <c r="A123" s="90" t="s">
        <v>4828</v>
      </c>
      <c r="B123" s="95">
        <v>223</v>
      </c>
      <c r="C123" s="91" t="s">
        <v>4829</v>
      </c>
      <c r="D123" s="91" t="s">
        <v>182</v>
      </c>
      <c r="E123" s="91"/>
      <c r="F123" s="120" t="s">
        <v>433</v>
      </c>
      <c r="G123" s="91" t="s">
        <v>4814</v>
      </c>
      <c r="H123" s="91" t="s">
        <v>4814</v>
      </c>
      <c r="I123" s="91" t="s">
        <v>4814</v>
      </c>
      <c r="J123" s="91" t="s">
        <v>4814</v>
      </c>
    </row>
    <row r="124" spans="1:10" ht="15.75">
      <c r="A124" s="90" t="s">
        <v>4830</v>
      </c>
      <c r="B124" s="95">
        <v>228</v>
      </c>
      <c r="C124" s="91" t="s">
        <v>4203</v>
      </c>
      <c r="D124" s="91" t="s">
        <v>4831</v>
      </c>
      <c r="E124" s="91"/>
      <c r="F124" s="120" t="s">
        <v>3603</v>
      </c>
      <c r="G124" s="91" t="s">
        <v>4814</v>
      </c>
      <c r="H124" s="91" t="s">
        <v>4814</v>
      </c>
      <c r="I124" s="91" t="s">
        <v>4814</v>
      </c>
      <c r="J124" s="91" t="s">
        <v>4814</v>
      </c>
    </row>
    <row r="125" spans="1:10" ht="15.75">
      <c r="A125" s="90" t="s">
        <v>4832</v>
      </c>
      <c r="B125" s="95">
        <v>232</v>
      </c>
      <c r="C125" s="91" t="s">
        <v>4437</v>
      </c>
      <c r="D125" s="91" t="s">
        <v>4833</v>
      </c>
      <c r="E125" s="91"/>
      <c r="F125" s="120" t="s">
        <v>433</v>
      </c>
      <c r="G125" s="91" t="s">
        <v>4814</v>
      </c>
      <c r="H125" s="91" t="s">
        <v>4814</v>
      </c>
      <c r="I125" s="91" t="s">
        <v>4814</v>
      </c>
      <c r="J125" s="91" t="s">
        <v>4814</v>
      </c>
    </row>
    <row r="126" spans="1:10" ht="15.75">
      <c r="A126" s="90" t="s">
        <v>4728</v>
      </c>
      <c r="B126" s="95"/>
      <c r="C126" s="91" t="s">
        <v>4834</v>
      </c>
      <c r="D126" s="91" t="s">
        <v>32</v>
      </c>
      <c r="E126" s="91"/>
      <c r="F126" s="120" t="s">
        <v>433</v>
      </c>
      <c r="G126" s="91" t="s">
        <v>4814</v>
      </c>
      <c r="H126" s="91" t="s">
        <v>4814</v>
      </c>
      <c r="I126" s="91" t="s">
        <v>4814</v>
      </c>
      <c r="J126" s="91" t="s">
        <v>4814</v>
      </c>
    </row>
    <row r="127" spans="1:10" ht="15.75">
      <c r="A127" s="92" t="s">
        <v>4835</v>
      </c>
      <c r="B127" s="95"/>
      <c r="C127" s="91" t="s">
        <v>4698</v>
      </c>
      <c r="D127" s="91"/>
      <c r="E127" s="115" t="s">
        <v>179</v>
      </c>
      <c r="F127" s="120" t="s">
        <v>433</v>
      </c>
      <c r="G127" s="91" t="s">
        <v>4814</v>
      </c>
      <c r="H127" s="91" t="s">
        <v>4814</v>
      </c>
      <c r="I127" s="91" t="s">
        <v>4814</v>
      </c>
      <c r="J127" s="91" t="s">
        <v>4814</v>
      </c>
    </row>
    <row r="128" spans="1:10" ht="15.75">
      <c r="A128" s="92" t="s">
        <v>4836</v>
      </c>
      <c r="B128" s="95"/>
      <c r="C128" s="91" t="s">
        <v>2945</v>
      </c>
      <c r="D128" s="91"/>
      <c r="E128" s="115" t="s">
        <v>179</v>
      </c>
      <c r="F128" s="120" t="s">
        <v>433</v>
      </c>
      <c r="G128" s="91" t="s">
        <v>4814</v>
      </c>
      <c r="H128" s="91" t="s">
        <v>4814</v>
      </c>
      <c r="I128" s="91" t="s">
        <v>4814</v>
      </c>
      <c r="J128" s="91" t="s">
        <v>4814</v>
      </c>
    </row>
    <row r="129" spans="1:10" ht="15.75">
      <c r="A129" s="92" t="s">
        <v>4837</v>
      </c>
      <c r="B129" s="95"/>
      <c r="C129" s="91" t="s">
        <v>4698</v>
      </c>
      <c r="D129" s="91"/>
      <c r="E129" s="115" t="s">
        <v>179</v>
      </c>
      <c r="F129" s="120" t="s">
        <v>433</v>
      </c>
      <c r="G129" s="91" t="s">
        <v>4814</v>
      </c>
      <c r="H129" s="91" t="s">
        <v>4814</v>
      </c>
      <c r="I129" s="91" t="s">
        <v>4814</v>
      </c>
      <c r="J129" s="91" t="s">
        <v>4814</v>
      </c>
    </row>
    <row r="130" spans="1:10" ht="15.75">
      <c r="A130" s="92" t="s">
        <v>4838</v>
      </c>
      <c r="B130" s="95"/>
      <c r="C130" s="91" t="s">
        <v>2945</v>
      </c>
      <c r="D130" s="91"/>
      <c r="E130" s="115" t="s">
        <v>179</v>
      </c>
      <c r="F130" s="120" t="s">
        <v>433</v>
      </c>
      <c r="G130" s="91" t="s">
        <v>4814</v>
      </c>
      <c r="H130" s="91" t="s">
        <v>4814</v>
      </c>
      <c r="I130" s="91" t="s">
        <v>4814</v>
      </c>
      <c r="J130" s="91" t="s">
        <v>4814</v>
      </c>
    </row>
    <row r="131" spans="1:10" ht="15.75">
      <c r="A131" s="90" t="s">
        <v>4839</v>
      </c>
      <c r="B131" s="95"/>
      <c r="C131" s="91" t="s">
        <v>4840</v>
      </c>
      <c r="D131" s="91" t="s">
        <v>4841</v>
      </c>
      <c r="E131" s="116" t="s">
        <v>178</v>
      </c>
      <c r="F131" s="120" t="s">
        <v>433</v>
      </c>
      <c r="G131" s="91" t="s">
        <v>4814</v>
      </c>
      <c r="H131" s="91" t="s">
        <v>4814</v>
      </c>
      <c r="I131" s="91" t="s">
        <v>4814</v>
      </c>
      <c r="J131" s="91" t="s">
        <v>4814</v>
      </c>
    </row>
    <row r="132" spans="1:10" ht="15.75">
      <c r="A132" s="90" t="s">
        <v>4842</v>
      </c>
      <c r="B132" s="95"/>
      <c r="C132" s="91" t="s">
        <v>4843</v>
      </c>
      <c r="D132" s="91" t="s">
        <v>2176</v>
      </c>
      <c r="E132" s="116" t="s">
        <v>178</v>
      </c>
      <c r="F132" s="120" t="s">
        <v>433</v>
      </c>
      <c r="G132" s="91" t="s">
        <v>4814</v>
      </c>
      <c r="H132" s="91" t="s">
        <v>4814</v>
      </c>
      <c r="I132" s="91" t="s">
        <v>4814</v>
      </c>
      <c r="J132" s="91" t="s">
        <v>4814</v>
      </c>
    </row>
    <row r="133" spans="1:10" ht="15.75">
      <c r="A133" s="90" t="s">
        <v>4844</v>
      </c>
      <c r="B133" s="95"/>
      <c r="C133" s="91" t="s">
        <v>2117</v>
      </c>
      <c r="D133" s="91" t="s">
        <v>4845</v>
      </c>
      <c r="E133" s="116" t="s">
        <v>178</v>
      </c>
      <c r="F133" s="120" t="s">
        <v>433</v>
      </c>
      <c r="G133" s="91" t="s">
        <v>4814</v>
      </c>
      <c r="H133" s="91" t="s">
        <v>4814</v>
      </c>
      <c r="I133" s="91" t="s">
        <v>4814</v>
      </c>
      <c r="J133" s="91" t="s">
        <v>4814</v>
      </c>
    </row>
    <row r="134" spans="1:10" ht="15.75">
      <c r="A134" s="90" t="s">
        <v>4846</v>
      </c>
      <c r="B134" s="95"/>
      <c r="C134" s="91" t="s">
        <v>4847</v>
      </c>
      <c r="D134" s="91" t="s">
        <v>4848</v>
      </c>
      <c r="E134" s="91"/>
      <c r="F134" s="120" t="s">
        <v>433</v>
      </c>
      <c r="G134" s="91" t="s">
        <v>4814</v>
      </c>
      <c r="H134" s="91" t="s">
        <v>4814</v>
      </c>
      <c r="I134" s="91" t="s">
        <v>4814</v>
      </c>
      <c r="J134" s="91" t="s">
        <v>4814</v>
      </c>
    </row>
    <row r="135" spans="1:10" ht="15.75">
      <c r="A135" s="90" t="s">
        <v>4849</v>
      </c>
      <c r="B135" s="95"/>
      <c r="C135" s="91" t="s">
        <v>4850</v>
      </c>
      <c r="D135" s="91"/>
      <c r="E135" s="115" t="s">
        <v>179</v>
      </c>
      <c r="F135" s="120" t="s">
        <v>433</v>
      </c>
      <c r="G135" s="91" t="s">
        <v>4814</v>
      </c>
      <c r="H135" s="91" t="s">
        <v>4814</v>
      </c>
      <c r="I135" s="91" t="s">
        <v>4814</v>
      </c>
      <c r="J135" s="91" t="s">
        <v>4814</v>
      </c>
    </row>
    <row r="136" spans="1:10" ht="15.75">
      <c r="A136" s="90" t="s">
        <v>4851</v>
      </c>
      <c r="B136" s="95"/>
      <c r="C136" s="91" t="s">
        <v>4852</v>
      </c>
      <c r="D136" s="91"/>
      <c r="E136" s="115" t="s">
        <v>179</v>
      </c>
      <c r="F136" s="120" t="s">
        <v>433</v>
      </c>
      <c r="G136" s="91" t="s">
        <v>4814</v>
      </c>
      <c r="H136" s="91" t="s">
        <v>4814</v>
      </c>
      <c r="I136" s="91" t="s">
        <v>4814</v>
      </c>
      <c r="J136" s="91" t="s">
        <v>4814</v>
      </c>
    </row>
    <row r="137" spans="1:10" ht="15.75">
      <c r="A137" s="90" t="s">
        <v>4853</v>
      </c>
      <c r="B137" s="95"/>
      <c r="C137" s="91" t="s">
        <v>4854</v>
      </c>
      <c r="D137" s="91" t="s">
        <v>4848</v>
      </c>
      <c r="E137" s="91"/>
      <c r="F137" s="120" t="s">
        <v>433</v>
      </c>
      <c r="G137" s="91" t="s">
        <v>4814</v>
      </c>
      <c r="H137" s="91" t="s">
        <v>4814</v>
      </c>
      <c r="I137" s="91" t="s">
        <v>4814</v>
      </c>
      <c r="J137" s="91" t="s">
        <v>4814</v>
      </c>
    </row>
    <row r="138" spans="1:10" ht="15.75">
      <c r="A138" s="90" t="s">
        <v>4855</v>
      </c>
      <c r="B138" s="95"/>
      <c r="C138" s="91" t="s">
        <v>4856</v>
      </c>
      <c r="D138" s="91" t="s">
        <v>4857</v>
      </c>
      <c r="E138" s="116" t="s">
        <v>178</v>
      </c>
      <c r="F138" s="120" t="s">
        <v>433</v>
      </c>
      <c r="G138" s="91" t="s">
        <v>4814</v>
      </c>
      <c r="H138" s="91" t="s">
        <v>4814</v>
      </c>
      <c r="I138" s="91" t="s">
        <v>4814</v>
      </c>
      <c r="J138" s="91" t="s">
        <v>4814</v>
      </c>
    </row>
    <row r="139" spans="1:10" ht="15.75">
      <c r="A139" s="90" t="s">
        <v>4858</v>
      </c>
      <c r="B139" s="95"/>
      <c r="C139" s="91" t="s">
        <v>4859</v>
      </c>
      <c r="D139" s="91"/>
      <c r="E139" s="115" t="s">
        <v>179</v>
      </c>
      <c r="F139" s="120" t="s">
        <v>433</v>
      </c>
      <c r="G139" s="91" t="s">
        <v>4814</v>
      </c>
      <c r="H139" s="91" t="s">
        <v>4814</v>
      </c>
      <c r="I139" s="91" t="s">
        <v>4814</v>
      </c>
      <c r="J139" s="91" t="s">
        <v>4814</v>
      </c>
    </row>
    <row r="140" spans="1:10" ht="15.75">
      <c r="A140" s="93" t="s">
        <v>4860</v>
      </c>
      <c r="B140" s="95"/>
      <c r="C140" s="91" t="s">
        <v>4861</v>
      </c>
      <c r="D140" s="91"/>
      <c r="E140" s="115" t="s">
        <v>179</v>
      </c>
      <c r="F140" s="120" t="s">
        <v>4862</v>
      </c>
      <c r="G140" s="91" t="s">
        <v>4814</v>
      </c>
      <c r="H140" s="91" t="s">
        <v>4814</v>
      </c>
      <c r="I140" s="91" t="s">
        <v>4814</v>
      </c>
      <c r="J140" s="91" t="s">
        <v>4814</v>
      </c>
    </row>
    <row r="141" spans="1:10" ht="15.75">
      <c r="A141" s="93" t="s">
        <v>4863</v>
      </c>
      <c r="B141" s="95"/>
      <c r="C141" s="91" t="s">
        <v>4864</v>
      </c>
      <c r="D141" s="91" t="s">
        <v>4865</v>
      </c>
      <c r="E141" s="91"/>
      <c r="F141" s="120" t="s">
        <v>433</v>
      </c>
      <c r="G141" s="91" t="s">
        <v>4814</v>
      </c>
      <c r="H141" s="91" t="s">
        <v>4814</v>
      </c>
      <c r="I141" s="91" t="s">
        <v>4814</v>
      </c>
      <c r="J141" s="91" t="s">
        <v>4814</v>
      </c>
    </row>
    <row r="142" spans="1:10" ht="15.75">
      <c r="A142" s="93" t="s">
        <v>4866</v>
      </c>
      <c r="B142" s="95"/>
      <c r="C142" s="91" t="s">
        <v>1916</v>
      </c>
      <c r="D142" s="91"/>
      <c r="E142" s="115" t="s">
        <v>179</v>
      </c>
      <c r="F142" s="120" t="s">
        <v>3603</v>
      </c>
      <c r="G142" s="91" t="s">
        <v>4814</v>
      </c>
      <c r="H142" s="91" t="s">
        <v>4814</v>
      </c>
      <c r="I142" s="91" t="s">
        <v>4814</v>
      </c>
      <c r="J142" s="91" t="s">
        <v>4814</v>
      </c>
    </row>
    <row r="143" spans="1:10" ht="15.75">
      <c r="A143" s="93" t="s">
        <v>4867</v>
      </c>
      <c r="B143" s="95"/>
      <c r="C143" s="91" t="s">
        <v>4203</v>
      </c>
      <c r="D143" s="91"/>
      <c r="E143" s="115" t="s">
        <v>179</v>
      </c>
      <c r="F143" s="120" t="s">
        <v>3603</v>
      </c>
      <c r="G143" s="91" t="s">
        <v>4814</v>
      </c>
      <c r="H143" s="91" t="s">
        <v>4814</v>
      </c>
      <c r="I143" s="91" t="s">
        <v>4814</v>
      </c>
      <c r="J143" s="91" t="s">
        <v>4814</v>
      </c>
    </row>
    <row r="144" spans="1:10" ht="15.75">
      <c r="A144" s="93" t="s">
        <v>4868</v>
      </c>
      <c r="B144" s="95"/>
      <c r="C144" s="91" t="s">
        <v>4869</v>
      </c>
      <c r="D144" s="91"/>
      <c r="E144" s="115" t="s">
        <v>179</v>
      </c>
      <c r="F144" s="120" t="s">
        <v>3603</v>
      </c>
      <c r="G144" s="91" t="s">
        <v>4814</v>
      </c>
      <c r="H144" s="91" t="s">
        <v>4814</v>
      </c>
      <c r="I144" s="91" t="s">
        <v>4814</v>
      </c>
      <c r="J144" s="91" t="s">
        <v>4814</v>
      </c>
    </row>
    <row r="145" spans="1:10" ht="15.75">
      <c r="A145" s="93" t="s">
        <v>4870</v>
      </c>
      <c r="B145" s="95"/>
      <c r="C145" s="91" t="s">
        <v>4871</v>
      </c>
      <c r="D145" s="91" t="s">
        <v>176</v>
      </c>
      <c r="E145" s="91"/>
      <c r="F145" s="120" t="s">
        <v>433</v>
      </c>
      <c r="G145" s="91" t="s">
        <v>4814</v>
      </c>
      <c r="H145" s="91" t="s">
        <v>4814</v>
      </c>
      <c r="I145" s="91" t="s">
        <v>4814</v>
      </c>
      <c r="J145" s="91" t="s">
        <v>4814</v>
      </c>
    </row>
  </sheetData>
  <autoFilter ref="A1:J146" xr:uid="{B6DCAB02-FF57-4852-B348-7EFC2B8F49AE}"/>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FB37D-1979-40FB-BBAA-677672DF948E}">
  <dimension ref="A1:M109"/>
  <sheetViews>
    <sheetView workbookViewId="0">
      <pane ySplit="1" topLeftCell="I42" activePane="bottomLeft" state="frozen"/>
      <selection pane="bottomLeft" activeCell="M56" sqref="M56"/>
    </sheetView>
  </sheetViews>
  <sheetFormatPr defaultRowHeight="15"/>
  <cols>
    <col min="1" max="1" width="17.28515625" customWidth="1"/>
    <col min="2" max="2" width="28.85546875" customWidth="1"/>
    <col min="3" max="3" width="17" customWidth="1"/>
    <col min="4" max="4" width="39.140625" style="71" customWidth="1"/>
    <col min="5" max="5" width="39.28515625" customWidth="1"/>
    <col min="7" max="7" width="14.85546875" customWidth="1"/>
    <col min="8" max="8" width="30.7109375" customWidth="1"/>
    <col min="9" max="9" width="40" style="71" customWidth="1"/>
    <col min="10" max="10" width="23.85546875" customWidth="1"/>
    <col min="11" max="12" width="27.42578125" customWidth="1"/>
    <col min="13" max="13" width="17.140625" customWidth="1"/>
  </cols>
  <sheetData>
    <row r="1" spans="1:13" ht="15.75">
      <c r="A1" s="133" t="s">
        <v>4872</v>
      </c>
      <c r="B1" s="134" t="s">
        <v>4873</v>
      </c>
      <c r="C1" s="134" t="s">
        <v>197</v>
      </c>
      <c r="D1" s="134" t="s">
        <v>4874</v>
      </c>
      <c r="E1" s="134" t="s">
        <v>198</v>
      </c>
      <c r="F1" s="134" t="s">
        <v>199</v>
      </c>
      <c r="G1" s="134" t="s">
        <v>200</v>
      </c>
      <c r="H1" s="135" t="s">
        <v>4875</v>
      </c>
      <c r="I1" s="136" t="s">
        <v>4876</v>
      </c>
      <c r="J1" s="134" t="s">
        <v>4877</v>
      </c>
      <c r="K1" s="134" t="s">
        <v>4878</v>
      </c>
      <c r="L1" s="134" t="s">
        <v>4879</v>
      </c>
      <c r="M1" s="134" t="s">
        <v>4880</v>
      </c>
    </row>
    <row r="2" spans="1:13" ht="15.75">
      <c r="A2" s="127">
        <v>1</v>
      </c>
      <c r="B2" s="7" t="s">
        <v>4881</v>
      </c>
      <c r="C2" s="7" t="s">
        <v>4882</v>
      </c>
      <c r="D2" s="17" t="s">
        <v>4883</v>
      </c>
      <c r="E2" s="7" t="s">
        <v>4884</v>
      </c>
      <c r="F2" s="7">
        <v>32</v>
      </c>
      <c r="G2" s="7" t="s">
        <v>75</v>
      </c>
      <c r="H2" s="123" t="s">
        <v>235</v>
      </c>
      <c r="I2" s="130" t="s">
        <v>188</v>
      </c>
    </row>
    <row r="3" spans="1:13" ht="15.75">
      <c r="A3" s="127">
        <v>2</v>
      </c>
      <c r="B3" s="7" t="s">
        <v>4885</v>
      </c>
      <c r="C3" s="7" t="s">
        <v>4886</v>
      </c>
      <c r="D3" s="17" t="s">
        <v>4887</v>
      </c>
      <c r="E3" s="7" t="s">
        <v>4888</v>
      </c>
      <c r="F3" s="7">
        <v>69</v>
      </c>
      <c r="G3" s="7" t="s">
        <v>75</v>
      </c>
      <c r="H3" s="123" t="s">
        <v>235</v>
      </c>
      <c r="I3" s="130" t="s">
        <v>188</v>
      </c>
    </row>
    <row r="4" spans="1:13" ht="15.75">
      <c r="A4" s="127">
        <v>3</v>
      </c>
      <c r="B4" s="7" t="s">
        <v>4889</v>
      </c>
      <c r="C4" s="7" t="s">
        <v>4890</v>
      </c>
      <c r="D4" s="17" t="s">
        <v>4891</v>
      </c>
      <c r="E4" s="79" t="s">
        <v>4892</v>
      </c>
      <c r="F4" s="7">
        <v>46</v>
      </c>
      <c r="G4" s="7" t="s">
        <v>60</v>
      </c>
      <c r="H4" s="123" t="s">
        <v>235</v>
      </c>
      <c r="I4" s="130" t="s">
        <v>188</v>
      </c>
    </row>
    <row r="5" spans="1:13" ht="15.75">
      <c r="A5" s="127">
        <v>4</v>
      </c>
      <c r="B5" s="7" t="s">
        <v>4893</v>
      </c>
      <c r="C5" s="7" t="s">
        <v>4894</v>
      </c>
      <c r="D5" s="17" t="s">
        <v>4895</v>
      </c>
      <c r="E5" s="57" t="s">
        <v>4896</v>
      </c>
      <c r="F5" s="7">
        <v>50</v>
      </c>
      <c r="G5" s="7" t="s">
        <v>75</v>
      </c>
      <c r="H5" s="123" t="s">
        <v>235</v>
      </c>
      <c r="I5" s="130" t="s">
        <v>188</v>
      </c>
    </row>
    <row r="6" spans="1:13" ht="15.75">
      <c r="A6" s="127">
        <v>5</v>
      </c>
      <c r="B6" s="7" t="s">
        <v>4897</v>
      </c>
      <c r="C6" s="7" t="s">
        <v>4898</v>
      </c>
      <c r="D6" s="17" t="s">
        <v>4899</v>
      </c>
      <c r="E6" s="57" t="s">
        <v>4900</v>
      </c>
      <c r="F6" s="7">
        <v>56</v>
      </c>
      <c r="G6" s="7" t="s">
        <v>60</v>
      </c>
      <c r="H6" s="123" t="s">
        <v>235</v>
      </c>
      <c r="I6" s="130" t="s">
        <v>188</v>
      </c>
    </row>
    <row r="7" spans="1:13" ht="15.75">
      <c r="A7" s="127">
        <v>6</v>
      </c>
      <c r="B7" s="7" t="s">
        <v>4901</v>
      </c>
      <c r="C7" s="7" t="s">
        <v>4902</v>
      </c>
      <c r="D7" s="17" t="s">
        <v>4903</v>
      </c>
      <c r="E7" s="57" t="s">
        <v>4904</v>
      </c>
      <c r="F7" s="7">
        <v>38</v>
      </c>
      <c r="G7" s="7" t="s">
        <v>60</v>
      </c>
      <c r="H7" s="123" t="s">
        <v>235</v>
      </c>
      <c r="I7" s="130" t="s">
        <v>188</v>
      </c>
    </row>
    <row r="8" spans="1:13" ht="15.75">
      <c r="A8" s="127">
        <v>7</v>
      </c>
      <c r="B8" s="7" t="s">
        <v>4905</v>
      </c>
      <c r="C8" s="7" t="s">
        <v>4906</v>
      </c>
      <c r="D8" s="17" t="s">
        <v>4907</v>
      </c>
      <c r="E8" s="57" t="s">
        <v>4908</v>
      </c>
      <c r="F8" s="7">
        <v>60</v>
      </c>
      <c r="G8" s="7" t="s">
        <v>75</v>
      </c>
      <c r="H8" s="123" t="s">
        <v>235</v>
      </c>
      <c r="I8" s="130" t="s">
        <v>188</v>
      </c>
    </row>
    <row r="9" spans="1:13" ht="15.75">
      <c r="A9" s="127">
        <v>8</v>
      </c>
      <c r="B9" s="7" t="s">
        <v>3984</v>
      </c>
      <c r="C9" s="7" t="s">
        <v>4909</v>
      </c>
      <c r="D9" s="17" t="s">
        <v>4910</v>
      </c>
      <c r="E9" s="80" t="s">
        <v>4911</v>
      </c>
      <c r="F9" s="7">
        <v>76</v>
      </c>
      <c r="G9" s="7" t="s">
        <v>60</v>
      </c>
      <c r="H9" s="123" t="s">
        <v>235</v>
      </c>
      <c r="I9" s="130" t="s">
        <v>188</v>
      </c>
    </row>
    <row r="10" spans="1:13" ht="15.75">
      <c r="A10" s="127">
        <v>9</v>
      </c>
      <c r="B10" s="7" t="s">
        <v>4912</v>
      </c>
      <c r="C10" s="7" t="s">
        <v>4913</v>
      </c>
      <c r="D10" s="17" t="s">
        <v>4914</v>
      </c>
      <c r="E10" s="57" t="s">
        <v>4915</v>
      </c>
      <c r="F10" s="7">
        <v>69</v>
      </c>
      <c r="G10" s="7" t="s">
        <v>60</v>
      </c>
      <c r="H10" s="123" t="s">
        <v>235</v>
      </c>
      <c r="I10" s="130" t="s">
        <v>188</v>
      </c>
    </row>
    <row r="11" spans="1:13" ht="15.75">
      <c r="A11" s="127">
        <v>10</v>
      </c>
      <c r="B11" s="7" t="s">
        <v>4916</v>
      </c>
      <c r="C11" s="7" t="s">
        <v>4917</v>
      </c>
      <c r="D11" s="17" t="s">
        <v>4918</v>
      </c>
      <c r="E11" s="57" t="s">
        <v>4919</v>
      </c>
      <c r="F11" s="7">
        <v>66</v>
      </c>
      <c r="G11" s="7" t="s">
        <v>75</v>
      </c>
      <c r="H11" s="123" t="s">
        <v>235</v>
      </c>
      <c r="I11" s="130" t="s">
        <v>188</v>
      </c>
    </row>
    <row r="12" spans="1:13" ht="15.75">
      <c r="A12" s="127">
        <v>11</v>
      </c>
      <c r="B12" s="7" t="s">
        <v>4920</v>
      </c>
      <c r="C12" s="7" t="s">
        <v>4921</v>
      </c>
      <c r="D12" s="17" t="s">
        <v>4922</v>
      </c>
      <c r="E12" s="57" t="s">
        <v>4923</v>
      </c>
      <c r="F12" s="7">
        <v>41</v>
      </c>
      <c r="G12" s="7" t="s">
        <v>75</v>
      </c>
      <c r="H12" s="123" t="s">
        <v>235</v>
      </c>
      <c r="I12" s="130" t="s">
        <v>231</v>
      </c>
    </row>
    <row r="13" spans="1:13" ht="15.75">
      <c r="A13" s="127">
        <v>12</v>
      </c>
      <c r="B13" s="7" t="s">
        <v>4924</v>
      </c>
      <c r="C13" s="7" t="s">
        <v>4925</v>
      </c>
      <c r="D13" s="17" t="s">
        <v>4926</v>
      </c>
      <c r="E13" s="57" t="s">
        <v>4927</v>
      </c>
      <c r="F13" s="7">
        <v>69</v>
      </c>
      <c r="G13" s="7" t="s">
        <v>75</v>
      </c>
      <c r="H13" s="123" t="s">
        <v>235</v>
      </c>
      <c r="I13" s="130" t="s">
        <v>188</v>
      </c>
    </row>
    <row r="14" spans="1:13" ht="15.75">
      <c r="A14" s="127">
        <v>13</v>
      </c>
      <c r="B14" s="7" t="s">
        <v>4928</v>
      </c>
      <c r="C14" s="7" t="s">
        <v>4929</v>
      </c>
      <c r="D14" s="17" t="s">
        <v>4930</v>
      </c>
      <c r="E14" s="57" t="s">
        <v>4931</v>
      </c>
      <c r="F14" s="7">
        <v>30</v>
      </c>
      <c r="G14" s="7" t="s">
        <v>75</v>
      </c>
      <c r="H14" s="123" t="s">
        <v>235</v>
      </c>
      <c r="I14" s="130" t="s">
        <v>188</v>
      </c>
    </row>
    <row r="15" spans="1:13" ht="15.75">
      <c r="A15" s="127">
        <v>14</v>
      </c>
      <c r="B15" s="7" t="s">
        <v>4932</v>
      </c>
      <c r="C15" s="7" t="s">
        <v>4933</v>
      </c>
      <c r="D15" s="17" t="s">
        <v>4934</v>
      </c>
      <c r="E15" s="57" t="s">
        <v>4935</v>
      </c>
      <c r="F15" s="7">
        <v>55</v>
      </c>
      <c r="G15" s="7" t="s">
        <v>60</v>
      </c>
      <c r="H15" s="123" t="s">
        <v>235</v>
      </c>
      <c r="I15" s="130" t="s">
        <v>188</v>
      </c>
    </row>
    <row r="16" spans="1:13" ht="15.75">
      <c r="A16" s="127">
        <v>15</v>
      </c>
      <c r="B16" s="7" t="s">
        <v>4936</v>
      </c>
      <c r="C16" s="7" t="s">
        <v>4937</v>
      </c>
      <c r="D16" s="17" t="s">
        <v>4938</v>
      </c>
      <c r="E16" s="57" t="s">
        <v>4939</v>
      </c>
      <c r="F16" s="7">
        <v>73</v>
      </c>
      <c r="G16" s="7" t="s">
        <v>60</v>
      </c>
      <c r="H16" s="123" t="s">
        <v>235</v>
      </c>
      <c r="I16" s="130" t="s">
        <v>188</v>
      </c>
    </row>
    <row r="17" spans="1:9" ht="15.75">
      <c r="A17" s="127">
        <v>16</v>
      </c>
      <c r="B17" s="7" t="s">
        <v>4940</v>
      </c>
      <c r="C17" s="7" t="s">
        <v>4941</v>
      </c>
      <c r="D17" s="17" t="s">
        <v>4942</v>
      </c>
      <c r="E17" s="7" t="s">
        <v>4943</v>
      </c>
      <c r="F17" s="7">
        <v>53</v>
      </c>
      <c r="G17" s="7" t="s">
        <v>75</v>
      </c>
      <c r="H17" s="123" t="s">
        <v>235</v>
      </c>
      <c r="I17" s="130" t="s">
        <v>188</v>
      </c>
    </row>
    <row r="18" spans="1:9" ht="15.75">
      <c r="A18" s="127">
        <v>17</v>
      </c>
      <c r="B18" s="7" t="s">
        <v>4944</v>
      </c>
      <c r="C18" s="7" t="s">
        <v>4945</v>
      </c>
      <c r="D18" s="17" t="s">
        <v>4946</v>
      </c>
      <c r="E18" s="57" t="s">
        <v>4947</v>
      </c>
      <c r="F18" s="7">
        <v>37</v>
      </c>
      <c r="G18" s="7" t="s">
        <v>75</v>
      </c>
      <c r="H18" s="123" t="s">
        <v>235</v>
      </c>
      <c r="I18" s="130" t="s">
        <v>188</v>
      </c>
    </row>
    <row r="19" spans="1:9" ht="15.75">
      <c r="A19" s="127">
        <v>18</v>
      </c>
      <c r="B19" s="7" t="s">
        <v>4948</v>
      </c>
      <c r="C19" s="7" t="s">
        <v>4949</v>
      </c>
      <c r="D19" s="17" t="s">
        <v>4950</v>
      </c>
      <c r="E19" s="57" t="s">
        <v>4951</v>
      </c>
      <c r="F19" s="7">
        <v>54</v>
      </c>
      <c r="G19" s="7" t="s">
        <v>60</v>
      </c>
      <c r="H19" s="123" t="s">
        <v>235</v>
      </c>
      <c r="I19" s="130" t="s">
        <v>188</v>
      </c>
    </row>
    <row r="20" spans="1:9" ht="15.75">
      <c r="A20" s="127">
        <v>19</v>
      </c>
      <c r="B20" s="7" t="s">
        <v>4952</v>
      </c>
      <c r="C20" s="7" t="s">
        <v>4953</v>
      </c>
      <c r="D20" s="17" t="s">
        <v>4954</v>
      </c>
      <c r="E20" s="57" t="s">
        <v>4955</v>
      </c>
      <c r="F20" s="7">
        <v>53</v>
      </c>
      <c r="G20" s="7" t="s">
        <v>75</v>
      </c>
      <c r="H20" s="123" t="s">
        <v>235</v>
      </c>
      <c r="I20" s="130" t="s">
        <v>188</v>
      </c>
    </row>
    <row r="21" spans="1:9" ht="15.75">
      <c r="A21" s="127">
        <v>20</v>
      </c>
      <c r="B21" s="7" t="s">
        <v>4956</v>
      </c>
      <c r="C21" s="7" t="s">
        <v>4957</v>
      </c>
      <c r="D21" s="17" t="s">
        <v>4958</v>
      </c>
      <c r="E21" s="57" t="s">
        <v>4959</v>
      </c>
      <c r="F21" s="7">
        <v>50</v>
      </c>
      <c r="G21" s="7" t="s">
        <v>75</v>
      </c>
      <c r="H21" s="123" t="s">
        <v>235</v>
      </c>
      <c r="I21" s="130" t="s">
        <v>188</v>
      </c>
    </row>
    <row r="22" spans="1:9" ht="15.75">
      <c r="A22" s="128">
        <v>21</v>
      </c>
      <c r="B22" s="81" t="s">
        <v>4960</v>
      </c>
      <c r="C22" s="81" t="s">
        <v>4961</v>
      </c>
      <c r="D22" s="12" t="s">
        <v>4962</v>
      </c>
      <c r="E22" s="12" t="s">
        <v>4963</v>
      </c>
      <c r="F22" s="81">
        <v>67</v>
      </c>
      <c r="G22" s="81" t="s">
        <v>75</v>
      </c>
      <c r="H22" s="124" t="s">
        <v>235</v>
      </c>
      <c r="I22" s="130" t="s">
        <v>188</v>
      </c>
    </row>
    <row r="23" spans="1:9" ht="15.75">
      <c r="A23" s="129">
        <v>22</v>
      </c>
      <c r="B23" s="78" t="s">
        <v>4964</v>
      </c>
      <c r="C23" s="78" t="s">
        <v>4965</v>
      </c>
      <c r="D23" s="17" t="s">
        <v>4966</v>
      </c>
      <c r="E23" s="57" t="s">
        <v>4967</v>
      </c>
      <c r="F23" s="78">
        <v>77</v>
      </c>
      <c r="G23" s="78" t="s">
        <v>60</v>
      </c>
      <c r="H23" s="123" t="s">
        <v>235</v>
      </c>
      <c r="I23" s="130" t="s">
        <v>188</v>
      </c>
    </row>
    <row r="24" spans="1:9" ht="15.75">
      <c r="A24" s="129">
        <v>23</v>
      </c>
      <c r="B24" s="78" t="s">
        <v>4968</v>
      </c>
      <c r="C24" s="78" t="s">
        <v>4969</v>
      </c>
      <c r="D24" s="17" t="s">
        <v>4970</v>
      </c>
      <c r="E24" s="57" t="s">
        <v>4971</v>
      </c>
      <c r="F24" s="78">
        <v>64</v>
      </c>
      <c r="G24" s="78" t="s">
        <v>60</v>
      </c>
      <c r="H24" s="123" t="s">
        <v>235</v>
      </c>
      <c r="I24" s="130" t="s">
        <v>188</v>
      </c>
    </row>
    <row r="25" spans="1:9" ht="15.75">
      <c r="A25" s="129">
        <v>24</v>
      </c>
      <c r="B25" s="78" t="s">
        <v>4972</v>
      </c>
      <c r="C25" s="78" t="s">
        <v>4973</v>
      </c>
      <c r="D25" s="17" t="s">
        <v>4974</v>
      </c>
      <c r="E25" s="57" t="s">
        <v>4975</v>
      </c>
      <c r="F25" s="78">
        <v>60</v>
      </c>
      <c r="G25" s="78" t="s">
        <v>60</v>
      </c>
      <c r="H25" s="123" t="s">
        <v>235</v>
      </c>
      <c r="I25" s="130" t="s">
        <v>188</v>
      </c>
    </row>
    <row r="26" spans="1:9" ht="15.75">
      <c r="A26" s="129">
        <v>25</v>
      </c>
      <c r="B26" s="78" t="s">
        <v>4976</v>
      </c>
      <c r="C26" s="78" t="s">
        <v>4977</v>
      </c>
      <c r="D26" s="17" t="s">
        <v>4978</v>
      </c>
      <c r="E26" s="57" t="s">
        <v>4979</v>
      </c>
      <c r="F26" s="78">
        <v>47</v>
      </c>
      <c r="G26" s="78" t="s">
        <v>60</v>
      </c>
      <c r="H26" s="123" t="s">
        <v>235</v>
      </c>
      <c r="I26" s="130" t="s">
        <v>188</v>
      </c>
    </row>
    <row r="27" spans="1:9" ht="15.75">
      <c r="A27" s="129">
        <v>26</v>
      </c>
      <c r="B27" s="78" t="s">
        <v>4980</v>
      </c>
      <c r="C27" s="78" t="s">
        <v>4981</v>
      </c>
      <c r="D27" s="17" t="s">
        <v>4982</v>
      </c>
      <c r="E27" s="80" t="s">
        <v>4983</v>
      </c>
      <c r="F27" s="78">
        <v>74</v>
      </c>
      <c r="G27" s="78" t="s">
        <v>60</v>
      </c>
      <c r="H27" s="123" t="s">
        <v>235</v>
      </c>
      <c r="I27" s="130" t="s">
        <v>188</v>
      </c>
    </row>
    <row r="28" spans="1:9" ht="15.75">
      <c r="A28" s="129">
        <v>27</v>
      </c>
      <c r="B28" s="78" t="s">
        <v>4984</v>
      </c>
      <c r="C28" s="78" t="s">
        <v>4985</v>
      </c>
      <c r="D28" s="17" t="s">
        <v>4986</v>
      </c>
      <c r="E28" s="57" t="s">
        <v>4987</v>
      </c>
      <c r="F28" s="78">
        <v>54</v>
      </c>
      <c r="G28" s="78" t="s">
        <v>75</v>
      </c>
      <c r="H28" s="123" t="s">
        <v>235</v>
      </c>
      <c r="I28" s="130" t="s">
        <v>188</v>
      </c>
    </row>
    <row r="29" spans="1:9" ht="15.75">
      <c r="A29" s="129">
        <v>28</v>
      </c>
      <c r="B29" s="78" t="s">
        <v>4988</v>
      </c>
      <c r="C29" s="78" t="s">
        <v>4989</v>
      </c>
      <c r="D29" s="17" t="s">
        <v>4990</v>
      </c>
      <c r="E29" s="57" t="s">
        <v>4991</v>
      </c>
      <c r="F29" s="78">
        <v>46</v>
      </c>
      <c r="G29" s="78" t="s">
        <v>60</v>
      </c>
      <c r="H29" s="123" t="s">
        <v>235</v>
      </c>
      <c r="I29" s="130" t="s">
        <v>188</v>
      </c>
    </row>
    <row r="30" spans="1:9" ht="15.75">
      <c r="A30" s="129">
        <v>29</v>
      </c>
      <c r="B30" s="78" t="s">
        <v>4992</v>
      </c>
      <c r="C30" s="78" t="s">
        <v>4993</v>
      </c>
      <c r="D30" s="17" t="s">
        <v>4994</v>
      </c>
      <c r="E30" s="80" t="s">
        <v>4995</v>
      </c>
      <c r="F30" s="78">
        <v>73</v>
      </c>
      <c r="G30" s="78" t="s">
        <v>75</v>
      </c>
      <c r="H30" s="123" t="s">
        <v>235</v>
      </c>
      <c r="I30" s="130" t="s">
        <v>187</v>
      </c>
    </row>
    <row r="31" spans="1:9" ht="15.75">
      <c r="A31" s="129">
        <v>30</v>
      </c>
      <c r="B31" s="78" t="s">
        <v>4996</v>
      </c>
      <c r="C31" s="78" t="s">
        <v>4997</v>
      </c>
      <c r="D31" s="17" t="s">
        <v>4998</v>
      </c>
      <c r="E31" s="80" t="s">
        <v>4999</v>
      </c>
      <c r="F31" s="78">
        <v>43</v>
      </c>
      <c r="G31" s="78" t="s">
        <v>75</v>
      </c>
      <c r="H31" s="123" t="s">
        <v>235</v>
      </c>
      <c r="I31" s="130" t="s">
        <v>188</v>
      </c>
    </row>
    <row r="32" spans="1:9" ht="15.75">
      <c r="A32" s="129">
        <v>31</v>
      </c>
      <c r="B32" s="77" t="s">
        <v>5000</v>
      </c>
      <c r="C32" s="78" t="s">
        <v>5001</v>
      </c>
      <c r="D32" s="17" t="s">
        <v>5002</v>
      </c>
      <c r="E32" s="7" t="s">
        <v>5003</v>
      </c>
      <c r="F32" s="7">
        <v>51</v>
      </c>
      <c r="G32" s="7" t="s">
        <v>60</v>
      </c>
      <c r="H32" s="123" t="s">
        <v>235</v>
      </c>
      <c r="I32" s="130" t="s">
        <v>231</v>
      </c>
    </row>
    <row r="33" spans="1:13" ht="15.75">
      <c r="A33" s="129">
        <v>32</v>
      </c>
      <c r="B33" s="77" t="s">
        <v>5004</v>
      </c>
      <c r="C33" s="77" t="s">
        <v>5005</v>
      </c>
      <c r="D33" s="17" t="s">
        <v>5006</v>
      </c>
      <c r="E33" s="7" t="s">
        <v>5007</v>
      </c>
      <c r="F33" s="7">
        <v>49</v>
      </c>
      <c r="G33" s="7" t="s">
        <v>75</v>
      </c>
      <c r="H33" s="123" t="s">
        <v>235</v>
      </c>
      <c r="I33" s="130" t="s">
        <v>188</v>
      </c>
    </row>
    <row r="34" spans="1:13" ht="15.75">
      <c r="A34" s="129">
        <v>33</v>
      </c>
      <c r="B34" s="77" t="s">
        <v>5008</v>
      </c>
      <c r="C34" s="78" t="s">
        <v>5009</v>
      </c>
      <c r="D34" s="17" t="s">
        <v>5010</v>
      </c>
      <c r="E34" s="7" t="s">
        <v>5011</v>
      </c>
      <c r="F34" s="7">
        <v>52</v>
      </c>
      <c r="G34" s="7" t="s">
        <v>60</v>
      </c>
      <c r="H34" s="123" t="s">
        <v>235</v>
      </c>
      <c r="I34" s="130" t="s">
        <v>188</v>
      </c>
      <c r="M34" t="s">
        <v>874</v>
      </c>
    </row>
    <row r="35" spans="1:13" ht="15.75">
      <c r="A35" s="129">
        <v>34</v>
      </c>
      <c r="B35" s="77" t="s">
        <v>5012</v>
      </c>
      <c r="C35" s="78" t="s">
        <v>5013</v>
      </c>
      <c r="D35" s="17" t="s">
        <v>5014</v>
      </c>
      <c r="E35" s="7" t="s">
        <v>5015</v>
      </c>
      <c r="F35" s="7">
        <v>62</v>
      </c>
      <c r="G35" s="7" t="s">
        <v>75</v>
      </c>
      <c r="H35" s="123" t="s">
        <v>235</v>
      </c>
      <c r="I35" s="130" t="s">
        <v>188</v>
      </c>
    </row>
    <row r="36" spans="1:13" ht="15.75">
      <c r="A36" s="129">
        <v>35</v>
      </c>
      <c r="B36" s="77" t="s">
        <v>5016</v>
      </c>
      <c r="C36" s="78" t="s">
        <v>5017</v>
      </c>
      <c r="D36" s="17" t="s">
        <v>5018</v>
      </c>
      <c r="E36" s="7" t="s">
        <v>5019</v>
      </c>
      <c r="F36" s="7">
        <v>59</v>
      </c>
      <c r="G36" s="7" t="s">
        <v>75</v>
      </c>
      <c r="H36" s="123" t="s">
        <v>235</v>
      </c>
      <c r="I36" s="130" t="s">
        <v>188</v>
      </c>
    </row>
    <row r="37" spans="1:13" ht="15.75">
      <c r="A37" s="129">
        <v>36</v>
      </c>
      <c r="B37" s="77" t="s">
        <v>5020</v>
      </c>
      <c r="C37" s="78" t="s">
        <v>5021</v>
      </c>
      <c r="D37" s="17" t="s">
        <v>5022</v>
      </c>
      <c r="E37" s="7" t="s">
        <v>5023</v>
      </c>
      <c r="F37" s="7">
        <v>49</v>
      </c>
      <c r="G37" s="7" t="s">
        <v>60</v>
      </c>
      <c r="H37" s="123" t="s">
        <v>235</v>
      </c>
      <c r="I37" s="130" t="s">
        <v>188</v>
      </c>
    </row>
    <row r="38" spans="1:13" ht="15.75">
      <c r="A38" s="129">
        <v>37</v>
      </c>
      <c r="B38" s="77" t="s">
        <v>5024</v>
      </c>
      <c r="C38" s="78" t="s">
        <v>5025</v>
      </c>
      <c r="D38" s="17" t="s">
        <v>5026</v>
      </c>
      <c r="E38" s="7" t="s">
        <v>5027</v>
      </c>
      <c r="F38" s="7">
        <v>51</v>
      </c>
      <c r="G38" s="7" t="s">
        <v>60</v>
      </c>
      <c r="H38" s="123" t="s">
        <v>235</v>
      </c>
      <c r="I38" s="130" t="s">
        <v>188</v>
      </c>
    </row>
    <row r="39" spans="1:13" ht="15.75">
      <c r="A39" s="129">
        <v>38</v>
      </c>
      <c r="B39" s="77" t="s">
        <v>5028</v>
      </c>
      <c r="C39" s="78" t="s">
        <v>5029</v>
      </c>
      <c r="D39" s="17" t="s">
        <v>5030</v>
      </c>
      <c r="E39" s="7" t="s">
        <v>5031</v>
      </c>
      <c r="F39" s="7">
        <v>81</v>
      </c>
      <c r="G39" s="7" t="s">
        <v>60</v>
      </c>
      <c r="H39" s="123" t="s">
        <v>235</v>
      </c>
      <c r="I39" s="130" t="s">
        <v>188</v>
      </c>
    </row>
    <row r="40" spans="1:13" ht="15.75">
      <c r="A40" s="129">
        <v>39</v>
      </c>
      <c r="B40" s="77" t="s">
        <v>5032</v>
      </c>
      <c r="C40" s="78" t="s">
        <v>5033</v>
      </c>
      <c r="D40" s="17" t="s">
        <v>5034</v>
      </c>
      <c r="E40" s="57" t="s">
        <v>5035</v>
      </c>
      <c r="F40" s="7">
        <v>69</v>
      </c>
      <c r="G40" s="7" t="s">
        <v>75</v>
      </c>
      <c r="H40" s="123" t="s">
        <v>235</v>
      </c>
      <c r="I40" s="130" t="s">
        <v>188</v>
      </c>
    </row>
    <row r="41" spans="1:13" ht="15.75">
      <c r="A41" s="129">
        <v>40</v>
      </c>
      <c r="B41" s="57" t="s">
        <v>5036</v>
      </c>
      <c r="C41" s="57" t="s">
        <v>5037</v>
      </c>
      <c r="D41" s="17" t="s">
        <v>5038</v>
      </c>
      <c r="E41" s="80" t="s">
        <v>5039</v>
      </c>
      <c r="F41" s="57">
        <v>43</v>
      </c>
      <c r="G41" s="57" t="s">
        <v>60</v>
      </c>
      <c r="H41" s="123" t="s">
        <v>235</v>
      </c>
      <c r="I41" s="130" t="s">
        <v>188</v>
      </c>
    </row>
    <row r="42" spans="1:13" ht="15.75">
      <c r="A42" s="129">
        <v>41</v>
      </c>
      <c r="B42" s="57" t="s">
        <v>5040</v>
      </c>
      <c r="C42" s="57" t="s">
        <v>5041</v>
      </c>
      <c r="D42" s="17" t="s">
        <v>5042</v>
      </c>
      <c r="E42" s="80" t="s">
        <v>5043</v>
      </c>
      <c r="F42" s="57">
        <v>54</v>
      </c>
      <c r="G42" s="57" t="s">
        <v>60</v>
      </c>
      <c r="H42" s="123" t="s">
        <v>235</v>
      </c>
      <c r="I42" s="130" t="s">
        <v>188</v>
      </c>
      <c r="M42" t="s">
        <v>874</v>
      </c>
    </row>
    <row r="43" spans="1:13" ht="15.75">
      <c r="A43" s="129">
        <v>42</v>
      </c>
      <c r="B43" s="57" t="s">
        <v>5044</v>
      </c>
      <c r="C43" s="57" t="s">
        <v>5045</v>
      </c>
      <c r="D43" s="17" t="s">
        <v>5046</v>
      </c>
      <c r="E43" s="80" t="s">
        <v>5047</v>
      </c>
      <c r="F43" s="57">
        <v>62</v>
      </c>
      <c r="G43" s="57" t="s">
        <v>60</v>
      </c>
      <c r="H43" s="123" t="s">
        <v>235</v>
      </c>
      <c r="I43" s="130" t="s">
        <v>188</v>
      </c>
      <c r="M43" t="s">
        <v>874</v>
      </c>
    </row>
    <row r="44" spans="1:13" ht="15.75">
      <c r="A44" s="129">
        <v>43</v>
      </c>
      <c r="B44" s="57" t="s">
        <v>5048</v>
      </c>
      <c r="C44" s="57" t="s">
        <v>5049</v>
      </c>
      <c r="D44" s="17" t="s">
        <v>5050</v>
      </c>
      <c r="E44" s="80" t="s">
        <v>5051</v>
      </c>
      <c r="F44" s="57">
        <v>78</v>
      </c>
      <c r="G44" s="57" t="s">
        <v>75</v>
      </c>
      <c r="H44" s="123" t="s">
        <v>235</v>
      </c>
      <c r="I44" s="130" t="s">
        <v>188</v>
      </c>
    </row>
    <row r="45" spans="1:13" ht="15.75">
      <c r="A45" s="129">
        <v>44</v>
      </c>
      <c r="B45" s="57" t="s">
        <v>5052</v>
      </c>
      <c r="C45" s="57" t="s">
        <v>5053</v>
      </c>
      <c r="D45" s="17" t="s">
        <v>5054</v>
      </c>
      <c r="E45" s="80" t="s">
        <v>5055</v>
      </c>
      <c r="F45" s="57">
        <v>44</v>
      </c>
      <c r="G45" s="57" t="s">
        <v>75</v>
      </c>
      <c r="H45" s="123" t="s">
        <v>235</v>
      </c>
      <c r="I45" s="130" t="s">
        <v>188</v>
      </c>
    </row>
    <row r="46" spans="1:13" ht="15.75">
      <c r="A46" s="129">
        <v>45</v>
      </c>
      <c r="B46" s="57" t="s">
        <v>5056</v>
      </c>
      <c r="C46" s="57" t="s">
        <v>5057</v>
      </c>
      <c r="D46" s="17" t="s">
        <v>5058</v>
      </c>
      <c r="E46" s="80" t="s">
        <v>5059</v>
      </c>
      <c r="F46" s="57">
        <v>73</v>
      </c>
      <c r="G46" s="57" t="s">
        <v>75</v>
      </c>
      <c r="H46" s="123" t="s">
        <v>235</v>
      </c>
      <c r="I46" s="130" t="s">
        <v>188</v>
      </c>
    </row>
    <row r="47" spans="1:13" ht="15.75">
      <c r="A47" s="129">
        <v>46</v>
      </c>
      <c r="B47" s="57" t="s">
        <v>4889</v>
      </c>
      <c r="C47" s="57" t="s">
        <v>5060</v>
      </c>
      <c r="D47" s="17" t="s">
        <v>5061</v>
      </c>
      <c r="E47" s="80" t="s">
        <v>4892</v>
      </c>
      <c r="F47" s="57">
        <v>46</v>
      </c>
      <c r="G47" s="57" t="s">
        <v>60</v>
      </c>
      <c r="H47" s="123" t="s">
        <v>235</v>
      </c>
      <c r="I47" s="130" t="s">
        <v>188</v>
      </c>
    </row>
    <row r="48" spans="1:13" ht="15.75">
      <c r="A48" s="129">
        <v>47</v>
      </c>
      <c r="B48" s="57" t="s">
        <v>5062</v>
      </c>
      <c r="C48" s="57" t="s">
        <v>5063</v>
      </c>
      <c r="D48" s="17" t="s">
        <v>5064</v>
      </c>
      <c r="E48" s="57" t="s">
        <v>5065</v>
      </c>
      <c r="F48" s="17">
        <v>33</v>
      </c>
      <c r="G48" s="57" t="s">
        <v>60</v>
      </c>
      <c r="H48" s="123" t="s">
        <v>235</v>
      </c>
      <c r="I48" s="130" t="s">
        <v>188</v>
      </c>
    </row>
    <row r="49" spans="1:13" ht="15.75">
      <c r="A49" s="129">
        <v>48</v>
      </c>
      <c r="B49" s="57" t="s">
        <v>5066</v>
      </c>
      <c r="C49" s="57" t="s">
        <v>5067</v>
      </c>
      <c r="D49" s="17" t="s">
        <v>5068</v>
      </c>
      <c r="E49" s="57" t="s">
        <v>5069</v>
      </c>
      <c r="F49" s="17">
        <v>40</v>
      </c>
      <c r="G49" s="57" t="s">
        <v>60</v>
      </c>
      <c r="H49" s="123" t="s">
        <v>235</v>
      </c>
      <c r="I49" s="131" t="s">
        <v>188</v>
      </c>
    </row>
    <row r="50" spans="1:13" ht="15.75">
      <c r="A50" s="129">
        <v>49</v>
      </c>
      <c r="B50" s="57" t="s">
        <v>5070</v>
      </c>
      <c r="C50" s="57" t="s">
        <v>5071</v>
      </c>
      <c r="D50" s="17" t="s">
        <v>5072</v>
      </c>
      <c r="E50" s="57" t="s">
        <v>5073</v>
      </c>
      <c r="F50" s="17">
        <v>39</v>
      </c>
      <c r="G50" s="57" t="s">
        <v>75</v>
      </c>
      <c r="H50" s="123" t="s">
        <v>235</v>
      </c>
      <c r="I50" s="131" t="s">
        <v>188</v>
      </c>
    </row>
    <row r="51" spans="1:13" ht="15.75">
      <c r="A51" s="129">
        <v>50</v>
      </c>
      <c r="B51" s="57" t="s">
        <v>5074</v>
      </c>
      <c r="C51" s="57" t="s">
        <v>5075</v>
      </c>
      <c r="D51" s="17" t="s">
        <v>5076</v>
      </c>
      <c r="E51" s="57" t="s">
        <v>5077</v>
      </c>
      <c r="F51" s="7">
        <v>40</v>
      </c>
      <c r="G51" s="57" t="s">
        <v>60</v>
      </c>
      <c r="H51" s="123" t="s">
        <v>235</v>
      </c>
      <c r="I51" s="131" t="s">
        <v>188</v>
      </c>
    </row>
    <row r="52" spans="1:13" ht="15.75">
      <c r="A52" s="129">
        <v>51</v>
      </c>
      <c r="B52" s="57" t="s">
        <v>5078</v>
      </c>
      <c r="C52" s="57" t="s">
        <v>5079</v>
      </c>
      <c r="D52" s="17" t="s">
        <v>5080</v>
      </c>
      <c r="E52" s="57" t="s">
        <v>5081</v>
      </c>
      <c r="F52" s="7">
        <v>41</v>
      </c>
      <c r="G52" s="57" t="s">
        <v>60</v>
      </c>
      <c r="H52" s="123" t="s">
        <v>235</v>
      </c>
      <c r="I52" s="131" t="s">
        <v>188</v>
      </c>
    </row>
    <row r="53" spans="1:13" ht="15.75">
      <c r="A53" s="129">
        <v>52</v>
      </c>
      <c r="B53" s="57" t="s">
        <v>5082</v>
      </c>
      <c r="C53" s="57" t="s">
        <v>5083</v>
      </c>
      <c r="D53" s="17" t="s">
        <v>5084</v>
      </c>
      <c r="E53" s="57" t="s">
        <v>5085</v>
      </c>
      <c r="F53" s="7">
        <v>62</v>
      </c>
      <c r="G53" s="57" t="s">
        <v>60</v>
      </c>
      <c r="H53" s="123" t="s">
        <v>235</v>
      </c>
      <c r="I53" s="130"/>
    </row>
    <row r="54" spans="1:13" ht="15.75">
      <c r="A54" s="129">
        <v>53</v>
      </c>
      <c r="B54" s="57" t="s">
        <v>5086</v>
      </c>
      <c r="C54" s="57" t="s">
        <v>5087</v>
      </c>
      <c r="D54" s="17" t="s">
        <v>5088</v>
      </c>
      <c r="E54" s="57" t="s">
        <v>5089</v>
      </c>
      <c r="F54" s="7">
        <v>60</v>
      </c>
      <c r="G54" s="57" t="s">
        <v>75</v>
      </c>
      <c r="H54" s="123" t="s">
        <v>235</v>
      </c>
      <c r="I54" s="130" t="s">
        <v>188</v>
      </c>
    </row>
    <row r="55" spans="1:13" ht="15.75">
      <c r="A55" s="129">
        <v>54</v>
      </c>
      <c r="B55" s="57" t="s">
        <v>5090</v>
      </c>
      <c r="C55" s="57" t="s">
        <v>5091</v>
      </c>
      <c r="D55" s="17" t="s">
        <v>5092</v>
      </c>
      <c r="E55" s="80" t="s">
        <v>5093</v>
      </c>
      <c r="F55" s="7">
        <v>42</v>
      </c>
      <c r="G55" s="57" t="s">
        <v>60</v>
      </c>
      <c r="H55" s="123" t="s">
        <v>235</v>
      </c>
      <c r="I55" s="130"/>
      <c r="M55" t="s">
        <v>874</v>
      </c>
    </row>
    <row r="56" spans="1:13" ht="15.75">
      <c r="A56" s="129">
        <v>55</v>
      </c>
      <c r="B56" s="57" t="s">
        <v>5094</v>
      </c>
      <c r="C56" s="57" t="s">
        <v>5095</v>
      </c>
      <c r="D56" s="17" t="s">
        <v>5096</v>
      </c>
      <c r="E56" s="57" t="s">
        <v>5097</v>
      </c>
      <c r="F56" s="7">
        <v>55</v>
      </c>
      <c r="G56" s="57" t="s">
        <v>75</v>
      </c>
      <c r="H56" s="123" t="s">
        <v>235</v>
      </c>
      <c r="I56" s="130"/>
    </row>
    <row r="57" spans="1:13" ht="15.75">
      <c r="A57" s="129">
        <v>56</v>
      </c>
      <c r="B57" s="57" t="s">
        <v>5098</v>
      </c>
      <c r="C57" s="57" t="s">
        <v>5099</v>
      </c>
      <c r="D57" s="17" t="s">
        <v>5100</v>
      </c>
      <c r="E57" s="57" t="s">
        <v>5101</v>
      </c>
      <c r="F57" s="7">
        <v>32</v>
      </c>
      <c r="G57" s="57" t="s">
        <v>75</v>
      </c>
      <c r="H57" s="123" t="s">
        <v>235</v>
      </c>
      <c r="I57" s="130" t="s">
        <v>188</v>
      </c>
    </row>
    <row r="58" spans="1:13" ht="15.75">
      <c r="A58" s="129">
        <v>57</v>
      </c>
      <c r="B58" s="7"/>
      <c r="C58" s="17"/>
      <c r="D58" s="7" t="s">
        <v>5102</v>
      </c>
      <c r="E58" s="7" t="s">
        <v>5103</v>
      </c>
      <c r="F58" s="7">
        <v>63</v>
      </c>
      <c r="G58" s="57" t="s">
        <v>60</v>
      </c>
      <c r="H58" s="125" t="s">
        <v>652</v>
      </c>
      <c r="I58" s="132" t="s">
        <v>5104</v>
      </c>
    </row>
    <row r="59" spans="1:13" ht="15.75">
      <c r="A59" s="129">
        <v>58</v>
      </c>
      <c r="B59" s="7"/>
      <c r="C59" s="17"/>
      <c r="D59" s="7" t="s">
        <v>5105</v>
      </c>
      <c r="E59" s="79" t="s">
        <v>5106</v>
      </c>
      <c r="F59" s="7">
        <v>51</v>
      </c>
      <c r="G59" s="57" t="s">
        <v>60</v>
      </c>
      <c r="H59" s="125" t="s">
        <v>652</v>
      </c>
      <c r="I59" s="130" t="s">
        <v>188</v>
      </c>
    </row>
    <row r="60" spans="1:13" ht="15.75">
      <c r="A60" s="129">
        <v>59</v>
      </c>
      <c r="B60" s="7"/>
      <c r="C60" s="17"/>
      <c r="D60" s="7" t="s">
        <v>5107</v>
      </c>
      <c r="E60" s="7" t="s">
        <v>5108</v>
      </c>
      <c r="F60" s="7">
        <v>47</v>
      </c>
      <c r="G60" s="57" t="s">
        <v>75</v>
      </c>
      <c r="H60" s="125" t="s">
        <v>652</v>
      </c>
      <c r="I60" s="130" t="s">
        <v>188</v>
      </c>
    </row>
    <row r="61" spans="1:13" ht="15.75">
      <c r="A61" s="129">
        <v>60</v>
      </c>
      <c r="B61" s="7"/>
      <c r="C61" s="17"/>
      <c r="D61" s="7" t="s">
        <v>5109</v>
      </c>
      <c r="E61" s="7" t="s">
        <v>5110</v>
      </c>
      <c r="F61" s="7">
        <v>37</v>
      </c>
      <c r="G61" s="57" t="s">
        <v>60</v>
      </c>
      <c r="H61" s="125" t="s">
        <v>652</v>
      </c>
      <c r="I61" s="130" t="s">
        <v>188</v>
      </c>
    </row>
    <row r="62" spans="1:13" ht="15.75">
      <c r="A62" s="129">
        <v>61</v>
      </c>
      <c r="B62" s="17"/>
      <c r="C62" s="17"/>
      <c r="D62" s="17" t="s">
        <v>5111</v>
      </c>
      <c r="E62" s="7" t="s">
        <v>5112</v>
      </c>
      <c r="F62" s="17">
        <v>43</v>
      </c>
      <c r="G62" s="17" t="s">
        <v>75</v>
      </c>
      <c r="H62" s="125" t="s">
        <v>652</v>
      </c>
      <c r="I62" s="130" t="s">
        <v>188</v>
      </c>
    </row>
    <row r="63" spans="1:13" ht="15.75">
      <c r="A63" s="129">
        <v>62</v>
      </c>
      <c r="B63" s="17"/>
      <c r="C63" s="17"/>
      <c r="D63" s="17" t="s">
        <v>5113</v>
      </c>
      <c r="E63" s="79" t="s">
        <v>5114</v>
      </c>
      <c r="F63" s="17">
        <v>53</v>
      </c>
      <c r="G63" s="17" t="s">
        <v>60</v>
      </c>
      <c r="H63" s="125" t="s">
        <v>652</v>
      </c>
      <c r="I63" s="130" t="s">
        <v>188</v>
      </c>
    </row>
    <row r="64" spans="1:13" ht="15.75">
      <c r="A64" s="137">
        <v>63</v>
      </c>
      <c r="B64" s="138"/>
      <c r="C64" s="138"/>
      <c r="D64" s="138" t="s">
        <v>5115</v>
      </c>
      <c r="E64" s="139" t="s">
        <v>5116</v>
      </c>
      <c r="F64" s="138">
        <v>70</v>
      </c>
      <c r="G64" s="138" t="s">
        <v>60</v>
      </c>
      <c r="H64" s="140" t="s">
        <v>652</v>
      </c>
      <c r="I64" s="141" t="s">
        <v>188</v>
      </c>
    </row>
    <row r="66" spans="1:12">
      <c r="A66" t="s">
        <v>5117</v>
      </c>
    </row>
    <row r="67" spans="1:12" ht="15.75">
      <c r="A67" s="143" t="s">
        <v>5118</v>
      </c>
      <c r="B67" s="144" t="s">
        <v>4873</v>
      </c>
      <c r="C67" s="144" t="s">
        <v>197</v>
      </c>
      <c r="D67" s="144" t="s">
        <v>5119</v>
      </c>
      <c r="E67" s="144" t="s">
        <v>198</v>
      </c>
      <c r="F67" s="144" t="s">
        <v>199</v>
      </c>
      <c r="G67" s="144" t="s">
        <v>200</v>
      </c>
      <c r="H67" s="157" t="s">
        <v>5120</v>
      </c>
      <c r="I67" s="145" t="s">
        <v>5121</v>
      </c>
      <c r="J67" s="157" t="s">
        <v>4877</v>
      </c>
      <c r="K67" s="157" t="s">
        <v>4878</v>
      </c>
      <c r="L67" s="157" t="s">
        <v>4879</v>
      </c>
    </row>
    <row r="68" spans="1:12" s="155" customFormat="1" ht="15.75">
      <c r="A68" s="163">
        <v>1</v>
      </c>
      <c r="B68" s="164" t="s">
        <v>5122</v>
      </c>
      <c r="C68" s="164" t="s">
        <v>5123</v>
      </c>
      <c r="D68" s="164"/>
      <c r="E68" s="164" t="s">
        <v>5124</v>
      </c>
      <c r="F68" s="164">
        <v>42</v>
      </c>
      <c r="G68" s="164" t="s">
        <v>75</v>
      </c>
      <c r="H68" s="165"/>
      <c r="I68" s="166"/>
      <c r="J68" s="164" t="s">
        <v>230</v>
      </c>
      <c r="K68" s="164" t="s">
        <v>5125</v>
      </c>
      <c r="L68" s="167"/>
    </row>
    <row r="69" spans="1:12" ht="15.75">
      <c r="A69" s="142">
        <v>2</v>
      </c>
      <c r="B69" s="73" t="s">
        <v>5126</v>
      </c>
      <c r="C69" s="73" t="s">
        <v>5127</v>
      </c>
      <c r="D69" s="73" t="s">
        <v>5128</v>
      </c>
      <c r="E69" s="73" t="s">
        <v>5129</v>
      </c>
      <c r="F69" s="73">
        <v>63</v>
      </c>
      <c r="G69" s="73" t="s">
        <v>60</v>
      </c>
      <c r="H69" s="73"/>
      <c r="I69" s="130" t="s">
        <v>5104</v>
      </c>
      <c r="J69" s="73" t="s">
        <v>123</v>
      </c>
      <c r="K69" s="158" t="s">
        <v>5130</v>
      </c>
      <c r="L69" s="126" t="s">
        <v>193</v>
      </c>
    </row>
    <row r="70" spans="1:12" ht="15.75">
      <c r="A70" s="142">
        <v>3</v>
      </c>
      <c r="B70" s="73" t="s">
        <v>5131</v>
      </c>
      <c r="C70" s="73" t="s">
        <v>5132</v>
      </c>
      <c r="D70" s="73" t="s">
        <v>5133</v>
      </c>
      <c r="E70" s="73" t="s">
        <v>5134</v>
      </c>
      <c r="F70" s="73">
        <v>53</v>
      </c>
      <c r="G70" s="73" t="s">
        <v>75</v>
      </c>
      <c r="H70" s="73"/>
      <c r="I70" s="130" t="s">
        <v>188</v>
      </c>
      <c r="J70" s="73" t="s">
        <v>230</v>
      </c>
      <c r="K70" s="159" t="s">
        <v>5135</v>
      </c>
      <c r="L70" s="126" t="s">
        <v>193</v>
      </c>
    </row>
    <row r="71" spans="1:12" ht="15.75">
      <c r="A71" s="142">
        <v>4</v>
      </c>
      <c r="B71" s="73" t="s">
        <v>5136</v>
      </c>
      <c r="C71" s="73" t="s">
        <v>5137</v>
      </c>
      <c r="D71" s="73" t="s">
        <v>5138</v>
      </c>
      <c r="E71" s="73" t="s">
        <v>5139</v>
      </c>
      <c r="F71" s="73">
        <v>51</v>
      </c>
      <c r="G71" s="73" t="s">
        <v>60</v>
      </c>
      <c r="H71" s="73"/>
      <c r="I71" s="130" t="s">
        <v>188</v>
      </c>
      <c r="J71" s="73" t="s">
        <v>230</v>
      </c>
      <c r="K71" s="159" t="s">
        <v>5135</v>
      </c>
      <c r="L71" s="126" t="s">
        <v>193</v>
      </c>
    </row>
    <row r="72" spans="1:12" ht="15.75">
      <c r="A72" s="142">
        <v>5</v>
      </c>
      <c r="B72" s="73" t="s">
        <v>5140</v>
      </c>
      <c r="C72" s="73" t="s">
        <v>5141</v>
      </c>
      <c r="D72" s="73"/>
      <c r="E72" s="73" t="s">
        <v>5142</v>
      </c>
      <c r="F72" s="73">
        <v>47</v>
      </c>
      <c r="G72" s="73" t="s">
        <v>75</v>
      </c>
      <c r="H72" s="73"/>
      <c r="I72" s="130" t="s">
        <v>188</v>
      </c>
      <c r="J72" s="73" t="s">
        <v>230</v>
      </c>
      <c r="K72" s="159" t="s">
        <v>5143</v>
      </c>
      <c r="L72" s="126" t="s">
        <v>193</v>
      </c>
    </row>
    <row r="73" spans="1:12" ht="15.75">
      <c r="A73" s="142">
        <v>6</v>
      </c>
      <c r="B73" s="73" t="s">
        <v>5144</v>
      </c>
      <c r="C73" s="73" t="s">
        <v>5145</v>
      </c>
      <c r="D73" s="73"/>
      <c r="E73" s="73" t="s">
        <v>5146</v>
      </c>
      <c r="F73" s="73">
        <v>68</v>
      </c>
      <c r="G73" s="73" t="s">
        <v>75</v>
      </c>
      <c r="H73" s="73"/>
      <c r="I73" s="130" t="s">
        <v>188</v>
      </c>
      <c r="J73" s="73" t="s">
        <v>230</v>
      </c>
      <c r="K73" s="159" t="s">
        <v>5143</v>
      </c>
      <c r="L73" s="126" t="s">
        <v>193</v>
      </c>
    </row>
    <row r="74" spans="1:12" ht="15.75">
      <c r="A74" s="142">
        <v>7</v>
      </c>
      <c r="B74" s="73" t="s">
        <v>5147</v>
      </c>
      <c r="C74" s="73" t="s">
        <v>5148</v>
      </c>
      <c r="D74" s="73"/>
      <c r="E74" s="73" t="s">
        <v>5149</v>
      </c>
      <c r="F74" s="73">
        <v>37</v>
      </c>
      <c r="G74" s="73" t="s">
        <v>60</v>
      </c>
      <c r="H74" s="73"/>
      <c r="I74" s="130" t="s">
        <v>188</v>
      </c>
      <c r="J74" s="73" t="s">
        <v>230</v>
      </c>
      <c r="K74" s="159" t="s">
        <v>5143</v>
      </c>
      <c r="L74" s="126" t="s">
        <v>193</v>
      </c>
    </row>
    <row r="75" spans="1:12" ht="15.75">
      <c r="A75" s="142">
        <v>8</v>
      </c>
      <c r="B75" s="73" t="s">
        <v>5150</v>
      </c>
      <c r="C75" s="73" t="s">
        <v>5151</v>
      </c>
      <c r="D75" s="73"/>
      <c r="E75" s="73" t="s">
        <v>5152</v>
      </c>
      <c r="F75" s="73">
        <v>43</v>
      </c>
      <c r="G75" s="73" t="s">
        <v>75</v>
      </c>
      <c r="H75" s="73"/>
      <c r="I75" s="130" t="s">
        <v>188</v>
      </c>
      <c r="J75" s="73" t="s">
        <v>230</v>
      </c>
      <c r="K75" s="159" t="s">
        <v>5143</v>
      </c>
      <c r="L75" s="126" t="s">
        <v>193</v>
      </c>
    </row>
    <row r="76" spans="1:12" ht="15.75">
      <c r="A76" s="142">
        <v>9</v>
      </c>
      <c r="B76" s="73" t="s">
        <v>5153</v>
      </c>
      <c r="C76" s="73" t="s">
        <v>5154</v>
      </c>
      <c r="D76" s="73"/>
      <c r="E76" s="73" t="s">
        <v>5114</v>
      </c>
      <c r="F76" s="73">
        <v>53</v>
      </c>
      <c r="G76" s="73" t="s">
        <v>60</v>
      </c>
      <c r="H76" s="73"/>
      <c r="I76" s="130" t="s">
        <v>188</v>
      </c>
      <c r="J76" s="73" t="s">
        <v>230</v>
      </c>
      <c r="K76" s="159" t="s">
        <v>5155</v>
      </c>
      <c r="L76" s="126" t="s">
        <v>5156</v>
      </c>
    </row>
    <row r="77" spans="1:12" ht="15.75">
      <c r="A77" s="142">
        <v>10</v>
      </c>
      <c r="B77" s="73" t="s">
        <v>5157</v>
      </c>
      <c r="C77" s="73" t="s">
        <v>5158</v>
      </c>
      <c r="D77" s="73" t="s">
        <v>5159</v>
      </c>
      <c r="E77" s="73" t="s">
        <v>5160</v>
      </c>
      <c r="F77" s="73">
        <v>57</v>
      </c>
      <c r="G77" s="73" t="s">
        <v>60</v>
      </c>
      <c r="H77" s="73"/>
      <c r="I77" s="130" t="s">
        <v>188</v>
      </c>
      <c r="J77" s="73" t="s">
        <v>230</v>
      </c>
      <c r="K77" s="159" t="s">
        <v>5135</v>
      </c>
      <c r="L77" s="126" t="s">
        <v>193</v>
      </c>
    </row>
    <row r="78" spans="1:12" ht="15.75">
      <c r="A78" s="142">
        <v>11</v>
      </c>
      <c r="B78" s="73" t="s">
        <v>5161</v>
      </c>
      <c r="C78" s="73" t="s">
        <v>5162</v>
      </c>
      <c r="D78" s="73" t="s">
        <v>5163</v>
      </c>
      <c r="E78" s="73" t="s">
        <v>5164</v>
      </c>
      <c r="F78" s="73">
        <v>67</v>
      </c>
      <c r="G78" s="73" t="s">
        <v>75</v>
      </c>
      <c r="H78" s="73"/>
      <c r="I78" s="130" t="s">
        <v>188</v>
      </c>
      <c r="J78" s="73" t="s">
        <v>230</v>
      </c>
      <c r="K78" s="159" t="s">
        <v>5135</v>
      </c>
      <c r="L78" s="126" t="s">
        <v>193</v>
      </c>
    </row>
    <row r="79" spans="1:12" ht="15.75">
      <c r="A79" s="142">
        <v>12</v>
      </c>
      <c r="B79" s="73" t="s">
        <v>5165</v>
      </c>
      <c r="C79" s="73" t="s">
        <v>5166</v>
      </c>
      <c r="D79" s="73" t="s">
        <v>5167</v>
      </c>
      <c r="E79" s="73" t="s">
        <v>5168</v>
      </c>
      <c r="F79" s="73">
        <v>70</v>
      </c>
      <c r="G79" s="73" t="s">
        <v>60</v>
      </c>
      <c r="H79" s="73"/>
      <c r="I79" s="130" t="s">
        <v>188</v>
      </c>
      <c r="J79" s="73" t="s">
        <v>230</v>
      </c>
      <c r="K79" s="159" t="s">
        <v>5135</v>
      </c>
      <c r="L79" s="126" t="s">
        <v>193</v>
      </c>
    </row>
    <row r="80" spans="1:12" ht="15.75">
      <c r="A80" s="142">
        <v>13</v>
      </c>
      <c r="B80" s="73" t="s">
        <v>5169</v>
      </c>
      <c r="C80" s="73" t="s">
        <v>5170</v>
      </c>
      <c r="D80" s="73" t="s">
        <v>5171</v>
      </c>
      <c r="E80" s="73" t="s">
        <v>5172</v>
      </c>
      <c r="F80" s="73">
        <v>83</v>
      </c>
      <c r="G80" s="73" t="s">
        <v>60</v>
      </c>
      <c r="H80" s="73"/>
      <c r="I80" s="130" t="s">
        <v>188</v>
      </c>
      <c r="J80" s="73" t="s">
        <v>230</v>
      </c>
      <c r="K80" s="159" t="s">
        <v>5135</v>
      </c>
      <c r="L80" s="126" t="s">
        <v>5173</v>
      </c>
    </row>
    <row r="81" spans="1:12" ht="15.75">
      <c r="A81" s="142">
        <v>14</v>
      </c>
      <c r="B81" s="73" t="s">
        <v>5174</v>
      </c>
      <c r="C81" s="73" t="s">
        <v>5175</v>
      </c>
      <c r="D81" s="73" t="s">
        <v>5176</v>
      </c>
      <c r="E81" s="73" t="s">
        <v>5177</v>
      </c>
      <c r="F81" s="73">
        <v>64</v>
      </c>
      <c r="G81" s="73" t="s">
        <v>75</v>
      </c>
      <c r="H81" s="73"/>
      <c r="I81" s="130" t="s">
        <v>5178</v>
      </c>
      <c r="J81" s="73" t="s">
        <v>986</v>
      </c>
      <c r="K81" s="159" t="s">
        <v>5135</v>
      </c>
      <c r="L81" s="126" t="s">
        <v>5173</v>
      </c>
    </row>
    <row r="82" spans="1:12" ht="15.75">
      <c r="A82" s="142">
        <v>15</v>
      </c>
      <c r="B82" s="73" t="s">
        <v>5179</v>
      </c>
      <c r="C82" s="73" t="s">
        <v>5180</v>
      </c>
      <c r="D82" s="73" t="s">
        <v>5181</v>
      </c>
      <c r="E82" s="73" t="s">
        <v>5182</v>
      </c>
      <c r="F82" s="73">
        <v>60</v>
      </c>
      <c r="G82" s="73" t="s">
        <v>60</v>
      </c>
      <c r="H82" s="73"/>
      <c r="I82" s="130" t="s">
        <v>188</v>
      </c>
      <c r="J82" s="73" t="s">
        <v>230</v>
      </c>
      <c r="K82" s="159" t="s">
        <v>5135</v>
      </c>
      <c r="L82" s="126" t="s">
        <v>193</v>
      </c>
    </row>
    <row r="83" spans="1:12" ht="15.75">
      <c r="A83" s="142">
        <v>16</v>
      </c>
      <c r="B83" s="73" t="s">
        <v>5183</v>
      </c>
      <c r="C83" s="73" t="s">
        <v>5184</v>
      </c>
      <c r="D83" s="73" t="s">
        <v>5185</v>
      </c>
      <c r="E83" s="73" t="s">
        <v>5186</v>
      </c>
      <c r="F83" s="73">
        <v>61</v>
      </c>
      <c r="G83" s="73" t="s">
        <v>75</v>
      </c>
      <c r="H83" s="73"/>
      <c r="I83" s="130" t="s">
        <v>188</v>
      </c>
      <c r="J83" s="73" t="s">
        <v>230</v>
      </c>
      <c r="K83" s="159" t="s">
        <v>5135</v>
      </c>
      <c r="L83" s="126" t="s">
        <v>193</v>
      </c>
    </row>
    <row r="84" spans="1:12" ht="15.75">
      <c r="A84" s="142">
        <v>17</v>
      </c>
      <c r="B84" s="73" t="s">
        <v>5187</v>
      </c>
      <c r="C84" s="73" t="s">
        <v>5188</v>
      </c>
      <c r="D84" s="73" t="s">
        <v>5189</v>
      </c>
      <c r="E84" s="73" t="s">
        <v>5190</v>
      </c>
      <c r="F84" s="73">
        <v>29</v>
      </c>
      <c r="G84" s="73" t="s">
        <v>75</v>
      </c>
      <c r="H84" s="73"/>
      <c r="I84" s="130" t="s">
        <v>188</v>
      </c>
      <c r="J84" s="73" t="s">
        <v>230</v>
      </c>
      <c r="K84" s="159" t="s">
        <v>5135</v>
      </c>
      <c r="L84" s="126" t="s">
        <v>5191</v>
      </c>
    </row>
    <row r="85" spans="1:12" ht="15.75">
      <c r="A85" s="142">
        <v>18</v>
      </c>
      <c r="B85" s="73" t="s">
        <v>5192</v>
      </c>
      <c r="C85" s="73" t="s">
        <v>5193</v>
      </c>
      <c r="D85" s="73" t="s">
        <v>5194</v>
      </c>
      <c r="E85" s="73" t="s">
        <v>5195</v>
      </c>
      <c r="F85" s="73">
        <v>48</v>
      </c>
      <c r="G85" s="73" t="s">
        <v>75</v>
      </c>
      <c r="H85" s="73"/>
      <c r="I85" s="130" t="s">
        <v>188</v>
      </c>
      <c r="J85" s="73" t="s">
        <v>230</v>
      </c>
      <c r="K85" s="159" t="s">
        <v>5135</v>
      </c>
      <c r="L85" s="126" t="s">
        <v>5191</v>
      </c>
    </row>
    <row r="86" spans="1:12" ht="15.75">
      <c r="A86" s="142">
        <v>19</v>
      </c>
      <c r="B86" s="73" t="s">
        <v>5196</v>
      </c>
      <c r="C86" s="73" t="s">
        <v>5197</v>
      </c>
      <c r="D86" s="73"/>
      <c r="E86" s="73" t="s">
        <v>5198</v>
      </c>
      <c r="F86" s="73">
        <v>62</v>
      </c>
      <c r="G86" s="73" t="s">
        <v>75</v>
      </c>
      <c r="H86" s="73"/>
      <c r="I86" s="130" t="s">
        <v>5199</v>
      </c>
      <c r="J86" s="73" t="s">
        <v>5200</v>
      </c>
      <c r="K86" s="159" t="s">
        <v>5135</v>
      </c>
      <c r="L86" s="126" t="s">
        <v>5191</v>
      </c>
    </row>
    <row r="87" spans="1:12" ht="15.75">
      <c r="A87" s="142">
        <v>20</v>
      </c>
      <c r="B87" s="73" t="s">
        <v>5201</v>
      </c>
      <c r="C87" s="73" t="s">
        <v>5202</v>
      </c>
      <c r="D87" s="73"/>
      <c r="E87" s="73" t="s">
        <v>5203</v>
      </c>
      <c r="F87" s="73">
        <v>62</v>
      </c>
      <c r="G87" s="73" t="s">
        <v>75</v>
      </c>
      <c r="H87" s="73"/>
      <c r="I87" s="130" t="s">
        <v>188</v>
      </c>
      <c r="J87" s="73"/>
      <c r="K87" s="160" t="s">
        <v>5135</v>
      </c>
      <c r="L87" s="126" t="s">
        <v>5191</v>
      </c>
    </row>
    <row r="88" spans="1:12" ht="15.75">
      <c r="A88" s="142">
        <v>21</v>
      </c>
      <c r="B88" s="73" t="s">
        <v>5126</v>
      </c>
      <c r="C88" s="73" t="s">
        <v>5204</v>
      </c>
      <c r="D88" s="73" t="s">
        <v>5205</v>
      </c>
      <c r="E88" s="73" t="s">
        <v>5129</v>
      </c>
      <c r="F88" s="73">
        <v>63</v>
      </c>
      <c r="G88" s="73" t="s">
        <v>60</v>
      </c>
      <c r="H88" s="73"/>
      <c r="I88" s="130" t="s">
        <v>5104</v>
      </c>
      <c r="J88" s="73" t="s">
        <v>123</v>
      </c>
      <c r="K88" s="158" t="s">
        <v>5206</v>
      </c>
      <c r="L88" s="126" t="s">
        <v>193</v>
      </c>
    </row>
    <row r="89" spans="1:12" ht="15.75">
      <c r="A89" s="142">
        <v>22</v>
      </c>
      <c r="B89" s="73" t="s">
        <v>5207</v>
      </c>
      <c r="C89" s="73" t="s">
        <v>5208</v>
      </c>
      <c r="D89" s="73"/>
      <c r="E89" s="73" t="s">
        <v>5209</v>
      </c>
      <c r="F89" s="73">
        <v>68</v>
      </c>
      <c r="G89" s="73" t="s">
        <v>60</v>
      </c>
      <c r="H89" s="73"/>
      <c r="I89" s="130" t="s">
        <v>5</v>
      </c>
      <c r="J89" s="73"/>
      <c r="K89" s="73" t="s">
        <v>5210</v>
      </c>
      <c r="L89" s="126" t="s">
        <v>5156</v>
      </c>
    </row>
    <row r="90" spans="1:12" ht="15.75">
      <c r="A90" s="142">
        <v>23</v>
      </c>
      <c r="B90" s="73" t="s">
        <v>5211</v>
      </c>
      <c r="C90" s="73" t="s">
        <v>5212</v>
      </c>
      <c r="D90" s="73"/>
      <c r="E90" s="73" t="s">
        <v>5213</v>
      </c>
      <c r="F90" s="73">
        <v>63</v>
      </c>
      <c r="G90" s="73" t="s">
        <v>75</v>
      </c>
      <c r="H90" s="73"/>
      <c r="I90" s="130" t="s">
        <v>188</v>
      </c>
      <c r="J90" s="73"/>
      <c r="K90" s="73" t="s">
        <v>5210</v>
      </c>
      <c r="L90" s="126" t="s">
        <v>5156</v>
      </c>
    </row>
    <row r="91" spans="1:12" ht="15.75">
      <c r="A91" s="142">
        <v>24</v>
      </c>
      <c r="B91" s="73" t="s">
        <v>5214</v>
      </c>
      <c r="C91" s="73" t="s">
        <v>5215</v>
      </c>
      <c r="D91" s="73"/>
      <c r="E91" s="73" t="s">
        <v>5216</v>
      </c>
      <c r="F91" s="73">
        <v>86</v>
      </c>
      <c r="G91" s="73" t="s">
        <v>60</v>
      </c>
      <c r="H91" s="73"/>
      <c r="I91" s="130" t="s">
        <v>187</v>
      </c>
      <c r="J91" s="73" t="s">
        <v>5217</v>
      </c>
      <c r="K91" s="73" t="s">
        <v>5218</v>
      </c>
      <c r="L91" s="126" t="s">
        <v>5173</v>
      </c>
    </row>
    <row r="92" spans="1:12" ht="15.75">
      <c r="A92" s="142">
        <v>25</v>
      </c>
      <c r="B92" s="73" t="s">
        <v>5219</v>
      </c>
      <c r="C92" s="73" t="s">
        <v>5220</v>
      </c>
      <c r="D92" s="73" t="s">
        <v>5221</v>
      </c>
      <c r="E92" s="73" t="s">
        <v>5222</v>
      </c>
      <c r="F92" s="73">
        <v>45</v>
      </c>
      <c r="G92" s="73" t="s">
        <v>60</v>
      </c>
      <c r="H92" s="73"/>
      <c r="I92" s="130" t="s">
        <v>188</v>
      </c>
      <c r="J92" s="73"/>
      <c r="K92" s="73" t="s">
        <v>5135</v>
      </c>
      <c r="L92" s="126" t="s">
        <v>193</v>
      </c>
    </row>
    <row r="93" spans="1:12" ht="15.75">
      <c r="A93" s="142">
        <v>26</v>
      </c>
      <c r="B93" s="73" t="s">
        <v>5144</v>
      </c>
      <c r="C93" s="73" t="s">
        <v>5223</v>
      </c>
      <c r="D93" s="73"/>
      <c r="E93" s="73" t="s">
        <v>5146</v>
      </c>
      <c r="F93" s="73">
        <v>68</v>
      </c>
      <c r="G93" s="73" t="s">
        <v>75</v>
      </c>
      <c r="H93" s="73"/>
      <c r="I93" s="130" t="s">
        <v>188</v>
      </c>
      <c r="J93" s="73" t="s">
        <v>230</v>
      </c>
      <c r="K93" s="73" t="s">
        <v>5143</v>
      </c>
      <c r="L93" s="126" t="s">
        <v>193</v>
      </c>
    </row>
    <row r="94" spans="1:12" ht="15.75">
      <c r="A94" s="142">
        <v>27</v>
      </c>
      <c r="B94" s="73" t="s">
        <v>5224</v>
      </c>
      <c r="C94" s="73" t="s">
        <v>5225</v>
      </c>
      <c r="D94" s="73"/>
      <c r="E94" s="73" t="s">
        <v>5226</v>
      </c>
      <c r="F94" s="73">
        <v>41</v>
      </c>
      <c r="G94" s="73" t="s">
        <v>75</v>
      </c>
      <c r="H94" s="73"/>
      <c r="I94" s="130" t="s">
        <v>188</v>
      </c>
      <c r="J94" s="73" t="s">
        <v>230</v>
      </c>
      <c r="K94" s="73" t="s">
        <v>5143</v>
      </c>
      <c r="L94" s="126" t="s">
        <v>193</v>
      </c>
    </row>
    <row r="95" spans="1:12" ht="15.75">
      <c r="A95" s="142">
        <v>28</v>
      </c>
      <c r="B95" s="73" t="s">
        <v>5227</v>
      </c>
      <c r="C95" s="73" t="s">
        <v>5228</v>
      </c>
      <c r="D95" s="73"/>
      <c r="E95" s="73" t="s">
        <v>5229</v>
      </c>
      <c r="F95" s="73">
        <v>52</v>
      </c>
      <c r="G95" s="73" t="s">
        <v>75</v>
      </c>
      <c r="H95" s="73"/>
      <c r="I95" s="130" t="s">
        <v>188</v>
      </c>
      <c r="J95" s="73" t="s">
        <v>230</v>
      </c>
      <c r="K95" s="73" t="s">
        <v>5143</v>
      </c>
      <c r="L95" s="126" t="s">
        <v>193</v>
      </c>
    </row>
    <row r="96" spans="1:12" ht="15.75">
      <c r="A96" s="142">
        <v>29</v>
      </c>
      <c r="B96" s="73" t="s">
        <v>5230</v>
      </c>
      <c r="C96" s="73" t="s">
        <v>5231</v>
      </c>
      <c r="D96" s="73"/>
      <c r="E96" s="73" t="s">
        <v>5232</v>
      </c>
      <c r="F96" s="73">
        <v>40</v>
      </c>
      <c r="G96" s="73" t="s">
        <v>75</v>
      </c>
      <c r="H96" s="73"/>
      <c r="I96" s="130" t="s">
        <v>188</v>
      </c>
      <c r="J96" s="73" t="s">
        <v>230</v>
      </c>
      <c r="K96" s="73"/>
      <c r="L96" s="126" t="s">
        <v>5191</v>
      </c>
    </row>
    <row r="97" spans="1:12" ht="15.75">
      <c r="A97" s="142">
        <v>30</v>
      </c>
      <c r="B97" s="73" t="s">
        <v>5233</v>
      </c>
      <c r="C97" s="73" t="s">
        <v>5234</v>
      </c>
      <c r="D97" s="73"/>
      <c r="E97" s="73" t="s">
        <v>5235</v>
      </c>
      <c r="F97" s="73">
        <v>29</v>
      </c>
      <c r="G97" s="73" t="s">
        <v>75</v>
      </c>
      <c r="H97" s="73"/>
      <c r="I97" s="130" t="s">
        <v>188</v>
      </c>
      <c r="J97" s="73" t="s">
        <v>230</v>
      </c>
      <c r="K97" s="73"/>
      <c r="L97" s="126" t="s">
        <v>5191</v>
      </c>
    </row>
    <row r="98" spans="1:12" s="155" customFormat="1" ht="15.75">
      <c r="A98" s="163">
        <v>31</v>
      </c>
      <c r="B98" s="164" t="s">
        <v>5236</v>
      </c>
      <c r="C98" s="164" t="s">
        <v>5237</v>
      </c>
      <c r="D98" s="164"/>
      <c r="E98" s="164" t="s">
        <v>4185</v>
      </c>
      <c r="F98" s="164">
        <v>47</v>
      </c>
      <c r="G98" s="164" t="s">
        <v>60</v>
      </c>
      <c r="H98" s="164"/>
      <c r="I98" s="166" t="s">
        <v>188</v>
      </c>
      <c r="J98" s="164" t="s">
        <v>230</v>
      </c>
      <c r="K98" s="164" t="s">
        <v>5125</v>
      </c>
      <c r="L98" s="167" t="s">
        <v>5173</v>
      </c>
    </row>
    <row r="99" spans="1:12" ht="15.75">
      <c r="A99" s="142">
        <v>32</v>
      </c>
      <c r="B99" s="73" t="s">
        <v>5238</v>
      </c>
      <c r="C99" s="73" t="s">
        <v>5239</v>
      </c>
      <c r="D99" s="73"/>
      <c r="E99" s="73" t="s">
        <v>5240</v>
      </c>
      <c r="F99" s="73">
        <v>74</v>
      </c>
      <c r="G99" s="73" t="s">
        <v>60</v>
      </c>
      <c r="H99" s="73"/>
      <c r="I99" s="130"/>
      <c r="J99" s="73" t="s">
        <v>348</v>
      </c>
      <c r="K99" s="73" t="s">
        <v>5125</v>
      </c>
      <c r="L99" s="126" t="s">
        <v>5173</v>
      </c>
    </row>
    <row r="100" spans="1:12" s="155" customFormat="1" ht="15.75">
      <c r="A100" s="163">
        <v>33</v>
      </c>
      <c r="B100" s="96" t="s">
        <v>5241</v>
      </c>
      <c r="C100" s="164"/>
      <c r="D100" s="164"/>
      <c r="E100" s="164"/>
      <c r="F100" s="164"/>
      <c r="G100" s="164"/>
      <c r="H100" s="164"/>
      <c r="I100" s="166"/>
      <c r="J100" s="164"/>
      <c r="K100" s="164"/>
      <c r="L100" s="167"/>
    </row>
    <row r="101" spans="1:12" s="155" customFormat="1" ht="15.75">
      <c r="A101" s="163">
        <v>34</v>
      </c>
      <c r="B101" s="96" t="s">
        <v>5242</v>
      </c>
      <c r="C101" s="164"/>
      <c r="D101" s="164"/>
      <c r="E101" s="164"/>
      <c r="F101" s="164"/>
      <c r="G101" s="164"/>
      <c r="H101" s="164"/>
      <c r="I101" s="166"/>
      <c r="J101" s="164"/>
      <c r="K101" s="164"/>
      <c r="L101" s="167"/>
    </row>
    <row r="102" spans="1:12" s="155" customFormat="1" ht="15.75">
      <c r="A102" s="163">
        <v>35</v>
      </c>
      <c r="B102" s="96" t="s">
        <v>5243</v>
      </c>
      <c r="C102" s="164"/>
      <c r="D102" s="164"/>
      <c r="E102" s="164"/>
      <c r="F102" s="164"/>
      <c r="G102" s="164"/>
      <c r="H102" s="164"/>
      <c r="I102" s="166"/>
      <c r="J102" s="164"/>
      <c r="K102" s="164"/>
      <c r="L102" s="167"/>
    </row>
    <row r="103" spans="1:12" ht="15.75">
      <c r="A103" s="142">
        <v>38</v>
      </c>
      <c r="B103" s="102"/>
      <c r="C103" s="102" t="s">
        <v>5244</v>
      </c>
      <c r="D103" s="73"/>
      <c r="E103" s="73"/>
      <c r="F103" s="73"/>
      <c r="G103" s="73"/>
      <c r="H103" s="73"/>
      <c r="I103" s="132" t="s">
        <v>188</v>
      </c>
      <c r="J103" s="73"/>
      <c r="K103" s="73"/>
      <c r="L103" s="161"/>
    </row>
    <row r="104" spans="1:12" ht="15.75">
      <c r="A104" s="142">
        <v>39</v>
      </c>
      <c r="B104" s="102"/>
      <c r="C104" s="102" t="s">
        <v>5245</v>
      </c>
      <c r="D104" s="73"/>
      <c r="E104" s="73"/>
      <c r="F104" s="73"/>
      <c r="G104" s="73"/>
      <c r="H104" s="73"/>
      <c r="I104" s="132" t="s">
        <v>188</v>
      </c>
      <c r="J104" s="73"/>
      <c r="K104" s="73"/>
      <c r="L104" s="161"/>
    </row>
    <row r="105" spans="1:12" ht="15.75">
      <c r="A105" s="142">
        <v>40</v>
      </c>
      <c r="B105" s="102"/>
      <c r="C105" s="102" t="s">
        <v>5246</v>
      </c>
      <c r="D105" s="73"/>
      <c r="E105" s="73"/>
      <c r="F105" s="73"/>
      <c r="G105" s="73"/>
      <c r="H105" s="73"/>
      <c r="I105" s="132" t="s">
        <v>188</v>
      </c>
      <c r="J105" s="73"/>
      <c r="K105" s="73"/>
      <c r="L105" s="161"/>
    </row>
    <row r="106" spans="1:12" ht="15.75">
      <c r="A106" s="142">
        <v>41</v>
      </c>
      <c r="B106" s="102"/>
      <c r="C106" s="102" t="s">
        <v>5247</v>
      </c>
      <c r="D106" s="73"/>
      <c r="E106" s="73"/>
      <c r="F106" s="73"/>
      <c r="G106" s="73"/>
      <c r="H106" s="73"/>
      <c r="I106" s="132" t="s">
        <v>188</v>
      </c>
      <c r="J106" s="73"/>
      <c r="K106" s="73"/>
      <c r="L106" s="161"/>
    </row>
    <row r="107" spans="1:12" ht="15.75">
      <c r="A107" s="142">
        <v>42</v>
      </c>
      <c r="B107" s="102"/>
      <c r="C107" s="102" t="s">
        <v>5248</v>
      </c>
      <c r="D107" s="73"/>
      <c r="E107" s="73"/>
      <c r="F107" s="73"/>
      <c r="G107" s="73"/>
      <c r="H107" s="73"/>
      <c r="I107" s="132" t="s">
        <v>5104</v>
      </c>
      <c r="J107" s="73"/>
      <c r="K107" s="73"/>
      <c r="L107" s="161"/>
    </row>
    <row r="108" spans="1:12" ht="15.75">
      <c r="A108" s="142">
        <v>43</v>
      </c>
      <c r="B108" s="102"/>
      <c r="C108" s="102" t="s">
        <v>5249</v>
      </c>
      <c r="D108" s="73"/>
      <c r="E108" s="73"/>
      <c r="F108" s="73"/>
      <c r="G108" s="73"/>
      <c r="H108" s="73"/>
      <c r="I108" s="132" t="s">
        <v>188</v>
      </c>
      <c r="J108" s="73"/>
      <c r="K108" s="73"/>
      <c r="L108" s="161"/>
    </row>
    <row r="109" spans="1:12" ht="15.75">
      <c r="A109" s="146">
        <v>44</v>
      </c>
      <c r="B109" s="103"/>
      <c r="C109" s="103" t="s">
        <v>5250</v>
      </c>
      <c r="D109" s="147"/>
      <c r="E109" s="147"/>
      <c r="F109" s="147"/>
      <c r="G109" s="147"/>
      <c r="H109" s="147"/>
      <c r="I109" s="148" t="s">
        <v>188</v>
      </c>
      <c r="J109" s="147"/>
      <c r="K109" s="147"/>
      <c r="L109" s="162"/>
    </row>
  </sheetData>
  <pageMargins left="0.7" right="0.7" top="0.75" bottom="0.75" header="0.3" footer="0.3"/>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1C541-F6BE-477F-80A3-807AF2F043C9}">
  <dimension ref="A1:L69"/>
  <sheetViews>
    <sheetView workbookViewId="0"/>
  </sheetViews>
  <sheetFormatPr defaultRowHeight="15"/>
  <cols>
    <col min="12" max="12" width="30.42578125" customWidth="1"/>
  </cols>
  <sheetData>
    <row r="1" spans="1:12">
      <c r="A1" s="76" t="s">
        <v>5251</v>
      </c>
      <c r="B1" s="76" t="s">
        <v>199</v>
      </c>
      <c r="C1" s="76" t="s">
        <v>5252</v>
      </c>
      <c r="D1" s="76" t="s">
        <v>5253</v>
      </c>
      <c r="E1" s="76" t="s">
        <v>5254</v>
      </c>
      <c r="F1" s="76" t="s">
        <v>5255</v>
      </c>
      <c r="G1" s="76" t="s">
        <v>5256</v>
      </c>
      <c r="H1" s="76" t="s">
        <v>5257</v>
      </c>
      <c r="I1" s="76" t="s">
        <v>5258</v>
      </c>
      <c r="J1" s="76" t="s">
        <v>5259</v>
      </c>
      <c r="K1" s="76" t="s">
        <v>5260</v>
      </c>
      <c r="L1" s="76" t="s">
        <v>5261</v>
      </c>
    </row>
    <row r="2" spans="1:12">
      <c r="A2" s="69" t="s">
        <v>5262</v>
      </c>
      <c r="B2" s="69">
        <v>48</v>
      </c>
      <c r="C2" s="69">
        <v>0</v>
      </c>
      <c r="D2" s="69">
        <v>0</v>
      </c>
      <c r="E2" s="69">
        <v>0</v>
      </c>
      <c r="F2" s="69">
        <v>0</v>
      </c>
      <c r="G2" s="69">
        <v>0</v>
      </c>
      <c r="H2" s="69">
        <v>0</v>
      </c>
      <c r="I2" s="69">
        <v>0</v>
      </c>
      <c r="J2" s="69">
        <v>0</v>
      </c>
      <c r="K2" s="69">
        <v>0</v>
      </c>
      <c r="L2" s="69">
        <v>0</v>
      </c>
    </row>
    <row r="3" spans="1:12">
      <c r="A3" s="69" t="s">
        <v>5263</v>
      </c>
      <c r="B3" s="69">
        <v>24</v>
      </c>
      <c r="C3" s="69">
        <v>1</v>
      </c>
      <c r="D3" s="69">
        <v>2</v>
      </c>
      <c r="E3" s="69">
        <v>0</v>
      </c>
      <c r="F3" s="69">
        <v>0</v>
      </c>
      <c r="G3" s="69">
        <v>0</v>
      </c>
      <c r="H3" s="69">
        <v>0</v>
      </c>
      <c r="I3" s="69">
        <v>0</v>
      </c>
      <c r="J3" s="69">
        <v>0</v>
      </c>
      <c r="K3" s="69">
        <v>0</v>
      </c>
      <c r="L3" s="69">
        <v>0</v>
      </c>
    </row>
    <row r="4" spans="1:12">
      <c r="A4" s="69" t="s">
        <v>5264</v>
      </c>
      <c r="B4" s="69">
        <v>62</v>
      </c>
      <c r="C4" s="69">
        <v>1</v>
      </c>
      <c r="D4" s="69">
        <v>1</v>
      </c>
      <c r="E4" s="69">
        <v>1</v>
      </c>
      <c r="F4" s="69">
        <v>3</v>
      </c>
      <c r="G4" s="69">
        <v>0</v>
      </c>
      <c r="H4" s="69">
        <v>0</v>
      </c>
      <c r="I4" s="69">
        <v>0</v>
      </c>
      <c r="J4" s="69">
        <v>0</v>
      </c>
      <c r="K4" s="69">
        <v>0</v>
      </c>
      <c r="L4" s="69">
        <v>0</v>
      </c>
    </row>
    <row r="5" spans="1:12">
      <c r="A5" s="69" t="s">
        <v>5265</v>
      </c>
      <c r="B5" s="69">
        <v>76</v>
      </c>
      <c r="C5" s="69">
        <v>1</v>
      </c>
      <c r="D5" s="69">
        <v>0</v>
      </c>
      <c r="E5" s="69">
        <v>1</v>
      </c>
      <c r="F5" s="69">
        <v>0</v>
      </c>
      <c r="G5" s="69">
        <v>3</v>
      </c>
      <c r="H5" s="69">
        <v>0</v>
      </c>
      <c r="I5" s="69">
        <v>0</v>
      </c>
      <c r="J5" s="69">
        <v>2</v>
      </c>
      <c r="K5" s="69">
        <v>1</v>
      </c>
      <c r="L5" s="69">
        <v>1</v>
      </c>
    </row>
    <row r="6" spans="1:12">
      <c r="A6" s="69" t="s">
        <v>5266</v>
      </c>
      <c r="B6" s="69">
        <v>66</v>
      </c>
      <c r="C6" s="69">
        <v>1</v>
      </c>
      <c r="D6" s="69">
        <v>1</v>
      </c>
      <c r="E6" s="69">
        <v>0</v>
      </c>
      <c r="F6" s="69">
        <v>0</v>
      </c>
      <c r="G6" s="69">
        <v>3</v>
      </c>
      <c r="H6" s="69">
        <v>0</v>
      </c>
      <c r="I6" s="69">
        <v>0</v>
      </c>
      <c r="J6" s="69">
        <v>2</v>
      </c>
      <c r="K6" s="69">
        <v>1</v>
      </c>
      <c r="L6" s="69">
        <v>1</v>
      </c>
    </row>
    <row r="7" spans="1:12">
      <c r="A7" s="69" t="s">
        <v>5267</v>
      </c>
      <c r="B7" s="69">
        <v>64</v>
      </c>
      <c r="C7" s="69">
        <v>0</v>
      </c>
      <c r="D7" s="69">
        <v>2</v>
      </c>
      <c r="E7" s="69">
        <v>1</v>
      </c>
      <c r="F7" s="69">
        <v>0</v>
      </c>
      <c r="G7" s="69">
        <v>1</v>
      </c>
      <c r="H7" s="69">
        <v>0</v>
      </c>
      <c r="I7" s="69">
        <v>0</v>
      </c>
      <c r="J7" s="69">
        <v>1</v>
      </c>
      <c r="K7" s="69">
        <v>3</v>
      </c>
      <c r="L7" s="69">
        <v>1</v>
      </c>
    </row>
    <row r="8" spans="1:12">
      <c r="A8" s="69" t="s">
        <v>5268</v>
      </c>
      <c r="B8" s="69">
        <v>54</v>
      </c>
      <c r="C8" s="69">
        <v>1</v>
      </c>
      <c r="D8" s="69" t="s">
        <v>5269</v>
      </c>
      <c r="E8" s="69">
        <v>1</v>
      </c>
      <c r="F8" s="69">
        <v>3</v>
      </c>
      <c r="G8" s="69">
        <v>0</v>
      </c>
      <c r="H8" s="69">
        <v>0</v>
      </c>
      <c r="I8" s="69">
        <v>0</v>
      </c>
      <c r="J8" s="69">
        <v>0</v>
      </c>
      <c r="K8" s="69">
        <v>0</v>
      </c>
      <c r="L8" s="69">
        <v>0</v>
      </c>
    </row>
    <row r="9" spans="1:12">
      <c r="A9" s="69" t="s">
        <v>5270</v>
      </c>
      <c r="B9" s="69">
        <v>58</v>
      </c>
      <c r="C9" s="69">
        <v>0</v>
      </c>
      <c r="D9" s="69" t="s">
        <v>5269</v>
      </c>
      <c r="E9" s="69">
        <v>0</v>
      </c>
      <c r="F9" s="69">
        <v>4</v>
      </c>
      <c r="G9" s="69">
        <v>0</v>
      </c>
      <c r="H9" s="69">
        <v>0</v>
      </c>
      <c r="I9" s="69">
        <v>0</v>
      </c>
      <c r="J9" s="69">
        <v>0</v>
      </c>
      <c r="K9" s="69">
        <v>0</v>
      </c>
      <c r="L9" s="69">
        <v>0</v>
      </c>
    </row>
    <row r="10" spans="1:12">
      <c r="A10" s="69" t="s">
        <v>5271</v>
      </c>
      <c r="B10" s="69">
        <v>81</v>
      </c>
      <c r="C10" s="69">
        <v>1</v>
      </c>
      <c r="D10" s="69" t="s">
        <v>5269</v>
      </c>
      <c r="E10" s="69">
        <v>1</v>
      </c>
      <c r="F10" s="69">
        <v>1</v>
      </c>
      <c r="G10" s="69">
        <v>0</v>
      </c>
      <c r="H10" s="69">
        <v>0</v>
      </c>
      <c r="I10" s="69">
        <v>0</v>
      </c>
      <c r="J10" s="69">
        <v>0</v>
      </c>
      <c r="K10" s="69">
        <v>0</v>
      </c>
      <c r="L10" s="69">
        <v>0</v>
      </c>
    </row>
    <row r="11" spans="1:12">
      <c r="A11" s="69" t="s">
        <v>5272</v>
      </c>
      <c r="B11" s="69">
        <v>79</v>
      </c>
      <c r="C11" s="69">
        <v>0</v>
      </c>
      <c r="D11" s="69">
        <v>0</v>
      </c>
      <c r="E11" s="69">
        <v>1</v>
      </c>
      <c r="F11" s="69">
        <v>0</v>
      </c>
      <c r="G11" s="69">
        <v>4</v>
      </c>
      <c r="H11" s="69">
        <v>1</v>
      </c>
      <c r="I11" s="69">
        <v>0</v>
      </c>
      <c r="J11" s="69">
        <v>3</v>
      </c>
      <c r="K11" s="69">
        <v>2</v>
      </c>
      <c r="L11" s="69">
        <v>1</v>
      </c>
    </row>
    <row r="12" spans="1:12">
      <c r="A12" s="69" t="s">
        <v>5273</v>
      </c>
      <c r="B12" s="69">
        <v>76</v>
      </c>
      <c r="C12" s="69">
        <v>0</v>
      </c>
      <c r="D12" s="69" t="s">
        <v>5274</v>
      </c>
      <c r="E12" s="69">
        <v>1</v>
      </c>
      <c r="F12" s="69">
        <v>0</v>
      </c>
      <c r="G12" s="69">
        <v>4</v>
      </c>
      <c r="H12" s="69">
        <v>0</v>
      </c>
      <c r="I12" s="69">
        <v>0</v>
      </c>
      <c r="J12" s="69">
        <v>2</v>
      </c>
      <c r="K12" s="69">
        <v>1</v>
      </c>
      <c r="L12" s="69">
        <v>1</v>
      </c>
    </row>
    <row r="13" spans="1:12">
      <c r="A13" s="69" t="s">
        <v>5275</v>
      </c>
      <c r="B13" s="69">
        <v>57</v>
      </c>
      <c r="C13" s="69">
        <v>1</v>
      </c>
      <c r="D13" s="69">
        <v>0</v>
      </c>
      <c r="E13" s="69">
        <v>0</v>
      </c>
      <c r="F13" s="69">
        <v>1</v>
      </c>
      <c r="G13" s="69">
        <v>3</v>
      </c>
      <c r="H13" s="69">
        <v>2</v>
      </c>
      <c r="I13" s="69">
        <v>1</v>
      </c>
      <c r="J13" s="69">
        <v>3</v>
      </c>
      <c r="K13" s="69">
        <v>1</v>
      </c>
      <c r="L13" s="69">
        <v>1</v>
      </c>
    </row>
    <row r="14" spans="1:12">
      <c r="A14" s="69" t="s">
        <v>5276</v>
      </c>
      <c r="B14" s="69">
        <v>61</v>
      </c>
      <c r="C14" s="69">
        <v>0</v>
      </c>
      <c r="D14" s="69" t="s">
        <v>5274</v>
      </c>
      <c r="E14" s="69">
        <v>1</v>
      </c>
      <c r="F14" s="69">
        <v>0</v>
      </c>
      <c r="G14" s="69">
        <v>1</v>
      </c>
      <c r="H14" s="69">
        <v>0</v>
      </c>
      <c r="I14" s="69">
        <v>0</v>
      </c>
      <c r="J14" s="69">
        <v>1</v>
      </c>
      <c r="K14" s="69">
        <v>4</v>
      </c>
      <c r="L14" s="69">
        <v>1</v>
      </c>
    </row>
    <row r="15" spans="1:12">
      <c r="A15" s="69" t="s">
        <v>5277</v>
      </c>
      <c r="B15" s="69">
        <v>74</v>
      </c>
      <c r="C15" s="69">
        <v>0</v>
      </c>
      <c r="D15" s="69">
        <v>0</v>
      </c>
      <c r="E15" s="69">
        <v>0</v>
      </c>
      <c r="F15" s="69">
        <v>0</v>
      </c>
      <c r="G15" s="69">
        <v>3</v>
      </c>
      <c r="H15" s="69">
        <v>1</v>
      </c>
      <c r="I15" s="69">
        <v>0</v>
      </c>
      <c r="J15" s="69">
        <v>3</v>
      </c>
      <c r="K15" s="69">
        <v>1</v>
      </c>
      <c r="L15" s="69">
        <v>1</v>
      </c>
    </row>
    <row r="16" spans="1:12">
      <c r="A16" s="69" t="s">
        <v>5278</v>
      </c>
      <c r="B16" s="69">
        <v>61</v>
      </c>
      <c r="C16" s="69">
        <v>0</v>
      </c>
      <c r="D16" s="69" t="s">
        <v>5274</v>
      </c>
      <c r="E16" s="69">
        <v>1</v>
      </c>
      <c r="F16" s="69">
        <v>3</v>
      </c>
      <c r="G16" s="69">
        <v>0</v>
      </c>
      <c r="H16" s="69">
        <v>0</v>
      </c>
      <c r="I16" s="69">
        <v>0</v>
      </c>
      <c r="J16" s="69">
        <v>0</v>
      </c>
      <c r="K16" s="69">
        <v>0</v>
      </c>
      <c r="L16" s="69">
        <v>0</v>
      </c>
    </row>
    <row r="17" spans="1:12">
      <c r="A17" s="69" t="s">
        <v>5279</v>
      </c>
      <c r="B17" s="69">
        <v>63</v>
      </c>
      <c r="C17" s="69">
        <v>0</v>
      </c>
      <c r="D17" s="69" t="s">
        <v>5274</v>
      </c>
      <c r="E17" s="69">
        <v>0</v>
      </c>
      <c r="F17" s="69">
        <v>1</v>
      </c>
      <c r="G17" s="69">
        <v>0</v>
      </c>
      <c r="H17" s="69">
        <v>0</v>
      </c>
      <c r="I17" s="69">
        <v>0</v>
      </c>
      <c r="J17" s="69">
        <v>0</v>
      </c>
      <c r="K17" s="69">
        <v>0</v>
      </c>
      <c r="L17" s="69">
        <v>0</v>
      </c>
    </row>
    <row r="18" spans="1:12">
      <c r="A18" s="69" t="s">
        <v>5280</v>
      </c>
      <c r="B18" s="69">
        <v>63</v>
      </c>
      <c r="C18" s="69">
        <v>1</v>
      </c>
      <c r="D18" s="69" t="s">
        <v>5274</v>
      </c>
      <c r="E18" s="69">
        <v>0</v>
      </c>
      <c r="F18" s="69">
        <v>3</v>
      </c>
      <c r="G18" s="69">
        <v>0</v>
      </c>
      <c r="H18" s="69">
        <v>0</v>
      </c>
      <c r="I18" s="69">
        <v>0</v>
      </c>
      <c r="J18" s="69">
        <v>0</v>
      </c>
      <c r="K18" s="69">
        <v>0</v>
      </c>
      <c r="L18" s="69">
        <v>0</v>
      </c>
    </row>
    <row r="19" spans="1:12">
      <c r="A19" s="69" t="s">
        <v>5281</v>
      </c>
      <c r="B19" s="69">
        <v>72</v>
      </c>
      <c r="C19" s="69">
        <v>0</v>
      </c>
      <c r="D19" s="69">
        <v>0</v>
      </c>
      <c r="E19" s="69">
        <v>0</v>
      </c>
      <c r="F19" s="69">
        <v>4</v>
      </c>
      <c r="G19" s="69">
        <v>0</v>
      </c>
      <c r="H19" s="69">
        <v>0</v>
      </c>
      <c r="I19" s="69">
        <v>0</v>
      </c>
      <c r="J19" s="69">
        <v>0</v>
      </c>
      <c r="K19" s="69">
        <v>0</v>
      </c>
      <c r="L19" s="69">
        <v>0</v>
      </c>
    </row>
    <row r="20" spans="1:12">
      <c r="A20" s="69" t="s">
        <v>5282</v>
      </c>
      <c r="B20" s="69">
        <v>58</v>
      </c>
      <c r="C20" s="69">
        <v>1</v>
      </c>
      <c r="D20" s="69" t="s">
        <v>5269</v>
      </c>
      <c r="E20" s="69">
        <v>1</v>
      </c>
      <c r="F20" s="69">
        <v>4</v>
      </c>
      <c r="G20" s="69">
        <v>0</v>
      </c>
      <c r="H20" s="69">
        <v>0</v>
      </c>
      <c r="I20" s="69">
        <v>0</v>
      </c>
      <c r="J20" s="69">
        <v>0</v>
      </c>
      <c r="K20" s="69">
        <v>0</v>
      </c>
      <c r="L20" s="69">
        <v>0</v>
      </c>
    </row>
    <row r="21" spans="1:12">
      <c r="A21" s="69" t="s">
        <v>5283</v>
      </c>
      <c r="B21" s="69">
        <v>68</v>
      </c>
      <c r="C21" s="69">
        <v>0</v>
      </c>
      <c r="D21" s="69" t="s">
        <v>5269</v>
      </c>
      <c r="E21" s="69">
        <v>0</v>
      </c>
      <c r="F21" s="69">
        <v>4</v>
      </c>
      <c r="G21" s="69">
        <v>0</v>
      </c>
      <c r="H21" s="69">
        <v>0</v>
      </c>
      <c r="I21" s="69">
        <v>0</v>
      </c>
      <c r="J21" s="69">
        <v>0</v>
      </c>
      <c r="K21" s="69">
        <v>0</v>
      </c>
      <c r="L21" s="69">
        <v>0</v>
      </c>
    </row>
    <row r="22" spans="1:12">
      <c r="A22" s="69" t="s">
        <v>5284</v>
      </c>
      <c r="B22" s="69">
        <v>75</v>
      </c>
      <c r="C22" s="69">
        <v>1</v>
      </c>
      <c r="D22" s="69">
        <v>2</v>
      </c>
      <c r="E22" s="69">
        <v>0</v>
      </c>
      <c r="F22" s="69">
        <v>4</v>
      </c>
      <c r="G22" s="69">
        <v>0</v>
      </c>
      <c r="H22" s="69">
        <v>0</v>
      </c>
      <c r="I22" s="69">
        <v>0</v>
      </c>
      <c r="J22" s="69">
        <v>0</v>
      </c>
      <c r="K22" s="69">
        <v>0</v>
      </c>
      <c r="L22" s="69">
        <v>0</v>
      </c>
    </row>
    <row r="23" spans="1:12">
      <c r="A23" s="69" t="s">
        <v>5285</v>
      </c>
      <c r="B23" s="69">
        <v>64</v>
      </c>
      <c r="C23" s="69">
        <v>0</v>
      </c>
      <c r="D23" s="69" t="s">
        <v>5274</v>
      </c>
      <c r="E23" s="69">
        <v>0</v>
      </c>
      <c r="F23" s="69">
        <v>4</v>
      </c>
      <c r="G23" s="69">
        <v>0</v>
      </c>
      <c r="H23" s="69">
        <v>0</v>
      </c>
      <c r="I23" s="69">
        <v>0</v>
      </c>
      <c r="J23" s="69">
        <v>0</v>
      </c>
      <c r="K23" s="69">
        <v>0</v>
      </c>
      <c r="L23" s="69">
        <v>0</v>
      </c>
    </row>
    <row r="24" spans="1:12">
      <c r="A24" s="69" t="s">
        <v>5286</v>
      </c>
      <c r="B24" s="69">
        <v>62</v>
      </c>
      <c r="C24" s="69">
        <v>0</v>
      </c>
      <c r="D24" s="69" t="s">
        <v>5274</v>
      </c>
      <c r="E24" s="69">
        <v>0</v>
      </c>
      <c r="F24" s="69">
        <v>4</v>
      </c>
      <c r="G24" s="69">
        <v>0</v>
      </c>
      <c r="H24" s="69">
        <v>0</v>
      </c>
      <c r="I24" s="69">
        <v>0</v>
      </c>
      <c r="J24" s="69">
        <v>0</v>
      </c>
      <c r="K24" s="69">
        <v>0</v>
      </c>
      <c r="L24" s="69">
        <v>0</v>
      </c>
    </row>
    <row r="25" spans="1:12">
      <c r="A25" s="69" t="s">
        <v>5287</v>
      </c>
      <c r="B25" s="69">
        <v>62</v>
      </c>
      <c r="C25" s="69">
        <v>1</v>
      </c>
      <c r="D25" s="69" t="s">
        <v>5269</v>
      </c>
      <c r="E25" s="69">
        <v>0</v>
      </c>
      <c r="F25" s="69">
        <v>4</v>
      </c>
      <c r="G25" s="69">
        <v>0</v>
      </c>
      <c r="H25" s="69">
        <v>0</v>
      </c>
      <c r="I25" s="69">
        <v>0</v>
      </c>
      <c r="J25" s="69">
        <v>0</v>
      </c>
      <c r="K25" s="69">
        <v>0</v>
      </c>
      <c r="L25" s="69">
        <v>0</v>
      </c>
    </row>
    <row r="26" spans="1:12">
      <c r="A26" s="69" t="s">
        <v>5288</v>
      </c>
      <c r="B26" s="69">
        <v>61</v>
      </c>
      <c r="C26" s="69">
        <v>0</v>
      </c>
      <c r="D26" s="69" t="s">
        <v>5269</v>
      </c>
      <c r="E26" s="69">
        <v>0</v>
      </c>
      <c r="F26" s="69">
        <v>4</v>
      </c>
      <c r="G26" s="69">
        <v>0</v>
      </c>
      <c r="H26" s="69">
        <v>0</v>
      </c>
      <c r="I26" s="69">
        <v>0</v>
      </c>
      <c r="J26" s="69">
        <v>0</v>
      </c>
      <c r="K26" s="69">
        <v>0</v>
      </c>
      <c r="L26" s="69">
        <v>0</v>
      </c>
    </row>
    <row r="27" spans="1:12">
      <c r="A27" s="69" t="s">
        <v>5289</v>
      </c>
      <c r="B27" s="69">
        <v>50</v>
      </c>
      <c r="C27" s="69">
        <v>1</v>
      </c>
      <c r="D27" s="69">
        <v>0</v>
      </c>
      <c r="E27" s="69">
        <v>0</v>
      </c>
      <c r="F27" s="69">
        <v>4</v>
      </c>
      <c r="G27" s="69">
        <v>0</v>
      </c>
      <c r="H27" s="69">
        <v>0</v>
      </c>
      <c r="I27" s="69">
        <v>0</v>
      </c>
      <c r="J27" s="69">
        <v>0</v>
      </c>
      <c r="K27" s="69">
        <v>0</v>
      </c>
      <c r="L27" s="69">
        <v>0</v>
      </c>
    </row>
    <row r="28" spans="1:12">
      <c r="A28" s="69" t="s">
        <v>5290</v>
      </c>
      <c r="B28" s="69">
        <v>58</v>
      </c>
      <c r="C28" s="69">
        <v>1</v>
      </c>
      <c r="D28" s="69">
        <v>0</v>
      </c>
      <c r="E28" s="69">
        <v>1</v>
      </c>
      <c r="F28" s="69">
        <v>3</v>
      </c>
      <c r="G28" s="69">
        <v>0</v>
      </c>
      <c r="H28" s="69">
        <v>0</v>
      </c>
      <c r="I28" s="69">
        <v>0</v>
      </c>
      <c r="J28" s="69">
        <v>0</v>
      </c>
      <c r="K28" s="69">
        <v>0</v>
      </c>
      <c r="L28" s="69">
        <v>0</v>
      </c>
    </row>
    <row r="29" spans="1:12">
      <c r="A29" s="69" t="s">
        <v>5291</v>
      </c>
      <c r="B29" s="69">
        <v>56</v>
      </c>
      <c r="C29" s="69">
        <v>1</v>
      </c>
      <c r="D29" s="69">
        <v>0</v>
      </c>
      <c r="E29" s="69">
        <v>1</v>
      </c>
      <c r="F29" s="69">
        <v>0</v>
      </c>
      <c r="G29" s="69">
        <v>1</v>
      </c>
      <c r="H29" s="69">
        <v>0</v>
      </c>
      <c r="I29" s="69">
        <v>0</v>
      </c>
      <c r="J29" s="69">
        <v>1</v>
      </c>
      <c r="K29" s="69">
        <v>1</v>
      </c>
      <c r="L29" s="69">
        <v>1</v>
      </c>
    </row>
    <row r="30" spans="1:12">
      <c r="A30" s="69" t="s">
        <v>5292</v>
      </c>
      <c r="B30" s="69">
        <v>62</v>
      </c>
      <c r="C30" s="69">
        <v>0</v>
      </c>
      <c r="D30" s="69">
        <v>0</v>
      </c>
      <c r="E30" s="69">
        <v>0</v>
      </c>
      <c r="F30" s="69">
        <v>4</v>
      </c>
      <c r="G30" s="69">
        <v>0</v>
      </c>
      <c r="H30" s="69">
        <v>0</v>
      </c>
      <c r="I30" s="69">
        <v>0</v>
      </c>
      <c r="J30" s="69">
        <v>0</v>
      </c>
      <c r="K30" s="69">
        <v>0</v>
      </c>
      <c r="L30" s="69">
        <v>0</v>
      </c>
    </row>
    <row r="31" spans="1:12">
      <c r="A31" s="69" t="s">
        <v>5293</v>
      </c>
      <c r="B31" s="69">
        <v>41</v>
      </c>
      <c r="C31" s="69">
        <v>1</v>
      </c>
      <c r="D31" s="69" t="s">
        <v>5269</v>
      </c>
      <c r="E31" s="69">
        <v>0</v>
      </c>
      <c r="F31" s="69">
        <v>4</v>
      </c>
      <c r="G31" s="69">
        <v>0</v>
      </c>
      <c r="H31" s="69">
        <v>0</v>
      </c>
      <c r="I31" s="69">
        <v>0</v>
      </c>
      <c r="J31" s="69">
        <v>0</v>
      </c>
      <c r="K31" s="69">
        <v>0</v>
      </c>
      <c r="L31" s="69">
        <v>0</v>
      </c>
    </row>
    <row r="32" spans="1:12">
      <c r="A32" s="69" t="s">
        <v>5294</v>
      </c>
      <c r="B32" s="69">
        <v>84</v>
      </c>
      <c r="C32" s="69">
        <v>0</v>
      </c>
      <c r="D32" s="69">
        <v>0</v>
      </c>
      <c r="E32" s="69">
        <v>0</v>
      </c>
      <c r="F32" s="69">
        <v>4</v>
      </c>
      <c r="G32" s="69">
        <v>0</v>
      </c>
      <c r="H32" s="69">
        <v>0</v>
      </c>
      <c r="I32" s="69">
        <v>0</v>
      </c>
      <c r="J32" s="69">
        <v>0</v>
      </c>
      <c r="K32" s="69">
        <v>0</v>
      </c>
      <c r="L32" s="69">
        <v>0</v>
      </c>
    </row>
    <row r="33" spans="1:12">
      <c r="A33" s="69" t="s">
        <v>5295</v>
      </c>
      <c r="B33" s="69">
        <v>53</v>
      </c>
      <c r="C33" s="69">
        <v>1</v>
      </c>
      <c r="D33" s="69" t="s">
        <v>5269</v>
      </c>
      <c r="E33" s="69">
        <v>0</v>
      </c>
      <c r="F33" s="69">
        <v>2</v>
      </c>
      <c r="G33" s="69">
        <v>0</v>
      </c>
      <c r="H33" s="69">
        <v>0</v>
      </c>
      <c r="I33" s="69">
        <v>0</v>
      </c>
      <c r="J33" s="69">
        <v>0</v>
      </c>
      <c r="K33" s="69">
        <v>0</v>
      </c>
      <c r="L33" s="69">
        <v>0</v>
      </c>
    </row>
    <row r="34" spans="1:12">
      <c r="A34" s="69" t="s">
        <v>5296</v>
      </c>
      <c r="B34" s="69">
        <v>96</v>
      </c>
      <c r="C34" s="69">
        <v>1</v>
      </c>
      <c r="D34" s="69">
        <v>0</v>
      </c>
      <c r="E34" s="69" t="e">
        <v>#NULL!</v>
      </c>
      <c r="F34" s="69">
        <v>4</v>
      </c>
      <c r="G34" s="69">
        <v>3</v>
      </c>
      <c r="H34" s="69">
        <v>0</v>
      </c>
      <c r="I34" s="69">
        <v>0</v>
      </c>
      <c r="J34" s="69">
        <v>2</v>
      </c>
      <c r="K34" s="69">
        <v>1</v>
      </c>
      <c r="L34" s="69">
        <v>1</v>
      </c>
    </row>
    <row r="35" spans="1:12">
      <c r="A35" s="69" t="s">
        <v>5297</v>
      </c>
      <c r="B35" s="69">
        <v>75</v>
      </c>
      <c r="C35" s="69">
        <v>1</v>
      </c>
      <c r="D35" s="69">
        <v>0</v>
      </c>
      <c r="E35" s="69">
        <v>0</v>
      </c>
      <c r="F35" s="69">
        <v>4</v>
      </c>
      <c r="G35" s="69">
        <v>0</v>
      </c>
      <c r="H35" s="69">
        <v>0</v>
      </c>
      <c r="I35" s="69">
        <v>0</v>
      </c>
      <c r="J35" s="69">
        <v>0</v>
      </c>
      <c r="K35" s="69">
        <v>0</v>
      </c>
      <c r="L35" s="69">
        <v>0</v>
      </c>
    </row>
    <row r="36" spans="1:12">
      <c r="A36" s="69" t="s">
        <v>5298</v>
      </c>
      <c r="B36" s="69">
        <v>71</v>
      </c>
      <c r="C36" s="69">
        <v>0</v>
      </c>
      <c r="D36" s="69">
        <v>0</v>
      </c>
      <c r="E36" s="69">
        <v>0</v>
      </c>
      <c r="F36" s="69">
        <v>4</v>
      </c>
      <c r="G36" s="69">
        <v>0</v>
      </c>
      <c r="H36" s="69">
        <v>0</v>
      </c>
      <c r="I36" s="69">
        <v>0</v>
      </c>
      <c r="J36" s="69">
        <v>0</v>
      </c>
      <c r="K36" s="69">
        <v>0</v>
      </c>
      <c r="L36" s="69">
        <v>0</v>
      </c>
    </row>
    <row r="37" spans="1:12">
      <c r="A37" s="69" t="s">
        <v>5299</v>
      </c>
      <c r="B37" s="69">
        <v>81</v>
      </c>
      <c r="C37" s="69">
        <v>0</v>
      </c>
      <c r="D37" s="69">
        <v>1</v>
      </c>
      <c r="E37" s="69">
        <v>1</v>
      </c>
      <c r="F37" s="69">
        <v>2</v>
      </c>
      <c r="G37" s="69">
        <v>0</v>
      </c>
      <c r="H37" s="69">
        <v>0</v>
      </c>
      <c r="I37" s="69">
        <v>0</v>
      </c>
      <c r="J37" s="69">
        <v>0</v>
      </c>
      <c r="K37" s="69">
        <v>0</v>
      </c>
      <c r="L37" s="69">
        <v>0</v>
      </c>
    </row>
    <row r="38" spans="1:12">
      <c r="A38" s="69" t="s">
        <v>5300</v>
      </c>
      <c r="B38" s="69">
        <v>72</v>
      </c>
      <c r="C38" s="69">
        <v>1</v>
      </c>
      <c r="D38" s="69">
        <v>0</v>
      </c>
      <c r="E38" s="69">
        <v>0</v>
      </c>
      <c r="F38" s="69">
        <v>4</v>
      </c>
      <c r="G38" s="69">
        <v>0</v>
      </c>
      <c r="H38" s="69">
        <v>0</v>
      </c>
      <c r="I38" s="69">
        <v>0</v>
      </c>
      <c r="J38" s="69">
        <v>0</v>
      </c>
      <c r="K38" s="69">
        <v>0</v>
      </c>
      <c r="L38" s="69">
        <v>0</v>
      </c>
    </row>
    <row r="39" spans="1:12">
      <c r="A39" s="69" t="s">
        <v>5301</v>
      </c>
      <c r="B39" s="69">
        <v>71</v>
      </c>
      <c r="C39" s="69">
        <v>0</v>
      </c>
      <c r="D39" s="69">
        <v>2</v>
      </c>
      <c r="E39" s="69">
        <v>0</v>
      </c>
      <c r="F39" s="69">
        <v>4</v>
      </c>
      <c r="G39" s="69">
        <v>0</v>
      </c>
      <c r="H39" s="69">
        <v>0</v>
      </c>
      <c r="I39" s="69">
        <v>0</v>
      </c>
      <c r="J39" s="69">
        <v>0</v>
      </c>
      <c r="K39" s="69">
        <v>0</v>
      </c>
      <c r="L39" s="69">
        <v>0</v>
      </c>
    </row>
    <row r="40" spans="1:12">
      <c r="A40" s="69" t="s">
        <v>5302</v>
      </c>
      <c r="B40" s="69">
        <v>44</v>
      </c>
      <c r="C40" s="69">
        <v>0</v>
      </c>
      <c r="D40" s="69">
        <v>0</v>
      </c>
      <c r="E40" s="69">
        <v>0</v>
      </c>
      <c r="F40" s="69">
        <v>0</v>
      </c>
      <c r="G40" s="69">
        <v>1</v>
      </c>
      <c r="H40" s="69">
        <v>0</v>
      </c>
      <c r="I40" s="69">
        <v>0</v>
      </c>
      <c r="J40" s="69">
        <v>1</v>
      </c>
      <c r="K40" s="69">
        <v>4</v>
      </c>
      <c r="L40" s="69">
        <v>1</v>
      </c>
    </row>
    <row r="41" spans="1:12">
      <c r="A41" s="69" t="s">
        <v>5303</v>
      </c>
      <c r="B41" s="69">
        <v>68</v>
      </c>
      <c r="C41" s="69">
        <v>1</v>
      </c>
      <c r="D41" s="69" t="s">
        <v>5269</v>
      </c>
      <c r="E41" s="69">
        <v>0</v>
      </c>
      <c r="F41" s="69">
        <v>4</v>
      </c>
      <c r="G41" s="69">
        <v>0</v>
      </c>
      <c r="H41" s="69">
        <v>0</v>
      </c>
      <c r="I41" s="69">
        <v>0</v>
      </c>
      <c r="J41" s="69">
        <v>0</v>
      </c>
      <c r="K41" s="69">
        <v>0</v>
      </c>
      <c r="L41" s="69">
        <v>0</v>
      </c>
    </row>
    <row r="42" spans="1:12">
      <c r="A42" s="69" t="s">
        <v>5304</v>
      </c>
      <c r="B42" s="69">
        <v>67</v>
      </c>
      <c r="C42" s="69">
        <v>1</v>
      </c>
      <c r="D42" s="69">
        <v>0</v>
      </c>
      <c r="E42" s="69">
        <v>1</v>
      </c>
      <c r="F42" s="69">
        <v>0</v>
      </c>
      <c r="G42" s="69">
        <v>3</v>
      </c>
      <c r="H42" s="69">
        <v>0</v>
      </c>
      <c r="I42" s="69">
        <v>0</v>
      </c>
      <c r="J42" s="69">
        <v>2</v>
      </c>
      <c r="K42" s="69">
        <v>1</v>
      </c>
      <c r="L42" s="69">
        <v>1</v>
      </c>
    </row>
    <row r="43" spans="1:12">
      <c r="A43" s="69" t="s">
        <v>5305</v>
      </c>
      <c r="B43" s="69">
        <v>81</v>
      </c>
      <c r="C43" s="69">
        <v>1</v>
      </c>
      <c r="D43" s="69" t="s">
        <v>5269</v>
      </c>
      <c r="E43" s="69">
        <v>0</v>
      </c>
      <c r="F43" s="69">
        <v>3</v>
      </c>
      <c r="G43" s="69">
        <v>0</v>
      </c>
      <c r="H43" s="69">
        <v>0</v>
      </c>
      <c r="I43" s="69">
        <v>0</v>
      </c>
      <c r="J43" s="69">
        <v>0</v>
      </c>
      <c r="K43" s="69">
        <v>0</v>
      </c>
      <c r="L43" s="69">
        <v>0</v>
      </c>
    </row>
    <row r="44" spans="1:12">
      <c r="A44" s="69" t="s">
        <v>5306</v>
      </c>
      <c r="B44" s="69">
        <v>75</v>
      </c>
      <c r="C44" s="69">
        <v>1</v>
      </c>
      <c r="D44" s="69">
        <v>0</v>
      </c>
      <c r="E44" s="69">
        <v>1</v>
      </c>
      <c r="F44" s="69">
        <v>1</v>
      </c>
      <c r="G44" s="69">
        <v>0</v>
      </c>
      <c r="H44" s="69">
        <v>0</v>
      </c>
      <c r="I44" s="69">
        <v>0</v>
      </c>
      <c r="J44" s="69">
        <v>0</v>
      </c>
      <c r="K44" s="69">
        <v>0</v>
      </c>
      <c r="L44" s="69">
        <v>0</v>
      </c>
    </row>
    <row r="45" spans="1:12">
      <c r="A45" s="69" t="s">
        <v>5307</v>
      </c>
      <c r="B45" s="69">
        <v>49</v>
      </c>
      <c r="C45" s="69">
        <v>1</v>
      </c>
      <c r="D45" s="69">
        <v>0</v>
      </c>
      <c r="E45" s="69">
        <v>0</v>
      </c>
      <c r="F45" s="69">
        <v>0</v>
      </c>
      <c r="G45" s="69">
        <v>3</v>
      </c>
      <c r="H45" s="69">
        <v>0</v>
      </c>
      <c r="I45" s="69">
        <v>0</v>
      </c>
      <c r="J45" s="69">
        <v>2</v>
      </c>
      <c r="K45" s="69">
        <v>1</v>
      </c>
      <c r="L45" s="69">
        <v>1</v>
      </c>
    </row>
    <row r="46" spans="1:12">
      <c r="A46" s="69" t="s">
        <v>5308</v>
      </c>
      <c r="B46" s="69">
        <v>53</v>
      </c>
      <c r="C46" s="69">
        <v>0</v>
      </c>
      <c r="D46" s="69">
        <v>0</v>
      </c>
      <c r="E46" s="69">
        <v>0</v>
      </c>
      <c r="F46" s="69">
        <v>4</v>
      </c>
      <c r="G46" s="69">
        <v>0</v>
      </c>
      <c r="H46" s="69">
        <v>0</v>
      </c>
      <c r="I46" s="69">
        <v>0</v>
      </c>
      <c r="J46" s="69">
        <v>0</v>
      </c>
      <c r="K46" s="69">
        <v>0</v>
      </c>
      <c r="L46" s="69">
        <v>0</v>
      </c>
    </row>
    <row r="47" spans="1:12">
      <c r="A47" s="69" t="s">
        <v>5309</v>
      </c>
      <c r="B47" s="69">
        <v>61</v>
      </c>
      <c r="C47" s="69">
        <v>1</v>
      </c>
      <c r="D47" s="69">
        <v>0</v>
      </c>
      <c r="E47" s="69">
        <v>0</v>
      </c>
      <c r="F47" s="69">
        <v>1</v>
      </c>
      <c r="G47" s="69">
        <v>0</v>
      </c>
      <c r="H47" s="69">
        <v>0</v>
      </c>
      <c r="I47" s="69">
        <v>0</v>
      </c>
      <c r="J47" s="69">
        <v>0</v>
      </c>
      <c r="K47" s="69">
        <v>0</v>
      </c>
      <c r="L47" s="69">
        <v>0</v>
      </c>
    </row>
    <row r="48" spans="1:12">
      <c r="A48" s="69" t="s">
        <v>5310</v>
      </c>
      <c r="B48" s="69">
        <v>67</v>
      </c>
      <c r="C48" s="69">
        <v>1</v>
      </c>
      <c r="D48" s="69">
        <v>2</v>
      </c>
      <c r="E48" s="69">
        <v>0</v>
      </c>
      <c r="F48" s="69">
        <v>4</v>
      </c>
      <c r="G48" s="69">
        <v>0</v>
      </c>
      <c r="H48" s="69">
        <v>0</v>
      </c>
      <c r="I48" s="69">
        <v>0</v>
      </c>
      <c r="J48" s="69">
        <v>0</v>
      </c>
      <c r="K48" s="69">
        <v>0</v>
      </c>
      <c r="L48" s="69">
        <v>0</v>
      </c>
    </row>
    <row r="49" spans="1:12">
      <c r="A49" s="69" t="s">
        <v>5311</v>
      </c>
      <c r="B49" s="69">
        <v>85</v>
      </c>
      <c r="C49" s="69">
        <v>1</v>
      </c>
      <c r="D49" s="69">
        <v>2</v>
      </c>
      <c r="E49" s="69">
        <v>0</v>
      </c>
      <c r="F49" s="69">
        <v>0</v>
      </c>
      <c r="G49" s="69">
        <v>3</v>
      </c>
      <c r="H49" s="69">
        <v>0</v>
      </c>
      <c r="I49" s="69">
        <v>0</v>
      </c>
      <c r="J49" s="69">
        <v>2</v>
      </c>
      <c r="K49" s="69">
        <v>1</v>
      </c>
      <c r="L49" s="69">
        <v>1</v>
      </c>
    </row>
    <row r="50" spans="1:12">
      <c r="A50" s="69" t="s">
        <v>5312</v>
      </c>
      <c r="B50" s="69">
        <v>67</v>
      </c>
      <c r="C50" s="69">
        <v>1</v>
      </c>
      <c r="D50" s="69">
        <v>0</v>
      </c>
      <c r="E50" s="69">
        <v>0</v>
      </c>
      <c r="F50" s="69">
        <v>0</v>
      </c>
      <c r="G50" s="69">
        <v>1</v>
      </c>
      <c r="H50" s="69">
        <v>0</v>
      </c>
      <c r="I50" s="69">
        <v>0</v>
      </c>
      <c r="J50" s="69">
        <v>1</v>
      </c>
      <c r="K50" s="69">
        <v>1</v>
      </c>
      <c r="L50" s="69">
        <v>1</v>
      </c>
    </row>
    <row r="51" spans="1:12">
      <c r="A51" s="69" t="s">
        <v>5313</v>
      </c>
      <c r="B51" s="69">
        <v>54</v>
      </c>
      <c r="C51" s="69">
        <v>0</v>
      </c>
      <c r="D51" s="69">
        <v>2</v>
      </c>
      <c r="E51" s="69">
        <v>1</v>
      </c>
      <c r="F51" s="69">
        <v>0</v>
      </c>
      <c r="G51" s="69">
        <v>3</v>
      </c>
      <c r="H51" s="69">
        <v>0</v>
      </c>
      <c r="I51" s="69">
        <v>0</v>
      </c>
      <c r="J51" s="69">
        <v>2</v>
      </c>
      <c r="K51" s="69">
        <v>1</v>
      </c>
      <c r="L51" s="69">
        <v>1</v>
      </c>
    </row>
    <row r="52" spans="1:12">
      <c r="A52" s="69" t="s">
        <v>5314</v>
      </c>
      <c r="B52" s="69">
        <v>83</v>
      </c>
      <c r="C52" s="69">
        <v>1</v>
      </c>
      <c r="D52" s="69">
        <v>1</v>
      </c>
      <c r="E52" s="69">
        <v>1</v>
      </c>
      <c r="F52" s="69">
        <v>0</v>
      </c>
      <c r="G52" s="69">
        <v>1</v>
      </c>
      <c r="H52" s="69">
        <v>0</v>
      </c>
      <c r="I52" s="69">
        <v>0</v>
      </c>
      <c r="J52" s="69">
        <v>1</v>
      </c>
      <c r="K52" s="69">
        <v>1</v>
      </c>
      <c r="L52" s="69">
        <v>1</v>
      </c>
    </row>
    <row r="53" spans="1:12">
      <c r="A53" s="69" t="s">
        <v>5315</v>
      </c>
      <c r="B53" s="69">
        <v>90</v>
      </c>
      <c r="C53" s="69">
        <v>1</v>
      </c>
      <c r="D53" s="69">
        <v>2</v>
      </c>
      <c r="E53" s="69">
        <v>0</v>
      </c>
      <c r="F53" s="69">
        <v>0</v>
      </c>
      <c r="G53" s="69">
        <v>1</v>
      </c>
      <c r="H53" s="69">
        <v>0</v>
      </c>
      <c r="I53" s="69">
        <v>0</v>
      </c>
      <c r="J53" s="69">
        <v>1</v>
      </c>
      <c r="K53" s="69">
        <v>1</v>
      </c>
      <c r="L53" s="69">
        <v>1</v>
      </c>
    </row>
    <row r="54" spans="1:12">
      <c r="A54" s="69" t="s">
        <v>5316</v>
      </c>
      <c r="B54" s="69">
        <v>65</v>
      </c>
      <c r="C54" s="69">
        <v>0</v>
      </c>
      <c r="D54" s="69">
        <v>0</v>
      </c>
      <c r="E54" s="69">
        <v>1</v>
      </c>
      <c r="F54" s="69">
        <v>0</v>
      </c>
      <c r="G54" s="69">
        <v>4</v>
      </c>
      <c r="H54" s="69">
        <v>1</v>
      </c>
      <c r="I54" s="69">
        <v>0</v>
      </c>
      <c r="J54" s="69">
        <v>3</v>
      </c>
      <c r="K54" s="69" t="e">
        <v>#NULL!</v>
      </c>
      <c r="L54" s="69">
        <v>1</v>
      </c>
    </row>
    <row r="55" spans="1:12">
      <c r="A55" s="69" t="s">
        <v>5317</v>
      </c>
      <c r="B55" s="69">
        <v>60</v>
      </c>
      <c r="C55" s="69">
        <v>1</v>
      </c>
      <c r="D55" s="69">
        <v>0</v>
      </c>
      <c r="E55" s="69">
        <v>0</v>
      </c>
      <c r="F55" s="69">
        <v>0</v>
      </c>
      <c r="G55" s="69">
        <v>1</v>
      </c>
      <c r="H55" s="69">
        <v>0</v>
      </c>
      <c r="I55" s="69">
        <v>0</v>
      </c>
      <c r="J55" s="69">
        <v>1</v>
      </c>
      <c r="K55" s="69">
        <v>1</v>
      </c>
      <c r="L55" s="69">
        <v>1</v>
      </c>
    </row>
    <row r="56" spans="1:12">
      <c r="A56" s="69" t="s">
        <v>5318</v>
      </c>
      <c r="B56" s="69">
        <v>66</v>
      </c>
      <c r="C56" s="69">
        <v>0</v>
      </c>
      <c r="D56" s="69">
        <v>0</v>
      </c>
      <c r="E56" s="69">
        <v>0</v>
      </c>
      <c r="F56" s="69">
        <v>0</v>
      </c>
      <c r="G56" s="69">
        <v>1</v>
      </c>
      <c r="H56" s="69">
        <v>0</v>
      </c>
      <c r="I56" s="69">
        <v>0</v>
      </c>
      <c r="J56" s="69">
        <v>1</v>
      </c>
      <c r="K56" s="69">
        <v>1</v>
      </c>
      <c r="L56" s="69">
        <v>1</v>
      </c>
    </row>
    <row r="57" spans="1:12">
      <c r="A57" s="69" t="s">
        <v>5319</v>
      </c>
      <c r="B57" s="69">
        <v>50</v>
      </c>
      <c r="C57" s="69">
        <v>0</v>
      </c>
      <c r="D57" s="69">
        <v>0</v>
      </c>
      <c r="E57" s="69">
        <v>0</v>
      </c>
      <c r="F57" s="69">
        <v>0</v>
      </c>
      <c r="G57" s="69">
        <v>4</v>
      </c>
      <c r="H57" s="69">
        <v>2</v>
      </c>
      <c r="I57" s="69">
        <v>1</v>
      </c>
      <c r="J57" s="69">
        <v>4</v>
      </c>
      <c r="K57" s="69">
        <v>1</v>
      </c>
      <c r="L57" s="69">
        <v>1</v>
      </c>
    </row>
    <row r="58" spans="1:12">
      <c r="A58" s="69" t="s">
        <v>5320</v>
      </c>
      <c r="B58" s="69">
        <v>54</v>
      </c>
      <c r="C58" s="69">
        <v>1</v>
      </c>
      <c r="D58" s="69" t="s">
        <v>5269</v>
      </c>
      <c r="E58" s="69">
        <v>1</v>
      </c>
      <c r="F58" s="69">
        <v>0</v>
      </c>
      <c r="G58" s="69">
        <v>3</v>
      </c>
      <c r="H58" s="69">
        <v>1</v>
      </c>
      <c r="I58" s="69">
        <v>0</v>
      </c>
      <c r="J58" s="69">
        <v>3</v>
      </c>
      <c r="K58" s="69">
        <v>1</v>
      </c>
      <c r="L58" s="69">
        <v>1</v>
      </c>
    </row>
    <row r="59" spans="1:12">
      <c r="A59" s="69" t="s">
        <v>5321</v>
      </c>
      <c r="B59" s="69">
        <v>64</v>
      </c>
      <c r="C59" s="69">
        <v>1</v>
      </c>
      <c r="D59" s="69" t="s">
        <v>5269</v>
      </c>
      <c r="E59" s="69">
        <v>0</v>
      </c>
      <c r="F59" s="69">
        <v>0</v>
      </c>
      <c r="G59" s="69">
        <v>3</v>
      </c>
      <c r="H59" s="69">
        <v>0</v>
      </c>
      <c r="I59" s="69">
        <v>0</v>
      </c>
      <c r="J59" s="69">
        <v>2</v>
      </c>
      <c r="K59" s="69">
        <v>1</v>
      </c>
      <c r="L59" s="69">
        <v>1</v>
      </c>
    </row>
    <row r="60" spans="1:12">
      <c r="A60" s="69" t="s">
        <v>5322</v>
      </c>
      <c r="B60" s="69">
        <v>70</v>
      </c>
      <c r="C60" s="69">
        <v>0</v>
      </c>
      <c r="D60" s="69" t="s">
        <v>5269</v>
      </c>
      <c r="E60" s="69">
        <v>1</v>
      </c>
      <c r="F60" s="69">
        <v>0</v>
      </c>
      <c r="G60" s="69">
        <v>2</v>
      </c>
      <c r="H60" s="69">
        <v>0</v>
      </c>
      <c r="I60" s="69">
        <v>0</v>
      </c>
      <c r="J60" s="69">
        <v>1</v>
      </c>
      <c r="K60" s="69">
        <v>1</v>
      </c>
      <c r="L60" s="69">
        <v>1</v>
      </c>
    </row>
    <row r="61" spans="1:12">
      <c r="A61" s="69" t="s">
        <v>5323</v>
      </c>
      <c r="B61" s="69">
        <v>78</v>
      </c>
      <c r="C61" s="69">
        <v>0</v>
      </c>
      <c r="D61" s="69">
        <v>1</v>
      </c>
      <c r="E61" s="69" t="e">
        <v>#NULL!</v>
      </c>
      <c r="F61" s="69">
        <v>0</v>
      </c>
      <c r="G61" s="69">
        <v>0</v>
      </c>
      <c r="H61" s="69">
        <v>0</v>
      </c>
      <c r="I61" s="69">
        <v>0</v>
      </c>
      <c r="J61" s="69">
        <v>0</v>
      </c>
      <c r="K61" s="69">
        <v>0</v>
      </c>
      <c r="L61" s="69">
        <v>0</v>
      </c>
    </row>
    <row r="62" spans="1:12">
      <c r="A62" s="69" t="s">
        <v>5324</v>
      </c>
      <c r="B62" s="69">
        <v>65</v>
      </c>
      <c r="C62" s="69">
        <v>0</v>
      </c>
      <c r="D62" s="69" t="s">
        <v>5269</v>
      </c>
      <c r="E62" s="69">
        <v>0</v>
      </c>
      <c r="F62" s="69">
        <v>0</v>
      </c>
      <c r="G62" s="69">
        <v>3</v>
      </c>
      <c r="H62" s="69">
        <v>0</v>
      </c>
      <c r="I62" s="69">
        <v>0</v>
      </c>
      <c r="J62" s="69">
        <v>2</v>
      </c>
      <c r="K62" s="69">
        <v>1</v>
      </c>
      <c r="L62" s="69">
        <v>1</v>
      </c>
    </row>
    <row r="63" spans="1:12">
      <c r="A63" s="69" t="s">
        <v>5325</v>
      </c>
      <c r="B63" s="69">
        <v>74</v>
      </c>
      <c r="C63" s="69">
        <v>1</v>
      </c>
      <c r="D63" s="69">
        <v>0</v>
      </c>
      <c r="E63" s="69">
        <v>0</v>
      </c>
      <c r="F63" s="69" t="e">
        <v>#NULL!</v>
      </c>
      <c r="G63" s="69">
        <v>1</v>
      </c>
      <c r="H63" s="69">
        <v>1</v>
      </c>
      <c r="I63" s="69">
        <v>0</v>
      </c>
      <c r="J63" s="69">
        <v>3</v>
      </c>
      <c r="K63" s="69">
        <v>1</v>
      </c>
      <c r="L63" s="69">
        <v>1</v>
      </c>
    </row>
    <row r="64" spans="1:12">
      <c r="A64" s="69" t="s">
        <v>5326</v>
      </c>
      <c r="B64" s="69">
        <v>70</v>
      </c>
      <c r="C64" s="69">
        <v>1</v>
      </c>
      <c r="D64" s="69" t="s">
        <v>5269</v>
      </c>
      <c r="E64" s="69">
        <v>1</v>
      </c>
      <c r="F64" s="69">
        <v>0</v>
      </c>
      <c r="G64" s="69">
        <v>1</v>
      </c>
      <c r="H64" s="69">
        <v>0</v>
      </c>
      <c r="I64" s="69">
        <v>0</v>
      </c>
      <c r="J64" s="69">
        <v>1</v>
      </c>
      <c r="K64" s="69">
        <v>1</v>
      </c>
      <c r="L64" s="69">
        <v>1</v>
      </c>
    </row>
    <row r="65" spans="1:12">
      <c r="A65" s="69" t="s">
        <v>5327</v>
      </c>
      <c r="B65" s="69">
        <v>83</v>
      </c>
      <c r="C65" s="69">
        <v>0</v>
      </c>
      <c r="D65" s="69">
        <v>0</v>
      </c>
      <c r="E65" s="69">
        <v>1</v>
      </c>
      <c r="F65" s="69">
        <v>1</v>
      </c>
      <c r="G65" s="69">
        <v>4</v>
      </c>
      <c r="H65" s="69">
        <v>2</v>
      </c>
      <c r="I65" s="69">
        <v>0</v>
      </c>
      <c r="J65" s="69">
        <v>3</v>
      </c>
      <c r="K65" s="69">
        <v>1</v>
      </c>
      <c r="L65" s="69">
        <v>1</v>
      </c>
    </row>
    <row r="66" spans="1:12">
      <c r="A66" s="69" t="s">
        <v>5328</v>
      </c>
      <c r="B66" s="69">
        <v>42</v>
      </c>
      <c r="C66" s="69">
        <v>0</v>
      </c>
      <c r="D66" s="69">
        <v>0</v>
      </c>
      <c r="E66" s="69">
        <v>0</v>
      </c>
      <c r="F66" s="69">
        <v>0</v>
      </c>
      <c r="G66" s="69">
        <v>2</v>
      </c>
      <c r="H66" s="69">
        <v>0</v>
      </c>
      <c r="I66" s="69">
        <v>0</v>
      </c>
      <c r="J66" s="69">
        <v>1</v>
      </c>
      <c r="K66" s="69">
        <v>1</v>
      </c>
      <c r="L66" s="69">
        <v>1</v>
      </c>
    </row>
    <row r="67" spans="1:12">
      <c r="A67" s="69" t="s">
        <v>5329</v>
      </c>
      <c r="B67" s="69">
        <v>31</v>
      </c>
      <c r="C67" s="69">
        <v>1</v>
      </c>
      <c r="D67" s="69" t="s">
        <v>5269</v>
      </c>
      <c r="E67" s="69">
        <v>0</v>
      </c>
      <c r="F67" s="69">
        <v>0</v>
      </c>
      <c r="G67" s="69">
        <v>1</v>
      </c>
      <c r="H67" s="69">
        <v>0</v>
      </c>
      <c r="I67" s="69">
        <v>0</v>
      </c>
      <c r="J67" s="69">
        <v>1</v>
      </c>
      <c r="K67" s="69">
        <v>4</v>
      </c>
      <c r="L67" s="69">
        <v>1</v>
      </c>
    </row>
    <row r="68" spans="1:12">
      <c r="D68" s="69"/>
      <c r="E68" s="69"/>
      <c r="F68" s="69"/>
      <c r="G68" s="69"/>
      <c r="H68" s="69"/>
      <c r="I68" s="69"/>
      <c r="J68" s="69"/>
      <c r="K68" s="69"/>
    </row>
    <row r="69" spans="1:12">
      <c r="D69" s="69"/>
      <c r="E69" s="69"/>
      <c r="F69" s="69"/>
      <c r="G69" s="69"/>
      <c r="H69" s="69"/>
      <c r="I69" s="69"/>
      <c r="J69" s="69"/>
      <c r="K69" s="69"/>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CE9B9-2FF5-4ADD-980D-F443F76AC360}">
  <dimension ref="A1:G102"/>
  <sheetViews>
    <sheetView workbookViewId="0">
      <selection activeCell="A2" sqref="A2"/>
    </sheetView>
  </sheetViews>
  <sheetFormatPr defaultRowHeight="15"/>
  <cols>
    <col min="5" max="5" width="24.140625" customWidth="1"/>
  </cols>
  <sheetData>
    <row r="1" spans="1:7">
      <c r="A1" s="76" t="s">
        <v>5330</v>
      </c>
      <c r="B1" s="76" t="s">
        <v>199</v>
      </c>
      <c r="C1" s="76" t="s">
        <v>5252</v>
      </c>
      <c r="D1" s="76" t="s">
        <v>5331</v>
      </c>
      <c r="E1" s="76" t="s">
        <v>5332</v>
      </c>
      <c r="F1" s="76" t="s">
        <v>5333</v>
      </c>
      <c r="G1" s="76" t="s">
        <v>3894</v>
      </c>
    </row>
    <row r="2" spans="1:7">
      <c r="A2" s="69">
        <v>9034</v>
      </c>
      <c r="B2" s="69">
        <v>70</v>
      </c>
      <c r="C2" s="69" t="s">
        <v>75</v>
      </c>
      <c r="D2" s="69" t="s">
        <v>5334</v>
      </c>
      <c r="E2" s="69" t="s">
        <v>5335</v>
      </c>
      <c r="F2" s="69" t="e">
        <v>#NULL!</v>
      </c>
      <c r="G2" s="69">
        <v>3</v>
      </c>
    </row>
    <row r="3" spans="1:7">
      <c r="A3" s="69">
        <v>9066</v>
      </c>
      <c r="B3" s="69">
        <v>77</v>
      </c>
      <c r="C3" s="69" t="s">
        <v>75</v>
      </c>
      <c r="D3" s="69" t="s">
        <v>5334</v>
      </c>
      <c r="E3" s="69" t="s">
        <v>5335</v>
      </c>
      <c r="F3" s="69" t="e">
        <v>#NULL!</v>
      </c>
      <c r="G3" s="69">
        <v>3</v>
      </c>
    </row>
    <row r="4" spans="1:7">
      <c r="A4" s="69">
        <v>9101</v>
      </c>
      <c r="B4" s="69">
        <v>83</v>
      </c>
      <c r="C4" s="69" t="s">
        <v>75</v>
      </c>
      <c r="D4" s="69" t="s">
        <v>5334</v>
      </c>
      <c r="E4" s="69" t="s">
        <v>5335</v>
      </c>
      <c r="F4" s="69" t="e">
        <v>#NULL!</v>
      </c>
      <c r="G4" s="69">
        <v>3</v>
      </c>
    </row>
    <row r="5" spans="1:7">
      <c r="A5" s="69">
        <v>9020</v>
      </c>
      <c r="B5" s="69">
        <v>58</v>
      </c>
      <c r="C5" s="69" t="s">
        <v>75</v>
      </c>
      <c r="D5" s="69" t="s">
        <v>5334</v>
      </c>
      <c r="E5" s="69" t="s">
        <v>5336</v>
      </c>
      <c r="F5" s="69">
        <v>2</v>
      </c>
      <c r="G5" s="69" t="e">
        <v>#NULL!</v>
      </c>
    </row>
    <row r="6" spans="1:7">
      <c r="A6" s="69">
        <v>9072</v>
      </c>
      <c r="B6" s="69">
        <v>63</v>
      </c>
      <c r="C6" s="69" t="s">
        <v>75</v>
      </c>
      <c r="D6" s="69" t="s">
        <v>5334</v>
      </c>
      <c r="E6" s="69" t="s">
        <v>5336</v>
      </c>
      <c r="F6" s="69">
        <v>2</v>
      </c>
      <c r="G6" s="69" t="e">
        <v>#NULL!</v>
      </c>
    </row>
    <row r="7" spans="1:7">
      <c r="A7" s="69">
        <v>9001</v>
      </c>
      <c r="B7" s="69">
        <v>45</v>
      </c>
      <c r="C7" s="69" t="s">
        <v>75</v>
      </c>
      <c r="D7" s="69" t="s">
        <v>5334</v>
      </c>
      <c r="E7" s="69" t="s">
        <v>5336</v>
      </c>
      <c r="F7" s="69">
        <v>2</v>
      </c>
      <c r="G7" s="69">
        <v>2</v>
      </c>
    </row>
    <row r="8" spans="1:7">
      <c r="A8" s="69">
        <v>9002</v>
      </c>
      <c r="B8" s="69">
        <v>62</v>
      </c>
      <c r="C8" s="69" t="s">
        <v>75</v>
      </c>
      <c r="D8" s="69" t="s">
        <v>5337</v>
      </c>
      <c r="E8" s="69" t="s">
        <v>5336</v>
      </c>
      <c r="F8" s="69">
        <v>2</v>
      </c>
      <c r="G8" s="69">
        <v>2</v>
      </c>
    </row>
    <row r="9" spans="1:7">
      <c r="A9" s="69">
        <v>9056</v>
      </c>
      <c r="B9" s="69">
        <v>73</v>
      </c>
      <c r="C9" s="69" t="s">
        <v>60</v>
      </c>
      <c r="D9" s="69" t="s">
        <v>5334</v>
      </c>
      <c r="E9" s="69" t="s">
        <v>5338</v>
      </c>
      <c r="F9" s="69">
        <v>1</v>
      </c>
      <c r="G9" s="69">
        <v>1</v>
      </c>
    </row>
    <row r="10" spans="1:7">
      <c r="A10" s="69">
        <v>9038</v>
      </c>
      <c r="B10" s="69">
        <v>89</v>
      </c>
      <c r="C10" s="69" t="s">
        <v>60</v>
      </c>
      <c r="D10" s="69" t="s">
        <v>5334</v>
      </c>
      <c r="E10" s="69" t="s">
        <v>5338</v>
      </c>
      <c r="F10" s="69">
        <v>1</v>
      </c>
      <c r="G10" s="69">
        <v>1</v>
      </c>
    </row>
    <row r="11" spans="1:7">
      <c r="A11" s="69">
        <v>9004</v>
      </c>
      <c r="B11" s="69">
        <v>63</v>
      </c>
      <c r="C11" s="69" t="s">
        <v>75</v>
      </c>
      <c r="D11" s="69" t="s">
        <v>5334</v>
      </c>
      <c r="E11" s="69" t="s">
        <v>5336</v>
      </c>
      <c r="F11" s="69">
        <v>2</v>
      </c>
      <c r="G11" s="69">
        <v>2</v>
      </c>
    </row>
    <row r="12" spans="1:7">
      <c r="A12" s="69">
        <v>9006</v>
      </c>
      <c r="B12" s="69">
        <v>53</v>
      </c>
      <c r="C12" s="69" t="s">
        <v>75</v>
      </c>
      <c r="D12" s="69" t="s">
        <v>5334</v>
      </c>
      <c r="E12" s="69" t="s">
        <v>5336</v>
      </c>
      <c r="F12" s="69">
        <v>2</v>
      </c>
      <c r="G12" s="69">
        <v>2</v>
      </c>
    </row>
    <row r="13" spans="1:7">
      <c r="A13" s="69">
        <v>9007</v>
      </c>
      <c r="B13" s="69">
        <v>56</v>
      </c>
      <c r="C13" s="69" t="s">
        <v>75</v>
      </c>
      <c r="D13" s="69" t="s">
        <v>5334</v>
      </c>
      <c r="E13" s="69" t="s">
        <v>5336</v>
      </c>
      <c r="F13" s="69">
        <v>2</v>
      </c>
      <c r="G13" s="69">
        <v>2</v>
      </c>
    </row>
    <row r="14" spans="1:7">
      <c r="A14" s="69">
        <v>9008</v>
      </c>
      <c r="B14" s="69">
        <v>63</v>
      </c>
      <c r="C14" s="69" t="s">
        <v>60</v>
      </c>
      <c r="D14" s="69" t="s">
        <v>5334</v>
      </c>
      <c r="E14" s="69" t="s">
        <v>5336</v>
      </c>
      <c r="F14" s="69">
        <v>2</v>
      </c>
      <c r="G14" s="69">
        <v>2</v>
      </c>
    </row>
    <row r="15" spans="1:7">
      <c r="A15" s="69">
        <v>9009</v>
      </c>
      <c r="B15" s="69">
        <v>70</v>
      </c>
      <c r="C15" s="69" t="s">
        <v>60</v>
      </c>
      <c r="D15" s="69" t="s">
        <v>5334</v>
      </c>
      <c r="E15" s="69" t="s">
        <v>5336</v>
      </c>
      <c r="F15" s="69">
        <v>2</v>
      </c>
      <c r="G15" s="69">
        <v>2</v>
      </c>
    </row>
    <row r="16" spans="1:7">
      <c r="A16" s="69">
        <v>9011</v>
      </c>
      <c r="B16" s="69">
        <v>51</v>
      </c>
      <c r="C16" s="69" t="s">
        <v>75</v>
      </c>
      <c r="D16" s="69" t="s">
        <v>5334</v>
      </c>
      <c r="E16" s="69" t="s">
        <v>5336</v>
      </c>
      <c r="F16" s="69">
        <v>2</v>
      </c>
      <c r="G16" s="69">
        <v>2</v>
      </c>
    </row>
    <row r="17" spans="1:7">
      <c r="A17" s="69">
        <v>9014</v>
      </c>
      <c r="B17" s="69">
        <v>65</v>
      </c>
      <c r="C17" s="69" t="s">
        <v>75</v>
      </c>
      <c r="D17" s="69" t="s">
        <v>5334</v>
      </c>
      <c r="E17" s="69" t="s">
        <v>5336</v>
      </c>
      <c r="F17" s="69">
        <v>2</v>
      </c>
      <c r="G17" s="69">
        <v>2</v>
      </c>
    </row>
    <row r="18" spans="1:7">
      <c r="A18" s="69">
        <v>9015</v>
      </c>
      <c r="B18" s="69">
        <v>61</v>
      </c>
      <c r="C18" s="69" t="s">
        <v>75</v>
      </c>
      <c r="D18" s="69" t="s">
        <v>5334</v>
      </c>
      <c r="E18" s="69" t="s">
        <v>5336</v>
      </c>
      <c r="F18" s="69">
        <v>2</v>
      </c>
      <c r="G18" s="69">
        <v>2</v>
      </c>
    </row>
    <row r="19" spans="1:7">
      <c r="A19" s="69">
        <v>9016</v>
      </c>
      <c r="B19" s="69">
        <v>55</v>
      </c>
      <c r="C19" s="69" t="s">
        <v>75</v>
      </c>
      <c r="D19" s="69" t="s">
        <v>5334</v>
      </c>
      <c r="E19" s="69" t="s">
        <v>5336</v>
      </c>
      <c r="F19" s="69">
        <v>2</v>
      </c>
      <c r="G19" s="69">
        <v>2</v>
      </c>
    </row>
    <row r="20" spans="1:7">
      <c r="A20" s="69">
        <v>9017</v>
      </c>
      <c r="B20" s="69">
        <v>73</v>
      </c>
      <c r="C20" s="69" t="s">
        <v>75</v>
      </c>
      <c r="D20" s="69" t="s">
        <v>5334</v>
      </c>
      <c r="E20" s="69" t="s">
        <v>5336</v>
      </c>
      <c r="F20" s="69">
        <v>2</v>
      </c>
      <c r="G20" s="69">
        <v>2</v>
      </c>
    </row>
    <row r="21" spans="1:7">
      <c r="A21" s="69">
        <v>9019</v>
      </c>
      <c r="B21" s="69">
        <v>40</v>
      </c>
      <c r="C21" s="69" t="s">
        <v>60</v>
      </c>
      <c r="D21" s="69" t="s">
        <v>5334</v>
      </c>
      <c r="E21" s="69" t="s">
        <v>5336</v>
      </c>
      <c r="F21" s="69">
        <v>2</v>
      </c>
      <c r="G21" s="69">
        <v>2</v>
      </c>
    </row>
    <row r="22" spans="1:7">
      <c r="A22" s="69">
        <v>9021</v>
      </c>
      <c r="B22" s="69">
        <v>75</v>
      </c>
      <c r="C22" s="69" t="s">
        <v>60</v>
      </c>
      <c r="D22" s="69" t="s">
        <v>5334</v>
      </c>
      <c r="E22" s="69" t="s">
        <v>5336</v>
      </c>
      <c r="F22" s="69">
        <v>2</v>
      </c>
      <c r="G22" s="69">
        <v>2</v>
      </c>
    </row>
    <row r="23" spans="1:7">
      <c r="A23" s="69">
        <v>9022</v>
      </c>
      <c r="B23" s="69">
        <v>57</v>
      </c>
      <c r="C23" s="69" t="s">
        <v>60</v>
      </c>
      <c r="D23" s="69" t="s">
        <v>5334</v>
      </c>
      <c r="E23" s="69" t="s">
        <v>5336</v>
      </c>
      <c r="F23" s="69">
        <v>2</v>
      </c>
      <c r="G23" s="69">
        <v>2</v>
      </c>
    </row>
    <row r="24" spans="1:7">
      <c r="A24" s="69">
        <v>9023</v>
      </c>
      <c r="B24" s="69">
        <v>59</v>
      </c>
      <c r="C24" s="69" t="s">
        <v>75</v>
      </c>
      <c r="D24" s="69" t="s">
        <v>5334</v>
      </c>
      <c r="E24" s="69" t="s">
        <v>5336</v>
      </c>
      <c r="F24" s="69">
        <v>2</v>
      </c>
      <c r="G24" s="69">
        <v>2</v>
      </c>
    </row>
    <row r="25" spans="1:7">
      <c r="A25" s="69">
        <v>9024</v>
      </c>
      <c r="B25" s="69">
        <v>81</v>
      </c>
      <c r="C25" s="69" t="s">
        <v>60</v>
      </c>
      <c r="D25" s="69" t="s">
        <v>5334</v>
      </c>
      <c r="E25" s="69" t="s">
        <v>5336</v>
      </c>
      <c r="F25" s="69">
        <v>2</v>
      </c>
      <c r="G25" s="69">
        <v>2</v>
      </c>
    </row>
    <row r="26" spans="1:7">
      <c r="A26" s="69">
        <v>9025</v>
      </c>
      <c r="B26" s="69">
        <v>65</v>
      </c>
      <c r="C26" s="69" t="s">
        <v>75</v>
      </c>
      <c r="D26" s="69" t="s">
        <v>5334</v>
      </c>
      <c r="E26" s="69" t="s">
        <v>5336</v>
      </c>
      <c r="F26" s="69">
        <v>2</v>
      </c>
      <c r="G26" s="69">
        <v>2</v>
      </c>
    </row>
    <row r="27" spans="1:7">
      <c r="A27" s="69">
        <v>9026</v>
      </c>
      <c r="B27" s="69">
        <v>60</v>
      </c>
      <c r="C27" s="69" t="s">
        <v>75</v>
      </c>
      <c r="D27" s="69" t="s">
        <v>5334</v>
      </c>
      <c r="E27" s="69" t="s">
        <v>5336</v>
      </c>
      <c r="F27" s="69">
        <v>2</v>
      </c>
      <c r="G27" s="69">
        <v>2</v>
      </c>
    </row>
    <row r="28" spans="1:7">
      <c r="A28" s="69">
        <v>9027</v>
      </c>
      <c r="B28" s="69">
        <v>70</v>
      </c>
      <c r="C28" s="69" t="s">
        <v>60</v>
      </c>
      <c r="D28" s="69" t="s">
        <v>5334</v>
      </c>
      <c r="E28" s="69" t="s">
        <v>5336</v>
      </c>
      <c r="F28" s="69">
        <v>2</v>
      </c>
      <c r="G28" s="69">
        <v>2</v>
      </c>
    </row>
    <row r="29" spans="1:7">
      <c r="A29" s="69">
        <v>9030</v>
      </c>
      <c r="B29" s="69">
        <v>60</v>
      </c>
      <c r="C29" s="69" t="s">
        <v>75</v>
      </c>
      <c r="D29" s="69" t="s">
        <v>5334</v>
      </c>
      <c r="E29" s="69" t="s">
        <v>5336</v>
      </c>
      <c r="F29" s="69">
        <v>2</v>
      </c>
      <c r="G29" s="69">
        <v>2</v>
      </c>
    </row>
    <row r="30" spans="1:7">
      <c r="A30" s="69">
        <v>9031</v>
      </c>
      <c r="B30" s="69">
        <v>78</v>
      </c>
      <c r="C30" s="69" t="s">
        <v>75</v>
      </c>
      <c r="D30" s="69" t="s">
        <v>5334</v>
      </c>
      <c r="E30" s="69" t="s">
        <v>5336</v>
      </c>
      <c r="F30" s="69">
        <v>2</v>
      </c>
      <c r="G30" s="69">
        <v>2</v>
      </c>
    </row>
    <row r="31" spans="1:7">
      <c r="A31" s="69">
        <v>9032</v>
      </c>
      <c r="B31" s="69">
        <v>52</v>
      </c>
      <c r="C31" s="69" t="s">
        <v>60</v>
      </c>
      <c r="D31" s="69" t="s">
        <v>5334</v>
      </c>
      <c r="E31" s="69" t="s">
        <v>5336</v>
      </c>
      <c r="F31" s="69">
        <v>2</v>
      </c>
      <c r="G31" s="69">
        <v>2</v>
      </c>
    </row>
    <row r="32" spans="1:7">
      <c r="A32" s="69">
        <v>9033</v>
      </c>
      <c r="B32" s="69">
        <v>61</v>
      </c>
      <c r="C32" s="69" t="s">
        <v>75</v>
      </c>
      <c r="D32" s="69" t="s">
        <v>5334</v>
      </c>
      <c r="E32" s="69" t="s">
        <v>5336</v>
      </c>
      <c r="F32" s="69">
        <v>2</v>
      </c>
      <c r="G32" s="69">
        <v>2</v>
      </c>
    </row>
    <row r="33" spans="1:7">
      <c r="A33" s="69">
        <v>9035</v>
      </c>
      <c r="B33" s="69">
        <v>44</v>
      </c>
      <c r="C33" s="69" t="s">
        <v>75</v>
      </c>
      <c r="D33" s="69" t="s">
        <v>5334</v>
      </c>
      <c r="E33" s="69" t="s">
        <v>5336</v>
      </c>
      <c r="F33" s="69">
        <v>2</v>
      </c>
      <c r="G33" s="69">
        <v>2</v>
      </c>
    </row>
    <row r="34" spans="1:7">
      <c r="A34" s="69">
        <v>9036</v>
      </c>
      <c r="B34" s="69">
        <v>59</v>
      </c>
      <c r="C34" s="69" t="s">
        <v>75</v>
      </c>
      <c r="D34" s="69" t="s">
        <v>5334</v>
      </c>
      <c r="E34" s="69" t="s">
        <v>5336</v>
      </c>
      <c r="F34" s="69">
        <v>2</v>
      </c>
      <c r="G34" s="69">
        <v>2</v>
      </c>
    </row>
    <row r="35" spans="1:7">
      <c r="A35" s="69">
        <v>9039</v>
      </c>
      <c r="B35" s="69">
        <v>53</v>
      </c>
      <c r="C35" s="69" t="s">
        <v>60</v>
      </c>
      <c r="D35" s="69" t="s">
        <v>5334</v>
      </c>
      <c r="E35" s="69" t="s">
        <v>5336</v>
      </c>
      <c r="F35" s="69">
        <v>2</v>
      </c>
      <c r="G35" s="69">
        <v>2</v>
      </c>
    </row>
    <row r="36" spans="1:7">
      <c r="A36" s="69">
        <v>9041</v>
      </c>
      <c r="B36" s="69">
        <v>50</v>
      </c>
      <c r="C36" s="69" t="s">
        <v>60</v>
      </c>
      <c r="D36" s="69" t="s">
        <v>5334</v>
      </c>
      <c r="E36" s="69" t="s">
        <v>5336</v>
      </c>
      <c r="F36" s="69">
        <v>2</v>
      </c>
      <c r="G36" s="69">
        <v>2</v>
      </c>
    </row>
    <row r="37" spans="1:7">
      <c r="A37" s="69">
        <v>9042</v>
      </c>
      <c r="B37" s="69">
        <v>45</v>
      </c>
      <c r="C37" s="69" t="s">
        <v>60</v>
      </c>
      <c r="D37" s="69" t="s">
        <v>5334</v>
      </c>
      <c r="E37" s="69" t="s">
        <v>5336</v>
      </c>
      <c r="F37" s="69">
        <v>2</v>
      </c>
      <c r="G37" s="69">
        <v>2</v>
      </c>
    </row>
    <row r="38" spans="1:7">
      <c r="A38" s="69">
        <v>9044</v>
      </c>
      <c r="B38" s="69">
        <v>55</v>
      </c>
      <c r="C38" s="69" t="s">
        <v>60</v>
      </c>
      <c r="D38" s="69" t="s">
        <v>5334</v>
      </c>
      <c r="E38" s="69" t="s">
        <v>5336</v>
      </c>
      <c r="F38" s="69">
        <v>2</v>
      </c>
      <c r="G38" s="69">
        <v>2</v>
      </c>
    </row>
    <row r="39" spans="1:7">
      <c r="A39" s="69">
        <v>9045</v>
      </c>
      <c r="B39" s="69">
        <v>64</v>
      </c>
      <c r="C39" s="69" t="s">
        <v>75</v>
      </c>
      <c r="D39" s="69" t="s">
        <v>5334</v>
      </c>
      <c r="E39" s="69" t="s">
        <v>5336</v>
      </c>
      <c r="F39" s="69">
        <v>2</v>
      </c>
      <c r="G39" s="69">
        <v>2</v>
      </c>
    </row>
    <row r="40" spans="1:7">
      <c r="A40" s="69">
        <v>9046</v>
      </c>
      <c r="B40" s="69">
        <v>82</v>
      </c>
      <c r="C40" s="69" t="s">
        <v>60</v>
      </c>
      <c r="D40" s="69" t="s">
        <v>5334</v>
      </c>
      <c r="E40" s="69" t="s">
        <v>5336</v>
      </c>
      <c r="F40" s="69">
        <v>2</v>
      </c>
      <c r="G40" s="69">
        <v>2</v>
      </c>
    </row>
    <row r="41" spans="1:7">
      <c r="A41" s="69">
        <v>9048</v>
      </c>
      <c r="B41" s="69">
        <v>57</v>
      </c>
      <c r="C41" s="69" t="s">
        <v>75</v>
      </c>
      <c r="D41" s="69" t="s">
        <v>5334</v>
      </c>
      <c r="E41" s="69" t="s">
        <v>5336</v>
      </c>
      <c r="F41" s="69">
        <v>2</v>
      </c>
      <c r="G41" s="69">
        <v>2</v>
      </c>
    </row>
    <row r="42" spans="1:7">
      <c r="A42" s="69">
        <v>9049</v>
      </c>
      <c r="B42" s="69">
        <v>69</v>
      </c>
      <c r="C42" s="69" t="s">
        <v>75</v>
      </c>
      <c r="D42" s="69" t="s">
        <v>5334</v>
      </c>
      <c r="E42" s="69" t="s">
        <v>5336</v>
      </c>
      <c r="F42" s="69">
        <v>2</v>
      </c>
      <c r="G42" s="69">
        <v>2</v>
      </c>
    </row>
    <row r="43" spans="1:7">
      <c r="A43" s="69">
        <v>9050</v>
      </c>
      <c r="B43" s="69">
        <v>60</v>
      </c>
      <c r="C43" s="69" t="s">
        <v>60</v>
      </c>
      <c r="D43" s="69" t="s">
        <v>5334</v>
      </c>
      <c r="E43" s="69" t="s">
        <v>5336</v>
      </c>
      <c r="F43" s="69">
        <v>2</v>
      </c>
      <c r="G43" s="69">
        <v>2</v>
      </c>
    </row>
    <row r="44" spans="1:7">
      <c r="A44" s="69">
        <v>9051</v>
      </c>
      <c r="B44" s="69">
        <v>84</v>
      </c>
      <c r="C44" s="69" t="s">
        <v>60</v>
      </c>
      <c r="D44" s="69" t="s">
        <v>5334</v>
      </c>
      <c r="E44" s="69" t="s">
        <v>5336</v>
      </c>
      <c r="F44" s="69">
        <v>2</v>
      </c>
      <c r="G44" s="69">
        <v>2</v>
      </c>
    </row>
    <row r="45" spans="1:7">
      <c r="A45" s="69">
        <v>9053</v>
      </c>
      <c r="B45" s="69">
        <v>78</v>
      </c>
      <c r="C45" s="69" t="s">
        <v>60</v>
      </c>
      <c r="D45" s="69" t="s">
        <v>5334</v>
      </c>
      <c r="E45" s="69" t="s">
        <v>5336</v>
      </c>
      <c r="F45" s="69">
        <v>2</v>
      </c>
      <c r="G45" s="69">
        <v>2</v>
      </c>
    </row>
    <row r="46" spans="1:7">
      <c r="A46" s="69">
        <v>9054</v>
      </c>
      <c r="B46" s="69">
        <v>78</v>
      </c>
      <c r="C46" s="69" t="s">
        <v>60</v>
      </c>
      <c r="D46" s="69" t="s">
        <v>5334</v>
      </c>
      <c r="E46" s="69" t="s">
        <v>5336</v>
      </c>
      <c r="F46" s="69">
        <v>2</v>
      </c>
      <c r="G46" s="69">
        <v>2</v>
      </c>
    </row>
    <row r="47" spans="1:7">
      <c r="A47" s="69">
        <v>9055</v>
      </c>
      <c r="B47" s="69">
        <v>63</v>
      </c>
      <c r="C47" s="69" t="s">
        <v>75</v>
      </c>
      <c r="D47" s="69" t="s">
        <v>5334</v>
      </c>
      <c r="E47" s="69" t="s">
        <v>5336</v>
      </c>
      <c r="F47" s="69">
        <v>2</v>
      </c>
      <c r="G47" s="69">
        <v>2</v>
      </c>
    </row>
    <row r="48" spans="1:7">
      <c r="A48" s="69">
        <v>9057</v>
      </c>
      <c r="B48" s="69">
        <v>59</v>
      </c>
      <c r="C48" s="69" t="s">
        <v>60</v>
      </c>
      <c r="D48" s="69" t="s">
        <v>5334</v>
      </c>
      <c r="E48" s="69" t="s">
        <v>5336</v>
      </c>
      <c r="F48" s="69">
        <v>2</v>
      </c>
      <c r="G48" s="69">
        <v>2</v>
      </c>
    </row>
    <row r="49" spans="1:7">
      <c r="A49" s="69">
        <v>9058</v>
      </c>
      <c r="B49" s="69">
        <v>72</v>
      </c>
      <c r="C49" s="69" t="s">
        <v>60</v>
      </c>
      <c r="D49" s="69" t="s">
        <v>5334</v>
      </c>
      <c r="E49" s="69" t="s">
        <v>5336</v>
      </c>
      <c r="F49" s="69">
        <v>2</v>
      </c>
      <c r="G49" s="69">
        <v>2</v>
      </c>
    </row>
    <row r="50" spans="1:7">
      <c r="A50" s="69">
        <v>9059</v>
      </c>
      <c r="B50" s="69">
        <v>76</v>
      </c>
      <c r="C50" s="69" t="s">
        <v>60</v>
      </c>
      <c r="D50" s="69" t="s">
        <v>5339</v>
      </c>
      <c r="E50" s="69" t="s">
        <v>5336</v>
      </c>
      <c r="F50" s="69">
        <v>2</v>
      </c>
      <c r="G50" s="69">
        <v>2</v>
      </c>
    </row>
    <row r="51" spans="1:7">
      <c r="A51" s="69">
        <v>9060</v>
      </c>
      <c r="B51" s="69">
        <v>74</v>
      </c>
      <c r="C51" s="69" t="s">
        <v>60</v>
      </c>
      <c r="D51" s="69" t="s">
        <v>5340</v>
      </c>
      <c r="E51" s="69" t="s">
        <v>5336</v>
      </c>
      <c r="F51" s="69">
        <v>2</v>
      </c>
      <c r="G51" s="69">
        <v>2</v>
      </c>
    </row>
    <row r="52" spans="1:7">
      <c r="A52" s="69">
        <v>9062</v>
      </c>
      <c r="B52" s="69">
        <v>71</v>
      </c>
      <c r="C52" s="69" t="s">
        <v>60</v>
      </c>
      <c r="D52" s="69" t="s">
        <v>5334</v>
      </c>
      <c r="E52" s="69" t="s">
        <v>5336</v>
      </c>
      <c r="F52" s="69">
        <v>2</v>
      </c>
      <c r="G52" s="69">
        <v>2</v>
      </c>
    </row>
    <row r="53" spans="1:7">
      <c r="A53" s="69">
        <v>9063</v>
      </c>
      <c r="B53" s="69">
        <v>50</v>
      </c>
      <c r="C53" s="69" t="s">
        <v>60</v>
      </c>
      <c r="D53" s="69" t="s">
        <v>5334</v>
      </c>
      <c r="E53" s="69" t="s">
        <v>5336</v>
      </c>
      <c r="F53" s="69">
        <v>2</v>
      </c>
      <c r="G53" s="69">
        <v>2</v>
      </c>
    </row>
    <row r="54" spans="1:7">
      <c r="A54" s="69">
        <v>9064</v>
      </c>
      <c r="B54" s="69">
        <v>68</v>
      </c>
      <c r="C54" s="69" t="s">
        <v>75</v>
      </c>
      <c r="D54" s="69" t="s">
        <v>5334</v>
      </c>
      <c r="E54" s="69" t="s">
        <v>5336</v>
      </c>
      <c r="F54" s="69">
        <v>2</v>
      </c>
      <c r="G54" s="69">
        <v>2</v>
      </c>
    </row>
    <row r="55" spans="1:7">
      <c r="A55" s="69">
        <v>9065</v>
      </c>
      <c r="B55" s="69">
        <v>71</v>
      </c>
      <c r="C55" s="69" t="s">
        <v>75</v>
      </c>
      <c r="D55" s="69" t="s">
        <v>5334</v>
      </c>
      <c r="E55" s="69" t="s">
        <v>5336</v>
      </c>
      <c r="F55" s="69">
        <v>2</v>
      </c>
      <c r="G55" s="69">
        <v>2</v>
      </c>
    </row>
    <row r="56" spans="1:7">
      <c r="A56" s="69">
        <v>9067</v>
      </c>
      <c r="B56" s="69">
        <v>76</v>
      </c>
      <c r="C56" s="69" t="s">
        <v>75</v>
      </c>
      <c r="D56" s="69" t="s">
        <v>5334</v>
      </c>
      <c r="E56" s="69" t="s">
        <v>5336</v>
      </c>
      <c r="F56" s="69">
        <v>2</v>
      </c>
      <c r="G56" s="69">
        <v>2</v>
      </c>
    </row>
    <row r="57" spans="1:7">
      <c r="A57" s="69">
        <v>9068</v>
      </c>
      <c r="B57" s="69">
        <v>48</v>
      </c>
      <c r="C57" s="69" t="s">
        <v>60</v>
      </c>
      <c r="D57" s="69" t="s">
        <v>5334</v>
      </c>
      <c r="E57" s="69" t="s">
        <v>5336</v>
      </c>
      <c r="F57" s="69">
        <v>2</v>
      </c>
      <c r="G57" s="69">
        <v>2</v>
      </c>
    </row>
    <row r="58" spans="1:7">
      <c r="A58" s="69">
        <v>9069</v>
      </c>
      <c r="B58" s="69">
        <v>68</v>
      </c>
      <c r="C58" s="69" t="s">
        <v>75</v>
      </c>
      <c r="D58" s="69" t="s">
        <v>5334</v>
      </c>
      <c r="E58" s="69" t="s">
        <v>5336</v>
      </c>
      <c r="F58" s="69">
        <v>2</v>
      </c>
      <c r="G58" s="69">
        <v>2</v>
      </c>
    </row>
    <row r="59" spans="1:7">
      <c r="A59" s="69">
        <v>9070</v>
      </c>
      <c r="B59" s="69">
        <v>77</v>
      </c>
      <c r="C59" s="69" t="s">
        <v>60</v>
      </c>
      <c r="D59" s="69" t="s">
        <v>5334</v>
      </c>
      <c r="E59" s="69" t="s">
        <v>5336</v>
      </c>
      <c r="F59" s="69">
        <v>2</v>
      </c>
      <c r="G59" s="69">
        <v>2</v>
      </c>
    </row>
    <row r="60" spans="1:7">
      <c r="A60" s="69">
        <v>9071</v>
      </c>
      <c r="B60" s="69">
        <v>43</v>
      </c>
      <c r="C60" s="69" t="s">
        <v>75</v>
      </c>
      <c r="D60" s="69" t="s">
        <v>5334</v>
      </c>
      <c r="E60" s="69" t="s">
        <v>5336</v>
      </c>
      <c r="F60" s="69">
        <v>2</v>
      </c>
      <c r="G60" s="69">
        <v>2</v>
      </c>
    </row>
    <row r="61" spans="1:7">
      <c r="A61" s="69">
        <v>9073</v>
      </c>
      <c r="B61" s="69">
        <v>77</v>
      </c>
      <c r="C61" s="69" t="s">
        <v>60</v>
      </c>
      <c r="D61" s="69" t="s">
        <v>5334</v>
      </c>
      <c r="E61" s="69" t="s">
        <v>5336</v>
      </c>
      <c r="F61" s="69">
        <v>2</v>
      </c>
      <c r="G61" s="69">
        <v>2</v>
      </c>
    </row>
    <row r="62" spans="1:7">
      <c r="A62" s="69">
        <v>9075</v>
      </c>
      <c r="B62" s="69">
        <v>59</v>
      </c>
      <c r="C62" s="69" t="s">
        <v>75</v>
      </c>
      <c r="D62" s="69" t="s">
        <v>5337</v>
      </c>
      <c r="E62" s="69" t="s">
        <v>5336</v>
      </c>
      <c r="F62" s="69">
        <v>2</v>
      </c>
      <c r="G62" s="69">
        <v>2</v>
      </c>
    </row>
    <row r="63" spans="1:7">
      <c r="A63" s="69">
        <v>9076</v>
      </c>
      <c r="B63" s="69">
        <v>63</v>
      </c>
      <c r="C63" s="69" t="s">
        <v>75</v>
      </c>
      <c r="D63" s="69" t="s">
        <v>5334</v>
      </c>
      <c r="E63" s="69" t="s">
        <v>5336</v>
      </c>
      <c r="F63" s="69">
        <v>2</v>
      </c>
      <c r="G63" s="69">
        <v>2</v>
      </c>
    </row>
    <row r="64" spans="1:7">
      <c r="A64" s="69">
        <v>9077</v>
      </c>
      <c r="B64" s="69">
        <v>75</v>
      </c>
      <c r="C64" s="69" t="s">
        <v>60</v>
      </c>
      <c r="D64" s="69" t="s">
        <v>5334</v>
      </c>
      <c r="E64" s="69" t="s">
        <v>5336</v>
      </c>
      <c r="F64" s="69">
        <v>2</v>
      </c>
      <c r="G64" s="69">
        <v>2</v>
      </c>
    </row>
    <row r="65" spans="1:7">
      <c r="A65" s="69">
        <v>9078</v>
      </c>
      <c r="B65" s="69">
        <v>66</v>
      </c>
      <c r="C65" s="69" t="s">
        <v>75</v>
      </c>
      <c r="D65" s="69" t="s">
        <v>5334</v>
      </c>
      <c r="E65" s="69" t="s">
        <v>5336</v>
      </c>
      <c r="F65" s="69">
        <v>2</v>
      </c>
      <c r="G65" s="69">
        <v>2</v>
      </c>
    </row>
    <row r="66" spans="1:7">
      <c r="A66" s="69">
        <v>9080</v>
      </c>
      <c r="B66" s="69">
        <v>75</v>
      </c>
      <c r="C66" s="69" t="s">
        <v>75</v>
      </c>
      <c r="D66" s="69" t="s">
        <v>5334</v>
      </c>
      <c r="E66" s="69" t="s">
        <v>5336</v>
      </c>
      <c r="F66" s="69">
        <v>2</v>
      </c>
      <c r="G66" s="69">
        <v>2</v>
      </c>
    </row>
    <row r="67" spans="1:7">
      <c r="A67" s="69">
        <v>9081</v>
      </c>
      <c r="B67" s="69">
        <v>69</v>
      </c>
      <c r="C67" s="69" t="s">
        <v>75</v>
      </c>
      <c r="D67" s="69" t="s">
        <v>5334</v>
      </c>
      <c r="E67" s="69" t="s">
        <v>5336</v>
      </c>
      <c r="F67" s="69">
        <v>2</v>
      </c>
      <c r="G67" s="69">
        <v>2</v>
      </c>
    </row>
    <row r="68" spans="1:7">
      <c r="A68" s="69">
        <v>9082</v>
      </c>
      <c r="B68" s="69">
        <v>70</v>
      </c>
      <c r="C68" s="69" t="s">
        <v>60</v>
      </c>
      <c r="D68" s="69" t="s">
        <v>5334</v>
      </c>
      <c r="E68" s="69" t="s">
        <v>5336</v>
      </c>
      <c r="F68" s="69">
        <v>2</v>
      </c>
      <c r="G68" s="69">
        <v>2</v>
      </c>
    </row>
    <row r="69" spans="1:7">
      <c r="A69" s="69">
        <v>9084</v>
      </c>
      <c r="B69" s="69">
        <v>74</v>
      </c>
      <c r="C69" s="69" t="s">
        <v>60</v>
      </c>
      <c r="D69" s="69" t="s">
        <v>5334</v>
      </c>
      <c r="E69" s="69" t="s">
        <v>5336</v>
      </c>
      <c r="F69" s="69">
        <v>2</v>
      </c>
      <c r="G69" s="69">
        <v>2</v>
      </c>
    </row>
    <row r="70" spans="1:7">
      <c r="A70" s="69">
        <v>9086</v>
      </c>
      <c r="B70" s="69">
        <v>66</v>
      </c>
      <c r="C70" s="69" t="s">
        <v>60</v>
      </c>
      <c r="D70" s="69" t="s">
        <v>5334</v>
      </c>
      <c r="E70" s="69" t="s">
        <v>5336</v>
      </c>
      <c r="F70" s="69">
        <v>2</v>
      </c>
      <c r="G70" s="69">
        <v>2</v>
      </c>
    </row>
    <row r="71" spans="1:7">
      <c r="A71" s="69">
        <v>9087</v>
      </c>
      <c r="B71" s="69">
        <v>56</v>
      </c>
      <c r="C71" s="69" t="s">
        <v>60</v>
      </c>
      <c r="D71" s="69" t="s">
        <v>5334</v>
      </c>
      <c r="E71" s="69" t="s">
        <v>5336</v>
      </c>
      <c r="F71" s="69">
        <v>2</v>
      </c>
      <c r="G71" s="69">
        <v>2</v>
      </c>
    </row>
    <row r="72" spans="1:7">
      <c r="A72" s="69">
        <v>9088</v>
      </c>
      <c r="B72" s="69">
        <v>63</v>
      </c>
      <c r="C72" s="69" t="s">
        <v>75</v>
      </c>
      <c r="D72" s="69" t="s">
        <v>5334</v>
      </c>
      <c r="E72" s="69" t="s">
        <v>5336</v>
      </c>
      <c r="F72" s="69">
        <v>2</v>
      </c>
      <c r="G72" s="69">
        <v>2</v>
      </c>
    </row>
    <row r="73" spans="1:7">
      <c r="A73" s="69">
        <v>9089</v>
      </c>
      <c r="B73" s="69">
        <v>71</v>
      </c>
      <c r="C73" s="69" t="s">
        <v>75</v>
      </c>
      <c r="D73" s="69" t="s">
        <v>5334</v>
      </c>
      <c r="E73" s="69" t="s">
        <v>5336</v>
      </c>
      <c r="F73" s="69">
        <v>2</v>
      </c>
      <c r="G73" s="69">
        <v>2</v>
      </c>
    </row>
    <row r="74" spans="1:7">
      <c r="A74" s="69">
        <v>9090</v>
      </c>
      <c r="B74" s="69">
        <v>70</v>
      </c>
      <c r="C74" s="69" t="s">
        <v>75</v>
      </c>
      <c r="D74" s="69" t="s">
        <v>5334</v>
      </c>
      <c r="E74" s="69" t="s">
        <v>5336</v>
      </c>
      <c r="F74" s="69">
        <v>2</v>
      </c>
      <c r="G74" s="69">
        <v>2</v>
      </c>
    </row>
    <row r="75" spans="1:7">
      <c r="A75" s="69">
        <v>9091</v>
      </c>
      <c r="B75" s="69">
        <v>63</v>
      </c>
      <c r="C75" s="69" t="s">
        <v>60</v>
      </c>
      <c r="D75" s="69" t="s">
        <v>5334</v>
      </c>
      <c r="E75" s="69" t="s">
        <v>5336</v>
      </c>
      <c r="F75" s="69">
        <v>2</v>
      </c>
      <c r="G75" s="69">
        <v>2</v>
      </c>
    </row>
    <row r="76" spans="1:7">
      <c r="A76" s="69">
        <v>9092</v>
      </c>
      <c r="B76" s="69">
        <v>48</v>
      </c>
      <c r="C76" s="69" t="s">
        <v>75</v>
      </c>
      <c r="D76" s="69" t="s">
        <v>5334</v>
      </c>
      <c r="E76" s="69" t="s">
        <v>5336</v>
      </c>
      <c r="F76" s="69">
        <v>2</v>
      </c>
      <c r="G76" s="69">
        <v>2</v>
      </c>
    </row>
    <row r="77" spans="1:7">
      <c r="A77" s="69">
        <v>9093</v>
      </c>
      <c r="B77" s="69">
        <v>66</v>
      </c>
      <c r="C77" s="69" t="s">
        <v>60</v>
      </c>
      <c r="D77" s="69" t="s">
        <v>5334</v>
      </c>
      <c r="E77" s="69" t="s">
        <v>5336</v>
      </c>
      <c r="F77" s="69">
        <v>2</v>
      </c>
      <c r="G77" s="69">
        <v>2</v>
      </c>
    </row>
    <row r="78" spans="1:7">
      <c r="A78" s="69">
        <v>9095</v>
      </c>
      <c r="B78" s="69">
        <v>42</v>
      </c>
      <c r="C78" s="69" t="s">
        <v>75</v>
      </c>
      <c r="D78" s="69" t="s">
        <v>5334</v>
      </c>
      <c r="E78" s="69" t="s">
        <v>5336</v>
      </c>
      <c r="F78" s="69">
        <v>2</v>
      </c>
      <c r="G78" s="69">
        <v>2</v>
      </c>
    </row>
    <row r="79" spans="1:7">
      <c r="A79" s="69">
        <v>9100</v>
      </c>
      <c r="B79" s="69">
        <v>77</v>
      </c>
      <c r="C79" s="69" t="s">
        <v>75</v>
      </c>
      <c r="D79" s="69" t="s">
        <v>5334</v>
      </c>
      <c r="E79" s="69" t="s">
        <v>5336</v>
      </c>
      <c r="F79" s="69">
        <v>2</v>
      </c>
      <c r="G79" s="69">
        <v>2</v>
      </c>
    </row>
    <row r="80" spans="1:7">
      <c r="A80" s="69">
        <v>9047</v>
      </c>
      <c r="B80" s="69">
        <v>80</v>
      </c>
      <c r="C80" s="69" t="s">
        <v>75</v>
      </c>
      <c r="D80" s="69" t="s">
        <v>5334</v>
      </c>
      <c r="E80" s="69" t="s">
        <v>5338</v>
      </c>
      <c r="F80" s="69">
        <v>1</v>
      </c>
      <c r="G80" s="69">
        <v>1</v>
      </c>
    </row>
    <row r="81" spans="1:7">
      <c r="A81" s="69">
        <v>9061</v>
      </c>
      <c r="B81" s="69">
        <v>72</v>
      </c>
      <c r="C81" s="69" t="s">
        <v>60</v>
      </c>
      <c r="D81" s="69" t="s">
        <v>5334</v>
      </c>
      <c r="E81" s="69" t="s">
        <v>5338</v>
      </c>
      <c r="F81" s="69">
        <v>1</v>
      </c>
      <c r="G81" s="69">
        <v>1</v>
      </c>
    </row>
    <row r="82" spans="1:7">
      <c r="A82" s="69">
        <v>9097</v>
      </c>
      <c r="B82" s="69">
        <v>63</v>
      </c>
      <c r="C82" s="69" t="s">
        <v>75</v>
      </c>
      <c r="D82" s="69" t="s">
        <v>5334</v>
      </c>
      <c r="E82" s="69" t="s">
        <v>5338</v>
      </c>
      <c r="F82" s="69">
        <v>1</v>
      </c>
      <c r="G82" s="69">
        <v>1</v>
      </c>
    </row>
    <row r="83" spans="1:7">
      <c r="A83" s="69">
        <v>9102</v>
      </c>
      <c r="B83" s="69">
        <v>75</v>
      </c>
      <c r="C83" s="69" t="s">
        <v>75</v>
      </c>
      <c r="D83" s="69" t="s">
        <v>5334</v>
      </c>
      <c r="E83" s="69" t="s">
        <v>5338</v>
      </c>
      <c r="F83" s="69">
        <v>1</v>
      </c>
      <c r="G83" s="69">
        <v>1</v>
      </c>
    </row>
    <row r="84" spans="1:7">
      <c r="A84" s="69">
        <v>9103</v>
      </c>
      <c r="B84" s="69">
        <v>81</v>
      </c>
      <c r="C84" s="69" t="s">
        <v>60</v>
      </c>
      <c r="D84" s="69" t="s">
        <v>5334</v>
      </c>
      <c r="E84" s="69" t="s">
        <v>5338</v>
      </c>
      <c r="F84" s="69">
        <v>1</v>
      </c>
      <c r="G84" s="69">
        <v>1</v>
      </c>
    </row>
    <row r="85" spans="1:7">
      <c r="A85" s="69">
        <v>9105</v>
      </c>
      <c r="B85" s="69">
        <v>60</v>
      </c>
      <c r="C85" s="69" t="s">
        <v>75</v>
      </c>
      <c r="D85" s="69" t="s">
        <v>5334</v>
      </c>
      <c r="E85" s="69" t="s">
        <v>5338</v>
      </c>
      <c r="F85" s="69">
        <v>1</v>
      </c>
      <c r="G85" s="69">
        <v>1</v>
      </c>
    </row>
    <row r="86" spans="1:7">
      <c r="A86" s="69">
        <v>9106</v>
      </c>
      <c r="B86" s="69">
        <v>72</v>
      </c>
      <c r="C86" s="69" t="s">
        <v>75</v>
      </c>
      <c r="D86" s="69" t="s">
        <v>5334</v>
      </c>
      <c r="E86" s="69" t="s">
        <v>5338</v>
      </c>
      <c r="F86" s="69">
        <v>1</v>
      </c>
      <c r="G86" s="69">
        <v>1</v>
      </c>
    </row>
    <row r="87" spans="1:7">
      <c r="A87" s="69">
        <v>9108</v>
      </c>
      <c r="B87" s="69">
        <v>63</v>
      </c>
      <c r="C87" s="69" t="s">
        <v>60</v>
      </c>
      <c r="D87" s="69" t="s">
        <v>5334</v>
      </c>
      <c r="E87" s="69" t="s">
        <v>5338</v>
      </c>
      <c r="F87" s="69">
        <v>1</v>
      </c>
      <c r="G87" s="69">
        <v>1</v>
      </c>
    </row>
    <row r="88" spans="1:7">
      <c r="A88" s="69">
        <v>9109</v>
      </c>
      <c r="B88" s="69">
        <v>67</v>
      </c>
      <c r="C88" s="69" t="s">
        <v>75</v>
      </c>
      <c r="D88" s="69" t="s">
        <v>5334</v>
      </c>
      <c r="E88" s="69" t="s">
        <v>5338</v>
      </c>
      <c r="F88" s="69">
        <v>1</v>
      </c>
      <c r="G88" s="69">
        <v>1</v>
      </c>
    </row>
    <row r="89" spans="1:7">
      <c r="A89" s="69">
        <v>9111</v>
      </c>
      <c r="B89" s="69">
        <v>42</v>
      </c>
      <c r="C89" s="69" t="s">
        <v>75</v>
      </c>
      <c r="D89" s="69" t="s">
        <v>5334</v>
      </c>
      <c r="E89" s="69" t="s">
        <v>5338</v>
      </c>
      <c r="F89" s="69">
        <v>1</v>
      </c>
      <c r="G89" s="69">
        <v>1</v>
      </c>
    </row>
    <row r="90" spans="1:7">
      <c r="A90" s="69">
        <v>9112</v>
      </c>
      <c r="B90" s="69">
        <v>73</v>
      </c>
      <c r="C90" s="69" t="s">
        <v>75</v>
      </c>
      <c r="D90" s="69" t="s">
        <v>5334</v>
      </c>
      <c r="E90" s="69" t="s">
        <v>5338</v>
      </c>
      <c r="F90" s="69">
        <v>1</v>
      </c>
      <c r="G90" s="69">
        <v>1</v>
      </c>
    </row>
    <row r="91" spans="1:7">
      <c r="A91" s="69">
        <v>9113</v>
      </c>
      <c r="B91" s="69">
        <v>73</v>
      </c>
      <c r="C91" s="69" t="s">
        <v>75</v>
      </c>
      <c r="D91" s="69" t="s">
        <v>5334</v>
      </c>
      <c r="E91" s="69" t="s">
        <v>5338</v>
      </c>
      <c r="F91" s="69">
        <v>1</v>
      </c>
      <c r="G91" s="69">
        <v>1</v>
      </c>
    </row>
    <row r="92" spans="1:7">
      <c r="A92" s="69">
        <v>9079</v>
      </c>
      <c r="B92" s="69">
        <v>70</v>
      </c>
      <c r="C92" s="69" t="s">
        <v>75</v>
      </c>
      <c r="D92" s="69" t="s">
        <v>5334</v>
      </c>
      <c r="E92" s="69" t="s">
        <v>5338</v>
      </c>
      <c r="F92" s="69">
        <v>1</v>
      </c>
      <c r="G92" s="69">
        <v>1</v>
      </c>
    </row>
    <row r="93" spans="1:7">
      <c r="A93" s="69">
        <v>9085</v>
      </c>
      <c r="B93" s="69">
        <v>86</v>
      </c>
      <c r="C93" s="69" t="s">
        <v>75</v>
      </c>
      <c r="D93" s="69" t="s">
        <v>5334</v>
      </c>
      <c r="E93" s="69" t="s">
        <v>5338</v>
      </c>
      <c r="F93" s="69">
        <v>1</v>
      </c>
      <c r="G93" s="69">
        <v>1</v>
      </c>
    </row>
    <row r="94" spans="1:7">
      <c r="A94" s="69">
        <v>9114</v>
      </c>
      <c r="B94" s="69">
        <v>55</v>
      </c>
      <c r="C94" s="69" t="s">
        <v>60</v>
      </c>
      <c r="D94" s="69" t="s">
        <v>5334</v>
      </c>
      <c r="E94" s="69" t="s">
        <v>5338</v>
      </c>
      <c r="F94" s="69">
        <v>1</v>
      </c>
      <c r="G94" s="69">
        <v>1</v>
      </c>
    </row>
    <row r="95" spans="1:7">
      <c r="A95" s="69">
        <v>9116</v>
      </c>
      <c r="B95" s="69">
        <v>79</v>
      </c>
      <c r="C95" s="69" t="s">
        <v>75</v>
      </c>
      <c r="D95" s="69" t="s">
        <v>5334</v>
      </c>
      <c r="E95" s="69" t="s">
        <v>5338</v>
      </c>
      <c r="F95" s="69">
        <v>1</v>
      </c>
      <c r="G95" s="69">
        <v>1</v>
      </c>
    </row>
    <row r="96" spans="1:7">
      <c r="A96" s="69">
        <v>9094</v>
      </c>
      <c r="B96" s="69">
        <v>62</v>
      </c>
      <c r="C96" s="69" t="s">
        <v>75</v>
      </c>
      <c r="D96" s="69" t="s">
        <v>5334</v>
      </c>
      <c r="E96" s="69" t="s">
        <v>5338</v>
      </c>
      <c r="F96" s="69">
        <v>1</v>
      </c>
      <c r="G96" s="69">
        <v>1</v>
      </c>
    </row>
    <row r="97" spans="1:7">
      <c r="A97" s="69">
        <v>9096</v>
      </c>
      <c r="B97" s="69">
        <v>70</v>
      </c>
      <c r="C97" s="69" t="s">
        <v>75</v>
      </c>
      <c r="D97" s="69" t="s">
        <v>5334</v>
      </c>
      <c r="E97" s="69" t="s">
        <v>5338</v>
      </c>
      <c r="F97" s="69">
        <v>1</v>
      </c>
      <c r="G97" s="69">
        <v>1</v>
      </c>
    </row>
    <row r="98" spans="1:7">
      <c r="A98" s="69">
        <v>9098</v>
      </c>
      <c r="B98" s="69">
        <v>64</v>
      </c>
      <c r="C98" s="69" t="s">
        <v>60</v>
      </c>
      <c r="D98" s="69" t="s">
        <v>5334</v>
      </c>
      <c r="E98" s="69" t="s">
        <v>5338</v>
      </c>
      <c r="F98" s="69">
        <v>1</v>
      </c>
      <c r="G98" s="69">
        <v>1</v>
      </c>
    </row>
    <row r="99" spans="1:7">
      <c r="A99" s="69">
        <v>9099</v>
      </c>
      <c r="B99" s="69">
        <v>78</v>
      </c>
      <c r="C99" s="69" t="s">
        <v>60</v>
      </c>
      <c r="D99" s="69" t="s">
        <v>5334</v>
      </c>
      <c r="E99" s="69" t="s">
        <v>5338</v>
      </c>
      <c r="F99" s="69">
        <v>1</v>
      </c>
      <c r="G99" s="69">
        <v>1</v>
      </c>
    </row>
    <row r="100" spans="1:7">
      <c r="A100" s="69">
        <v>9104</v>
      </c>
      <c r="B100" s="69">
        <v>79</v>
      </c>
      <c r="C100" s="69" t="s">
        <v>60</v>
      </c>
      <c r="D100" s="69" t="s">
        <v>5334</v>
      </c>
      <c r="E100" s="69" t="s">
        <v>5338</v>
      </c>
      <c r="F100" s="69">
        <v>1</v>
      </c>
      <c r="G100" s="69">
        <v>1</v>
      </c>
    </row>
    <row r="101" spans="1:7">
      <c r="A101" s="69">
        <v>9107</v>
      </c>
      <c r="B101" s="69">
        <v>58</v>
      </c>
      <c r="C101" s="69" t="s">
        <v>60</v>
      </c>
      <c r="D101" s="69" t="s">
        <v>5334</v>
      </c>
      <c r="E101" s="69" t="s">
        <v>5338</v>
      </c>
      <c r="F101" s="69">
        <v>1</v>
      </c>
      <c r="G101" s="69">
        <v>1</v>
      </c>
    </row>
    <row r="102" spans="1:7">
      <c r="A102" s="69">
        <v>9115</v>
      </c>
      <c r="B102" s="69">
        <v>67</v>
      </c>
      <c r="C102" s="69" t="s">
        <v>60</v>
      </c>
      <c r="D102" s="69" t="s">
        <v>5334</v>
      </c>
      <c r="E102" s="69" t="s">
        <v>5338</v>
      </c>
      <c r="F102" s="69">
        <v>1</v>
      </c>
      <c r="G102" s="69">
        <v>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20F78-160D-4C24-B0D8-49DF1CA96FD6}">
  <dimension ref="A1:N883"/>
  <sheetViews>
    <sheetView topLeftCell="A42" workbookViewId="0">
      <selection activeCell="D12" sqref="D12"/>
    </sheetView>
  </sheetViews>
  <sheetFormatPr defaultRowHeight="15"/>
  <cols>
    <col min="1" max="1" width="17.85546875" customWidth="1"/>
    <col min="2" max="2" width="17.140625" customWidth="1"/>
    <col min="4" max="4" width="28.28515625" customWidth="1"/>
    <col min="5" max="5" width="24.140625" customWidth="1"/>
    <col min="6" max="6" width="27.7109375" customWidth="1"/>
  </cols>
  <sheetData>
    <row r="1" spans="1:14" ht="18.75">
      <c r="A1" s="15" t="s">
        <v>293</v>
      </c>
      <c r="B1" s="311" t="s">
        <v>18</v>
      </c>
      <c r="C1" s="174" t="s">
        <v>4833</v>
      </c>
      <c r="D1" s="174" t="s">
        <v>39</v>
      </c>
      <c r="E1" s="174">
        <v>0</v>
      </c>
      <c r="F1" s="15" t="s">
        <v>294</v>
      </c>
      <c r="G1" s="174"/>
      <c r="H1" s="174"/>
      <c r="I1" s="174"/>
      <c r="J1" s="175" t="s">
        <v>197</v>
      </c>
      <c r="K1" s="176" t="s">
        <v>5341</v>
      </c>
      <c r="L1" s="176" t="s">
        <v>5342</v>
      </c>
      <c r="M1" s="176" t="s">
        <v>4877</v>
      </c>
      <c r="N1" s="177" t="s">
        <v>5343</v>
      </c>
    </row>
    <row r="2" spans="1:14" ht="19.5">
      <c r="A2" s="186" t="s">
        <v>4448</v>
      </c>
      <c r="B2" s="188" t="s">
        <v>15</v>
      </c>
      <c r="C2" s="174" t="s">
        <v>4833</v>
      </c>
      <c r="D2" s="174" t="s">
        <v>39</v>
      </c>
      <c r="E2" s="174">
        <v>0</v>
      </c>
      <c r="F2" s="186" t="s">
        <v>437</v>
      </c>
      <c r="G2" s="174"/>
      <c r="H2" s="174"/>
      <c r="I2" s="174"/>
      <c r="J2" s="180" t="s">
        <v>5344</v>
      </c>
      <c r="K2" s="181" t="s">
        <v>4833</v>
      </c>
      <c r="L2" s="181" t="s">
        <v>39</v>
      </c>
      <c r="M2" s="181" t="s">
        <v>231</v>
      </c>
      <c r="N2" s="182" t="s">
        <v>231</v>
      </c>
    </row>
    <row r="3" spans="1:14" ht="19.5">
      <c r="A3" s="186" t="s">
        <v>4452</v>
      </c>
      <c r="B3" s="188" t="s">
        <v>188</v>
      </c>
      <c r="C3" s="174" t="s">
        <v>4833</v>
      </c>
      <c r="D3" s="174" t="s">
        <v>39</v>
      </c>
      <c r="E3" s="174">
        <v>0</v>
      </c>
      <c r="F3" s="186" t="s">
        <v>3615</v>
      </c>
      <c r="G3" s="174"/>
      <c r="H3" s="174"/>
      <c r="I3" s="174"/>
      <c r="J3" s="180" t="s">
        <v>5345</v>
      </c>
      <c r="K3" s="181" t="s">
        <v>3894</v>
      </c>
      <c r="L3" s="181" t="s">
        <v>5346</v>
      </c>
      <c r="M3" s="181" t="s">
        <v>97</v>
      </c>
      <c r="N3" s="182" t="s">
        <v>5347</v>
      </c>
    </row>
    <row r="4" spans="1:14" ht="19.5">
      <c r="A4" s="186" t="s">
        <v>355</v>
      </c>
      <c r="B4" s="188" t="s">
        <v>188</v>
      </c>
      <c r="C4" s="174" t="s">
        <v>3894</v>
      </c>
      <c r="D4" s="174" t="s">
        <v>15</v>
      </c>
      <c r="E4" s="174" t="s">
        <v>114</v>
      </c>
      <c r="F4" s="186" t="s">
        <v>356</v>
      </c>
      <c r="G4" s="174"/>
      <c r="H4" s="174"/>
      <c r="I4" s="174"/>
      <c r="J4" s="180" t="s">
        <v>5348</v>
      </c>
      <c r="K4" s="181" t="s">
        <v>4833</v>
      </c>
      <c r="L4" s="181" t="s">
        <v>39</v>
      </c>
      <c r="M4" s="181" t="s">
        <v>231</v>
      </c>
      <c r="N4" s="182" t="s">
        <v>231</v>
      </c>
    </row>
    <row r="5" spans="1:14" ht="19.5">
      <c r="A5" s="186" t="s">
        <v>4463</v>
      </c>
      <c r="B5" s="188" t="s">
        <v>188</v>
      </c>
      <c r="C5" s="174" t="s">
        <v>3894</v>
      </c>
      <c r="D5" s="174" t="s">
        <v>15</v>
      </c>
      <c r="E5" s="174" t="s">
        <v>159</v>
      </c>
      <c r="F5" s="186" t="s">
        <v>3743</v>
      </c>
      <c r="G5" s="174"/>
      <c r="H5" s="174"/>
      <c r="I5" s="174"/>
      <c r="J5" s="180" t="s">
        <v>4439</v>
      </c>
      <c r="K5" s="181" t="s">
        <v>4833</v>
      </c>
      <c r="L5" s="181" t="s">
        <v>39</v>
      </c>
      <c r="M5" s="181" t="s">
        <v>231</v>
      </c>
      <c r="N5" s="182" t="s">
        <v>231</v>
      </c>
    </row>
    <row r="6" spans="1:14" ht="19.5">
      <c r="A6" s="186" t="s">
        <v>375</v>
      </c>
      <c r="B6" s="188" t="s">
        <v>18</v>
      </c>
      <c r="C6" s="174" t="s">
        <v>4833</v>
      </c>
      <c r="D6" s="174" t="s">
        <v>39</v>
      </c>
      <c r="E6" s="174">
        <v>0</v>
      </c>
      <c r="F6" s="186" t="s">
        <v>376</v>
      </c>
      <c r="G6" s="174"/>
      <c r="H6" s="174"/>
      <c r="I6" s="174"/>
      <c r="J6" s="180" t="s">
        <v>239</v>
      </c>
      <c r="K6" s="181" t="s">
        <v>4833</v>
      </c>
      <c r="L6" s="181" t="s">
        <v>39</v>
      </c>
      <c r="M6" s="181" t="s">
        <v>231</v>
      </c>
      <c r="N6" s="182" t="s">
        <v>231</v>
      </c>
    </row>
    <row r="7" spans="1:14" ht="22.5" customHeight="1">
      <c r="A7" s="186" t="s">
        <v>523</v>
      </c>
      <c r="B7" s="188" t="s">
        <v>188</v>
      </c>
      <c r="C7" s="174" t="s">
        <v>3894</v>
      </c>
      <c r="D7" s="174" t="s">
        <v>5349</v>
      </c>
      <c r="E7" s="174" t="s">
        <v>147</v>
      </c>
      <c r="F7" s="186" t="s">
        <v>524</v>
      </c>
      <c r="G7" s="174"/>
      <c r="H7" s="174"/>
      <c r="I7" s="174"/>
      <c r="J7" s="180" t="s">
        <v>244</v>
      </c>
      <c r="K7" s="181" t="s">
        <v>4833</v>
      </c>
      <c r="L7" s="181" t="s">
        <v>39</v>
      </c>
      <c r="M7" s="181" t="s">
        <v>231</v>
      </c>
      <c r="N7" s="182" t="s">
        <v>231</v>
      </c>
    </row>
    <row r="8" spans="1:14" ht="19.5">
      <c r="A8" s="183" t="s">
        <v>582</v>
      </c>
      <c r="B8" s="184" t="s">
        <v>188</v>
      </c>
      <c r="C8" s="185" t="s">
        <v>3894</v>
      </c>
      <c r="D8" s="185">
        <v>0</v>
      </c>
      <c r="E8" s="185" t="s">
        <v>586</v>
      </c>
      <c r="F8" s="183" t="s">
        <v>583</v>
      </c>
      <c r="G8" s="174"/>
      <c r="H8" s="174"/>
      <c r="I8" s="174"/>
      <c r="J8" s="180" t="s">
        <v>250</v>
      </c>
      <c r="K8" s="181" t="s">
        <v>4833</v>
      </c>
      <c r="L8" s="181" t="s">
        <v>39</v>
      </c>
      <c r="M8" s="181" t="s">
        <v>231</v>
      </c>
      <c r="N8" s="182" t="s">
        <v>231</v>
      </c>
    </row>
    <row r="9" spans="1:14" ht="19.5">
      <c r="A9" s="199" t="s">
        <v>820</v>
      </c>
      <c r="B9" s="188" t="s">
        <v>18</v>
      </c>
      <c r="C9" s="174" t="e">
        <v>#N/A</v>
      </c>
      <c r="D9" s="174" t="e">
        <v>#N/A</v>
      </c>
      <c r="E9" s="174" t="e">
        <v>#N/A</v>
      </c>
      <c r="F9" s="186" t="s">
        <v>821</v>
      </c>
      <c r="G9" s="174"/>
      <c r="H9" s="174"/>
      <c r="I9" s="174"/>
      <c r="J9" s="180" t="s">
        <v>1307</v>
      </c>
      <c r="K9" s="181" t="s">
        <v>3894</v>
      </c>
      <c r="L9" s="181" t="s">
        <v>4</v>
      </c>
      <c r="M9" s="181" t="s">
        <v>1310</v>
      </c>
      <c r="N9" s="182" t="s">
        <v>4</v>
      </c>
    </row>
    <row r="10" spans="1:14" ht="19.5">
      <c r="A10" s="197" t="s">
        <v>866</v>
      </c>
      <c r="B10" s="188" t="s">
        <v>3</v>
      </c>
      <c r="C10" s="174" t="s">
        <v>3894</v>
      </c>
      <c r="D10" s="174" t="s">
        <v>4</v>
      </c>
      <c r="E10" s="174" t="s">
        <v>123</v>
      </c>
      <c r="F10" s="186" t="s">
        <v>867</v>
      </c>
      <c r="G10" s="174"/>
      <c r="H10" s="174"/>
      <c r="I10" s="174"/>
      <c r="J10" s="180" t="s">
        <v>256</v>
      </c>
      <c r="K10" s="181" t="s">
        <v>4833</v>
      </c>
      <c r="L10" s="181" t="s">
        <v>39</v>
      </c>
      <c r="M10" s="181" t="s">
        <v>231</v>
      </c>
      <c r="N10" s="182" t="s">
        <v>231</v>
      </c>
    </row>
    <row r="11" spans="1:14" ht="19.5">
      <c r="A11" s="197" t="s">
        <v>875</v>
      </c>
      <c r="B11" s="188" t="s">
        <v>3</v>
      </c>
      <c r="C11" s="174" t="s">
        <v>3894</v>
      </c>
      <c r="D11" s="174" t="s">
        <v>4</v>
      </c>
      <c r="E11" s="174" t="s">
        <v>5350</v>
      </c>
      <c r="F11" s="186" t="s">
        <v>876</v>
      </c>
      <c r="G11" s="174"/>
      <c r="H11" s="174"/>
      <c r="I11" s="174"/>
      <c r="J11" s="180" t="s">
        <v>4505</v>
      </c>
      <c r="K11" s="181" t="s">
        <v>3894</v>
      </c>
      <c r="L11" s="181" t="s">
        <v>4</v>
      </c>
      <c r="M11" s="181" t="s">
        <v>1028</v>
      </c>
      <c r="N11" s="182" t="s">
        <v>4</v>
      </c>
    </row>
    <row r="12" spans="1:14" ht="19.5">
      <c r="A12" s="324" t="s">
        <v>914</v>
      </c>
      <c r="B12" s="321" t="s">
        <v>3</v>
      </c>
      <c r="C12" s="322" t="s">
        <v>3894</v>
      </c>
      <c r="D12" s="322" t="s">
        <v>5351</v>
      </c>
      <c r="E12" s="322" t="s">
        <v>917</v>
      </c>
      <c r="F12" s="323" t="s">
        <v>915</v>
      </c>
      <c r="G12" s="174"/>
      <c r="H12" s="174"/>
      <c r="I12" s="174"/>
      <c r="J12" s="180" t="s">
        <v>1861</v>
      </c>
      <c r="K12" s="181" t="s">
        <v>4833</v>
      </c>
      <c r="L12" s="181" t="s">
        <v>39</v>
      </c>
      <c r="M12" s="181" t="s">
        <v>231</v>
      </c>
      <c r="N12" s="182" t="s">
        <v>231</v>
      </c>
    </row>
    <row r="13" spans="1:14" ht="19.5">
      <c r="A13" s="197" t="s">
        <v>930</v>
      </c>
      <c r="B13" s="188" t="s">
        <v>3</v>
      </c>
      <c r="C13" s="174" t="s">
        <v>3894</v>
      </c>
      <c r="D13" s="174" t="s">
        <v>5351</v>
      </c>
      <c r="E13" s="174" t="s">
        <v>933</v>
      </c>
      <c r="F13" s="186" t="s">
        <v>931</v>
      </c>
      <c r="G13" s="174"/>
      <c r="H13" s="174"/>
      <c r="I13" s="174"/>
      <c r="J13" s="180" t="s">
        <v>1690</v>
      </c>
      <c r="K13" s="181" t="s">
        <v>3894</v>
      </c>
      <c r="L13" s="181" t="s">
        <v>5</v>
      </c>
      <c r="M13" s="181" t="s">
        <v>87</v>
      </c>
      <c r="N13" s="182" t="s">
        <v>5</v>
      </c>
    </row>
    <row r="14" spans="1:14" ht="19.5">
      <c r="A14" s="324" t="s">
        <v>952</v>
      </c>
      <c r="B14" s="322" t="s">
        <v>3</v>
      </c>
      <c r="C14" s="322" t="s">
        <v>3894</v>
      </c>
      <c r="D14" s="322" t="s">
        <v>4</v>
      </c>
      <c r="E14" s="322" t="s">
        <v>5352</v>
      </c>
      <c r="F14" s="323" t="s">
        <v>953</v>
      </c>
      <c r="G14" s="174"/>
      <c r="H14" s="174"/>
      <c r="I14" s="174"/>
      <c r="J14" s="180" t="s">
        <v>261</v>
      </c>
      <c r="K14" s="181" t="s">
        <v>4833</v>
      </c>
      <c r="L14" s="181" t="s">
        <v>39</v>
      </c>
      <c r="M14" s="181" t="s">
        <v>231</v>
      </c>
      <c r="N14" s="182" t="s">
        <v>231</v>
      </c>
    </row>
    <row r="15" spans="1:14" ht="19.5">
      <c r="A15" s="324" t="s">
        <v>975</v>
      </c>
      <c r="B15" s="325" t="s">
        <v>3</v>
      </c>
      <c r="C15" s="322" t="s">
        <v>3894</v>
      </c>
      <c r="D15" s="322" t="s">
        <v>4</v>
      </c>
      <c r="E15" s="322" t="s">
        <v>978</v>
      </c>
      <c r="F15" s="323" t="s">
        <v>976</v>
      </c>
      <c r="G15" s="174"/>
      <c r="H15" s="174"/>
      <c r="I15" s="174"/>
      <c r="J15" s="180" t="s">
        <v>288</v>
      </c>
      <c r="K15" s="181" t="s">
        <v>4833</v>
      </c>
      <c r="L15" s="181" t="s">
        <v>39</v>
      </c>
      <c r="M15" s="181" t="s">
        <v>231</v>
      </c>
      <c r="N15" s="182" t="s">
        <v>231</v>
      </c>
    </row>
    <row r="16" spans="1:14" ht="19.5">
      <c r="A16" s="320" t="s">
        <v>1220</v>
      </c>
      <c r="B16" s="321" t="s">
        <v>3</v>
      </c>
      <c r="C16" s="322" t="e">
        <v>#N/A</v>
      </c>
      <c r="D16" s="322" t="e">
        <v>#N/A</v>
      </c>
      <c r="E16" s="322" t="e">
        <v>#N/A</v>
      </c>
      <c r="F16" s="323" t="s">
        <v>1221</v>
      </c>
      <c r="G16" s="174"/>
      <c r="H16" s="174"/>
      <c r="I16" s="174"/>
      <c r="J16" s="180" t="s">
        <v>1321</v>
      </c>
      <c r="K16" s="181" t="s">
        <v>3894</v>
      </c>
      <c r="L16" s="181" t="s">
        <v>4</v>
      </c>
      <c r="M16" s="181" t="s">
        <v>231</v>
      </c>
      <c r="N16" s="182" t="s">
        <v>4</v>
      </c>
    </row>
    <row r="17" spans="1:14" ht="19.5">
      <c r="A17" s="324" t="s">
        <v>1297</v>
      </c>
      <c r="B17" s="321" t="s">
        <v>3</v>
      </c>
      <c r="C17" s="322" t="s">
        <v>4833</v>
      </c>
      <c r="D17" s="322" t="s">
        <v>39</v>
      </c>
      <c r="E17" s="322">
        <v>0</v>
      </c>
      <c r="F17" s="323" t="s">
        <v>1298</v>
      </c>
      <c r="G17" s="174"/>
      <c r="H17" s="174"/>
      <c r="I17" s="174"/>
      <c r="J17" s="180" t="s">
        <v>866</v>
      </c>
      <c r="K17" s="181" t="s">
        <v>3894</v>
      </c>
      <c r="L17" s="181" t="s">
        <v>4</v>
      </c>
      <c r="M17" s="181" t="s">
        <v>123</v>
      </c>
      <c r="N17" s="182" t="s">
        <v>4</v>
      </c>
    </row>
    <row r="18" spans="1:14" ht="19.5">
      <c r="A18" s="186" t="s">
        <v>1326</v>
      </c>
      <c r="B18" s="188" t="s">
        <v>4</v>
      </c>
      <c r="C18" s="174" t="s">
        <v>3894</v>
      </c>
      <c r="D18" s="174" t="s">
        <v>5353</v>
      </c>
      <c r="E18" s="174" t="s">
        <v>1329</v>
      </c>
      <c r="F18" s="186" t="s">
        <v>1327</v>
      </c>
      <c r="G18" s="174"/>
      <c r="H18" s="174"/>
      <c r="I18" s="174"/>
      <c r="J18" s="180" t="s">
        <v>283</v>
      </c>
      <c r="K18" s="181" t="s">
        <v>4833</v>
      </c>
      <c r="L18" s="181" t="s">
        <v>39</v>
      </c>
      <c r="M18" s="181" t="s">
        <v>231</v>
      </c>
      <c r="N18" s="182" t="s">
        <v>231</v>
      </c>
    </row>
    <row r="19" spans="1:14" ht="19.5">
      <c r="A19" s="186" t="s">
        <v>1379</v>
      </c>
      <c r="B19" s="188" t="s">
        <v>4</v>
      </c>
      <c r="C19" s="174" t="s">
        <v>3894</v>
      </c>
      <c r="D19" s="174" t="s">
        <v>3</v>
      </c>
      <c r="E19" s="174" t="s">
        <v>887</v>
      </c>
      <c r="F19" s="186" t="s">
        <v>1380</v>
      </c>
      <c r="G19" s="174"/>
      <c r="H19" s="174"/>
      <c r="I19" s="174"/>
      <c r="J19" s="180" t="s">
        <v>875</v>
      </c>
      <c r="K19" s="181" t="s">
        <v>3894</v>
      </c>
      <c r="L19" s="181" t="s">
        <v>4</v>
      </c>
      <c r="M19" s="181" t="s">
        <v>5350</v>
      </c>
      <c r="N19" s="182" t="s">
        <v>4</v>
      </c>
    </row>
    <row r="20" spans="1:14" ht="19.5">
      <c r="A20" s="186" t="s">
        <v>1444</v>
      </c>
      <c r="B20" s="188" t="s">
        <v>4</v>
      </c>
      <c r="C20" s="174" t="s">
        <v>3894</v>
      </c>
      <c r="D20" s="174" t="s">
        <v>3</v>
      </c>
      <c r="E20" s="174" t="s">
        <v>903</v>
      </c>
      <c r="F20" s="186" t="s">
        <v>1445</v>
      </c>
      <c r="G20" s="174"/>
      <c r="H20" s="174"/>
      <c r="I20" s="174"/>
      <c r="J20" s="180" t="s">
        <v>267</v>
      </c>
      <c r="K20" s="181" t="s">
        <v>4833</v>
      </c>
      <c r="L20" s="181" t="s">
        <v>39</v>
      </c>
      <c r="M20" s="181" t="s">
        <v>231</v>
      </c>
      <c r="N20" s="182" t="s">
        <v>231</v>
      </c>
    </row>
    <row r="21" spans="1:14" ht="19.5">
      <c r="A21" s="186" t="s">
        <v>1463</v>
      </c>
      <c r="B21" s="188" t="s">
        <v>4</v>
      </c>
      <c r="C21" s="174" t="s">
        <v>3894</v>
      </c>
      <c r="D21" s="174" t="s">
        <v>3</v>
      </c>
      <c r="E21" s="174" t="s">
        <v>887</v>
      </c>
      <c r="F21" s="186" t="s">
        <v>1464</v>
      </c>
      <c r="G21" s="174"/>
      <c r="H21" s="174"/>
      <c r="I21" s="174"/>
      <c r="J21" s="180" t="s">
        <v>277</v>
      </c>
      <c r="K21" s="181" t="s">
        <v>4833</v>
      </c>
      <c r="L21" s="181" t="s">
        <v>39</v>
      </c>
      <c r="M21" s="181" t="s">
        <v>231</v>
      </c>
      <c r="N21" s="182" t="s">
        <v>231</v>
      </c>
    </row>
    <row r="22" spans="1:14" ht="19.5">
      <c r="A22" s="186" t="s">
        <v>1482</v>
      </c>
      <c r="B22" s="188" t="s">
        <v>4</v>
      </c>
      <c r="C22" s="174" t="s">
        <v>3894</v>
      </c>
      <c r="D22" s="174" t="s">
        <v>3</v>
      </c>
      <c r="E22" s="174" t="s">
        <v>903</v>
      </c>
      <c r="F22" s="186" t="s">
        <v>1483</v>
      </c>
      <c r="G22" s="174"/>
      <c r="H22" s="174"/>
      <c r="I22" s="174"/>
      <c r="J22" s="180" t="s">
        <v>272</v>
      </c>
      <c r="K22" s="181" t="s">
        <v>4833</v>
      </c>
      <c r="L22" s="181" t="s">
        <v>39</v>
      </c>
      <c r="M22" s="181" t="s">
        <v>231</v>
      </c>
      <c r="N22" s="182" t="s">
        <v>231</v>
      </c>
    </row>
    <row r="23" spans="1:14" ht="19.5">
      <c r="A23" s="186" t="s">
        <v>1538</v>
      </c>
      <c r="B23" s="188" t="s">
        <v>4</v>
      </c>
      <c r="C23" s="174" t="s">
        <v>3894</v>
      </c>
      <c r="D23" s="174" t="s">
        <v>5</v>
      </c>
      <c r="E23" s="174" t="s">
        <v>948</v>
      </c>
      <c r="F23" s="186" t="s">
        <v>1539</v>
      </c>
      <c r="G23" s="174"/>
      <c r="H23" s="174"/>
      <c r="I23" s="174"/>
      <c r="J23" s="180" t="s">
        <v>1683</v>
      </c>
      <c r="K23" s="181" t="s">
        <v>3894</v>
      </c>
      <c r="L23" s="181" t="s">
        <v>5346</v>
      </c>
      <c r="M23" s="181" t="s">
        <v>5354</v>
      </c>
      <c r="N23" s="182" t="s">
        <v>5347</v>
      </c>
    </row>
    <row r="24" spans="1:14" ht="19.5">
      <c r="A24" s="186" t="s">
        <v>1674</v>
      </c>
      <c r="B24" s="188" t="s">
        <v>4</v>
      </c>
      <c r="C24" s="174" t="s">
        <v>3894</v>
      </c>
      <c r="D24" s="174" t="s">
        <v>5</v>
      </c>
      <c r="E24" s="174" t="s">
        <v>5355</v>
      </c>
      <c r="F24" s="186" t="s">
        <v>1671</v>
      </c>
      <c r="G24" s="174"/>
      <c r="H24" s="174"/>
      <c r="I24" s="174"/>
      <c r="J24" s="180" t="s">
        <v>1315</v>
      </c>
      <c r="K24" s="181" t="s">
        <v>3894</v>
      </c>
      <c r="L24" s="181" t="s">
        <v>4</v>
      </c>
      <c r="M24" s="181" t="s">
        <v>1318</v>
      </c>
      <c r="N24" s="182" t="s">
        <v>4</v>
      </c>
    </row>
    <row r="25" spans="1:14" ht="19.5">
      <c r="A25" s="178" t="s">
        <v>1600</v>
      </c>
      <c r="B25" s="179" t="s">
        <v>4</v>
      </c>
      <c r="C25" s="173" t="e">
        <v>#N/A</v>
      </c>
      <c r="D25" s="173" t="e">
        <v>#N/A</v>
      </c>
      <c r="E25" s="173" t="e">
        <v>#N/A</v>
      </c>
      <c r="F25" s="178" t="s">
        <v>1601</v>
      </c>
      <c r="G25" s="174"/>
      <c r="H25" s="174"/>
      <c r="I25" s="174"/>
      <c r="J25" s="180" t="s">
        <v>1326</v>
      </c>
      <c r="K25" s="181" t="s">
        <v>3894</v>
      </c>
      <c r="L25" s="181" t="s">
        <v>5353</v>
      </c>
      <c r="M25" s="181" t="s">
        <v>1329</v>
      </c>
      <c r="N25" s="182" t="s">
        <v>5353</v>
      </c>
    </row>
    <row r="26" spans="1:14" ht="19.5">
      <c r="A26" s="199" t="s">
        <v>1858</v>
      </c>
      <c r="B26" s="188" t="s">
        <v>4</v>
      </c>
      <c r="C26" s="174" t="s">
        <v>3894</v>
      </c>
      <c r="D26" s="174" t="s">
        <v>5356</v>
      </c>
      <c r="E26" s="174" t="s">
        <v>5357</v>
      </c>
      <c r="F26" s="186" t="s">
        <v>1854</v>
      </c>
      <c r="G26" s="174"/>
      <c r="H26" s="174"/>
      <c r="I26" s="174"/>
      <c r="J26" s="180" t="s">
        <v>293</v>
      </c>
      <c r="K26" s="181" t="s">
        <v>4833</v>
      </c>
      <c r="L26" s="181" t="s">
        <v>39</v>
      </c>
      <c r="M26" s="181" t="s">
        <v>231</v>
      </c>
      <c r="N26" s="182" t="s">
        <v>231</v>
      </c>
    </row>
    <row r="27" spans="1:14" ht="19.5">
      <c r="A27" s="186" t="s">
        <v>1683</v>
      </c>
      <c r="B27" s="188" t="s">
        <v>15</v>
      </c>
      <c r="C27" s="174" t="s">
        <v>3894</v>
      </c>
      <c r="D27" s="174" t="s">
        <v>5346</v>
      </c>
      <c r="E27" s="174" t="s">
        <v>5354</v>
      </c>
      <c r="F27" s="186" t="s">
        <v>1684</v>
      </c>
      <c r="G27" s="174"/>
      <c r="H27" s="174"/>
      <c r="I27" s="174"/>
      <c r="J27" s="180" t="s">
        <v>301</v>
      </c>
      <c r="K27" s="181" t="s">
        <v>4833</v>
      </c>
      <c r="L27" s="181" t="s">
        <v>39</v>
      </c>
      <c r="M27" s="181" t="s">
        <v>231</v>
      </c>
      <c r="N27" s="182" t="s">
        <v>231</v>
      </c>
    </row>
    <row r="28" spans="1:14" ht="19.5">
      <c r="A28" s="186" t="s">
        <v>1696</v>
      </c>
      <c r="B28" s="188" t="s">
        <v>5</v>
      </c>
      <c r="C28" s="174" t="s">
        <v>3894</v>
      </c>
      <c r="D28" s="174" t="s">
        <v>4</v>
      </c>
      <c r="E28" s="174" t="s">
        <v>917</v>
      </c>
      <c r="F28" s="186" t="s">
        <v>1697</v>
      </c>
      <c r="G28" s="174"/>
      <c r="H28" s="174"/>
      <c r="I28" s="174"/>
      <c r="J28" s="180" t="s">
        <v>3018</v>
      </c>
      <c r="K28" s="181" t="s">
        <v>4833</v>
      </c>
      <c r="L28" s="181" t="s">
        <v>39</v>
      </c>
      <c r="M28" s="181" t="s">
        <v>231</v>
      </c>
      <c r="N28" s="182" t="s">
        <v>231</v>
      </c>
    </row>
    <row r="29" spans="1:14" ht="19.5">
      <c r="A29" s="186" t="s">
        <v>1702</v>
      </c>
      <c r="B29" s="188" t="s">
        <v>5</v>
      </c>
      <c r="C29" s="174" t="s">
        <v>3894</v>
      </c>
      <c r="D29" s="174" t="s">
        <v>4</v>
      </c>
      <c r="E29" s="174" t="s">
        <v>1705</v>
      </c>
      <c r="F29" s="186" t="s">
        <v>1703</v>
      </c>
      <c r="G29" s="174"/>
      <c r="H29" s="174"/>
      <c r="I29" s="174"/>
      <c r="J29" s="180" t="s">
        <v>1696</v>
      </c>
      <c r="K29" s="181" t="s">
        <v>3894</v>
      </c>
      <c r="L29" s="181" t="s">
        <v>4</v>
      </c>
      <c r="M29" s="181" t="s">
        <v>917</v>
      </c>
      <c r="N29" s="182" t="s">
        <v>4</v>
      </c>
    </row>
    <row r="30" spans="1:14" ht="19.5">
      <c r="A30" s="178" t="s">
        <v>1710</v>
      </c>
      <c r="B30" s="179" t="s">
        <v>5</v>
      </c>
      <c r="C30" s="173" t="s">
        <v>3894</v>
      </c>
      <c r="D30" s="173" t="s">
        <v>4</v>
      </c>
      <c r="E30" s="173" t="s">
        <v>948</v>
      </c>
      <c r="F30" s="178" t="s">
        <v>1711</v>
      </c>
      <c r="G30" s="174"/>
      <c r="H30" s="174"/>
      <c r="I30" s="174"/>
      <c r="J30" s="180" t="s">
        <v>1334</v>
      </c>
      <c r="K30" s="181" t="s">
        <v>3894</v>
      </c>
      <c r="L30" s="181" t="s">
        <v>4</v>
      </c>
      <c r="M30" s="181" t="s">
        <v>1337</v>
      </c>
      <c r="N30" s="182" t="s">
        <v>4</v>
      </c>
    </row>
    <row r="31" spans="1:14" ht="19.5">
      <c r="A31" s="178" t="s">
        <v>1732</v>
      </c>
      <c r="B31" s="179" t="s">
        <v>5</v>
      </c>
      <c r="C31" s="173" t="s">
        <v>3894</v>
      </c>
      <c r="D31" s="173" t="s">
        <v>4</v>
      </c>
      <c r="E31" s="173" t="s">
        <v>917</v>
      </c>
      <c r="F31" s="178" t="s">
        <v>1733</v>
      </c>
      <c r="G31" s="174"/>
      <c r="H31" s="174"/>
      <c r="I31" s="174"/>
      <c r="J31" s="180" t="s">
        <v>1341</v>
      </c>
      <c r="K31" s="181" t="s">
        <v>3894</v>
      </c>
      <c r="L31" s="181" t="s">
        <v>4</v>
      </c>
      <c r="M31" s="181" t="s">
        <v>887</v>
      </c>
      <c r="N31" s="182" t="s">
        <v>4</v>
      </c>
    </row>
    <row r="32" spans="1:14" ht="19.5">
      <c r="A32" s="186" t="s">
        <v>1768</v>
      </c>
      <c r="B32" s="188" t="s">
        <v>5</v>
      </c>
      <c r="C32" s="174" t="s">
        <v>3894</v>
      </c>
      <c r="D32" s="174" t="s">
        <v>5351</v>
      </c>
      <c r="E32" s="174" t="s">
        <v>119</v>
      </c>
      <c r="F32" s="186" t="s">
        <v>1769</v>
      </c>
      <c r="G32" s="174"/>
      <c r="H32" s="174"/>
      <c r="I32" s="174"/>
      <c r="J32" s="180" t="s">
        <v>1347</v>
      </c>
      <c r="K32" s="181" t="s">
        <v>3894</v>
      </c>
      <c r="L32" s="181" t="s">
        <v>4</v>
      </c>
      <c r="M32" s="181" t="s">
        <v>887</v>
      </c>
      <c r="N32" s="182" t="s">
        <v>4</v>
      </c>
    </row>
    <row r="33" spans="1:14" ht="19.5">
      <c r="A33" s="186" t="s">
        <v>1808</v>
      </c>
      <c r="B33" s="188" t="s">
        <v>5</v>
      </c>
      <c r="C33" s="174" t="s">
        <v>3894</v>
      </c>
      <c r="D33" s="174" t="s">
        <v>4</v>
      </c>
      <c r="E33" s="174" t="s">
        <v>1811</v>
      </c>
      <c r="F33" s="186" t="s">
        <v>1809</v>
      </c>
      <c r="G33" s="174"/>
      <c r="H33" s="174"/>
      <c r="I33" s="174"/>
      <c r="J33" s="180" t="s">
        <v>4213</v>
      </c>
      <c r="K33" s="181" t="s">
        <v>4833</v>
      </c>
      <c r="L33" s="181" t="s">
        <v>39</v>
      </c>
      <c r="M33" s="181" t="s">
        <v>231</v>
      </c>
      <c r="N33" s="182" t="s">
        <v>231</v>
      </c>
    </row>
    <row r="34" spans="1:14" ht="19.5">
      <c r="A34" s="199" t="s">
        <v>1838</v>
      </c>
      <c r="B34" s="188" t="s">
        <v>5</v>
      </c>
      <c r="C34" s="174" t="s">
        <v>4833</v>
      </c>
      <c r="D34" s="174" t="s">
        <v>39</v>
      </c>
      <c r="E34" s="174">
        <v>0</v>
      </c>
      <c r="F34" s="186" t="s">
        <v>1839</v>
      </c>
      <c r="G34" s="174"/>
      <c r="H34" s="174"/>
      <c r="I34" s="174"/>
      <c r="J34" s="180" t="s">
        <v>4216</v>
      </c>
      <c r="K34" s="181" t="s">
        <v>3894</v>
      </c>
      <c r="L34" s="181" t="s">
        <v>4</v>
      </c>
      <c r="M34" s="181" t="s">
        <v>4219</v>
      </c>
      <c r="N34" s="182" t="s">
        <v>4</v>
      </c>
    </row>
    <row r="35" spans="1:14" ht="19.5">
      <c r="A35" s="186" t="s">
        <v>2673</v>
      </c>
      <c r="B35" s="326" t="s">
        <v>15</v>
      </c>
      <c r="C35" s="174" t="s">
        <v>3894</v>
      </c>
      <c r="D35" s="174" t="s">
        <v>3</v>
      </c>
      <c r="E35" s="174" t="s">
        <v>87</v>
      </c>
      <c r="F35" s="186" t="s">
        <v>2669</v>
      </c>
      <c r="G35" s="174"/>
      <c r="H35" s="174"/>
      <c r="I35" s="174"/>
      <c r="J35" s="180" t="s">
        <v>4220</v>
      </c>
      <c r="K35" s="181" t="s">
        <v>3894</v>
      </c>
      <c r="L35" s="181" t="s">
        <v>4</v>
      </c>
      <c r="M35" s="181" t="s">
        <v>4223</v>
      </c>
      <c r="N35" s="182" t="s">
        <v>4</v>
      </c>
    </row>
    <row r="36" spans="1:14" ht="39">
      <c r="A36" s="186" t="s">
        <v>1873</v>
      </c>
      <c r="B36" s="188" t="s">
        <v>18</v>
      </c>
      <c r="C36" s="174" t="s">
        <v>3894</v>
      </c>
      <c r="D36" s="174" t="s">
        <v>15</v>
      </c>
      <c r="E36" s="174" t="s">
        <v>4389</v>
      </c>
      <c r="F36" s="186" t="s">
        <v>1874</v>
      </c>
      <c r="G36" s="174"/>
      <c r="H36" s="174"/>
      <c r="I36" s="174"/>
      <c r="J36" s="180" t="s">
        <v>4224</v>
      </c>
      <c r="K36" s="181" t="s">
        <v>3894</v>
      </c>
      <c r="L36" s="181" t="s">
        <v>5358</v>
      </c>
      <c r="M36" s="181" t="s">
        <v>231</v>
      </c>
      <c r="N36" s="182" t="s">
        <v>5359</v>
      </c>
    </row>
    <row r="37" spans="1:14" ht="39">
      <c r="A37" s="197" t="s">
        <v>1882</v>
      </c>
      <c r="B37" s="188" t="s">
        <v>15</v>
      </c>
      <c r="C37" s="174" t="s">
        <v>4833</v>
      </c>
      <c r="D37" s="174" t="s">
        <v>39</v>
      </c>
      <c r="E37" s="174">
        <v>0</v>
      </c>
      <c r="F37" s="186" t="s">
        <v>1883</v>
      </c>
      <c r="G37" s="174"/>
      <c r="H37" s="174"/>
      <c r="I37" s="174"/>
      <c r="J37" s="180" t="s">
        <v>4227</v>
      </c>
      <c r="K37" s="181" t="s">
        <v>3894</v>
      </c>
      <c r="L37" s="181" t="s">
        <v>5358</v>
      </c>
      <c r="M37" s="181" t="s">
        <v>231</v>
      </c>
      <c r="N37" s="182" t="s">
        <v>5359</v>
      </c>
    </row>
    <row r="38" spans="1:14" ht="59.25">
      <c r="A38" s="186" t="s">
        <v>1901</v>
      </c>
      <c r="B38" s="188" t="s">
        <v>18</v>
      </c>
      <c r="C38" s="174" t="s">
        <v>3894</v>
      </c>
      <c r="D38" s="174" t="s">
        <v>15</v>
      </c>
      <c r="E38" s="174" t="s">
        <v>157</v>
      </c>
      <c r="F38" s="186" t="s">
        <v>1902</v>
      </c>
      <c r="G38" s="174"/>
      <c r="H38" s="174"/>
      <c r="I38" s="174"/>
      <c r="J38" s="180" t="s">
        <v>4230</v>
      </c>
      <c r="K38" s="181" t="s">
        <v>3894</v>
      </c>
      <c r="L38" s="181" t="s">
        <v>4398</v>
      </c>
      <c r="M38" s="181" t="s">
        <v>231</v>
      </c>
      <c r="N38" s="182" t="s">
        <v>5360</v>
      </c>
    </row>
    <row r="39" spans="1:14" ht="19.5">
      <c r="A39" s="186" t="s">
        <v>1912</v>
      </c>
      <c r="B39" s="188" t="s">
        <v>18</v>
      </c>
      <c r="C39" s="174" t="s">
        <v>4833</v>
      </c>
      <c r="D39" s="174" t="s">
        <v>39</v>
      </c>
      <c r="E39" s="174">
        <v>0</v>
      </c>
      <c r="F39" s="186" t="s">
        <v>294</v>
      </c>
      <c r="G39" s="174"/>
      <c r="H39" s="174"/>
      <c r="I39" s="174"/>
      <c r="J39" s="180" t="s">
        <v>1354</v>
      </c>
      <c r="K39" s="181" t="s">
        <v>3894</v>
      </c>
      <c r="L39" s="181" t="s">
        <v>4</v>
      </c>
      <c r="M39" s="181" t="s">
        <v>231</v>
      </c>
      <c r="N39" s="182" t="s">
        <v>4</v>
      </c>
    </row>
    <row r="40" spans="1:14" ht="19.5">
      <c r="A40" s="199" t="s">
        <v>1915</v>
      </c>
      <c r="B40" s="188" t="s">
        <v>18</v>
      </c>
      <c r="C40" s="174" t="s">
        <v>3894</v>
      </c>
      <c r="D40" s="174" t="s">
        <v>5361</v>
      </c>
      <c r="E40" s="174" t="s">
        <v>159</v>
      </c>
      <c r="F40" s="186" t="s">
        <v>1916</v>
      </c>
      <c r="G40" s="174"/>
      <c r="H40" s="174"/>
      <c r="I40" s="174"/>
      <c r="J40" s="180" t="s">
        <v>4233</v>
      </c>
      <c r="K40" s="181" t="s">
        <v>3894</v>
      </c>
      <c r="L40" s="181" t="s">
        <v>4</v>
      </c>
      <c r="M40" s="181" t="s">
        <v>3068</v>
      </c>
      <c r="N40" s="182" t="s">
        <v>4</v>
      </c>
    </row>
    <row r="41" spans="1:14" ht="19.5">
      <c r="A41" s="199" t="s">
        <v>1924</v>
      </c>
      <c r="B41" s="188" t="s">
        <v>18</v>
      </c>
      <c r="C41" s="174" t="s">
        <v>3894</v>
      </c>
      <c r="D41" s="174" t="s">
        <v>15</v>
      </c>
      <c r="E41" s="174" t="s">
        <v>163</v>
      </c>
      <c r="F41" s="186" t="s">
        <v>1925</v>
      </c>
      <c r="G41" s="174"/>
      <c r="H41" s="174"/>
      <c r="I41" s="174"/>
      <c r="J41" s="180" t="s">
        <v>4236</v>
      </c>
      <c r="K41" s="181" t="s">
        <v>3894</v>
      </c>
      <c r="L41" s="181" t="s">
        <v>4</v>
      </c>
      <c r="M41" s="181" t="s">
        <v>4239</v>
      </c>
      <c r="N41" s="182" t="s">
        <v>4</v>
      </c>
    </row>
    <row r="42" spans="1:14" ht="19.5">
      <c r="A42" s="199" t="s">
        <v>1929</v>
      </c>
      <c r="B42" s="188" t="s">
        <v>18</v>
      </c>
      <c r="C42" s="174" t="s">
        <v>3894</v>
      </c>
      <c r="D42" s="174" t="s">
        <v>5346</v>
      </c>
      <c r="E42" s="174" t="s">
        <v>157</v>
      </c>
      <c r="F42" s="186" t="s">
        <v>1930</v>
      </c>
      <c r="G42" s="174"/>
      <c r="H42" s="174"/>
      <c r="I42" s="174"/>
      <c r="J42" s="180" t="s">
        <v>1373</v>
      </c>
      <c r="K42" s="181" t="s">
        <v>3894</v>
      </c>
      <c r="L42" s="181" t="s">
        <v>4</v>
      </c>
      <c r="M42" s="181" t="s">
        <v>1376</v>
      </c>
      <c r="N42" s="182" t="s">
        <v>4</v>
      </c>
    </row>
    <row r="43" spans="1:14" ht="19.5">
      <c r="A43" s="199" t="s">
        <v>4608</v>
      </c>
      <c r="B43" s="188" t="s">
        <v>18</v>
      </c>
      <c r="C43" s="174" t="s">
        <v>3894</v>
      </c>
      <c r="D43" s="174" t="s">
        <v>5346</v>
      </c>
      <c r="E43" s="174" t="s">
        <v>157</v>
      </c>
      <c r="F43" s="186" t="s">
        <v>4609</v>
      </c>
      <c r="G43" s="174"/>
      <c r="H43" s="174"/>
      <c r="I43" s="174"/>
      <c r="J43" s="180" t="s">
        <v>1724</v>
      </c>
      <c r="K43" s="181" t="s">
        <v>3894</v>
      </c>
      <c r="L43" s="181" t="s">
        <v>5</v>
      </c>
      <c r="M43" s="181" t="s">
        <v>1727</v>
      </c>
      <c r="N43" s="182" t="s">
        <v>5</v>
      </c>
    </row>
    <row r="44" spans="1:14" ht="19.5">
      <c r="A44" s="197" t="s">
        <v>2603</v>
      </c>
      <c r="B44" s="188" t="s">
        <v>188</v>
      </c>
      <c r="C44" s="174" t="s">
        <v>3894</v>
      </c>
      <c r="D44" s="174" t="s">
        <v>5346</v>
      </c>
      <c r="E44" s="174" t="s">
        <v>97</v>
      </c>
      <c r="F44" s="186" t="s">
        <v>2604</v>
      </c>
      <c r="G44" s="174" t="s">
        <v>233</v>
      </c>
      <c r="H44" s="174"/>
      <c r="I44" s="174"/>
      <c r="J44" s="180" t="s">
        <v>4240</v>
      </c>
      <c r="K44" s="181" t="s">
        <v>3894</v>
      </c>
      <c r="L44" s="181" t="s">
        <v>4</v>
      </c>
      <c r="M44" s="181" t="s">
        <v>4243</v>
      </c>
      <c r="N44" s="182" t="s">
        <v>4</v>
      </c>
    </row>
    <row r="45" spans="1:14" ht="19.5">
      <c r="A45" s="189" t="s">
        <v>2707</v>
      </c>
      <c r="B45" s="184" t="s">
        <v>3</v>
      </c>
      <c r="C45" s="185" t="s">
        <v>4833</v>
      </c>
      <c r="D45" s="185" t="s">
        <v>39</v>
      </c>
      <c r="E45" s="185">
        <v>0</v>
      </c>
      <c r="F45" s="183" t="s">
        <v>2708</v>
      </c>
      <c r="G45" s="174"/>
      <c r="H45" s="174"/>
      <c r="I45" s="174"/>
      <c r="J45" s="180" t="s">
        <v>4645</v>
      </c>
      <c r="K45" s="181" t="s">
        <v>3894</v>
      </c>
      <c r="L45" s="181" t="s">
        <v>4</v>
      </c>
      <c r="M45" s="181" t="s">
        <v>3056</v>
      </c>
      <c r="N45" s="182" t="s">
        <v>4</v>
      </c>
    </row>
    <row r="46" spans="1:14" ht="39">
      <c r="A46" s="189" t="s">
        <v>2718</v>
      </c>
      <c r="B46" s="184" t="s">
        <v>27</v>
      </c>
      <c r="C46" s="185" t="s">
        <v>3894</v>
      </c>
      <c r="D46" s="185" t="s">
        <v>3</v>
      </c>
      <c r="E46" s="185" t="s">
        <v>5362</v>
      </c>
      <c r="F46" s="183" t="s">
        <v>2719</v>
      </c>
      <c r="G46" s="174"/>
      <c r="H46" s="174"/>
      <c r="I46" s="174"/>
      <c r="J46" s="180" t="s">
        <v>3023</v>
      </c>
      <c r="K46" s="181" t="s">
        <v>3894</v>
      </c>
      <c r="L46" s="181" t="s">
        <v>5363</v>
      </c>
      <c r="M46" s="181" t="s">
        <v>3027</v>
      </c>
      <c r="N46" s="182" t="s">
        <v>5363</v>
      </c>
    </row>
    <row r="47" spans="1:14" ht="19.5">
      <c r="A47" s="197" t="s">
        <v>2787</v>
      </c>
      <c r="B47" s="188" t="s">
        <v>4</v>
      </c>
      <c r="C47" s="174" t="s">
        <v>3894</v>
      </c>
      <c r="D47" s="174" t="s">
        <v>5</v>
      </c>
      <c r="E47" s="174" t="s">
        <v>4394</v>
      </c>
      <c r="F47" s="186" t="s">
        <v>2788</v>
      </c>
      <c r="G47" s="174"/>
      <c r="H47" s="174"/>
      <c r="I47" s="174"/>
      <c r="J47" s="180" t="s">
        <v>1702</v>
      </c>
      <c r="K47" s="181" t="s">
        <v>3894</v>
      </c>
      <c r="L47" s="181" t="s">
        <v>4</v>
      </c>
      <c r="M47" s="181" t="s">
        <v>1705</v>
      </c>
      <c r="N47" s="182" t="s">
        <v>4</v>
      </c>
    </row>
    <row r="48" spans="1:14" ht="19.5">
      <c r="A48" s="197" t="s">
        <v>3192</v>
      </c>
      <c r="B48" s="188" t="s">
        <v>18</v>
      </c>
      <c r="C48" s="174" t="s">
        <v>3894</v>
      </c>
      <c r="D48" s="174" t="s">
        <v>5346</v>
      </c>
      <c r="E48" s="174" t="s">
        <v>4395</v>
      </c>
      <c r="F48" s="186" t="s">
        <v>2285</v>
      </c>
      <c r="G48" s="174"/>
      <c r="H48" s="174"/>
      <c r="I48" s="174"/>
      <c r="J48" s="180" t="s">
        <v>1710</v>
      </c>
      <c r="K48" s="181" t="s">
        <v>3894</v>
      </c>
      <c r="L48" s="181" t="s">
        <v>4</v>
      </c>
      <c r="M48" s="181" t="s">
        <v>948</v>
      </c>
      <c r="N48" s="182" t="s">
        <v>4</v>
      </c>
    </row>
    <row r="49" spans="1:14" ht="19.5">
      <c r="A49" s="187" t="s">
        <v>3717</v>
      </c>
      <c r="B49" s="179" t="s">
        <v>3</v>
      </c>
      <c r="C49" s="173" t="s">
        <v>4833</v>
      </c>
      <c r="D49" s="173" t="s">
        <v>39</v>
      </c>
      <c r="E49" s="173">
        <v>0</v>
      </c>
      <c r="F49" s="178" t="s">
        <v>3718</v>
      </c>
      <c r="G49" s="174"/>
      <c r="H49" s="174"/>
      <c r="I49" s="174"/>
      <c r="J49" s="180" t="s">
        <v>306</v>
      </c>
      <c r="K49" s="181" t="s">
        <v>4833</v>
      </c>
      <c r="L49" s="181" t="s">
        <v>39</v>
      </c>
      <c r="M49" s="181" t="s">
        <v>231</v>
      </c>
      <c r="N49" s="182" t="s">
        <v>231</v>
      </c>
    </row>
    <row r="50" spans="1:14" ht="19.5">
      <c r="A50" s="197" t="s">
        <v>3698</v>
      </c>
      <c r="B50" s="188" t="s">
        <v>3</v>
      </c>
      <c r="C50" s="174" t="s">
        <v>4833</v>
      </c>
      <c r="D50" s="174" t="s">
        <v>39</v>
      </c>
      <c r="E50" s="174">
        <v>0</v>
      </c>
      <c r="F50" s="186" t="s">
        <v>3699</v>
      </c>
      <c r="G50" s="174"/>
      <c r="H50" s="174"/>
      <c r="I50" s="174"/>
      <c r="J50" s="180" t="s">
        <v>312</v>
      </c>
      <c r="K50" s="181" t="s">
        <v>4833</v>
      </c>
      <c r="L50" s="181" t="s">
        <v>39</v>
      </c>
      <c r="M50" s="181" t="s">
        <v>231</v>
      </c>
      <c r="N50" s="182" t="s">
        <v>231</v>
      </c>
    </row>
    <row r="51" spans="1:14" ht="19.5">
      <c r="A51" s="187" t="s">
        <v>3742</v>
      </c>
      <c r="B51" s="179" t="s">
        <v>15</v>
      </c>
      <c r="C51" s="173" t="e">
        <v>#N/A</v>
      </c>
      <c r="D51" s="173" t="e">
        <v>#N/A</v>
      </c>
      <c r="E51" s="173" t="e">
        <v>#N/A</v>
      </c>
      <c r="F51" s="178" t="s">
        <v>3743</v>
      </c>
      <c r="G51" s="174"/>
      <c r="H51" s="174"/>
      <c r="I51" s="174"/>
      <c r="J51" s="180" t="s">
        <v>548</v>
      </c>
      <c r="K51" s="181" t="s">
        <v>4833</v>
      </c>
      <c r="L51" s="181" t="s">
        <v>39</v>
      </c>
      <c r="M51" s="181" t="s">
        <v>231</v>
      </c>
      <c r="N51" s="182" t="s">
        <v>231</v>
      </c>
    </row>
    <row r="52" spans="1:14" ht="39">
      <c r="A52" s="178" t="s">
        <v>3823</v>
      </c>
      <c r="B52" s="188" t="s">
        <v>20</v>
      </c>
      <c r="C52" s="174" t="e">
        <v>#N/A</v>
      </c>
      <c r="D52" s="174" t="e">
        <v>#N/A</v>
      </c>
      <c r="E52" s="174" t="e">
        <v>#N/A</v>
      </c>
      <c r="F52" s="186" t="s">
        <v>3824</v>
      </c>
      <c r="G52" s="174"/>
      <c r="H52" s="174"/>
      <c r="I52" s="174"/>
      <c r="J52" s="180" t="s">
        <v>4630</v>
      </c>
      <c r="K52" s="181" t="s">
        <v>3894</v>
      </c>
      <c r="L52" s="181" t="s">
        <v>5363</v>
      </c>
      <c r="M52" s="181" t="s">
        <v>4633</v>
      </c>
      <c r="N52" s="182" t="s">
        <v>5363</v>
      </c>
    </row>
    <row r="53" spans="1:14" ht="19.5">
      <c r="A53" s="178" t="s">
        <v>3827</v>
      </c>
      <c r="B53" s="188" t="s">
        <v>20</v>
      </c>
      <c r="C53" s="174" t="e">
        <v>#N/A</v>
      </c>
      <c r="D53" s="174" t="e">
        <v>#N/A</v>
      </c>
      <c r="E53" s="174" t="e">
        <v>#N/A</v>
      </c>
      <c r="F53" s="186" t="s">
        <v>3828</v>
      </c>
      <c r="G53" s="174"/>
      <c r="H53" s="174"/>
      <c r="I53" s="174"/>
      <c r="J53" s="180" t="s">
        <v>3030</v>
      </c>
      <c r="K53" s="181" t="s">
        <v>3894</v>
      </c>
      <c r="L53" s="181" t="s">
        <v>3</v>
      </c>
      <c r="M53" s="181" t="s">
        <v>3033</v>
      </c>
      <c r="N53" s="182" t="s">
        <v>3</v>
      </c>
    </row>
    <row r="54" spans="1:14" ht="19.5">
      <c r="A54" s="178" t="s">
        <v>3833</v>
      </c>
      <c r="B54" s="188" t="s">
        <v>20</v>
      </c>
      <c r="C54" s="174" t="e">
        <v>#N/A</v>
      </c>
      <c r="D54" s="174" t="e">
        <v>#N/A</v>
      </c>
      <c r="E54" s="174" t="e">
        <v>#N/A</v>
      </c>
      <c r="F54" s="186" t="s">
        <v>3834</v>
      </c>
      <c r="G54" s="174"/>
      <c r="H54" s="174"/>
      <c r="I54" s="174"/>
      <c r="J54" s="180" t="s">
        <v>3036</v>
      </c>
      <c r="K54" s="181" t="s">
        <v>3894</v>
      </c>
      <c r="L54" s="181" t="s">
        <v>4</v>
      </c>
      <c r="M54" s="181" t="s">
        <v>3039</v>
      </c>
      <c r="N54" s="182" t="s">
        <v>4</v>
      </c>
    </row>
    <row r="55" spans="1:14" ht="19.5">
      <c r="A55" s="178" t="s">
        <v>3840</v>
      </c>
      <c r="B55" s="188" t="s">
        <v>15</v>
      </c>
      <c r="C55" s="174" t="e">
        <v>#N/A</v>
      </c>
      <c r="D55" s="174" t="e">
        <v>#N/A</v>
      </c>
      <c r="E55" s="174" t="e">
        <v>#N/A</v>
      </c>
      <c r="F55" s="186" t="s">
        <v>3841</v>
      </c>
      <c r="G55" s="174"/>
      <c r="H55" s="174"/>
      <c r="I55" s="174"/>
      <c r="J55" s="180" t="s">
        <v>3042</v>
      </c>
      <c r="K55" s="181" t="s">
        <v>3894</v>
      </c>
      <c r="L55" s="181" t="s">
        <v>4</v>
      </c>
      <c r="M55" s="181" t="s">
        <v>3045</v>
      </c>
      <c r="N55" s="182" t="s">
        <v>4</v>
      </c>
    </row>
    <row r="56" spans="1:14" ht="19.5">
      <c r="A56" s="178" t="s">
        <v>3846</v>
      </c>
      <c r="B56" s="190" t="s">
        <v>188</v>
      </c>
      <c r="C56" s="174" t="s">
        <v>4833</v>
      </c>
      <c r="D56" s="174" t="s">
        <v>39</v>
      </c>
      <c r="E56" s="174">
        <v>0</v>
      </c>
      <c r="F56" s="186" t="s">
        <v>3847</v>
      </c>
      <c r="G56" s="174"/>
      <c r="H56" s="174"/>
      <c r="I56" s="174"/>
      <c r="J56" s="180" t="s">
        <v>1360</v>
      </c>
      <c r="K56" s="181" t="s">
        <v>3894</v>
      </c>
      <c r="L56" s="181" t="s">
        <v>4</v>
      </c>
      <c r="M56" s="181" t="s">
        <v>887</v>
      </c>
      <c r="N56" s="182" t="s">
        <v>4</v>
      </c>
    </row>
    <row r="57" spans="1:14" ht="19.5">
      <c r="A57" s="178" t="s">
        <v>3850</v>
      </c>
      <c r="B57" s="190" t="s">
        <v>188</v>
      </c>
      <c r="C57" s="174" t="e">
        <v>#N/A</v>
      </c>
      <c r="D57" s="174" t="e">
        <v>#N/A</v>
      </c>
      <c r="E57" s="174" t="e">
        <v>#N/A</v>
      </c>
      <c r="F57" s="186" t="s">
        <v>3851</v>
      </c>
      <c r="G57" s="174"/>
      <c r="H57" s="174"/>
      <c r="I57" s="174"/>
      <c r="J57" s="180" t="s">
        <v>3048</v>
      </c>
      <c r="K57" s="181" t="s">
        <v>3894</v>
      </c>
      <c r="L57" s="181" t="s">
        <v>3</v>
      </c>
      <c r="M57" s="181" t="s">
        <v>1135</v>
      </c>
      <c r="N57" s="182" t="s">
        <v>3</v>
      </c>
    </row>
    <row r="58" spans="1:14" ht="19.5">
      <c r="A58" s="178" t="s">
        <v>3854</v>
      </c>
      <c r="B58" s="190" t="s">
        <v>188</v>
      </c>
      <c r="C58" s="174" t="e">
        <v>#N/A</v>
      </c>
      <c r="D58" s="174" t="e">
        <v>#N/A</v>
      </c>
      <c r="E58" s="174" t="e">
        <v>#N/A</v>
      </c>
      <c r="F58" s="186" t="s">
        <v>3855</v>
      </c>
      <c r="G58" s="174"/>
      <c r="H58" s="174"/>
      <c r="I58" s="174"/>
      <c r="J58" s="180" t="s">
        <v>3053</v>
      </c>
      <c r="K58" s="181" t="s">
        <v>3894</v>
      </c>
      <c r="L58" s="181" t="s">
        <v>4</v>
      </c>
      <c r="M58" s="181" t="s">
        <v>3056</v>
      </c>
      <c r="N58" s="182" t="s">
        <v>4</v>
      </c>
    </row>
    <row r="59" spans="1:14" ht="19.5">
      <c r="A59" s="178" t="s">
        <v>3858</v>
      </c>
      <c r="B59" s="190" t="s">
        <v>188</v>
      </c>
      <c r="C59" s="174" t="e">
        <v>#N/A</v>
      </c>
      <c r="D59" s="174" t="e">
        <v>#N/A</v>
      </c>
      <c r="E59" s="174" t="e">
        <v>#N/A</v>
      </c>
      <c r="F59" s="186" t="s">
        <v>3859</v>
      </c>
      <c r="G59" s="174"/>
      <c r="H59" s="174"/>
      <c r="I59" s="174"/>
      <c r="J59" s="180" t="s">
        <v>3059</v>
      </c>
      <c r="K59" s="181" t="s">
        <v>3894</v>
      </c>
      <c r="L59" s="181" t="s">
        <v>4</v>
      </c>
      <c r="M59" s="181" t="s">
        <v>3062</v>
      </c>
      <c r="N59" s="182" t="s">
        <v>4</v>
      </c>
    </row>
    <row r="60" spans="1:14" ht="39">
      <c r="A60" s="178" t="s">
        <v>3862</v>
      </c>
      <c r="B60" s="190" t="s">
        <v>188</v>
      </c>
      <c r="C60" s="174" t="s">
        <v>4833</v>
      </c>
      <c r="D60" s="174" t="s">
        <v>39</v>
      </c>
      <c r="E60" s="174">
        <v>0</v>
      </c>
      <c r="F60" s="186" t="s">
        <v>3863</v>
      </c>
      <c r="G60" s="174"/>
      <c r="H60" s="174"/>
      <c r="I60" s="174"/>
      <c r="J60" s="180" t="s">
        <v>4634</v>
      </c>
      <c r="K60" s="181" t="s">
        <v>3894</v>
      </c>
      <c r="L60" s="181" t="s">
        <v>5356</v>
      </c>
      <c r="M60" s="181" t="s">
        <v>4637</v>
      </c>
      <c r="N60" s="182" t="s">
        <v>5356</v>
      </c>
    </row>
    <row r="61" spans="1:14" ht="19.5">
      <c r="A61" s="178" t="s">
        <v>3866</v>
      </c>
      <c r="B61" s="190" t="s">
        <v>188</v>
      </c>
      <c r="C61" s="174" t="e">
        <v>#N/A</v>
      </c>
      <c r="D61" s="174" t="e">
        <v>#N/A</v>
      </c>
      <c r="E61" s="174" t="e">
        <v>#N/A</v>
      </c>
      <c r="F61" s="186" t="s">
        <v>3867</v>
      </c>
      <c r="G61" s="174"/>
      <c r="H61" s="174"/>
      <c r="I61" s="174"/>
      <c r="J61" s="180" t="s">
        <v>3065</v>
      </c>
      <c r="K61" s="181" t="s">
        <v>3894</v>
      </c>
      <c r="L61" s="181" t="s">
        <v>4</v>
      </c>
      <c r="M61" s="181" t="s">
        <v>3068</v>
      </c>
      <c r="N61" s="182" t="s">
        <v>4</v>
      </c>
    </row>
    <row r="62" spans="1:14" ht="19.5">
      <c r="A62" s="178" t="s">
        <v>3870</v>
      </c>
      <c r="B62" s="188" t="s">
        <v>3</v>
      </c>
      <c r="C62" s="174" t="e">
        <v>#N/A</v>
      </c>
      <c r="D62" s="174" t="e">
        <v>#N/A</v>
      </c>
      <c r="E62" s="174" t="e">
        <v>#N/A</v>
      </c>
      <c r="F62" s="186" t="s">
        <v>3871</v>
      </c>
      <c r="G62" s="174"/>
      <c r="H62" s="174"/>
      <c r="I62" s="174"/>
      <c r="J62" s="180" t="s">
        <v>3071</v>
      </c>
      <c r="K62" s="181" t="s">
        <v>3894</v>
      </c>
      <c r="L62" s="181" t="s">
        <v>3</v>
      </c>
      <c r="M62" s="181" t="s">
        <v>1135</v>
      </c>
      <c r="N62" s="182" t="s">
        <v>3</v>
      </c>
    </row>
    <row r="63" spans="1:14" ht="39">
      <c r="A63" s="178" t="s">
        <v>3876</v>
      </c>
      <c r="B63" s="188" t="s">
        <v>188</v>
      </c>
      <c r="C63" s="174" t="e">
        <v>#N/A</v>
      </c>
      <c r="D63" s="174" t="e">
        <v>#N/A</v>
      </c>
      <c r="E63" s="174" t="e">
        <v>#N/A</v>
      </c>
      <c r="F63" s="186" t="s">
        <v>3877</v>
      </c>
      <c r="G63" s="174"/>
      <c r="H63" s="174"/>
      <c r="I63" s="174"/>
      <c r="J63" s="180" t="s">
        <v>1366</v>
      </c>
      <c r="K63" s="181" t="s">
        <v>3894</v>
      </c>
      <c r="L63" s="181" t="s">
        <v>5363</v>
      </c>
      <c r="M63" s="181" t="s">
        <v>1369</v>
      </c>
      <c r="N63" s="182" t="s">
        <v>5363</v>
      </c>
    </row>
    <row r="64" spans="1:14" ht="19.5">
      <c r="A64" s="178" t="s">
        <v>3880</v>
      </c>
      <c r="B64" s="179" t="s">
        <v>24</v>
      </c>
      <c r="C64" s="174" t="e">
        <v>#N/A</v>
      </c>
      <c r="D64" s="174" t="e">
        <v>#N/A</v>
      </c>
      <c r="E64" s="174" t="e">
        <v>#N/A</v>
      </c>
      <c r="F64" s="178" t="s">
        <v>3881</v>
      </c>
      <c r="G64" s="174"/>
      <c r="H64" s="174"/>
      <c r="I64" s="174"/>
      <c r="J64" s="180" t="s">
        <v>3076</v>
      </c>
      <c r="K64" s="181" t="s">
        <v>3894</v>
      </c>
      <c r="L64" s="181" t="s">
        <v>4</v>
      </c>
      <c r="M64" s="181" t="s">
        <v>3079</v>
      </c>
      <c r="N64" s="182" t="s">
        <v>4</v>
      </c>
    </row>
    <row r="65" spans="1:14" ht="19.5">
      <c r="A65" s="178" t="s">
        <v>3886</v>
      </c>
      <c r="B65" s="191" t="s">
        <v>24</v>
      </c>
      <c r="C65" s="174" t="e">
        <v>#N/A</v>
      </c>
      <c r="D65" s="174" t="e">
        <v>#N/A</v>
      </c>
      <c r="E65" s="174" t="e">
        <v>#N/A</v>
      </c>
      <c r="F65" s="178" t="s">
        <v>3887</v>
      </c>
      <c r="G65" s="174"/>
      <c r="H65" s="174"/>
      <c r="I65" s="174"/>
      <c r="J65" s="180" t="s">
        <v>1717</v>
      </c>
      <c r="K65" s="181" t="s">
        <v>3894</v>
      </c>
      <c r="L65" s="181" t="s">
        <v>5</v>
      </c>
      <c r="M65" s="181" t="s">
        <v>1720</v>
      </c>
      <c r="N65" s="182" t="s">
        <v>5</v>
      </c>
    </row>
    <row r="66" spans="1:14" ht="19.5">
      <c r="A66" s="178" t="s">
        <v>3891</v>
      </c>
      <c r="B66" s="188" t="s">
        <v>20</v>
      </c>
      <c r="C66" s="174" t="e">
        <v>#N/A</v>
      </c>
      <c r="D66" s="174" t="e">
        <v>#N/A</v>
      </c>
      <c r="E66" s="174" t="e">
        <v>#N/A</v>
      </c>
      <c r="F66" s="186" t="s">
        <v>3892</v>
      </c>
      <c r="G66" s="174"/>
      <c r="H66" s="174"/>
      <c r="I66" s="174"/>
      <c r="J66" s="180" t="s">
        <v>3082</v>
      </c>
      <c r="K66" s="181" t="s">
        <v>3894</v>
      </c>
      <c r="L66" s="181" t="s">
        <v>4</v>
      </c>
      <c r="M66" s="181" t="s">
        <v>3085</v>
      </c>
      <c r="N66" s="182" t="s">
        <v>4</v>
      </c>
    </row>
    <row r="67" spans="1:14" ht="19.5">
      <c r="A67" s="178" t="s">
        <v>3898</v>
      </c>
      <c r="B67" s="188" t="s">
        <v>20</v>
      </c>
      <c r="C67" s="174" t="e">
        <v>#N/A</v>
      </c>
      <c r="D67" s="174" t="e">
        <v>#N/A</v>
      </c>
      <c r="E67" s="174" t="e">
        <v>#N/A</v>
      </c>
      <c r="F67" s="186" t="s">
        <v>3899</v>
      </c>
      <c r="G67" s="174"/>
      <c r="H67" s="174"/>
      <c r="I67" s="174"/>
      <c r="J67" s="180" t="s">
        <v>883</v>
      </c>
      <c r="K67" s="181" t="s">
        <v>3894</v>
      </c>
      <c r="L67" s="181" t="s">
        <v>3</v>
      </c>
      <c r="M67" s="181" t="s">
        <v>887</v>
      </c>
      <c r="N67" s="182" t="s">
        <v>3</v>
      </c>
    </row>
    <row r="68" spans="1:14" ht="19.5">
      <c r="A68" s="178" t="s">
        <v>3903</v>
      </c>
      <c r="B68" s="188" t="s">
        <v>20</v>
      </c>
      <c r="C68" s="174" t="e">
        <v>#N/A</v>
      </c>
      <c r="D68" s="174" t="e">
        <v>#N/A</v>
      </c>
      <c r="E68" s="174" t="e">
        <v>#N/A</v>
      </c>
      <c r="F68" s="186" t="s">
        <v>3904</v>
      </c>
      <c r="G68" s="174"/>
      <c r="H68" s="174"/>
      <c r="I68" s="174"/>
      <c r="J68" s="180" t="s">
        <v>892</v>
      </c>
      <c r="K68" s="181" t="s">
        <v>3894</v>
      </c>
      <c r="L68" s="181" t="s">
        <v>3</v>
      </c>
      <c r="M68" s="181" t="s">
        <v>895</v>
      </c>
      <c r="N68" s="182" t="s">
        <v>3</v>
      </c>
    </row>
    <row r="69" spans="1:14" ht="19.5">
      <c r="A69" s="178" t="s">
        <v>3908</v>
      </c>
      <c r="B69" s="188" t="s">
        <v>20</v>
      </c>
      <c r="C69" s="174" t="e">
        <v>#N/A</v>
      </c>
      <c r="D69" s="174" t="e">
        <v>#N/A</v>
      </c>
      <c r="E69" s="174" t="e">
        <v>#N/A</v>
      </c>
      <c r="F69" s="186" t="s">
        <v>3909</v>
      </c>
      <c r="G69" s="174"/>
      <c r="H69" s="174"/>
      <c r="I69" s="174"/>
      <c r="J69" s="180" t="s">
        <v>1538</v>
      </c>
      <c r="K69" s="181" t="s">
        <v>3894</v>
      </c>
      <c r="L69" s="181" t="s">
        <v>5</v>
      </c>
      <c r="M69" s="181" t="s">
        <v>948</v>
      </c>
      <c r="N69" s="182" t="s">
        <v>5</v>
      </c>
    </row>
    <row r="70" spans="1:14" ht="19.5">
      <c r="A70" s="178" t="s">
        <v>3915</v>
      </c>
      <c r="B70" s="188" t="s">
        <v>20</v>
      </c>
      <c r="C70" s="174" t="e">
        <v>#N/A</v>
      </c>
      <c r="D70" s="174" t="e">
        <v>#N/A</v>
      </c>
      <c r="E70" s="174" t="e">
        <v>#N/A</v>
      </c>
      <c r="F70" s="186" t="s">
        <v>3916</v>
      </c>
      <c r="G70" s="174"/>
      <c r="H70" s="174"/>
      <c r="I70" s="174"/>
      <c r="J70" s="180" t="s">
        <v>1379</v>
      </c>
      <c r="K70" s="181" t="s">
        <v>3894</v>
      </c>
      <c r="L70" s="181" t="s">
        <v>3</v>
      </c>
      <c r="M70" s="181" t="s">
        <v>887</v>
      </c>
      <c r="N70" s="182" t="s">
        <v>3</v>
      </c>
    </row>
    <row r="71" spans="1:14" ht="39">
      <c r="A71" s="178" t="s">
        <v>3922</v>
      </c>
      <c r="B71" s="188" t="s">
        <v>20</v>
      </c>
      <c r="C71" s="174" t="e">
        <v>#N/A</v>
      </c>
      <c r="D71" s="174" t="e">
        <v>#N/A</v>
      </c>
      <c r="E71" s="174" t="e">
        <v>#N/A</v>
      </c>
      <c r="F71" s="186" t="s">
        <v>3923</v>
      </c>
      <c r="G71" s="174"/>
      <c r="H71" s="174"/>
      <c r="I71" s="174"/>
      <c r="J71" s="180" t="s">
        <v>1386</v>
      </c>
      <c r="K71" s="181" t="s">
        <v>3894</v>
      </c>
      <c r="L71" s="181" t="s">
        <v>5363</v>
      </c>
      <c r="M71" s="181" t="s">
        <v>1389</v>
      </c>
      <c r="N71" s="182" t="s">
        <v>5363</v>
      </c>
    </row>
    <row r="72" spans="1:14" ht="19.5">
      <c r="A72" s="323" t="s">
        <v>4190</v>
      </c>
      <c r="B72" s="321" t="s">
        <v>188</v>
      </c>
      <c r="C72" s="322" t="s">
        <v>3894</v>
      </c>
      <c r="D72" s="322" t="s">
        <v>3</v>
      </c>
      <c r="E72" s="322" t="s">
        <v>4397</v>
      </c>
      <c r="F72" s="323" t="s">
        <v>4191</v>
      </c>
      <c r="G72" s="174"/>
      <c r="H72" s="174"/>
      <c r="I72" s="174"/>
      <c r="J72" s="180" t="s">
        <v>1005</v>
      </c>
      <c r="K72" s="181" t="s">
        <v>3894</v>
      </c>
      <c r="L72" s="181" t="s">
        <v>3</v>
      </c>
      <c r="M72" s="181" t="s">
        <v>887</v>
      </c>
      <c r="N72" s="182" t="s">
        <v>3</v>
      </c>
    </row>
    <row r="73" spans="1:14" ht="19.5">
      <c r="A73" s="186" t="s">
        <v>4195</v>
      </c>
      <c r="B73" s="188" t="s">
        <v>188</v>
      </c>
      <c r="C73" s="174" t="s">
        <v>3894</v>
      </c>
      <c r="D73" s="174" t="s">
        <v>5</v>
      </c>
      <c r="E73" s="174" t="s">
        <v>1811</v>
      </c>
      <c r="F73" s="186" t="s">
        <v>4196</v>
      </c>
      <c r="G73" s="174"/>
      <c r="H73" s="174"/>
      <c r="I73" s="174"/>
      <c r="J73" s="180" t="s">
        <v>1393</v>
      </c>
      <c r="K73" s="181" t="s">
        <v>3894</v>
      </c>
      <c r="L73" s="181" t="s">
        <v>4</v>
      </c>
      <c r="M73" s="181" t="s">
        <v>231</v>
      </c>
      <c r="N73" s="182" t="s">
        <v>4</v>
      </c>
    </row>
    <row r="74" spans="1:14" ht="19.5">
      <c r="A74" s="178" t="s">
        <v>4230</v>
      </c>
      <c r="B74" s="179" t="s">
        <v>4398</v>
      </c>
      <c r="C74" s="173" t="s">
        <v>3894</v>
      </c>
      <c r="D74" s="173" t="s">
        <v>4398</v>
      </c>
      <c r="E74" s="173">
        <v>0</v>
      </c>
      <c r="F74" s="178" t="s">
        <v>4231</v>
      </c>
      <c r="G74" s="174"/>
      <c r="H74" s="174"/>
      <c r="I74" s="174"/>
      <c r="J74" s="180" t="s">
        <v>900</v>
      </c>
      <c r="K74" s="181" t="s">
        <v>3894</v>
      </c>
      <c r="L74" s="192" t="s">
        <v>3</v>
      </c>
      <c r="M74" s="192" t="s">
        <v>903</v>
      </c>
      <c r="N74" s="182" t="s">
        <v>3</v>
      </c>
    </row>
    <row r="75" spans="1:14" ht="19.5">
      <c r="A75" s="193" t="s">
        <v>197</v>
      </c>
      <c r="B75" s="194" t="s">
        <v>202</v>
      </c>
      <c r="C75" s="174"/>
      <c r="D75" s="174"/>
      <c r="E75" s="174"/>
      <c r="F75" s="195" t="s">
        <v>198</v>
      </c>
      <c r="G75" s="174"/>
      <c r="H75" s="174"/>
      <c r="I75" s="174"/>
      <c r="J75" s="180" t="s">
        <v>1732</v>
      </c>
      <c r="K75" s="181" t="s">
        <v>3894</v>
      </c>
      <c r="L75" s="192" t="s">
        <v>4</v>
      </c>
      <c r="M75" s="192" t="s">
        <v>917</v>
      </c>
      <c r="N75" s="182" t="s">
        <v>4</v>
      </c>
    </row>
    <row r="76" spans="1:14" ht="19.5">
      <c r="A76" s="186" t="s">
        <v>4439</v>
      </c>
      <c r="B76" s="188" t="s">
        <v>188</v>
      </c>
      <c r="C76" s="174" t="s">
        <v>4833</v>
      </c>
      <c r="D76" s="174" t="s">
        <v>39</v>
      </c>
      <c r="E76" s="174">
        <v>0</v>
      </c>
      <c r="F76" s="186" t="s">
        <v>4440</v>
      </c>
      <c r="G76" s="174"/>
      <c r="H76" s="174"/>
      <c r="I76" s="174"/>
      <c r="J76" s="180" t="s">
        <v>2793</v>
      </c>
      <c r="K76" s="181" t="s">
        <v>3894</v>
      </c>
      <c r="L76" s="192" t="s">
        <v>3</v>
      </c>
      <c r="M76" s="192" t="s">
        <v>1318</v>
      </c>
      <c r="N76" s="182" t="s">
        <v>3</v>
      </c>
    </row>
    <row r="77" spans="1:14" ht="19.5">
      <c r="A77" s="186">
        <v>6</v>
      </c>
      <c r="B77" s="188" t="s">
        <v>188</v>
      </c>
      <c r="C77" s="174" t="e">
        <v>#N/A</v>
      </c>
      <c r="D77" s="174" t="e">
        <v>#N/A</v>
      </c>
      <c r="E77" s="174" t="e">
        <v>#N/A</v>
      </c>
      <c r="F77" s="186" t="s">
        <v>229</v>
      </c>
      <c r="G77" s="174"/>
      <c r="H77" s="174"/>
      <c r="I77" s="174"/>
      <c r="J77" s="180" t="s">
        <v>2797</v>
      </c>
      <c r="K77" s="181" t="s">
        <v>3894</v>
      </c>
      <c r="L77" s="192" t="s">
        <v>4</v>
      </c>
      <c r="M77" s="192" t="s">
        <v>2800</v>
      </c>
      <c r="N77" s="182" t="s">
        <v>4</v>
      </c>
    </row>
    <row r="78" spans="1:14" ht="19.5">
      <c r="A78" s="186" t="s">
        <v>239</v>
      </c>
      <c r="B78" s="188" t="s">
        <v>188</v>
      </c>
      <c r="C78" s="174" t="s">
        <v>4833</v>
      </c>
      <c r="D78" s="174" t="s">
        <v>39</v>
      </c>
      <c r="E78" s="174">
        <v>0</v>
      </c>
      <c r="F78" s="186" t="s">
        <v>240</v>
      </c>
      <c r="G78" s="185" t="s">
        <v>5364</v>
      </c>
      <c r="H78" s="174"/>
      <c r="I78" s="174"/>
      <c r="J78" s="180" t="s">
        <v>2802</v>
      </c>
      <c r="K78" s="181" t="s">
        <v>3894</v>
      </c>
      <c r="L78" s="192" t="s">
        <v>3</v>
      </c>
      <c r="M78" s="192" t="s">
        <v>903</v>
      </c>
      <c r="N78" s="182" t="s">
        <v>3</v>
      </c>
    </row>
    <row r="79" spans="1:14" ht="19.5">
      <c r="A79" s="186" t="s">
        <v>244</v>
      </c>
      <c r="B79" s="188" t="s">
        <v>188</v>
      </c>
      <c r="C79" s="174" t="s">
        <v>4833</v>
      </c>
      <c r="D79" s="174" t="s">
        <v>39</v>
      </c>
      <c r="E79" s="174">
        <v>0</v>
      </c>
      <c r="F79" s="186" t="s">
        <v>245</v>
      </c>
      <c r="G79" s="185" t="s">
        <v>5364</v>
      </c>
      <c r="H79" s="174"/>
      <c r="I79" s="174"/>
      <c r="J79" s="180" t="s">
        <v>317</v>
      </c>
      <c r="K79" s="181" t="s">
        <v>4833</v>
      </c>
      <c r="L79" s="192" t="s">
        <v>39</v>
      </c>
      <c r="M79" s="192" t="s">
        <v>231</v>
      </c>
      <c r="N79" s="182" t="s">
        <v>231</v>
      </c>
    </row>
    <row r="80" spans="1:14" ht="19.5">
      <c r="A80" s="186" t="s">
        <v>250</v>
      </c>
      <c r="B80" s="188" t="s">
        <v>188</v>
      </c>
      <c r="C80" s="174" t="s">
        <v>4833</v>
      </c>
      <c r="D80" s="174" t="s">
        <v>39</v>
      </c>
      <c r="E80" s="174">
        <v>0</v>
      </c>
      <c r="F80" s="186" t="s">
        <v>251</v>
      </c>
      <c r="G80" s="174"/>
      <c r="H80" s="174"/>
      <c r="I80" s="174"/>
      <c r="J80" s="180" t="s">
        <v>4443</v>
      </c>
      <c r="K80" s="181" t="s">
        <v>4833</v>
      </c>
      <c r="L80" s="192" t="s">
        <v>39</v>
      </c>
      <c r="M80" s="192" t="s">
        <v>231</v>
      </c>
      <c r="N80" s="182" t="s">
        <v>231</v>
      </c>
    </row>
    <row r="81" spans="1:14" ht="19.5">
      <c r="A81" s="186" t="s">
        <v>256</v>
      </c>
      <c r="B81" s="188" t="s">
        <v>188</v>
      </c>
      <c r="C81" s="174" t="s">
        <v>4833</v>
      </c>
      <c r="D81" s="174" t="s">
        <v>39</v>
      </c>
      <c r="E81" s="174">
        <v>0</v>
      </c>
      <c r="F81" s="186" t="s">
        <v>257</v>
      </c>
      <c r="G81" s="174"/>
      <c r="H81" s="174"/>
      <c r="I81" s="174"/>
      <c r="J81" s="180" t="s">
        <v>3088</v>
      </c>
      <c r="K81" s="181" t="s">
        <v>4833</v>
      </c>
      <c r="L81" s="192" t="s">
        <v>39</v>
      </c>
      <c r="M81" s="192" t="s">
        <v>231</v>
      </c>
      <c r="N81" s="182" t="s">
        <v>231</v>
      </c>
    </row>
    <row r="82" spans="1:14" ht="19.5">
      <c r="A82" s="186" t="s">
        <v>261</v>
      </c>
      <c r="B82" s="188" t="s">
        <v>188</v>
      </c>
      <c r="C82" s="174" t="s">
        <v>4833</v>
      </c>
      <c r="D82" s="174" t="s">
        <v>39</v>
      </c>
      <c r="E82" s="174">
        <v>0</v>
      </c>
      <c r="F82" s="186" t="s">
        <v>262</v>
      </c>
      <c r="G82" s="174"/>
      <c r="H82" s="174"/>
      <c r="I82" s="174"/>
      <c r="J82" s="180" t="s">
        <v>1401</v>
      </c>
      <c r="K82" s="181" t="s">
        <v>3894</v>
      </c>
      <c r="L82" s="192" t="s">
        <v>4</v>
      </c>
      <c r="M82" s="192" t="s">
        <v>1404</v>
      </c>
      <c r="N82" s="182" t="s">
        <v>4</v>
      </c>
    </row>
    <row r="83" spans="1:14" ht="19.5">
      <c r="A83" s="186" t="s">
        <v>267</v>
      </c>
      <c r="B83" s="188" t="s">
        <v>188</v>
      </c>
      <c r="C83" s="174" t="s">
        <v>4833</v>
      </c>
      <c r="D83" s="174" t="s">
        <v>39</v>
      </c>
      <c r="E83" s="174">
        <v>0</v>
      </c>
      <c r="F83" s="186" t="s">
        <v>268</v>
      </c>
      <c r="G83" s="174"/>
      <c r="H83" s="174"/>
      <c r="I83" s="174"/>
      <c r="J83" s="180" t="s">
        <v>333</v>
      </c>
      <c r="K83" s="181" t="s">
        <v>4833</v>
      </c>
      <c r="L83" s="192" t="s">
        <v>39</v>
      </c>
      <c r="M83" s="192" t="s">
        <v>231</v>
      </c>
      <c r="N83" s="182" t="s">
        <v>231</v>
      </c>
    </row>
    <row r="84" spans="1:14" ht="19.5">
      <c r="A84" s="186" t="s">
        <v>272</v>
      </c>
      <c r="B84" s="188" t="s">
        <v>188</v>
      </c>
      <c r="C84" s="174" t="s">
        <v>4833</v>
      </c>
      <c r="D84" s="174" t="s">
        <v>39</v>
      </c>
      <c r="E84" s="174">
        <v>0</v>
      </c>
      <c r="F84" s="186" t="s">
        <v>273</v>
      </c>
      <c r="G84" s="174"/>
      <c r="H84" s="174"/>
      <c r="I84" s="174"/>
      <c r="J84" s="180" t="s">
        <v>1531</v>
      </c>
      <c r="K84" s="181" t="s">
        <v>3894</v>
      </c>
      <c r="L84" s="192" t="s">
        <v>4</v>
      </c>
      <c r="M84" s="192" t="s">
        <v>917</v>
      </c>
      <c r="N84" s="182" t="s">
        <v>4</v>
      </c>
    </row>
    <row r="85" spans="1:14" ht="19.5">
      <c r="A85" s="186" t="s">
        <v>277</v>
      </c>
      <c r="B85" s="188" t="s">
        <v>188</v>
      </c>
      <c r="C85" s="174" t="s">
        <v>4833</v>
      </c>
      <c r="D85" s="174" t="s">
        <v>39</v>
      </c>
      <c r="E85" s="174">
        <v>0</v>
      </c>
      <c r="F85" s="186" t="s">
        <v>278</v>
      </c>
      <c r="G85" s="174"/>
      <c r="H85" s="174"/>
      <c r="I85" s="174"/>
      <c r="J85" s="180" t="s">
        <v>2806</v>
      </c>
      <c r="K85" s="181" t="s">
        <v>3894</v>
      </c>
      <c r="L85" s="192" t="s">
        <v>3</v>
      </c>
      <c r="M85" s="192" t="s">
        <v>2809</v>
      </c>
      <c r="N85" s="182" t="s">
        <v>3</v>
      </c>
    </row>
    <row r="86" spans="1:14" ht="19.5">
      <c r="A86" s="186" t="s">
        <v>283</v>
      </c>
      <c r="B86" s="188" t="s">
        <v>188</v>
      </c>
      <c r="C86" s="174" t="s">
        <v>4833</v>
      </c>
      <c r="D86" s="174" t="s">
        <v>39</v>
      </c>
      <c r="E86" s="174">
        <v>0</v>
      </c>
      <c r="F86" s="186" t="s">
        <v>284</v>
      </c>
      <c r="G86" s="174"/>
      <c r="H86" s="174"/>
      <c r="I86" s="174"/>
      <c r="J86" s="180" t="s">
        <v>322</v>
      </c>
      <c r="K86" s="181" t="s">
        <v>4833</v>
      </c>
      <c r="L86" s="192" t="s">
        <v>39</v>
      </c>
      <c r="M86" s="192" t="s">
        <v>231</v>
      </c>
      <c r="N86" s="182" t="s">
        <v>231</v>
      </c>
    </row>
    <row r="87" spans="1:14" ht="19.5">
      <c r="A87" s="186" t="s">
        <v>288</v>
      </c>
      <c r="B87" s="188" t="s">
        <v>188</v>
      </c>
      <c r="C87" s="174" t="s">
        <v>4833</v>
      </c>
      <c r="D87" s="174" t="s">
        <v>39</v>
      </c>
      <c r="E87" s="174">
        <v>0</v>
      </c>
      <c r="F87" s="186" t="s">
        <v>289</v>
      </c>
      <c r="G87" s="174"/>
      <c r="H87" s="174"/>
      <c r="I87" s="174"/>
      <c r="J87" s="180" t="s">
        <v>4523</v>
      </c>
      <c r="K87" s="181" t="s">
        <v>3894</v>
      </c>
      <c r="L87" s="192" t="s">
        <v>5</v>
      </c>
      <c r="M87" s="192" t="s">
        <v>5365</v>
      </c>
      <c r="N87" s="182" t="s">
        <v>5</v>
      </c>
    </row>
    <row r="88" spans="1:14" ht="19.5">
      <c r="A88" s="186" t="s">
        <v>301</v>
      </c>
      <c r="B88" s="188" t="s">
        <v>188</v>
      </c>
      <c r="C88" s="174" t="s">
        <v>4833</v>
      </c>
      <c r="D88" s="174" t="s">
        <v>39</v>
      </c>
      <c r="E88" s="174">
        <v>0</v>
      </c>
      <c r="F88" s="186" t="s">
        <v>302</v>
      </c>
      <c r="G88" s="174"/>
      <c r="H88" s="174"/>
      <c r="I88" s="174"/>
      <c r="J88" s="180" t="s">
        <v>1409</v>
      </c>
      <c r="K88" s="181" t="s">
        <v>3894</v>
      </c>
      <c r="L88" s="192" t="s">
        <v>5351</v>
      </c>
      <c r="M88" s="192" t="s">
        <v>887</v>
      </c>
      <c r="N88" s="182" t="s">
        <v>4</v>
      </c>
    </row>
    <row r="89" spans="1:14" ht="19.5">
      <c r="A89" s="186" t="s">
        <v>3018</v>
      </c>
      <c r="B89" s="188" t="s">
        <v>188</v>
      </c>
      <c r="C89" s="174" t="s">
        <v>4833</v>
      </c>
      <c r="D89" s="174" t="s">
        <v>39</v>
      </c>
      <c r="E89" s="174">
        <v>0</v>
      </c>
      <c r="F89" s="186" t="s">
        <v>3019</v>
      </c>
      <c r="G89" s="174"/>
      <c r="H89" s="174"/>
      <c r="I89" s="174"/>
      <c r="J89" s="180" t="s">
        <v>1416</v>
      </c>
      <c r="K89" s="181" t="s">
        <v>3894</v>
      </c>
      <c r="L89" s="192" t="s">
        <v>5351</v>
      </c>
      <c r="M89" s="192" t="s">
        <v>917</v>
      </c>
      <c r="N89" s="182" t="s">
        <v>4</v>
      </c>
    </row>
    <row r="90" spans="1:14" ht="19.5">
      <c r="A90" s="186" t="s">
        <v>548</v>
      </c>
      <c r="B90" s="188" t="s">
        <v>188</v>
      </c>
      <c r="C90" s="174" t="s">
        <v>4833</v>
      </c>
      <c r="D90" s="174" t="s">
        <v>39</v>
      </c>
      <c r="E90" s="174">
        <v>0</v>
      </c>
      <c r="F90" s="186" t="s">
        <v>4594</v>
      </c>
      <c r="G90" s="174"/>
      <c r="H90" s="174"/>
      <c r="I90" s="174"/>
      <c r="J90" s="180" t="s">
        <v>1423</v>
      </c>
      <c r="K90" s="181" t="s">
        <v>3894</v>
      </c>
      <c r="L90" s="192" t="s">
        <v>5351</v>
      </c>
      <c r="M90" s="192" t="s">
        <v>917</v>
      </c>
      <c r="N90" s="182" t="s">
        <v>4</v>
      </c>
    </row>
    <row r="91" spans="1:14" ht="19.5">
      <c r="A91" s="186" t="s">
        <v>306</v>
      </c>
      <c r="B91" s="188" t="s">
        <v>188</v>
      </c>
      <c r="C91" s="174" t="s">
        <v>4833</v>
      </c>
      <c r="D91" s="174" t="s">
        <v>39</v>
      </c>
      <c r="E91" s="174">
        <v>0</v>
      </c>
      <c r="F91" s="186" t="s">
        <v>307</v>
      </c>
      <c r="G91" s="174"/>
      <c r="H91" s="174"/>
      <c r="I91" s="174"/>
      <c r="J91" s="180" t="s">
        <v>1430</v>
      </c>
      <c r="K91" s="181" t="s">
        <v>3894</v>
      </c>
      <c r="L91" s="192" t="s">
        <v>5351</v>
      </c>
      <c r="M91" s="192" t="s">
        <v>887</v>
      </c>
      <c r="N91" s="182" t="s">
        <v>4</v>
      </c>
    </row>
    <row r="92" spans="1:14" ht="19.5">
      <c r="A92" s="186" t="s">
        <v>312</v>
      </c>
      <c r="B92" s="188" t="s">
        <v>188</v>
      </c>
      <c r="C92" s="174" t="s">
        <v>4833</v>
      </c>
      <c r="D92" s="174" t="s">
        <v>39</v>
      </c>
      <c r="E92" s="174">
        <v>0</v>
      </c>
      <c r="F92" s="186" t="s">
        <v>313</v>
      </c>
      <c r="G92" s="174"/>
      <c r="H92" s="174"/>
      <c r="I92" s="174"/>
      <c r="J92" s="180" t="s">
        <v>908</v>
      </c>
      <c r="K92" s="181" t="s">
        <v>3894</v>
      </c>
      <c r="L92" s="192" t="s">
        <v>3</v>
      </c>
      <c r="M92" s="192" t="s">
        <v>911</v>
      </c>
      <c r="N92" s="182" t="s">
        <v>3</v>
      </c>
    </row>
    <row r="93" spans="1:14" ht="19.5">
      <c r="A93" s="186" t="s">
        <v>317</v>
      </c>
      <c r="B93" s="188" t="s">
        <v>188</v>
      </c>
      <c r="C93" s="174" t="s">
        <v>4833</v>
      </c>
      <c r="D93" s="174" t="s">
        <v>39</v>
      </c>
      <c r="E93" s="174">
        <v>0</v>
      </c>
      <c r="F93" s="186" t="s">
        <v>318</v>
      </c>
      <c r="G93" s="174"/>
      <c r="H93" s="174"/>
      <c r="I93" s="174"/>
      <c r="J93" s="180" t="s">
        <v>1437</v>
      </c>
      <c r="K93" s="181" t="s">
        <v>3894</v>
      </c>
      <c r="L93" s="192" t="s">
        <v>4</v>
      </c>
      <c r="M93" s="192" t="s">
        <v>948</v>
      </c>
      <c r="N93" s="182" t="s">
        <v>4</v>
      </c>
    </row>
    <row r="94" spans="1:14" ht="19.5">
      <c r="A94" s="186" t="s">
        <v>4443</v>
      </c>
      <c r="B94" s="188" t="s">
        <v>188</v>
      </c>
      <c r="C94" s="174" t="s">
        <v>4833</v>
      </c>
      <c r="D94" s="174" t="s">
        <v>39</v>
      </c>
      <c r="E94" s="174">
        <v>0</v>
      </c>
      <c r="F94" s="186" t="s">
        <v>3602</v>
      </c>
      <c r="G94" s="174"/>
      <c r="H94" s="174"/>
      <c r="I94" s="174"/>
      <c r="J94" s="180" t="s">
        <v>914</v>
      </c>
      <c r="K94" s="181" t="s">
        <v>3894</v>
      </c>
      <c r="L94" s="192" t="s">
        <v>5351</v>
      </c>
      <c r="M94" s="192" t="s">
        <v>917</v>
      </c>
      <c r="N94" s="182" t="s">
        <v>4</v>
      </c>
    </row>
    <row r="95" spans="1:14" ht="19.5">
      <c r="A95" s="186" t="s">
        <v>322</v>
      </c>
      <c r="B95" s="188" t="s">
        <v>188</v>
      </c>
      <c r="C95" s="174" t="s">
        <v>4833</v>
      </c>
      <c r="D95" s="174" t="s">
        <v>39</v>
      </c>
      <c r="E95" s="174">
        <v>0</v>
      </c>
      <c r="F95" s="186" t="s">
        <v>323</v>
      </c>
      <c r="G95" s="174"/>
      <c r="H95" s="174"/>
      <c r="I95" s="174"/>
      <c r="J95" s="180" t="s">
        <v>1738</v>
      </c>
      <c r="K95" s="181" t="s">
        <v>3894</v>
      </c>
      <c r="L95" s="192" t="s">
        <v>5</v>
      </c>
      <c r="M95" s="192" t="s">
        <v>933</v>
      </c>
      <c r="N95" s="182" t="s">
        <v>5</v>
      </c>
    </row>
    <row r="96" spans="1:14" ht="19.5">
      <c r="A96" s="186" t="s">
        <v>327</v>
      </c>
      <c r="B96" s="188" t="s">
        <v>188</v>
      </c>
      <c r="C96" s="174" t="s">
        <v>4833</v>
      </c>
      <c r="D96" s="174" t="s">
        <v>39</v>
      </c>
      <c r="E96" s="174">
        <v>0</v>
      </c>
      <c r="F96" s="186" t="s">
        <v>328</v>
      </c>
      <c r="G96" s="174"/>
      <c r="H96" s="174"/>
      <c r="I96" s="174"/>
      <c r="J96" s="180" t="s">
        <v>1444</v>
      </c>
      <c r="K96" s="181" t="s">
        <v>3894</v>
      </c>
      <c r="L96" s="192" t="s">
        <v>3</v>
      </c>
      <c r="M96" s="192" t="s">
        <v>903</v>
      </c>
      <c r="N96" s="182" t="s">
        <v>3</v>
      </c>
    </row>
    <row r="97" spans="1:14" ht="19.5">
      <c r="A97" s="186" t="s">
        <v>333</v>
      </c>
      <c r="B97" s="188" t="s">
        <v>188</v>
      </c>
      <c r="C97" s="174" t="s">
        <v>4833</v>
      </c>
      <c r="D97" s="174" t="s">
        <v>39</v>
      </c>
      <c r="E97" s="174">
        <v>0</v>
      </c>
      <c r="F97" s="186" t="s">
        <v>334</v>
      </c>
      <c r="G97" s="174"/>
      <c r="H97" s="174"/>
      <c r="I97" s="174"/>
      <c r="J97" s="180" t="s">
        <v>1450</v>
      </c>
      <c r="K97" s="181" t="s">
        <v>3894</v>
      </c>
      <c r="L97" s="192" t="s">
        <v>5351</v>
      </c>
      <c r="M97" s="192" t="s">
        <v>1404</v>
      </c>
      <c r="N97" s="182" t="s">
        <v>4</v>
      </c>
    </row>
    <row r="98" spans="1:14" ht="19.5">
      <c r="A98" s="186" t="s">
        <v>4456</v>
      </c>
      <c r="B98" s="188" t="s">
        <v>188</v>
      </c>
      <c r="C98" s="174" t="s">
        <v>4833</v>
      </c>
      <c r="D98" s="174" t="s">
        <v>39</v>
      </c>
      <c r="E98" s="174">
        <v>0</v>
      </c>
      <c r="F98" s="186" t="s">
        <v>3808</v>
      </c>
      <c r="G98" s="174"/>
      <c r="H98" s="174"/>
      <c r="I98" s="174"/>
      <c r="J98" s="180" t="s">
        <v>1457</v>
      </c>
      <c r="K98" s="181" t="s">
        <v>3894</v>
      </c>
      <c r="L98" s="192" t="s">
        <v>5351</v>
      </c>
      <c r="M98" s="192" t="s">
        <v>1404</v>
      </c>
      <c r="N98" s="182" t="s">
        <v>4</v>
      </c>
    </row>
    <row r="99" spans="1:14" ht="19.5">
      <c r="A99" s="186" t="s">
        <v>338</v>
      </c>
      <c r="B99" s="188" t="s">
        <v>188</v>
      </c>
      <c r="C99" s="174" t="e">
        <v>#N/A</v>
      </c>
      <c r="D99" s="174" t="e">
        <v>#N/A</v>
      </c>
      <c r="E99" s="174" t="e">
        <v>#N/A</v>
      </c>
      <c r="F99" s="186" t="s">
        <v>339</v>
      </c>
      <c r="G99" s="174"/>
      <c r="H99" s="174"/>
      <c r="I99" s="174"/>
      <c r="J99" s="180" t="s">
        <v>1463</v>
      </c>
      <c r="K99" s="181" t="s">
        <v>3894</v>
      </c>
      <c r="L99" s="192" t="s">
        <v>3</v>
      </c>
      <c r="M99" s="192" t="s">
        <v>887</v>
      </c>
      <c r="N99" s="182" t="s">
        <v>3</v>
      </c>
    </row>
    <row r="100" spans="1:14" ht="19.5">
      <c r="A100" s="186" t="s">
        <v>344</v>
      </c>
      <c r="B100" s="188" t="s">
        <v>15</v>
      </c>
      <c r="C100" s="174" t="s">
        <v>3894</v>
      </c>
      <c r="D100" s="174" t="s">
        <v>15</v>
      </c>
      <c r="E100" s="174" t="s">
        <v>5366</v>
      </c>
      <c r="F100" s="186" t="s">
        <v>345</v>
      </c>
      <c r="G100" s="174"/>
      <c r="H100" s="174"/>
      <c r="I100" s="174"/>
      <c r="J100" s="180" t="s">
        <v>921</v>
      </c>
      <c r="K100" s="181" t="s">
        <v>3894</v>
      </c>
      <c r="L100" s="192" t="s">
        <v>3</v>
      </c>
      <c r="M100" s="192" t="s">
        <v>925</v>
      </c>
      <c r="N100" s="182" t="s">
        <v>3</v>
      </c>
    </row>
    <row r="101" spans="1:14" ht="19.5">
      <c r="A101" s="186" t="s">
        <v>363</v>
      </c>
      <c r="B101" s="188" t="s">
        <v>188</v>
      </c>
      <c r="C101" s="174" t="s">
        <v>4833</v>
      </c>
      <c r="D101" s="174" t="s">
        <v>39</v>
      </c>
      <c r="E101" s="174">
        <v>0</v>
      </c>
      <c r="F101" s="186" t="s">
        <v>364</v>
      </c>
      <c r="G101" s="174"/>
      <c r="H101" s="174"/>
      <c r="I101" s="174"/>
      <c r="J101" s="180" t="s">
        <v>1469</v>
      </c>
      <c r="K101" s="181" t="s">
        <v>3894</v>
      </c>
      <c r="L101" s="192" t="s">
        <v>4</v>
      </c>
      <c r="M101" s="192" t="s">
        <v>948</v>
      </c>
      <c r="N101" s="182" t="s">
        <v>4</v>
      </c>
    </row>
    <row r="102" spans="1:14" ht="19.5">
      <c r="A102" s="186" t="s">
        <v>4460</v>
      </c>
      <c r="B102" s="188" t="s">
        <v>188</v>
      </c>
      <c r="C102" s="174" t="s">
        <v>4833</v>
      </c>
      <c r="D102" s="174" t="s">
        <v>39</v>
      </c>
      <c r="E102" s="174">
        <v>0</v>
      </c>
      <c r="F102" s="186" t="s">
        <v>3727</v>
      </c>
      <c r="G102" s="174"/>
      <c r="H102" s="174"/>
      <c r="I102" s="174"/>
      <c r="J102" s="180" t="s">
        <v>1475</v>
      </c>
      <c r="K102" s="181" t="s">
        <v>3894</v>
      </c>
      <c r="L102" s="192" t="s">
        <v>5351</v>
      </c>
      <c r="M102" s="192" t="s">
        <v>948</v>
      </c>
      <c r="N102" s="182" t="s">
        <v>4</v>
      </c>
    </row>
    <row r="103" spans="1:14" ht="19.5">
      <c r="A103" s="186" t="s">
        <v>4467</v>
      </c>
      <c r="B103" s="188" t="s">
        <v>188</v>
      </c>
      <c r="C103" s="174" t="s">
        <v>4833</v>
      </c>
      <c r="D103" s="174" t="s">
        <v>39</v>
      </c>
      <c r="E103" s="174">
        <v>0</v>
      </c>
      <c r="F103" s="186" t="s">
        <v>2612</v>
      </c>
      <c r="G103" s="174"/>
      <c r="H103" s="174"/>
      <c r="I103" s="174"/>
      <c r="J103" s="180" t="s">
        <v>1482</v>
      </c>
      <c r="K103" s="181" t="s">
        <v>3894</v>
      </c>
      <c r="L103" s="192" t="s">
        <v>3</v>
      </c>
      <c r="M103" s="192" t="s">
        <v>903</v>
      </c>
      <c r="N103" s="182" t="s">
        <v>3</v>
      </c>
    </row>
    <row r="104" spans="1:14" ht="19.5">
      <c r="A104" s="186" t="s">
        <v>4470</v>
      </c>
      <c r="B104" s="188" t="s">
        <v>188</v>
      </c>
      <c r="C104" s="174" t="s">
        <v>4833</v>
      </c>
      <c r="D104" s="174" t="s">
        <v>39</v>
      </c>
      <c r="E104" s="174">
        <v>0</v>
      </c>
      <c r="F104" s="186" t="s">
        <v>2238</v>
      </c>
      <c r="G104" s="174"/>
      <c r="H104" s="174"/>
      <c r="I104" s="174"/>
      <c r="J104" s="180" t="s">
        <v>1490</v>
      </c>
      <c r="K104" s="181" t="s">
        <v>3894</v>
      </c>
      <c r="L104" s="192" t="s">
        <v>5351</v>
      </c>
      <c r="M104" s="192" t="s">
        <v>887</v>
      </c>
      <c r="N104" s="182" t="s">
        <v>4</v>
      </c>
    </row>
    <row r="105" spans="1:14" ht="19.5">
      <c r="A105" s="186" t="s">
        <v>368</v>
      </c>
      <c r="B105" s="188" t="s">
        <v>188</v>
      </c>
      <c r="C105" s="174" t="s">
        <v>4833</v>
      </c>
      <c r="D105" s="174" t="s">
        <v>39</v>
      </c>
      <c r="E105" s="174">
        <v>0</v>
      </c>
      <c r="F105" s="186" t="s">
        <v>369</v>
      </c>
      <c r="G105" s="174"/>
      <c r="H105" s="174"/>
      <c r="I105" s="174"/>
      <c r="J105" s="180" t="s">
        <v>1497</v>
      </c>
      <c r="K105" s="181" t="s">
        <v>3894</v>
      </c>
      <c r="L105" s="192" t="s">
        <v>4</v>
      </c>
      <c r="M105" s="192" t="s">
        <v>1404</v>
      </c>
      <c r="N105" s="182" t="s">
        <v>4</v>
      </c>
    </row>
    <row r="106" spans="1:14" ht="19.5">
      <c r="A106" s="186" t="s">
        <v>385</v>
      </c>
      <c r="B106" s="188" t="s">
        <v>188</v>
      </c>
      <c r="C106" s="174" t="s">
        <v>4833</v>
      </c>
      <c r="D106" s="174" t="s">
        <v>39</v>
      </c>
      <c r="E106" s="174">
        <v>0</v>
      </c>
      <c r="F106" s="186" t="s">
        <v>386</v>
      </c>
      <c r="G106" s="174"/>
      <c r="H106" s="174"/>
      <c r="I106" s="174"/>
      <c r="J106" s="180" t="s">
        <v>1504</v>
      </c>
      <c r="K106" s="181" t="s">
        <v>3894</v>
      </c>
      <c r="L106" s="192" t="s">
        <v>4</v>
      </c>
      <c r="M106" s="192" t="s">
        <v>887</v>
      </c>
      <c r="N106" s="182" t="s">
        <v>4</v>
      </c>
    </row>
    <row r="107" spans="1:14" ht="19.5">
      <c r="A107" s="186" t="s">
        <v>393</v>
      </c>
      <c r="B107" s="188" t="s">
        <v>188</v>
      </c>
      <c r="C107" s="174" t="s">
        <v>4833</v>
      </c>
      <c r="D107" s="174" t="s">
        <v>39</v>
      </c>
      <c r="E107" s="174">
        <v>0</v>
      </c>
      <c r="F107" s="186" t="s">
        <v>394</v>
      </c>
      <c r="G107" s="174"/>
      <c r="H107" s="174"/>
      <c r="I107" s="174"/>
      <c r="J107" s="180" t="s">
        <v>1511</v>
      </c>
      <c r="K107" s="181" t="s">
        <v>3894</v>
      </c>
      <c r="L107" s="192" t="s">
        <v>4</v>
      </c>
      <c r="M107" s="192" t="s">
        <v>1514</v>
      </c>
      <c r="N107" s="182" t="s">
        <v>4</v>
      </c>
    </row>
    <row r="108" spans="1:14" ht="19.5">
      <c r="A108" s="186" t="s">
        <v>399</v>
      </c>
      <c r="B108" s="188" t="s">
        <v>188</v>
      </c>
      <c r="C108" s="174" t="s">
        <v>4833</v>
      </c>
      <c r="D108" s="174" t="s">
        <v>39</v>
      </c>
      <c r="E108" s="174">
        <v>0</v>
      </c>
      <c r="F108" s="186" t="s">
        <v>400</v>
      </c>
      <c r="G108" s="174"/>
      <c r="H108" s="174"/>
      <c r="I108" s="174"/>
      <c r="J108" s="180" t="s">
        <v>930</v>
      </c>
      <c r="K108" s="181" t="s">
        <v>3894</v>
      </c>
      <c r="L108" s="192" t="s">
        <v>5351</v>
      </c>
      <c r="M108" s="192" t="s">
        <v>933</v>
      </c>
      <c r="N108" s="182" t="s">
        <v>4</v>
      </c>
    </row>
    <row r="109" spans="1:14" ht="19.5">
      <c r="A109" s="186" t="s">
        <v>407</v>
      </c>
      <c r="B109" s="188" t="s">
        <v>188</v>
      </c>
      <c r="C109" s="174" t="s">
        <v>4833</v>
      </c>
      <c r="D109" s="174" t="s">
        <v>39</v>
      </c>
      <c r="E109" s="174">
        <v>0</v>
      </c>
      <c r="F109" s="186" t="s">
        <v>408</v>
      </c>
      <c r="G109" s="174"/>
      <c r="H109" s="174"/>
      <c r="I109" s="174"/>
      <c r="J109" s="180" t="s">
        <v>937</v>
      </c>
      <c r="K109" s="181" t="s">
        <v>3894</v>
      </c>
      <c r="L109" s="192" t="s">
        <v>3</v>
      </c>
      <c r="M109" s="192" t="s">
        <v>940</v>
      </c>
      <c r="N109" s="182" t="s">
        <v>3</v>
      </c>
    </row>
    <row r="110" spans="1:14" ht="19.5">
      <c r="A110" s="186" t="s">
        <v>413</v>
      </c>
      <c r="B110" s="188" t="s">
        <v>188</v>
      </c>
      <c r="C110" s="174" t="s">
        <v>4833</v>
      </c>
      <c r="D110" s="174" t="s">
        <v>39</v>
      </c>
      <c r="E110" s="174">
        <v>0</v>
      </c>
      <c r="F110" s="186" t="s">
        <v>414</v>
      </c>
      <c r="G110" s="174"/>
      <c r="H110" s="174"/>
      <c r="I110" s="174"/>
      <c r="J110" s="180" t="s">
        <v>945</v>
      </c>
      <c r="K110" s="181" t="s">
        <v>3894</v>
      </c>
      <c r="L110" s="192" t="s">
        <v>3</v>
      </c>
      <c r="M110" s="192" t="s">
        <v>948</v>
      </c>
      <c r="N110" s="182" t="s">
        <v>3</v>
      </c>
    </row>
    <row r="111" spans="1:14" ht="19.5">
      <c r="A111" s="186" t="s">
        <v>4473</v>
      </c>
      <c r="B111" s="188" t="s">
        <v>188</v>
      </c>
      <c r="C111" s="174" t="s">
        <v>4833</v>
      </c>
      <c r="D111" s="174" t="s">
        <v>39</v>
      </c>
      <c r="E111" s="174">
        <v>0</v>
      </c>
      <c r="F111" s="186" t="s">
        <v>816</v>
      </c>
      <c r="G111" s="174"/>
      <c r="H111" s="174"/>
      <c r="I111" s="174"/>
      <c r="J111" s="180" t="s">
        <v>952</v>
      </c>
      <c r="K111" s="181" t="s">
        <v>3894</v>
      </c>
      <c r="L111" s="192" t="s">
        <v>4</v>
      </c>
      <c r="M111" s="192" t="s">
        <v>5352</v>
      </c>
      <c r="N111" s="182" t="s">
        <v>4</v>
      </c>
    </row>
    <row r="112" spans="1:14" ht="19.5">
      <c r="A112" s="186" t="s">
        <v>422</v>
      </c>
      <c r="B112" s="188" t="s">
        <v>188</v>
      </c>
      <c r="C112" s="174" t="s">
        <v>4833</v>
      </c>
      <c r="D112" s="174" t="s">
        <v>39</v>
      </c>
      <c r="E112" s="174">
        <v>0</v>
      </c>
      <c r="F112" s="186" t="s">
        <v>423</v>
      </c>
      <c r="G112" s="174"/>
      <c r="H112" s="174"/>
      <c r="I112" s="174"/>
      <c r="J112" s="180" t="s">
        <v>1744</v>
      </c>
      <c r="K112" s="181" t="s">
        <v>3894</v>
      </c>
      <c r="L112" s="192" t="s">
        <v>5</v>
      </c>
      <c r="M112" s="192" t="s">
        <v>1747</v>
      </c>
      <c r="N112" s="182" t="s">
        <v>5</v>
      </c>
    </row>
    <row r="113" spans="1:14" ht="19.5">
      <c r="A113" s="186" t="s">
        <v>430</v>
      </c>
      <c r="B113" s="188" t="s">
        <v>27</v>
      </c>
      <c r="C113" s="174" t="s">
        <v>4833</v>
      </c>
      <c r="D113" s="174" t="s">
        <v>39</v>
      </c>
      <c r="E113" s="174">
        <v>0</v>
      </c>
      <c r="F113" s="186" t="s">
        <v>431</v>
      </c>
      <c r="G113" s="174"/>
      <c r="H113" s="174"/>
      <c r="I113" s="174"/>
      <c r="J113" s="180" t="s">
        <v>1751</v>
      </c>
      <c r="K113" s="181" t="s">
        <v>3894</v>
      </c>
      <c r="L113" s="192" t="s">
        <v>5</v>
      </c>
      <c r="M113" s="192" t="s">
        <v>948</v>
      </c>
      <c r="N113" s="182" t="s">
        <v>5</v>
      </c>
    </row>
    <row r="114" spans="1:14" ht="19.5">
      <c r="A114" s="186" t="s">
        <v>436</v>
      </c>
      <c r="B114" s="188" t="s">
        <v>15</v>
      </c>
      <c r="C114" s="174" t="s">
        <v>3894</v>
      </c>
      <c r="D114" s="174" t="s">
        <v>15</v>
      </c>
      <c r="E114" s="174" t="s">
        <v>5367</v>
      </c>
      <c r="F114" s="186" t="s">
        <v>437</v>
      </c>
      <c r="G114" s="174"/>
      <c r="H114" s="174"/>
      <c r="I114" s="174"/>
      <c r="J114" s="180" t="s">
        <v>1518</v>
      </c>
      <c r="K114" s="181" t="s">
        <v>3894</v>
      </c>
      <c r="L114" s="192" t="s">
        <v>5351</v>
      </c>
      <c r="M114" s="192" t="s">
        <v>887</v>
      </c>
      <c r="N114" s="182" t="s">
        <v>4</v>
      </c>
    </row>
    <row r="115" spans="1:14" ht="19.5">
      <c r="A115" s="186" t="s">
        <v>446</v>
      </c>
      <c r="B115" s="188" t="s">
        <v>27</v>
      </c>
      <c r="C115" s="174" t="s">
        <v>4833</v>
      </c>
      <c r="D115" s="174" t="s">
        <v>39</v>
      </c>
      <c r="E115" s="174">
        <v>0</v>
      </c>
      <c r="F115" s="186" t="s">
        <v>447</v>
      </c>
      <c r="G115" s="174"/>
      <c r="H115" s="174"/>
      <c r="I115" s="174"/>
      <c r="J115" s="180" t="s">
        <v>1757</v>
      </c>
      <c r="K115" s="181" t="s">
        <v>3894</v>
      </c>
      <c r="L115" s="192" t="s">
        <v>5</v>
      </c>
      <c r="M115" s="192" t="s">
        <v>917</v>
      </c>
      <c r="N115" s="182" t="s">
        <v>5</v>
      </c>
    </row>
    <row r="116" spans="1:14" ht="39">
      <c r="A116" s="186" t="s">
        <v>451</v>
      </c>
      <c r="B116" s="188" t="s">
        <v>188</v>
      </c>
      <c r="C116" s="174" t="s">
        <v>4833</v>
      </c>
      <c r="D116" s="174" t="s">
        <v>39</v>
      </c>
      <c r="E116" s="174">
        <v>0</v>
      </c>
      <c r="F116" s="186" t="s">
        <v>452</v>
      </c>
      <c r="G116" s="174"/>
      <c r="H116" s="174"/>
      <c r="I116" s="174"/>
      <c r="J116" s="180" t="s">
        <v>960</v>
      </c>
      <c r="K116" s="181" t="s">
        <v>3894</v>
      </c>
      <c r="L116" s="192" t="s">
        <v>5356</v>
      </c>
      <c r="M116" s="192" t="s">
        <v>963</v>
      </c>
      <c r="N116" s="182" t="s">
        <v>5356</v>
      </c>
    </row>
    <row r="117" spans="1:14" ht="39">
      <c r="A117" s="186" t="s">
        <v>456</v>
      </c>
      <c r="B117" s="188" t="s">
        <v>15</v>
      </c>
      <c r="C117" s="174" t="s">
        <v>3894</v>
      </c>
      <c r="D117" s="174" t="s">
        <v>5346</v>
      </c>
      <c r="E117" s="174" t="s">
        <v>459</v>
      </c>
      <c r="F117" s="186" t="s">
        <v>457</v>
      </c>
      <c r="G117" s="174"/>
      <c r="H117" s="174"/>
      <c r="I117" s="174"/>
      <c r="J117" s="180" t="s">
        <v>968</v>
      </c>
      <c r="K117" s="181" t="s">
        <v>3894</v>
      </c>
      <c r="L117" s="192" t="s">
        <v>5356</v>
      </c>
      <c r="M117" s="192" t="s">
        <v>948</v>
      </c>
      <c r="N117" s="182" t="s">
        <v>5356</v>
      </c>
    </row>
    <row r="118" spans="1:14" ht="19.5">
      <c r="A118" s="186" t="s">
        <v>465</v>
      </c>
      <c r="B118" s="188" t="s">
        <v>188</v>
      </c>
      <c r="C118" s="174" t="s">
        <v>4833</v>
      </c>
      <c r="D118" s="174" t="s">
        <v>39</v>
      </c>
      <c r="E118" s="174">
        <v>0</v>
      </c>
      <c r="F118" s="186" t="s">
        <v>466</v>
      </c>
      <c r="G118" s="174"/>
      <c r="H118" s="174"/>
      <c r="I118" s="174"/>
      <c r="J118" s="180" t="s">
        <v>975</v>
      </c>
      <c r="K118" s="181" t="s">
        <v>3894</v>
      </c>
      <c r="L118" s="192" t="s">
        <v>4</v>
      </c>
      <c r="M118" s="192" t="s">
        <v>978</v>
      </c>
      <c r="N118" s="182" t="s">
        <v>4</v>
      </c>
    </row>
    <row r="119" spans="1:14" ht="19.5">
      <c r="A119" s="186" t="s">
        <v>469</v>
      </c>
      <c r="B119" s="188" t="s">
        <v>188</v>
      </c>
      <c r="C119" s="174" t="s">
        <v>4833</v>
      </c>
      <c r="D119" s="174" t="s">
        <v>39</v>
      </c>
      <c r="E119" s="174">
        <v>0</v>
      </c>
      <c r="F119" s="186" t="s">
        <v>470</v>
      </c>
      <c r="G119" s="174"/>
      <c r="H119" s="174"/>
      <c r="I119" s="174"/>
      <c r="J119" s="180" t="s">
        <v>4448</v>
      </c>
      <c r="K119" s="181" t="s">
        <v>4833</v>
      </c>
      <c r="L119" s="192" t="s">
        <v>39</v>
      </c>
      <c r="M119" s="192" t="s">
        <v>231</v>
      </c>
      <c r="N119" s="182" t="s">
        <v>231</v>
      </c>
    </row>
    <row r="120" spans="1:14" ht="19.5">
      <c r="A120" s="186" t="s">
        <v>475</v>
      </c>
      <c r="B120" s="188" t="s">
        <v>188</v>
      </c>
      <c r="C120" s="174" t="s">
        <v>4833</v>
      </c>
      <c r="D120" s="174" t="s">
        <v>39</v>
      </c>
      <c r="E120" s="174">
        <v>0</v>
      </c>
      <c r="F120" s="186" t="s">
        <v>476</v>
      </c>
      <c r="G120" s="174"/>
      <c r="H120" s="174"/>
      <c r="I120" s="174"/>
      <c r="J120" s="180" t="s">
        <v>1524</v>
      </c>
      <c r="K120" s="181" t="s">
        <v>3894</v>
      </c>
      <c r="L120" s="192" t="s">
        <v>5351</v>
      </c>
      <c r="M120" s="192" t="s">
        <v>887</v>
      </c>
      <c r="N120" s="182" t="s">
        <v>4</v>
      </c>
    </row>
    <row r="121" spans="1:14" ht="19.5">
      <c r="A121" s="186" t="s">
        <v>479</v>
      </c>
      <c r="B121" s="188" t="s">
        <v>188</v>
      </c>
      <c r="C121" s="174" t="s">
        <v>4833</v>
      </c>
      <c r="D121" s="174" t="s">
        <v>39</v>
      </c>
      <c r="E121" s="174">
        <v>0</v>
      </c>
      <c r="F121" s="186" t="s">
        <v>480</v>
      </c>
      <c r="G121" s="174"/>
      <c r="H121" s="174"/>
      <c r="I121" s="174"/>
      <c r="J121" s="180" t="s">
        <v>983</v>
      </c>
      <c r="K121" s="181" t="s">
        <v>3894</v>
      </c>
      <c r="L121" s="192" t="s">
        <v>3</v>
      </c>
      <c r="M121" s="192" t="s">
        <v>986</v>
      </c>
      <c r="N121" s="182" t="s">
        <v>3</v>
      </c>
    </row>
    <row r="122" spans="1:14" ht="19.5">
      <c r="A122" s="196" t="s">
        <v>483</v>
      </c>
      <c r="B122" s="188" t="s">
        <v>188</v>
      </c>
      <c r="C122" s="174" t="s">
        <v>4833</v>
      </c>
      <c r="D122" s="174" t="s">
        <v>39</v>
      </c>
      <c r="E122" s="174">
        <v>0</v>
      </c>
      <c r="F122" s="186" t="s">
        <v>484</v>
      </c>
      <c r="G122" s="174"/>
      <c r="H122" s="174"/>
      <c r="I122" s="174"/>
      <c r="J122" s="180" t="s">
        <v>1763</v>
      </c>
      <c r="K122" s="181" t="s">
        <v>3894</v>
      </c>
      <c r="L122" s="192" t="s">
        <v>5</v>
      </c>
      <c r="M122" s="192" t="s">
        <v>911</v>
      </c>
      <c r="N122" s="182" t="s">
        <v>5</v>
      </c>
    </row>
    <row r="123" spans="1:14" ht="19.5">
      <c r="A123" s="186" t="s">
        <v>489</v>
      </c>
      <c r="B123" s="188" t="s">
        <v>188</v>
      </c>
      <c r="C123" s="174" t="s">
        <v>4833</v>
      </c>
      <c r="D123" s="174" t="s">
        <v>39</v>
      </c>
      <c r="E123" s="174">
        <v>0</v>
      </c>
      <c r="F123" s="186" t="s">
        <v>490</v>
      </c>
      <c r="G123" s="174"/>
      <c r="H123" s="174"/>
      <c r="I123" s="174"/>
      <c r="J123" s="180" t="s">
        <v>1606</v>
      </c>
      <c r="K123" s="181" t="s">
        <v>3894</v>
      </c>
      <c r="L123" s="192" t="s">
        <v>5351</v>
      </c>
      <c r="M123" s="192" t="s">
        <v>887</v>
      </c>
      <c r="N123" s="182" t="s">
        <v>4</v>
      </c>
    </row>
    <row r="124" spans="1:14" ht="19.5">
      <c r="A124" s="186" t="s">
        <v>494</v>
      </c>
      <c r="B124" s="188" t="s">
        <v>188</v>
      </c>
      <c r="C124" s="174" t="s">
        <v>4833</v>
      </c>
      <c r="D124" s="174" t="s">
        <v>39</v>
      </c>
      <c r="E124" s="174">
        <v>0</v>
      </c>
      <c r="F124" s="186" t="s">
        <v>495</v>
      </c>
      <c r="G124" s="174"/>
      <c r="H124" s="174"/>
      <c r="I124" s="174"/>
      <c r="J124" s="180" t="s">
        <v>1612</v>
      </c>
      <c r="K124" s="181" t="s">
        <v>3894</v>
      </c>
      <c r="L124" s="192" t="s">
        <v>5351</v>
      </c>
      <c r="M124" s="192" t="s">
        <v>887</v>
      </c>
      <c r="N124" s="182" t="s">
        <v>4</v>
      </c>
    </row>
    <row r="125" spans="1:14" ht="19.5">
      <c r="A125" s="186" t="s">
        <v>501</v>
      </c>
      <c r="B125" s="188" t="s">
        <v>188</v>
      </c>
      <c r="C125" s="174" t="s">
        <v>4833</v>
      </c>
      <c r="D125" s="174" t="s">
        <v>39</v>
      </c>
      <c r="E125" s="174">
        <v>0</v>
      </c>
      <c r="F125" s="186" t="s">
        <v>502</v>
      </c>
      <c r="G125" s="174"/>
      <c r="H125" s="174"/>
      <c r="I125" s="174"/>
      <c r="J125" s="180" t="s">
        <v>1815</v>
      </c>
      <c r="K125" s="181" t="s">
        <v>3894</v>
      </c>
      <c r="L125" s="192" t="s">
        <v>5</v>
      </c>
      <c r="M125" s="192" t="s">
        <v>887</v>
      </c>
      <c r="N125" s="182" t="s">
        <v>5</v>
      </c>
    </row>
    <row r="126" spans="1:14" ht="19.5">
      <c r="A126" s="186" t="s">
        <v>507</v>
      </c>
      <c r="B126" s="188" t="s">
        <v>188</v>
      </c>
      <c r="C126" s="174" t="s">
        <v>4833</v>
      </c>
      <c r="D126" s="174" t="s">
        <v>39</v>
      </c>
      <c r="E126" s="174">
        <v>0</v>
      </c>
      <c r="F126" s="186" t="s">
        <v>508</v>
      </c>
      <c r="G126" s="174"/>
      <c r="H126" s="174"/>
      <c r="I126" s="174"/>
      <c r="J126" s="180" t="s">
        <v>1617</v>
      </c>
      <c r="K126" s="181" t="s">
        <v>3894</v>
      </c>
      <c r="L126" s="192" t="s">
        <v>5351</v>
      </c>
      <c r="M126" s="192" t="s">
        <v>1620</v>
      </c>
      <c r="N126" s="182" t="s">
        <v>4</v>
      </c>
    </row>
    <row r="127" spans="1:14" ht="19.5">
      <c r="A127" s="186" t="s">
        <v>512</v>
      </c>
      <c r="B127" s="188" t="s">
        <v>188</v>
      </c>
      <c r="C127" s="174" t="s">
        <v>4833</v>
      </c>
      <c r="D127" s="174" t="s">
        <v>39</v>
      </c>
      <c r="E127" s="174">
        <v>0</v>
      </c>
      <c r="F127" s="186" t="s">
        <v>513</v>
      </c>
      <c r="G127" s="174"/>
      <c r="H127" s="174"/>
      <c r="I127" s="174"/>
      <c r="J127" s="180" t="s">
        <v>991</v>
      </c>
      <c r="K127" s="181" t="s">
        <v>3894</v>
      </c>
      <c r="L127" s="192" t="s">
        <v>3</v>
      </c>
      <c r="M127" s="192" t="s">
        <v>994</v>
      </c>
      <c r="N127" s="182" t="s">
        <v>3</v>
      </c>
    </row>
    <row r="128" spans="1:14" ht="19.5">
      <c r="A128" s="186" t="s">
        <v>518</v>
      </c>
      <c r="B128" s="188" t="s">
        <v>188</v>
      </c>
      <c r="C128" s="174" t="s">
        <v>4833</v>
      </c>
      <c r="D128" s="174" t="s">
        <v>39</v>
      </c>
      <c r="E128" s="174">
        <v>0</v>
      </c>
      <c r="F128" s="186" t="s">
        <v>519</v>
      </c>
      <c r="G128" s="174"/>
      <c r="H128" s="174"/>
      <c r="I128" s="174"/>
      <c r="J128" s="180" t="s">
        <v>1623</v>
      </c>
      <c r="K128" s="181" t="s">
        <v>3894</v>
      </c>
      <c r="L128" s="192" t="s">
        <v>5351</v>
      </c>
      <c r="M128" s="192" t="s">
        <v>1626</v>
      </c>
      <c r="N128" s="182" t="s">
        <v>4</v>
      </c>
    </row>
    <row r="129" spans="1:14" ht="19.5">
      <c r="A129" s="186" t="s">
        <v>531</v>
      </c>
      <c r="B129" s="188" t="s">
        <v>4</v>
      </c>
      <c r="C129" s="174" t="s">
        <v>3894</v>
      </c>
      <c r="D129" s="174" t="s">
        <v>4</v>
      </c>
      <c r="E129" s="174" t="s">
        <v>534</v>
      </c>
      <c r="F129" s="186" t="s">
        <v>532</v>
      </c>
      <c r="G129" s="174"/>
      <c r="H129" s="174"/>
      <c r="I129" s="174"/>
      <c r="J129" s="180" t="s">
        <v>1629</v>
      </c>
      <c r="K129" s="181" t="s">
        <v>3894</v>
      </c>
      <c r="L129" s="192" t="s">
        <v>5351</v>
      </c>
      <c r="M129" s="192" t="s">
        <v>1376</v>
      </c>
      <c r="N129" s="182" t="s">
        <v>4</v>
      </c>
    </row>
    <row r="130" spans="1:14" ht="19.5">
      <c r="A130" s="186" t="s">
        <v>538</v>
      </c>
      <c r="B130" s="188" t="s">
        <v>188</v>
      </c>
      <c r="C130" s="174" t="e">
        <v>#N/A</v>
      </c>
      <c r="D130" s="174" t="e">
        <v>#N/A</v>
      </c>
      <c r="E130" s="174" t="e">
        <v>#N/A</v>
      </c>
      <c r="F130" s="186" t="s">
        <v>539</v>
      </c>
      <c r="G130" s="174"/>
      <c r="H130" s="174"/>
      <c r="I130" s="174"/>
      <c r="J130" s="180" t="s">
        <v>1242</v>
      </c>
      <c r="K130" s="181" t="s">
        <v>3894</v>
      </c>
      <c r="L130" s="192" t="s">
        <v>3</v>
      </c>
      <c r="M130" s="192" t="s">
        <v>1245</v>
      </c>
      <c r="N130" s="182" t="s">
        <v>3</v>
      </c>
    </row>
    <row r="131" spans="1:14" ht="19.5">
      <c r="A131" s="186" t="s">
        <v>543</v>
      </c>
      <c r="B131" s="188" t="s">
        <v>188</v>
      </c>
      <c r="C131" s="174" t="e">
        <v>#N/A</v>
      </c>
      <c r="D131" s="174" t="e">
        <v>#N/A</v>
      </c>
      <c r="E131" s="174" t="e">
        <v>#N/A</v>
      </c>
      <c r="F131" s="186" t="s">
        <v>544</v>
      </c>
      <c r="G131" s="174"/>
      <c r="H131" s="174"/>
      <c r="I131" s="174"/>
      <c r="J131" s="180" t="s">
        <v>1634</v>
      </c>
      <c r="K131" s="181" t="s">
        <v>3894</v>
      </c>
      <c r="L131" s="192" t="s">
        <v>5351</v>
      </c>
      <c r="M131" s="192" t="s">
        <v>887</v>
      </c>
      <c r="N131" s="182" t="s">
        <v>4</v>
      </c>
    </row>
    <row r="132" spans="1:14" ht="19.5">
      <c r="A132" s="186" t="s">
        <v>549</v>
      </c>
      <c r="B132" s="188" t="s">
        <v>188</v>
      </c>
      <c r="C132" s="174" t="e">
        <v>#N/A</v>
      </c>
      <c r="D132" s="174" t="e">
        <v>#N/A</v>
      </c>
      <c r="E132" s="174" t="e">
        <v>#N/A</v>
      </c>
      <c r="F132" s="186" t="s">
        <v>550</v>
      </c>
      <c r="G132" s="174"/>
      <c r="H132" s="174"/>
      <c r="I132" s="174"/>
      <c r="J132" s="180" t="s">
        <v>1248</v>
      </c>
      <c r="K132" s="181" t="s">
        <v>3894</v>
      </c>
      <c r="L132" s="192" t="s">
        <v>3</v>
      </c>
      <c r="M132" s="192" t="s">
        <v>1022</v>
      </c>
      <c r="N132" s="182" t="s">
        <v>3</v>
      </c>
    </row>
    <row r="133" spans="1:14" ht="19.5">
      <c r="A133" s="186" t="s">
        <v>555</v>
      </c>
      <c r="B133" s="188" t="s">
        <v>188</v>
      </c>
      <c r="C133" s="174" t="e">
        <v>#N/A</v>
      </c>
      <c r="D133" s="174" t="e">
        <v>#N/A</v>
      </c>
      <c r="E133" s="174" t="e">
        <v>#N/A</v>
      </c>
      <c r="F133" s="186" t="s">
        <v>556</v>
      </c>
      <c r="G133" s="174"/>
      <c r="H133" s="174"/>
      <c r="I133" s="174"/>
      <c r="J133" s="180" t="s">
        <v>1253</v>
      </c>
      <c r="K133" s="181" t="s">
        <v>3894</v>
      </c>
      <c r="L133" s="192" t="s">
        <v>3</v>
      </c>
      <c r="M133" s="192" t="s">
        <v>1135</v>
      </c>
      <c r="N133" s="182" t="s">
        <v>3</v>
      </c>
    </row>
    <row r="134" spans="1:14" ht="19.5">
      <c r="A134" s="186" t="s">
        <v>560</v>
      </c>
      <c r="B134" s="188" t="s">
        <v>15</v>
      </c>
      <c r="C134" s="174" t="e">
        <v>#N/A</v>
      </c>
      <c r="D134" s="174" t="e">
        <v>#N/A</v>
      </c>
      <c r="E134" s="174" t="e">
        <v>#N/A</v>
      </c>
      <c r="F134" s="186" t="s">
        <v>561</v>
      </c>
      <c r="G134" s="174"/>
      <c r="H134" s="174"/>
      <c r="I134" s="174"/>
      <c r="J134" s="180" t="s">
        <v>1258</v>
      </c>
      <c r="K134" s="181" t="s">
        <v>3894</v>
      </c>
      <c r="L134" s="192" t="s">
        <v>3</v>
      </c>
      <c r="M134" s="192" t="s">
        <v>1245</v>
      </c>
      <c r="N134" s="182" t="s">
        <v>3</v>
      </c>
    </row>
    <row r="135" spans="1:14" ht="19.5">
      <c r="A135" s="186" t="s">
        <v>567</v>
      </c>
      <c r="B135" s="188" t="s">
        <v>188</v>
      </c>
      <c r="C135" s="174" t="s">
        <v>4833</v>
      </c>
      <c r="D135" s="174" t="s">
        <v>39</v>
      </c>
      <c r="E135" s="174">
        <v>0</v>
      </c>
      <c r="F135" s="186" t="s">
        <v>568</v>
      </c>
      <c r="G135" s="174"/>
      <c r="H135" s="174"/>
      <c r="I135" s="174"/>
      <c r="J135" s="180" t="s">
        <v>1639</v>
      </c>
      <c r="K135" s="181" t="s">
        <v>3894</v>
      </c>
      <c r="L135" s="192" t="s">
        <v>4</v>
      </c>
      <c r="M135" s="192" t="s">
        <v>1038</v>
      </c>
      <c r="N135" s="182" t="s">
        <v>4</v>
      </c>
    </row>
    <row r="136" spans="1:14" ht="19.5">
      <c r="A136" s="186" t="s">
        <v>572</v>
      </c>
      <c r="B136" s="188" t="s">
        <v>188</v>
      </c>
      <c r="C136" s="174" t="s">
        <v>4833</v>
      </c>
      <c r="D136" s="174" t="s">
        <v>39</v>
      </c>
      <c r="E136" s="174">
        <v>0</v>
      </c>
      <c r="F136" s="186" t="s">
        <v>573</v>
      </c>
      <c r="G136" s="174"/>
      <c r="H136" s="174"/>
      <c r="I136" s="174"/>
      <c r="J136" s="180" t="s">
        <v>1820</v>
      </c>
      <c r="K136" s="181" t="s">
        <v>3894</v>
      </c>
      <c r="L136" s="192" t="s">
        <v>5</v>
      </c>
      <c r="M136" s="192" t="s">
        <v>1823</v>
      </c>
      <c r="N136" s="182" t="s">
        <v>5</v>
      </c>
    </row>
    <row r="137" spans="1:14" ht="19.5">
      <c r="A137" s="186" t="s">
        <v>577</v>
      </c>
      <c r="B137" s="188" t="s">
        <v>188</v>
      </c>
      <c r="C137" s="174" t="s">
        <v>4833</v>
      </c>
      <c r="D137" s="174" t="s">
        <v>39</v>
      </c>
      <c r="E137" s="174">
        <v>0</v>
      </c>
      <c r="F137" s="186" t="s">
        <v>578</v>
      </c>
      <c r="G137" s="174"/>
      <c r="H137" s="174"/>
      <c r="I137" s="174"/>
      <c r="J137" s="180" t="s">
        <v>1263</v>
      </c>
      <c r="K137" s="181" t="s">
        <v>3894</v>
      </c>
      <c r="L137" s="192" t="s">
        <v>3</v>
      </c>
      <c r="M137" s="192" t="s">
        <v>1266</v>
      </c>
      <c r="N137" s="182" t="s">
        <v>3</v>
      </c>
    </row>
    <row r="138" spans="1:14" ht="19.5">
      <c r="A138" s="197" t="s">
        <v>590</v>
      </c>
      <c r="B138" s="188" t="s">
        <v>188</v>
      </c>
      <c r="C138" s="174" t="s">
        <v>4833</v>
      </c>
      <c r="D138" s="174" t="s">
        <v>39</v>
      </c>
      <c r="E138" s="174">
        <v>0</v>
      </c>
      <c r="F138" s="186" t="s">
        <v>591</v>
      </c>
      <c r="G138" s="174"/>
      <c r="H138" s="174"/>
      <c r="I138" s="174"/>
      <c r="J138" s="180" t="s">
        <v>1645</v>
      </c>
      <c r="K138" s="181" t="s">
        <v>3894</v>
      </c>
      <c r="L138" s="192" t="s">
        <v>4</v>
      </c>
      <c r="M138" s="192" t="s">
        <v>1648</v>
      </c>
      <c r="N138" s="182" t="s">
        <v>4</v>
      </c>
    </row>
    <row r="139" spans="1:14" ht="19.5">
      <c r="A139" s="197" t="s">
        <v>596</v>
      </c>
      <c r="B139" s="188" t="s">
        <v>188</v>
      </c>
      <c r="C139" s="174" t="s">
        <v>4833</v>
      </c>
      <c r="D139" s="174" t="s">
        <v>39</v>
      </c>
      <c r="E139" s="174">
        <v>0</v>
      </c>
      <c r="F139" s="186" t="s">
        <v>597</v>
      </c>
      <c r="G139" s="174"/>
      <c r="H139" s="174"/>
      <c r="I139" s="174"/>
      <c r="J139" s="180" t="s">
        <v>1269</v>
      </c>
      <c r="K139" s="181" t="s">
        <v>3894</v>
      </c>
      <c r="L139" s="192" t="s">
        <v>3</v>
      </c>
      <c r="M139" s="192" t="s">
        <v>87</v>
      </c>
      <c r="N139" s="182" t="s">
        <v>3</v>
      </c>
    </row>
    <row r="140" spans="1:14" ht="19.5">
      <c r="A140" s="197" t="s">
        <v>602</v>
      </c>
      <c r="B140" s="188" t="s">
        <v>188</v>
      </c>
      <c r="C140" s="174" t="s">
        <v>4833</v>
      </c>
      <c r="D140" s="174" t="s">
        <v>39</v>
      </c>
      <c r="E140" s="174">
        <v>0</v>
      </c>
      <c r="F140" s="186" t="s">
        <v>603</v>
      </c>
      <c r="G140" s="174"/>
      <c r="H140" s="174"/>
      <c r="I140" s="174"/>
      <c r="J140" s="180" t="s">
        <v>327</v>
      </c>
      <c r="K140" s="181" t="s">
        <v>4833</v>
      </c>
      <c r="L140" s="192" t="s">
        <v>39</v>
      </c>
      <c r="M140" s="192" t="s">
        <v>231</v>
      </c>
      <c r="N140" s="182" t="s">
        <v>231</v>
      </c>
    </row>
    <row r="141" spans="1:14" ht="19.5">
      <c r="A141" s="197" t="s">
        <v>4476</v>
      </c>
      <c r="B141" s="188" t="s">
        <v>27</v>
      </c>
      <c r="C141" s="174" t="s">
        <v>4833</v>
      </c>
      <c r="D141" s="174" t="s">
        <v>39</v>
      </c>
      <c r="E141" s="174">
        <v>0</v>
      </c>
      <c r="F141" s="186" t="s">
        <v>2254</v>
      </c>
      <c r="G141" s="174"/>
      <c r="H141" s="174"/>
      <c r="I141" s="174"/>
      <c r="J141" s="180" t="s">
        <v>999</v>
      </c>
      <c r="K141" s="181" t="s">
        <v>3894</v>
      </c>
      <c r="L141" s="192" t="s">
        <v>3</v>
      </c>
      <c r="M141" s="192" t="s">
        <v>917</v>
      </c>
      <c r="N141" s="182" t="s">
        <v>3</v>
      </c>
    </row>
    <row r="142" spans="1:14" ht="19.5">
      <c r="A142" s="197" t="s">
        <v>607</v>
      </c>
      <c r="B142" s="188" t="s">
        <v>27</v>
      </c>
      <c r="C142" s="174" t="s">
        <v>4833</v>
      </c>
      <c r="D142" s="174" t="s">
        <v>39</v>
      </c>
      <c r="E142" s="174">
        <v>0</v>
      </c>
      <c r="F142" s="186" t="s">
        <v>608</v>
      </c>
      <c r="G142" s="174"/>
      <c r="H142" s="174"/>
      <c r="I142" s="174"/>
      <c r="J142" s="180" t="s">
        <v>1912</v>
      </c>
      <c r="K142" s="181" t="s">
        <v>4833</v>
      </c>
      <c r="L142" s="192" t="s">
        <v>39</v>
      </c>
      <c r="M142" s="192" t="s">
        <v>231</v>
      </c>
      <c r="N142" s="182" t="s">
        <v>231</v>
      </c>
    </row>
    <row r="143" spans="1:14" ht="19.5">
      <c r="A143" s="197" t="s">
        <v>612</v>
      </c>
      <c r="B143" s="188" t="s">
        <v>27</v>
      </c>
      <c r="C143" s="174" t="s">
        <v>4833</v>
      </c>
      <c r="D143" s="174" t="s">
        <v>39</v>
      </c>
      <c r="E143" s="174">
        <v>0</v>
      </c>
      <c r="F143" s="186" t="s">
        <v>613</v>
      </c>
      <c r="G143" s="174"/>
      <c r="H143" s="174"/>
      <c r="I143" s="174"/>
      <c r="J143" s="180" t="s">
        <v>1768</v>
      </c>
      <c r="K143" s="181" t="s">
        <v>3894</v>
      </c>
      <c r="L143" s="192" t="s">
        <v>5351</v>
      </c>
      <c r="M143" s="192" t="s">
        <v>119</v>
      </c>
      <c r="N143" s="182" t="s">
        <v>4</v>
      </c>
    </row>
    <row r="144" spans="1:14" ht="19.5">
      <c r="A144" s="197" t="s">
        <v>617</v>
      </c>
      <c r="B144" s="188" t="s">
        <v>188</v>
      </c>
      <c r="C144" s="174" t="s">
        <v>4833</v>
      </c>
      <c r="D144" s="174" t="s">
        <v>39</v>
      </c>
      <c r="E144" s="174">
        <v>0</v>
      </c>
      <c r="F144" s="186" t="s">
        <v>618</v>
      </c>
      <c r="G144" s="174"/>
      <c r="H144" s="174"/>
      <c r="I144" s="174"/>
      <c r="J144" s="180" t="s">
        <v>1011</v>
      </c>
      <c r="K144" s="181" t="s">
        <v>3894</v>
      </c>
      <c r="L144" s="192" t="s">
        <v>3</v>
      </c>
      <c r="M144" s="192" t="s">
        <v>1014</v>
      </c>
      <c r="N144" s="182" t="s">
        <v>3</v>
      </c>
    </row>
    <row r="145" spans="1:14" ht="19.5">
      <c r="A145" s="197" t="s">
        <v>623</v>
      </c>
      <c r="B145" s="188" t="s">
        <v>188</v>
      </c>
      <c r="C145" s="174" t="s">
        <v>4833</v>
      </c>
      <c r="D145" s="174" t="s">
        <v>39</v>
      </c>
      <c r="E145" s="174">
        <v>0</v>
      </c>
      <c r="F145" s="186" t="s">
        <v>624</v>
      </c>
      <c r="G145" s="174"/>
      <c r="H145" s="174"/>
      <c r="I145" s="174"/>
      <c r="J145" s="180" t="s">
        <v>2844</v>
      </c>
      <c r="K145" s="181" t="s">
        <v>4833</v>
      </c>
      <c r="L145" s="192" t="s">
        <v>39</v>
      </c>
      <c r="M145" s="192" t="s">
        <v>231</v>
      </c>
      <c r="N145" s="182" t="s">
        <v>231</v>
      </c>
    </row>
    <row r="146" spans="1:14" ht="19.5">
      <c r="A146" s="197" t="s">
        <v>628</v>
      </c>
      <c r="B146" s="188" t="s">
        <v>188</v>
      </c>
      <c r="C146" s="174" t="s">
        <v>4833</v>
      </c>
      <c r="D146" s="174" t="s">
        <v>39</v>
      </c>
      <c r="E146" s="174">
        <v>0</v>
      </c>
      <c r="F146" s="186" t="s">
        <v>629</v>
      </c>
      <c r="G146" s="174"/>
      <c r="H146" s="174"/>
      <c r="I146" s="174"/>
      <c r="J146" s="180" t="s">
        <v>3093</v>
      </c>
      <c r="K146" s="181" t="s">
        <v>4833</v>
      </c>
      <c r="L146" s="192" t="s">
        <v>39</v>
      </c>
      <c r="M146" s="192" t="s">
        <v>231</v>
      </c>
      <c r="N146" s="182" t="s">
        <v>231</v>
      </c>
    </row>
    <row r="147" spans="1:14" ht="19.5">
      <c r="A147" s="197" t="s">
        <v>633</v>
      </c>
      <c r="B147" s="188" t="s">
        <v>27</v>
      </c>
      <c r="C147" s="174" t="s">
        <v>4833</v>
      </c>
      <c r="D147" s="174" t="s">
        <v>39</v>
      </c>
      <c r="E147" s="174">
        <v>0</v>
      </c>
      <c r="F147" s="186" t="s">
        <v>634</v>
      </c>
      <c r="G147" s="174"/>
      <c r="H147" s="174"/>
      <c r="I147" s="174"/>
      <c r="J147" s="180" t="s">
        <v>1774</v>
      </c>
      <c r="K147" s="181" t="s">
        <v>3894</v>
      </c>
      <c r="L147" s="192" t="s">
        <v>5</v>
      </c>
      <c r="M147" s="192" t="s">
        <v>1266</v>
      </c>
      <c r="N147" s="182" t="s">
        <v>5</v>
      </c>
    </row>
    <row r="148" spans="1:14" ht="19.5">
      <c r="A148" s="197" t="s">
        <v>638</v>
      </c>
      <c r="B148" s="188" t="s">
        <v>27</v>
      </c>
      <c r="C148" s="174" t="s">
        <v>4833</v>
      </c>
      <c r="D148" s="174" t="s">
        <v>39</v>
      </c>
      <c r="E148" s="174">
        <v>0</v>
      </c>
      <c r="F148" s="186" t="s">
        <v>639</v>
      </c>
      <c r="G148" s="174"/>
      <c r="H148" s="174"/>
      <c r="I148" s="174"/>
      <c r="J148" s="180" t="s">
        <v>4244</v>
      </c>
      <c r="K148" s="181" t="s">
        <v>4833</v>
      </c>
      <c r="L148" s="192" t="s">
        <v>39</v>
      </c>
      <c r="M148" s="192" t="s">
        <v>231</v>
      </c>
      <c r="N148" s="198" t="s">
        <v>231</v>
      </c>
    </row>
    <row r="149" spans="1:14" ht="19.5">
      <c r="A149" s="197" t="s">
        <v>4479</v>
      </c>
      <c r="B149" s="188" t="s">
        <v>27</v>
      </c>
      <c r="C149" s="174" t="s">
        <v>4833</v>
      </c>
      <c r="D149" s="174" t="s">
        <v>39</v>
      </c>
      <c r="E149" s="174">
        <v>0</v>
      </c>
      <c r="F149" s="186" t="s">
        <v>2155</v>
      </c>
      <c r="G149" s="174"/>
      <c r="H149" s="174"/>
      <c r="I149" s="174"/>
      <c r="J149" s="180" t="s">
        <v>4456</v>
      </c>
      <c r="K149" s="181" t="s">
        <v>4833</v>
      </c>
      <c r="L149" s="192" t="s">
        <v>39</v>
      </c>
      <c r="M149" s="192" t="s">
        <v>231</v>
      </c>
      <c r="N149" s="182" t="s">
        <v>231</v>
      </c>
    </row>
    <row r="150" spans="1:14" ht="19.5">
      <c r="A150" s="197" t="s">
        <v>643</v>
      </c>
      <c r="B150" s="188" t="s">
        <v>27</v>
      </c>
      <c r="C150" s="174" t="s">
        <v>4833</v>
      </c>
      <c r="D150" s="174" t="s">
        <v>39</v>
      </c>
      <c r="E150" s="174">
        <v>0</v>
      </c>
      <c r="F150" s="186" t="s">
        <v>644</v>
      </c>
      <c r="G150" s="174"/>
      <c r="H150" s="174"/>
      <c r="I150" s="174"/>
      <c r="J150" s="180" t="s">
        <v>1781</v>
      </c>
      <c r="K150" s="181" t="s">
        <v>3894</v>
      </c>
      <c r="L150" s="192" t="s">
        <v>5</v>
      </c>
      <c r="M150" s="192" t="s">
        <v>1784</v>
      </c>
      <c r="N150" s="182" t="s">
        <v>5</v>
      </c>
    </row>
    <row r="151" spans="1:14" ht="19.5">
      <c r="A151" s="199" t="s">
        <v>649</v>
      </c>
      <c r="B151" s="188" t="s">
        <v>188</v>
      </c>
      <c r="C151" s="174" t="s">
        <v>4833</v>
      </c>
      <c r="D151" s="174" t="s">
        <v>39</v>
      </c>
      <c r="E151" s="174">
        <v>0</v>
      </c>
      <c r="F151" s="186" t="s">
        <v>650</v>
      </c>
      <c r="G151" s="174"/>
      <c r="H151" s="174"/>
      <c r="I151" s="174"/>
      <c r="J151" s="180" t="s">
        <v>4727</v>
      </c>
      <c r="K151" s="181" t="s">
        <v>4833</v>
      </c>
      <c r="L151" s="192" t="s">
        <v>39</v>
      </c>
      <c r="M151" s="192" t="s">
        <v>231</v>
      </c>
      <c r="N151" s="182" t="s">
        <v>231</v>
      </c>
    </row>
    <row r="152" spans="1:14" ht="19.5">
      <c r="A152" s="199" t="s">
        <v>4482</v>
      </c>
      <c r="B152" s="188" t="s">
        <v>188</v>
      </c>
      <c r="C152" s="174" t="s">
        <v>4833</v>
      </c>
      <c r="D152" s="174" t="s">
        <v>39</v>
      </c>
      <c r="E152" s="174">
        <v>0</v>
      </c>
      <c r="F152" s="186" t="s">
        <v>718</v>
      </c>
      <c r="G152" s="174"/>
      <c r="H152" s="174"/>
      <c r="I152" s="174"/>
      <c r="J152" s="180" t="s">
        <v>363</v>
      </c>
      <c r="K152" s="181" t="s">
        <v>4833</v>
      </c>
      <c r="L152" s="192" t="s">
        <v>39</v>
      </c>
      <c r="M152" s="192" t="s">
        <v>231</v>
      </c>
      <c r="N152" s="182" t="s">
        <v>231</v>
      </c>
    </row>
    <row r="153" spans="1:14" ht="19.5">
      <c r="A153" s="199" t="s">
        <v>655</v>
      </c>
      <c r="B153" s="188" t="s">
        <v>27</v>
      </c>
      <c r="C153" s="174" t="e">
        <v>#N/A</v>
      </c>
      <c r="D153" s="174" t="e">
        <v>#N/A</v>
      </c>
      <c r="E153" s="174" t="e">
        <v>#N/A</v>
      </c>
      <c r="F153" s="186" t="s">
        <v>656</v>
      </c>
      <c r="G153" s="174"/>
      <c r="H153" s="174"/>
      <c r="I153" s="174"/>
      <c r="J153" s="180" t="s">
        <v>4452</v>
      </c>
      <c r="K153" s="181" t="s">
        <v>4833</v>
      </c>
      <c r="L153" s="192" t="s">
        <v>39</v>
      </c>
      <c r="M153" s="192" t="s">
        <v>231</v>
      </c>
      <c r="N153" s="182" t="s">
        <v>231</v>
      </c>
    </row>
    <row r="154" spans="1:14" ht="39">
      <c r="A154" s="199" t="s">
        <v>661</v>
      </c>
      <c r="B154" s="188" t="s">
        <v>188</v>
      </c>
      <c r="C154" s="174" t="s">
        <v>4833</v>
      </c>
      <c r="D154" s="174" t="s">
        <v>39</v>
      </c>
      <c r="E154" s="174">
        <v>0</v>
      </c>
      <c r="F154" s="186" t="s">
        <v>662</v>
      </c>
      <c r="G154" s="174"/>
      <c r="H154" s="174"/>
      <c r="I154" s="174"/>
      <c r="J154" s="180" t="s">
        <v>344</v>
      </c>
      <c r="K154" s="181" t="s">
        <v>3894</v>
      </c>
      <c r="L154" s="192" t="s">
        <v>15</v>
      </c>
      <c r="M154" s="192" t="s">
        <v>5366</v>
      </c>
      <c r="N154" s="182" t="s">
        <v>5368</v>
      </c>
    </row>
    <row r="155" spans="1:14" ht="39">
      <c r="A155" s="199" t="s">
        <v>666</v>
      </c>
      <c r="B155" s="188" t="s">
        <v>188</v>
      </c>
      <c r="C155" s="174" t="s">
        <v>4833</v>
      </c>
      <c r="D155" s="174" t="s">
        <v>39</v>
      </c>
      <c r="E155" s="174">
        <v>0</v>
      </c>
      <c r="F155" s="186" t="s">
        <v>667</v>
      </c>
      <c r="G155" s="174"/>
      <c r="H155" s="174"/>
      <c r="I155" s="174"/>
      <c r="J155" s="180" t="s">
        <v>355</v>
      </c>
      <c r="K155" s="181" t="s">
        <v>3894</v>
      </c>
      <c r="L155" s="192" t="s">
        <v>15</v>
      </c>
      <c r="M155" s="192" t="s">
        <v>114</v>
      </c>
      <c r="N155" s="182" t="s">
        <v>5368</v>
      </c>
    </row>
    <row r="156" spans="1:14" ht="19.5">
      <c r="A156" s="199" t="s">
        <v>671</v>
      </c>
      <c r="B156" s="188" t="s">
        <v>188</v>
      </c>
      <c r="C156" s="174" t="s">
        <v>4833</v>
      </c>
      <c r="D156" s="174" t="s">
        <v>39</v>
      </c>
      <c r="E156" s="174">
        <v>0</v>
      </c>
      <c r="F156" s="186" t="s">
        <v>672</v>
      </c>
      <c r="G156" s="174"/>
      <c r="H156" s="174"/>
      <c r="I156" s="174"/>
      <c r="J156" s="180" t="s">
        <v>2673</v>
      </c>
      <c r="K156" s="181" t="s">
        <v>3894</v>
      </c>
      <c r="L156" s="192" t="s">
        <v>3</v>
      </c>
      <c r="M156" s="192" t="s">
        <v>87</v>
      </c>
      <c r="N156" s="182" t="s">
        <v>3</v>
      </c>
    </row>
    <row r="157" spans="1:14" ht="19.5">
      <c r="A157" s="199" t="s">
        <v>676</v>
      </c>
      <c r="B157" s="188" t="s">
        <v>188</v>
      </c>
      <c r="C157" s="174" t="s">
        <v>4833</v>
      </c>
      <c r="D157" s="174" t="s">
        <v>39</v>
      </c>
      <c r="E157" s="174">
        <v>0</v>
      </c>
      <c r="F157" s="186" t="s">
        <v>677</v>
      </c>
      <c r="G157" s="174"/>
      <c r="H157" s="174"/>
      <c r="I157" s="174"/>
      <c r="J157" s="180" t="s">
        <v>1543</v>
      </c>
      <c r="K157" s="181" t="s">
        <v>3894</v>
      </c>
      <c r="L157" s="192" t="s">
        <v>5351</v>
      </c>
      <c r="M157" s="192" t="s">
        <v>1546</v>
      </c>
      <c r="N157" s="182" t="s">
        <v>4</v>
      </c>
    </row>
    <row r="158" spans="1:14" ht="19.5">
      <c r="A158" s="199" t="s">
        <v>682</v>
      </c>
      <c r="B158" s="188" t="s">
        <v>188</v>
      </c>
      <c r="C158" s="174" t="s">
        <v>4833</v>
      </c>
      <c r="D158" s="174" t="s">
        <v>39</v>
      </c>
      <c r="E158" s="174">
        <v>0</v>
      </c>
      <c r="F158" s="186" t="s">
        <v>683</v>
      </c>
      <c r="G158" s="174"/>
      <c r="H158" s="174"/>
      <c r="I158" s="174"/>
      <c r="J158" s="180" t="s">
        <v>1788</v>
      </c>
      <c r="K158" s="181" t="s">
        <v>3894</v>
      </c>
      <c r="L158" s="192" t="s">
        <v>5</v>
      </c>
      <c r="M158" s="192" t="s">
        <v>1791</v>
      </c>
      <c r="N158" s="182" t="s">
        <v>5</v>
      </c>
    </row>
    <row r="159" spans="1:14" ht="19.5">
      <c r="A159" s="199" t="s">
        <v>687</v>
      </c>
      <c r="B159" s="188" t="s">
        <v>188</v>
      </c>
      <c r="C159" s="174" t="s">
        <v>4833</v>
      </c>
      <c r="D159" s="174" t="s">
        <v>39</v>
      </c>
      <c r="E159" s="174">
        <v>0</v>
      </c>
      <c r="F159" s="186" t="s">
        <v>688</v>
      </c>
      <c r="G159" s="174"/>
      <c r="H159" s="174"/>
      <c r="I159" s="174"/>
      <c r="J159" s="180" t="s">
        <v>1019</v>
      </c>
      <c r="K159" s="181" t="s">
        <v>3894</v>
      </c>
      <c r="L159" s="192" t="s">
        <v>3</v>
      </c>
      <c r="M159" s="192" t="s">
        <v>1022</v>
      </c>
      <c r="N159" s="182" t="s">
        <v>3</v>
      </c>
    </row>
    <row r="160" spans="1:14" ht="19.5">
      <c r="A160" s="199" t="s">
        <v>692</v>
      </c>
      <c r="B160" s="188" t="s">
        <v>188</v>
      </c>
      <c r="C160" s="174" t="s">
        <v>4833</v>
      </c>
      <c r="D160" s="174" t="s">
        <v>39</v>
      </c>
      <c r="E160" s="174">
        <v>0</v>
      </c>
      <c r="F160" s="186" t="s">
        <v>693</v>
      </c>
      <c r="G160" s="174"/>
      <c r="H160" s="174"/>
      <c r="I160" s="174"/>
      <c r="J160" s="180" t="s">
        <v>1025</v>
      </c>
      <c r="K160" s="181" t="s">
        <v>3894</v>
      </c>
      <c r="L160" s="192" t="s">
        <v>3</v>
      </c>
      <c r="M160" s="192" t="s">
        <v>1028</v>
      </c>
      <c r="N160" s="182" t="s">
        <v>3</v>
      </c>
    </row>
    <row r="161" spans="1:14" ht="19.5">
      <c r="A161" s="199" t="s">
        <v>4485</v>
      </c>
      <c r="B161" s="188" t="s">
        <v>188</v>
      </c>
      <c r="C161" s="174" t="s">
        <v>4833</v>
      </c>
      <c r="D161" s="174" t="s">
        <v>39</v>
      </c>
      <c r="E161" s="174">
        <v>0</v>
      </c>
      <c r="F161" s="186" t="s">
        <v>4486</v>
      </c>
      <c r="G161" s="174"/>
      <c r="H161" s="174"/>
      <c r="I161" s="174"/>
      <c r="J161" s="180" t="s">
        <v>1031</v>
      </c>
      <c r="K161" s="181" t="s">
        <v>3894</v>
      </c>
      <c r="L161" s="192" t="s">
        <v>3</v>
      </c>
      <c r="M161" s="192" t="s">
        <v>1034</v>
      </c>
      <c r="N161" s="182" t="s">
        <v>3</v>
      </c>
    </row>
    <row r="162" spans="1:14" ht="19.5">
      <c r="A162" s="199" t="s">
        <v>4489</v>
      </c>
      <c r="B162" s="188" t="s">
        <v>188</v>
      </c>
      <c r="C162" s="174" t="s">
        <v>4833</v>
      </c>
      <c r="D162" s="174" t="s">
        <v>39</v>
      </c>
      <c r="E162" s="174">
        <v>0</v>
      </c>
      <c r="F162" s="186" t="s">
        <v>4089</v>
      </c>
      <c r="G162" s="174"/>
      <c r="H162" s="174"/>
      <c r="I162" s="174"/>
      <c r="J162" s="180" t="s">
        <v>4072</v>
      </c>
      <c r="K162" s="181" t="s">
        <v>4833</v>
      </c>
      <c r="L162" s="181" t="s">
        <v>39</v>
      </c>
      <c r="M162" s="181" t="s">
        <v>231</v>
      </c>
      <c r="N162" s="182" t="s">
        <v>231</v>
      </c>
    </row>
    <row r="163" spans="1:14" ht="19.5">
      <c r="A163" s="199" t="s">
        <v>697</v>
      </c>
      <c r="B163" s="188" t="s">
        <v>188</v>
      </c>
      <c r="C163" s="174" t="s">
        <v>4833</v>
      </c>
      <c r="D163" s="174" t="s">
        <v>39</v>
      </c>
      <c r="E163" s="174">
        <v>0</v>
      </c>
      <c r="F163" s="186" t="s">
        <v>698</v>
      </c>
      <c r="G163" s="174"/>
      <c r="H163" s="174"/>
      <c r="I163" s="174"/>
      <c r="J163" s="180" t="s">
        <v>1551</v>
      </c>
      <c r="K163" s="181" t="s">
        <v>3894</v>
      </c>
      <c r="L163" s="192" t="s">
        <v>5351</v>
      </c>
      <c r="M163" s="192" t="s">
        <v>1554</v>
      </c>
      <c r="N163" s="182" t="s">
        <v>4</v>
      </c>
    </row>
    <row r="164" spans="1:14" ht="19.5">
      <c r="A164" s="199" t="s">
        <v>702</v>
      </c>
      <c r="B164" s="188" t="s">
        <v>188</v>
      </c>
      <c r="C164" s="174" t="s">
        <v>4833</v>
      </c>
      <c r="D164" s="174" t="s">
        <v>39</v>
      </c>
      <c r="E164" s="174">
        <v>0</v>
      </c>
      <c r="F164" s="186" t="s">
        <v>703</v>
      </c>
      <c r="G164" s="174"/>
      <c r="H164" s="174"/>
      <c r="I164" s="174"/>
      <c r="J164" s="180" t="s">
        <v>4460</v>
      </c>
      <c r="K164" s="181" t="s">
        <v>4833</v>
      </c>
      <c r="L164" s="181" t="s">
        <v>39</v>
      </c>
      <c r="M164" s="181" t="s">
        <v>231</v>
      </c>
      <c r="N164" s="182" t="s">
        <v>231</v>
      </c>
    </row>
    <row r="165" spans="1:14" ht="39">
      <c r="A165" s="199" t="s">
        <v>707</v>
      </c>
      <c r="B165" s="188" t="s">
        <v>188</v>
      </c>
      <c r="C165" s="174" t="s">
        <v>4833</v>
      </c>
      <c r="D165" s="174" t="s">
        <v>39</v>
      </c>
      <c r="E165" s="174">
        <v>0</v>
      </c>
      <c r="F165" s="186" t="s">
        <v>708</v>
      </c>
      <c r="G165" s="174"/>
      <c r="H165" s="174"/>
      <c r="I165" s="174"/>
      <c r="J165" s="180" t="s">
        <v>4463</v>
      </c>
      <c r="K165" s="181" t="s">
        <v>3894</v>
      </c>
      <c r="L165" s="181" t="s">
        <v>15</v>
      </c>
      <c r="M165" s="181" t="s">
        <v>159</v>
      </c>
      <c r="N165" s="182" t="s">
        <v>5368</v>
      </c>
    </row>
    <row r="166" spans="1:14" ht="19.5">
      <c r="A166" s="199" t="s">
        <v>712</v>
      </c>
      <c r="B166" s="188" t="s">
        <v>188</v>
      </c>
      <c r="C166" s="174" t="s">
        <v>4833</v>
      </c>
      <c r="D166" s="174" t="s">
        <v>39</v>
      </c>
      <c r="E166" s="174">
        <v>0</v>
      </c>
      <c r="F166" s="186" t="s">
        <v>713</v>
      </c>
      <c r="G166" s="174"/>
      <c r="H166" s="174"/>
      <c r="I166" s="174"/>
      <c r="J166" s="180" t="s">
        <v>4467</v>
      </c>
      <c r="K166" s="181" t="s">
        <v>4833</v>
      </c>
      <c r="L166" s="181" t="s">
        <v>39</v>
      </c>
      <c r="M166" s="181" t="s">
        <v>231</v>
      </c>
      <c r="N166" s="182" t="s">
        <v>231</v>
      </c>
    </row>
    <row r="167" spans="1:14" ht="19.5">
      <c r="A167" s="199" t="s">
        <v>717</v>
      </c>
      <c r="B167" s="188" t="s">
        <v>188</v>
      </c>
      <c r="C167" s="174" t="s">
        <v>4833</v>
      </c>
      <c r="D167" s="174" t="s">
        <v>39</v>
      </c>
      <c r="E167" s="174">
        <v>0</v>
      </c>
      <c r="F167" s="186" t="s">
        <v>718</v>
      </c>
      <c r="G167" s="174"/>
      <c r="H167" s="174"/>
      <c r="I167" s="174"/>
      <c r="J167" s="180" t="s">
        <v>4470</v>
      </c>
      <c r="K167" s="181" t="s">
        <v>4833</v>
      </c>
      <c r="L167" s="181" t="s">
        <v>39</v>
      </c>
      <c r="M167" s="181" t="s">
        <v>231</v>
      </c>
      <c r="N167" s="182" t="s">
        <v>231</v>
      </c>
    </row>
    <row r="168" spans="1:14" ht="19.5">
      <c r="A168" s="199" t="s">
        <v>722</v>
      </c>
      <c r="B168" s="188" t="s">
        <v>188</v>
      </c>
      <c r="C168" s="174" t="s">
        <v>4833</v>
      </c>
      <c r="D168" s="174" t="s">
        <v>39</v>
      </c>
      <c r="E168" s="174">
        <v>0</v>
      </c>
      <c r="F168" s="186" t="s">
        <v>723</v>
      </c>
      <c r="G168" s="174"/>
      <c r="H168" s="174"/>
      <c r="I168" s="174"/>
      <c r="J168" s="180" t="s">
        <v>1795</v>
      </c>
      <c r="K168" s="181" t="s">
        <v>3894</v>
      </c>
      <c r="L168" s="181" t="s">
        <v>5</v>
      </c>
      <c r="M168" s="181" t="s">
        <v>1798</v>
      </c>
      <c r="N168" s="182" t="s">
        <v>5</v>
      </c>
    </row>
    <row r="169" spans="1:14" ht="19.5">
      <c r="A169" s="199" t="s">
        <v>4493</v>
      </c>
      <c r="B169" s="188" t="s">
        <v>188</v>
      </c>
      <c r="C169" s="174" t="s">
        <v>4833</v>
      </c>
      <c r="D169" s="174" t="s">
        <v>39</v>
      </c>
      <c r="E169" s="174">
        <v>0</v>
      </c>
      <c r="F169" s="186" t="s">
        <v>2248</v>
      </c>
      <c r="G169" s="174"/>
      <c r="H169" s="174"/>
      <c r="I169" s="174"/>
      <c r="J169" s="180" t="s">
        <v>4198</v>
      </c>
      <c r="K169" s="181" t="s">
        <v>3894</v>
      </c>
      <c r="L169" s="181" t="s">
        <v>5</v>
      </c>
      <c r="M169" s="181" t="s">
        <v>5369</v>
      </c>
      <c r="N169" s="182" t="s">
        <v>5</v>
      </c>
    </row>
    <row r="170" spans="1:14" ht="19.5">
      <c r="A170" s="199" t="s">
        <v>727</v>
      </c>
      <c r="B170" s="188" t="s">
        <v>188</v>
      </c>
      <c r="C170" s="174" t="s">
        <v>4833</v>
      </c>
      <c r="D170" s="174" t="s">
        <v>39</v>
      </c>
      <c r="E170" s="174">
        <v>0</v>
      </c>
      <c r="F170" s="186" t="s">
        <v>728</v>
      </c>
      <c r="G170" s="174"/>
      <c r="H170" s="174"/>
      <c r="I170" s="174"/>
      <c r="J170" s="180" t="s">
        <v>1558</v>
      </c>
      <c r="K170" s="181" t="s">
        <v>3894</v>
      </c>
      <c r="L170" s="181" t="s">
        <v>4</v>
      </c>
      <c r="M170" s="181" t="s">
        <v>1561</v>
      </c>
      <c r="N170" s="182" t="s">
        <v>4</v>
      </c>
    </row>
    <row r="171" spans="1:14" ht="19.5">
      <c r="A171" s="199" t="s">
        <v>732</v>
      </c>
      <c r="B171" s="188" t="s">
        <v>188</v>
      </c>
      <c r="C171" s="174" t="s">
        <v>4833</v>
      </c>
      <c r="D171" s="174" t="s">
        <v>39</v>
      </c>
      <c r="E171" s="174">
        <v>0</v>
      </c>
      <c r="F171" s="186" t="s">
        <v>733</v>
      </c>
      <c r="G171" s="174"/>
      <c r="H171" s="174"/>
      <c r="I171" s="174"/>
      <c r="J171" s="180" t="s">
        <v>1674</v>
      </c>
      <c r="K171" s="181" t="s">
        <v>3894</v>
      </c>
      <c r="L171" s="181" t="s">
        <v>5</v>
      </c>
      <c r="M171" s="181" t="s">
        <v>5355</v>
      </c>
      <c r="N171" s="182" t="s">
        <v>5</v>
      </c>
    </row>
    <row r="172" spans="1:14" ht="19.5">
      <c r="A172" s="199" t="s">
        <v>738</v>
      </c>
      <c r="B172" s="188" t="s">
        <v>188</v>
      </c>
      <c r="C172" s="174" t="s">
        <v>4833</v>
      </c>
      <c r="D172" s="174" t="s">
        <v>39</v>
      </c>
      <c r="E172" s="174">
        <v>0</v>
      </c>
      <c r="F172" s="186" t="s">
        <v>739</v>
      </c>
      <c r="G172" s="174"/>
      <c r="H172" s="174"/>
      <c r="I172" s="174"/>
      <c r="J172" s="180" t="s">
        <v>368</v>
      </c>
      <c r="K172" s="181" t="s">
        <v>4833</v>
      </c>
      <c r="L172" s="181" t="s">
        <v>39</v>
      </c>
      <c r="M172" s="181" t="s">
        <v>231</v>
      </c>
      <c r="N172" s="182" t="s">
        <v>231</v>
      </c>
    </row>
    <row r="173" spans="1:14" ht="19.5">
      <c r="A173" s="199" t="s">
        <v>743</v>
      </c>
      <c r="B173" s="188" t="s">
        <v>188</v>
      </c>
      <c r="C173" s="174" t="s">
        <v>4833</v>
      </c>
      <c r="D173" s="174" t="s">
        <v>39</v>
      </c>
      <c r="E173" s="174">
        <v>0</v>
      </c>
      <c r="F173" s="186" t="s">
        <v>744</v>
      </c>
      <c r="G173" s="174"/>
      <c r="H173" s="174"/>
      <c r="I173" s="174"/>
      <c r="J173" s="180" t="s">
        <v>375</v>
      </c>
      <c r="K173" s="181" t="s">
        <v>4833</v>
      </c>
      <c r="L173" s="181" t="s">
        <v>39</v>
      </c>
      <c r="M173" s="181" t="s">
        <v>231</v>
      </c>
      <c r="N173" s="182" t="s">
        <v>231</v>
      </c>
    </row>
    <row r="174" spans="1:14" ht="19.5">
      <c r="A174" s="199" t="s">
        <v>748</v>
      </c>
      <c r="B174" s="188" t="s">
        <v>188</v>
      </c>
      <c r="C174" s="174" t="s">
        <v>4833</v>
      </c>
      <c r="D174" s="174" t="s">
        <v>39</v>
      </c>
      <c r="E174" s="174">
        <v>0</v>
      </c>
      <c r="F174" s="186" t="s">
        <v>749</v>
      </c>
      <c r="G174" s="174"/>
      <c r="H174" s="174"/>
      <c r="I174" s="174"/>
      <c r="J174" s="180" t="s">
        <v>385</v>
      </c>
      <c r="K174" s="181" t="s">
        <v>4833</v>
      </c>
      <c r="L174" s="181" t="s">
        <v>39</v>
      </c>
      <c r="M174" s="181" t="s">
        <v>231</v>
      </c>
      <c r="N174" s="182" t="s">
        <v>231</v>
      </c>
    </row>
    <row r="175" spans="1:14" ht="39">
      <c r="A175" s="199" t="s">
        <v>754</v>
      </c>
      <c r="B175" s="188" t="s">
        <v>188</v>
      </c>
      <c r="C175" s="174" t="s">
        <v>4833</v>
      </c>
      <c r="D175" s="174" t="s">
        <v>39</v>
      </c>
      <c r="E175" s="174">
        <v>0</v>
      </c>
      <c r="F175" s="186" t="s">
        <v>755</v>
      </c>
      <c r="G175" s="174"/>
      <c r="H175" s="174"/>
      <c r="I175" s="174"/>
      <c r="J175" s="180" t="s">
        <v>1873</v>
      </c>
      <c r="K175" s="181" t="s">
        <v>3894</v>
      </c>
      <c r="L175" s="181" t="s">
        <v>15</v>
      </c>
      <c r="M175" s="181" t="s">
        <v>4389</v>
      </c>
      <c r="N175" s="182" t="s">
        <v>5368</v>
      </c>
    </row>
    <row r="176" spans="1:14" ht="19.5">
      <c r="A176" s="199" t="s">
        <v>759</v>
      </c>
      <c r="B176" s="188" t="s">
        <v>188</v>
      </c>
      <c r="C176" s="174" t="s">
        <v>4833</v>
      </c>
      <c r="D176" s="174" t="s">
        <v>39</v>
      </c>
      <c r="E176" s="174">
        <v>0</v>
      </c>
      <c r="F176" s="186" t="s">
        <v>760</v>
      </c>
      <c r="G176" s="174"/>
      <c r="H176" s="174"/>
      <c r="I176" s="174"/>
      <c r="J176" s="180" t="s">
        <v>1566</v>
      </c>
      <c r="K176" s="181" t="s">
        <v>3894</v>
      </c>
      <c r="L176" s="181" t="s">
        <v>4</v>
      </c>
      <c r="M176" s="181" t="s">
        <v>1569</v>
      </c>
      <c r="N176" s="182" t="s">
        <v>4</v>
      </c>
    </row>
    <row r="177" spans="1:14" ht="19.5">
      <c r="A177" s="199" t="s">
        <v>764</v>
      </c>
      <c r="B177" s="188" t="s">
        <v>188</v>
      </c>
      <c r="C177" s="174" t="s">
        <v>4833</v>
      </c>
      <c r="D177" s="174" t="s">
        <v>39</v>
      </c>
      <c r="E177" s="174">
        <v>0</v>
      </c>
      <c r="F177" s="186" t="s">
        <v>765</v>
      </c>
      <c r="G177" s="174"/>
      <c r="H177" s="174"/>
      <c r="I177" s="174"/>
      <c r="J177" s="180" t="s">
        <v>4508</v>
      </c>
      <c r="K177" s="181" t="s">
        <v>3894</v>
      </c>
      <c r="L177" s="181" t="s">
        <v>4</v>
      </c>
      <c r="M177" s="181" t="s">
        <v>1834</v>
      </c>
      <c r="N177" s="182" t="s">
        <v>4</v>
      </c>
    </row>
    <row r="178" spans="1:14" ht="19.5">
      <c r="A178" s="199" t="s">
        <v>769</v>
      </c>
      <c r="B178" s="188" t="s">
        <v>188</v>
      </c>
      <c r="C178" s="174" t="s">
        <v>4833</v>
      </c>
      <c r="D178" s="174" t="s">
        <v>39</v>
      </c>
      <c r="E178" s="174">
        <v>0</v>
      </c>
      <c r="F178" s="186" t="s">
        <v>770</v>
      </c>
      <c r="G178" s="174"/>
      <c r="H178" s="174"/>
      <c r="I178" s="174"/>
      <c r="J178" s="180" t="s">
        <v>1037</v>
      </c>
      <c r="K178" s="181" t="s">
        <v>3894</v>
      </c>
      <c r="L178" s="181" t="s">
        <v>3</v>
      </c>
      <c r="M178" s="181" t="s">
        <v>1038</v>
      </c>
      <c r="N178" s="182" t="s">
        <v>3</v>
      </c>
    </row>
    <row r="179" spans="1:14" ht="19.5">
      <c r="A179" s="199" t="s">
        <v>4496</v>
      </c>
      <c r="B179" s="188" t="s">
        <v>188</v>
      </c>
      <c r="C179" s="174" t="s">
        <v>4833</v>
      </c>
      <c r="D179" s="174" t="s">
        <v>39</v>
      </c>
      <c r="E179" s="174">
        <v>0</v>
      </c>
      <c r="F179" s="186" t="s">
        <v>2974</v>
      </c>
      <c r="G179" s="174"/>
      <c r="H179" s="174"/>
      <c r="I179" s="174"/>
      <c r="J179" s="180" t="s">
        <v>1573</v>
      </c>
      <c r="K179" s="181" t="s">
        <v>3894</v>
      </c>
      <c r="L179" s="181" t="s">
        <v>4</v>
      </c>
      <c r="M179" s="181" t="s">
        <v>1038</v>
      </c>
      <c r="N179" s="182" t="s">
        <v>4</v>
      </c>
    </row>
    <row r="180" spans="1:14" ht="19.5">
      <c r="A180" s="199" t="s">
        <v>774</v>
      </c>
      <c r="B180" s="188" t="s">
        <v>188</v>
      </c>
      <c r="C180" s="174" t="s">
        <v>4833</v>
      </c>
      <c r="D180" s="174" t="s">
        <v>39</v>
      </c>
      <c r="E180" s="174">
        <v>0</v>
      </c>
      <c r="F180" s="186" t="s">
        <v>775</v>
      </c>
      <c r="G180" s="174"/>
      <c r="H180" s="174"/>
      <c r="I180" s="174"/>
      <c r="J180" s="180" t="s">
        <v>1576</v>
      </c>
      <c r="K180" s="181" t="s">
        <v>3894</v>
      </c>
      <c r="L180" s="181" t="s">
        <v>4</v>
      </c>
      <c r="M180" s="181" t="s">
        <v>5370</v>
      </c>
      <c r="N180" s="182" t="s">
        <v>4</v>
      </c>
    </row>
    <row r="181" spans="1:14" ht="19.5">
      <c r="A181" s="199" t="s">
        <v>779</v>
      </c>
      <c r="B181" s="188" t="s">
        <v>188</v>
      </c>
      <c r="C181" s="174" t="s">
        <v>4833</v>
      </c>
      <c r="D181" s="174" t="s">
        <v>39</v>
      </c>
      <c r="E181" s="174">
        <v>0</v>
      </c>
      <c r="F181" s="186" t="s">
        <v>780</v>
      </c>
      <c r="G181" s="174"/>
      <c r="H181" s="174"/>
      <c r="I181" s="174"/>
      <c r="J181" s="180" t="s">
        <v>4691</v>
      </c>
      <c r="K181" s="181" t="s">
        <v>4833</v>
      </c>
      <c r="L181" s="181" t="s">
        <v>39</v>
      </c>
      <c r="M181" s="181" t="s">
        <v>231</v>
      </c>
      <c r="N181" s="182" t="s">
        <v>231</v>
      </c>
    </row>
    <row r="182" spans="1:14" ht="19.5">
      <c r="A182" s="199" t="s">
        <v>784</v>
      </c>
      <c r="B182" s="188" t="s">
        <v>188</v>
      </c>
      <c r="C182" s="174" t="s">
        <v>4833</v>
      </c>
      <c r="D182" s="174" t="s">
        <v>39</v>
      </c>
      <c r="E182" s="174">
        <v>0</v>
      </c>
      <c r="F182" s="186" t="s">
        <v>785</v>
      </c>
      <c r="G182" s="174"/>
      <c r="H182" s="174"/>
      <c r="I182" s="174"/>
      <c r="J182" s="180" t="s">
        <v>4080</v>
      </c>
      <c r="K182" s="181" t="s">
        <v>4833</v>
      </c>
      <c r="L182" s="181" t="s">
        <v>39</v>
      </c>
      <c r="M182" s="181" t="s">
        <v>231</v>
      </c>
      <c r="N182" s="200" t="s">
        <v>231</v>
      </c>
    </row>
    <row r="183" spans="1:14" ht="19.5">
      <c r="A183" s="199" t="s">
        <v>789</v>
      </c>
      <c r="B183" s="188" t="s">
        <v>188</v>
      </c>
      <c r="C183" s="174" t="s">
        <v>4833</v>
      </c>
      <c r="D183" s="174" t="s">
        <v>39</v>
      </c>
      <c r="E183" s="174">
        <v>0</v>
      </c>
      <c r="F183" s="186" t="s">
        <v>790</v>
      </c>
      <c r="G183" s="174"/>
      <c r="H183" s="174"/>
      <c r="I183" s="174"/>
      <c r="J183" s="180" t="s">
        <v>393</v>
      </c>
      <c r="K183" s="181" t="s">
        <v>4833</v>
      </c>
      <c r="L183" s="181" t="s">
        <v>39</v>
      </c>
      <c r="M183" s="181" t="s">
        <v>231</v>
      </c>
      <c r="N183" s="182" t="s">
        <v>231</v>
      </c>
    </row>
    <row r="184" spans="1:14" ht="19.5">
      <c r="A184" s="199" t="s">
        <v>794</v>
      </c>
      <c r="B184" s="188" t="s">
        <v>27</v>
      </c>
      <c r="C184" s="174" t="e">
        <v>#N/A</v>
      </c>
      <c r="D184" s="174" t="e">
        <v>#N/A</v>
      </c>
      <c r="E184" s="174" t="e">
        <v>#N/A</v>
      </c>
      <c r="F184" s="186" t="s">
        <v>795</v>
      </c>
      <c r="G184" s="174"/>
      <c r="H184" s="174"/>
      <c r="I184" s="174"/>
      <c r="J184" s="180" t="s">
        <v>2850</v>
      </c>
      <c r="K184" s="181" t="s">
        <v>4833</v>
      </c>
      <c r="L184" s="181" t="s">
        <v>39</v>
      </c>
      <c r="M184" s="181" t="s">
        <v>231</v>
      </c>
      <c r="N184" s="182" t="s">
        <v>231</v>
      </c>
    </row>
    <row r="185" spans="1:14" ht="19.5">
      <c r="A185" s="199" t="s">
        <v>800</v>
      </c>
      <c r="B185" s="188" t="s">
        <v>188</v>
      </c>
      <c r="C185" s="174" t="s">
        <v>4833</v>
      </c>
      <c r="D185" s="174" t="s">
        <v>39</v>
      </c>
      <c r="E185" s="174">
        <v>0</v>
      </c>
      <c r="F185" s="186" t="s">
        <v>801</v>
      </c>
      <c r="G185" s="174"/>
      <c r="H185" s="174"/>
      <c r="I185" s="174"/>
      <c r="J185" s="180" t="s">
        <v>4085</v>
      </c>
      <c r="K185" s="181" t="s">
        <v>4833</v>
      </c>
      <c r="L185" s="181" t="s">
        <v>39</v>
      </c>
      <c r="M185" s="181" t="s">
        <v>231</v>
      </c>
      <c r="N185" s="182" t="s">
        <v>231</v>
      </c>
    </row>
    <row r="186" spans="1:14" ht="19.5">
      <c r="A186" s="199" t="s">
        <v>3797</v>
      </c>
      <c r="B186" s="188" t="s">
        <v>188</v>
      </c>
      <c r="C186" s="174" t="s">
        <v>4833</v>
      </c>
      <c r="D186" s="174" t="s">
        <v>39</v>
      </c>
      <c r="E186" s="174">
        <v>0</v>
      </c>
      <c r="F186" s="186" t="s">
        <v>3798</v>
      </c>
      <c r="G186" s="174"/>
      <c r="H186" s="174"/>
      <c r="I186" s="174"/>
      <c r="J186" s="180" t="s">
        <v>2855</v>
      </c>
      <c r="K186" s="181" t="s">
        <v>4833</v>
      </c>
      <c r="L186" s="181" t="s">
        <v>39</v>
      </c>
      <c r="M186" s="181" t="s">
        <v>231</v>
      </c>
      <c r="N186" s="182" t="s">
        <v>231</v>
      </c>
    </row>
    <row r="187" spans="1:14" ht="19.5">
      <c r="A187" s="199" t="s">
        <v>805</v>
      </c>
      <c r="B187" s="188" t="s">
        <v>188</v>
      </c>
      <c r="C187" s="174" t="s">
        <v>4833</v>
      </c>
      <c r="D187" s="174" t="s">
        <v>39</v>
      </c>
      <c r="E187" s="174">
        <v>0</v>
      </c>
      <c r="F187" s="186" t="s">
        <v>806</v>
      </c>
      <c r="G187" s="174"/>
      <c r="H187" s="174"/>
      <c r="I187" s="174"/>
      <c r="J187" s="180" t="s">
        <v>2860</v>
      </c>
      <c r="K187" s="181" t="s">
        <v>4833</v>
      </c>
      <c r="L187" s="181" t="s">
        <v>39</v>
      </c>
      <c r="M187" s="181" t="s">
        <v>231</v>
      </c>
      <c r="N187" s="182" t="s">
        <v>231</v>
      </c>
    </row>
    <row r="188" spans="1:14" ht="19.5">
      <c r="A188" s="197" t="s">
        <v>810</v>
      </c>
      <c r="B188" s="188" t="s">
        <v>188</v>
      </c>
      <c r="C188" s="174" t="e">
        <v>#N/A</v>
      </c>
      <c r="D188" s="174" t="e">
        <v>#N/A</v>
      </c>
      <c r="E188" s="174" t="e">
        <v>#N/A</v>
      </c>
      <c r="F188" s="186" t="s">
        <v>811</v>
      </c>
      <c r="G188" s="174"/>
      <c r="H188" s="174"/>
      <c r="I188" s="174"/>
      <c r="J188" s="180" t="s">
        <v>2865</v>
      </c>
      <c r="K188" s="181" t="s">
        <v>4833</v>
      </c>
      <c r="L188" s="181" t="s">
        <v>39</v>
      </c>
      <c r="M188" s="181" t="s">
        <v>231</v>
      </c>
      <c r="N188" s="182" t="s">
        <v>231</v>
      </c>
    </row>
    <row r="189" spans="1:14" ht="19.5">
      <c r="A189" s="197" t="s">
        <v>4597</v>
      </c>
      <c r="B189" s="188" t="s">
        <v>188</v>
      </c>
      <c r="C189" s="174" t="e">
        <v>#N/A</v>
      </c>
      <c r="D189" s="174" t="e">
        <v>#N/A</v>
      </c>
      <c r="E189" s="174" t="e">
        <v>#N/A</v>
      </c>
      <c r="F189" s="186" t="s">
        <v>4598</v>
      </c>
      <c r="G189" s="174"/>
      <c r="H189" s="174"/>
      <c r="I189" s="174"/>
      <c r="J189" s="180" t="s">
        <v>2870</v>
      </c>
      <c r="K189" s="181" t="s">
        <v>4833</v>
      </c>
      <c r="L189" s="181" t="s">
        <v>39</v>
      </c>
      <c r="M189" s="181" t="s">
        <v>231</v>
      </c>
      <c r="N189" s="198" t="s">
        <v>231</v>
      </c>
    </row>
    <row r="190" spans="1:14" ht="19.5">
      <c r="A190" s="197" t="s">
        <v>4602</v>
      </c>
      <c r="B190" s="188" t="s">
        <v>188</v>
      </c>
      <c r="C190" s="174" t="e">
        <v>#N/A</v>
      </c>
      <c r="D190" s="174" t="e">
        <v>#N/A</v>
      </c>
      <c r="E190" s="174" t="e">
        <v>#N/A</v>
      </c>
      <c r="F190" s="186" t="s">
        <v>4603</v>
      </c>
      <c r="G190" s="174"/>
      <c r="H190" s="174"/>
      <c r="I190" s="174"/>
      <c r="J190" s="180" t="s">
        <v>2875</v>
      </c>
      <c r="K190" s="181" t="s">
        <v>4833</v>
      </c>
      <c r="L190" s="181" t="s">
        <v>39</v>
      </c>
      <c r="M190" s="181" t="s">
        <v>231</v>
      </c>
      <c r="N190" s="182" t="s">
        <v>231</v>
      </c>
    </row>
    <row r="191" spans="1:14" ht="19.5">
      <c r="A191" s="197" t="s">
        <v>4413</v>
      </c>
      <c r="B191" s="188" t="s">
        <v>188</v>
      </c>
      <c r="C191" s="174" t="e">
        <v>#N/A</v>
      </c>
      <c r="D191" s="174" t="e">
        <v>#N/A</v>
      </c>
      <c r="E191" s="174" t="e">
        <v>#N/A</v>
      </c>
      <c r="F191" s="186" t="s">
        <v>4414</v>
      </c>
      <c r="G191" s="174"/>
      <c r="H191" s="174"/>
      <c r="I191" s="174"/>
      <c r="J191" s="180" t="s">
        <v>4088</v>
      </c>
      <c r="K191" s="181" t="s">
        <v>4833</v>
      </c>
      <c r="L191" s="181" t="s">
        <v>39</v>
      </c>
      <c r="M191" s="181" t="s">
        <v>231</v>
      </c>
      <c r="N191" s="182" t="s">
        <v>231</v>
      </c>
    </row>
    <row r="192" spans="1:14" ht="19.5">
      <c r="A192" s="197" t="s">
        <v>4418</v>
      </c>
      <c r="B192" s="188" t="s">
        <v>188</v>
      </c>
      <c r="C192" s="174" t="e">
        <v>#N/A</v>
      </c>
      <c r="D192" s="174" t="e">
        <v>#N/A</v>
      </c>
      <c r="E192" s="174" t="e">
        <v>#N/A</v>
      </c>
      <c r="F192" s="186" t="s">
        <v>4419</v>
      </c>
      <c r="G192" s="174"/>
      <c r="H192" s="174"/>
      <c r="I192" s="174"/>
      <c r="J192" s="180" t="s">
        <v>4091</v>
      </c>
      <c r="K192" s="181" t="s">
        <v>4833</v>
      </c>
      <c r="L192" s="181" t="s">
        <v>39</v>
      </c>
      <c r="M192" s="181" t="s">
        <v>231</v>
      </c>
      <c r="N192" s="182" t="s">
        <v>231</v>
      </c>
    </row>
    <row r="193" spans="1:14" ht="19.5">
      <c r="A193" s="197" t="s">
        <v>4423</v>
      </c>
      <c r="B193" s="188" t="s">
        <v>188</v>
      </c>
      <c r="C193" s="174" t="e">
        <v>#N/A</v>
      </c>
      <c r="D193" s="174" t="e">
        <v>#N/A</v>
      </c>
      <c r="E193" s="174" t="e">
        <v>#N/A</v>
      </c>
      <c r="F193" s="186" t="s">
        <v>4424</v>
      </c>
      <c r="G193" s="174"/>
      <c r="H193" s="174"/>
      <c r="I193" s="174"/>
      <c r="J193" s="180" t="s">
        <v>4094</v>
      </c>
      <c r="K193" s="181" t="s">
        <v>4833</v>
      </c>
      <c r="L193" s="181" t="s">
        <v>39</v>
      </c>
      <c r="M193" s="181" t="s">
        <v>231</v>
      </c>
      <c r="N193" s="182" t="s">
        <v>231</v>
      </c>
    </row>
    <row r="194" spans="1:14" ht="19.5">
      <c r="A194" s="199" t="s">
        <v>815</v>
      </c>
      <c r="B194" s="188" t="s">
        <v>188</v>
      </c>
      <c r="C194" s="174" t="e">
        <v>#N/A</v>
      </c>
      <c r="D194" s="174" t="e">
        <v>#N/A</v>
      </c>
      <c r="E194" s="174" t="e">
        <v>#N/A</v>
      </c>
      <c r="F194" s="186" t="s">
        <v>816</v>
      </c>
      <c r="G194" s="174"/>
      <c r="H194" s="174"/>
      <c r="I194" s="174"/>
      <c r="J194" s="180" t="s">
        <v>2880</v>
      </c>
      <c r="K194" s="181" t="s">
        <v>4833</v>
      </c>
      <c r="L194" s="181" t="s">
        <v>39</v>
      </c>
      <c r="M194" s="181" t="s">
        <v>231</v>
      </c>
      <c r="N194" s="182" t="s">
        <v>231</v>
      </c>
    </row>
    <row r="195" spans="1:14" ht="19.5">
      <c r="A195" s="199" t="s">
        <v>354</v>
      </c>
      <c r="B195" s="188" t="s">
        <v>18</v>
      </c>
      <c r="C195" s="174" t="e">
        <v>#N/A</v>
      </c>
      <c r="D195" s="174" t="e">
        <v>#N/A</v>
      </c>
      <c r="E195" s="174" t="e">
        <v>#N/A</v>
      </c>
      <c r="F195" s="186" t="s">
        <v>2285</v>
      </c>
      <c r="G195" s="174"/>
      <c r="H195" s="174"/>
      <c r="I195" s="174"/>
      <c r="J195" s="180" t="s">
        <v>4097</v>
      </c>
      <c r="K195" s="181" t="s">
        <v>4833</v>
      </c>
      <c r="L195" s="181" t="s">
        <v>39</v>
      </c>
      <c r="M195" s="181" t="s">
        <v>231</v>
      </c>
      <c r="N195" s="182" t="s">
        <v>231</v>
      </c>
    </row>
    <row r="196" spans="1:14" ht="19.5">
      <c r="A196" s="199" t="s">
        <v>830</v>
      </c>
      <c r="B196" s="188" t="s">
        <v>188</v>
      </c>
      <c r="C196" s="174" t="e">
        <v>#N/A</v>
      </c>
      <c r="D196" s="174" t="e">
        <v>#N/A</v>
      </c>
      <c r="E196" s="174" t="e">
        <v>#N/A</v>
      </c>
      <c r="F196" s="186" t="s">
        <v>831</v>
      </c>
      <c r="G196" s="174"/>
      <c r="H196" s="174"/>
      <c r="I196" s="174"/>
      <c r="J196" s="180" t="s">
        <v>4100</v>
      </c>
      <c r="K196" s="181" t="s">
        <v>4833</v>
      </c>
      <c r="L196" s="181" t="s">
        <v>39</v>
      </c>
      <c r="M196" s="181" t="s">
        <v>231</v>
      </c>
      <c r="N196" s="198" t="s">
        <v>231</v>
      </c>
    </row>
    <row r="197" spans="1:14" ht="19.5">
      <c r="A197" s="199" t="s">
        <v>835</v>
      </c>
      <c r="B197" s="188" t="s">
        <v>188</v>
      </c>
      <c r="C197" s="174" t="e">
        <v>#N/A</v>
      </c>
      <c r="D197" s="174" t="e">
        <v>#N/A</v>
      </c>
      <c r="E197" s="174" t="e">
        <v>#N/A</v>
      </c>
      <c r="F197" s="186" t="s">
        <v>836</v>
      </c>
      <c r="G197" s="174"/>
      <c r="H197" s="174"/>
      <c r="I197" s="174"/>
      <c r="J197" s="180" t="s">
        <v>4103</v>
      </c>
      <c r="K197" s="181" t="s">
        <v>4833</v>
      </c>
      <c r="L197" s="181" t="s">
        <v>39</v>
      </c>
      <c r="M197" s="181" t="s">
        <v>231</v>
      </c>
      <c r="N197" s="182" t="s">
        <v>231</v>
      </c>
    </row>
    <row r="198" spans="1:14" ht="19.5">
      <c r="A198" s="199" t="s">
        <v>840</v>
      </c>
      <c r="B198" s="188" t="s">
        <v>188</v>
      </c>
      <c r="C198" s="174" t="e">
        <v>#N/A</v>
      </c>
      <c r="D198" s="174" t="e">
        <v>#N/A</v>
      </c>
      <c r="E198" s="174" t="e">
        <v>#N/A</v>
      </c>
      <c r="F198" s="186" t="s">
        <v>841</v>
      </c>
      <c r="G198" s="174"/>
      <c r="H198" s="174"/>
      <c r="I198" s="174"/>
      <c r="J198" s="180" t="s">
        <v>4106</v>
      </c>
      <c r="K198" s="181" t="s">
        <v>4833</v>
      </c>
      <c r="L198" s="181" t="s">
        <v>39</v>
      </c>
      <c r="M198" s="181" t="s">
        <v>231</v>
      </c>
      <c r="N198" s="182" t="s">
        <v>231</v>
      </c>
    </row>
    <row r="199" spans="1:14" ht="19.5">
      <c r="A199" s="199" t="s">
        <v>846</v>
      </c>
      <c r="B199" s="188" t="s">
        <v>188</v>
      </c>
      <c r="C199" s="174" t="e">
        <v>#N/A</v>
      </c>
      <c r="D199" s="174" t="e">
        <v>#N/A</v>
      </c>
      <c r="E199" s="174" t="e">
        <v>#N/A</v>
      </c>
      <c r="F199" s="186" t="s">
        <v>847</v>
      </c>
      <c r="G199" s="174"/>
      <c r="H199" s="174"/>
      <c r="I199" s="174"/>
      <c r="J199" s="180" t="s">
        <v>4109</v>
      </c>
      <c r="K199" s="181" t="s">
        <v>4833</v>
      </c>
      <c r="L199" s="181" t="s">
        <v>39</v>
      </c>
      <c r="M199" s="181" t="s">
        <v>231</v>
      </c>
      <c r="N199" s="198" t="s">
        <v>231</v>
      </c>
    </row>
    <row r="200" spans="1:14" ht="19.5">
      <c r="A200" s="199" t="s">
        <v>851</v>
      </c>
      <c r="B200" s="188" t="s">
        <v>188</v>
      </c>
      <c r="C200" s="174" t="s">
        <v>4833</v>
      </c>
      <c r="D200" s="174" t="s">
        <v>39</v>
      </c>
      <c r="E200" s="174">
        <v>0</v>
      </c>
      <c r="F200" s="186" t="s">
        <v>852</v>
      </c>
      <c r="G200" s="174"/>
      <c r="H200" s="174"/>
      <c r="I200" s="174"/>
      <c r="J200" s="180" t="s">
        <v>2885</v>
      </c>
      <c r="K200" s="181" t="s">
        <v>4833</v>
      </c>
      <c r="L200" s="181" t="s">
        <v>39</v>
      </c>
      <c r="M200" s="181" t="s">
        <v>231</v>
      </c>
      <c r="N200" s="198" t="s">
        <v>231</v>
      </c>
    </row>
    <row r="201" spans="1:14" ht="19.5">
      <c r="A201" s="199" t="s">
        <v>4502</v>
      </c>
      <c r="B201" s="188" t="s">
        <v>188</v>
      </c>
      <c r="C201" s="174" t="s">
        <v>4833</v>
      </c>
      <c r="D201" s="174" t="s">
        <v>39</v>
      </c>
      <c r="E201" s="174">
        <v>0</v>
      </c>
      <c r="F201" s="186" t="s">
        <v>2935</v>
      </c>
      <c r="G201" s="174"/>
      <c r="H201" s="174"/>
      <c r="I201" s="174"/>
      <c r="J201" s="180" t="s">
        <v>2890</v>
      </c>
      <c r="K201" s="181" t="s">
        <v>4833</v>
      </c>
      <c r="L201" s="181" t="s">
        <v>39</v>
      </c>
      <c r="M201" s="181" t="s">
        <v>231</v>
      </c>
      <c r="N201" s="182" t="s">
        <v>231</v>
      </c>
    </row>
    <row r="202" spans="1:14" ht="19.5">
      <c r="A202" s="199" t="s">
        <v>856</v>
      </c>
      <c r="B202" s="188" t="s">
        <v>27</v>
      </c>
      <c r="C202" s="174" t="s">
        <v>4833</v>
      </c>
      <c r="D202" s="174" t="s">
        <v>39</v>
      </c>
      <c r="E202" s="174">
        <v>0</v>
      </c>
      <c r="F202" s="186" t="s">
        <v>857</v>
      </c>
      <c r="G202" s="174"/>
      <c r="H202" s="174"/>
      <c r="I202" s="174"/>
      <c r="J202" s="180" t="s">
        <v>2900</v>
      </c>
      <c r="K202" s="181" t="s">
        <v>4833</v>
      </c>
      <c r="L202" s="181" t="s">
        <v>39</v>
      </c>
      <c r="M202" s="181" t="s">
        <v>231</v>
      </c>
      <c r="N202" s="182" t="s">
        <v>231</v>
      </c>
    </row>
    <row r="203" spans="1:14" ht="19.5">
      <c r="A203" s="199" t="s">
        <v>861</v>
      </c>
      <c r="B203" s="188" t="s">
        <v>188</v>
      </c>
      <c r="C203" s="174" t="s">
        <v>4833</v>
      </c>
      <c r="D203" s="174" t="s">
        <v>39</v>
      </c>
      <c r="E203" s="174">
        <v>0</v>
      </c>
      <c r="F203" s="186" t="s">
        <v>862</v>
      </c>
      <c r="G203" s="174"/>
      <c r="H203" s="174"/>
      <c r="I203" s="174"/>
      <c r="J203" s="180" t="s">
        <v>2895</v>
      </c>
      <c r="K203" s="181" t="s">
        <v>4833</v>
      </c>
      <c r="L203" s="181" t="s">
        <v>39</v>
      </c>
      <c r="M203" s="181" t="s">
        <v>231</v>
      </c>
      <c r="N203" s="182" t="s">
        <v>231</v>
      </c>
    </row>
    <row r="204" spans="1:14" ht="19.5">
      <c r="A204" s="197" t="s">
        <v>883</v>
      </c>
      <c r="B204" s="188" t="s">
        <v>3</v>
      </c>
      <c r="C204" s="174" t="s">
        <v>3894</v>
      </c>
      <c r="D204" s="174" t="s">
        <v>3</v>
      </c>
      <c r="E204" s="174" t="s">
        <v>887</v>
      </c>
      <c r="F204" s="186" t="s">
        <v>884</v>
      </c>
      <c r="G204" s="174"/>
      <c r="H204" s="174"/>
      <c r="I204" s="174"/>
      <c r="J204" s="180" t="s">
        <v>4112</v>
      </c>
      <c r="K204" s="181" t="s">
        <v>4833</v>
      </c>
      <c r="L204" s="181" t="s">
        <v>39</v>
      </c>
      <c r="M204" s="181" t="s">
        <v>231</v>
      </c>
      <c r="N204" s="198" t="s">
        <v>231</v>
      </c>
    </row>
    <row r="205" spans="1:14" ht="19.5">
      <c r="A205" s="197" t="s">
        <v>892</v>
      </c>
      <c r="B205" s="188" t="s">
        <v>3</v>
      </c>
      <c r="C205" s="174" t="s">
        <v>3894</v>
      </c>
      <c r="D205" s="174" t="s">
        <v>3</v>
      </c>
      <c r="E205" s="174" t="s">
        <v>895</v>
      </c>
      <c r="F205" s="186" t="s">
        <v>893</v>
      </c>
      <c r="G205" s="174"/>
      <c r="H205" s="174"/>
      <c r="I205" s="174"/>
      <c r="J205" s="180" t="s">
        <v>4115</v>
      </c>
      <c r="K205" s="181" t="s">
        <v>4833</v>
      </c>
      <c r="L205" s="181" t="s">
        <v>39</v>
      </c>
      <c r="M205" s="181" t="s">
        <v>231</v>
      </c>
      <c r="N205" s="198" t="s">
        <v>231</v>
      </c>
    </row>
    <row r="206" spans="1:14" ht="19.5">
      <c r="A206" s="197" t="s">
        <v>900</v>
      </c>
      <c r="B206" s="188" t="s">
        <v>3</v>
      </c>
      <c r="C206" s="174" t="s">
        <v>3894</v>
      </c>
      <c r="D206" s="174" t="s">
        <v>3</v>
      </c>
      <c r="E206" s="174" t="s">
        <v>903</v>
      </c>
      <c r="F206" s="186" t="s">
        <v>901</v>
      </c>
      <c r="G206" s="174"/>
      <c r="H206" s="174"/>
      <c r="I206" s="174"/>
      <c r="J206" s="180" t="s">
        <v>2905</v>
      </c>
      <c r="K206" s="181" t="s">
        <v>4833</v>
      </c>
      <c r="L206" s="181" t="s">
        <v>39</v>
      </c>
      <c r="M206" s="181" t="s">
        <v>231</v>
      </c>
      <c r="N206" s="182" t="s">
        <v>231</v>
      </c>
    </row>
    <row r="207" spans="1:14" ht="19.5">
      <c r="A207" s="197" t="s">
        <v>908</v>
      </c>
      <c r="B207" s="188" t="s">
        <v>3</v>
      </c>
      <c r="C207" s="174" t="s">
        <v>3894</v>
      </c>
      <c r="D207" s="174" t="s">
        <v>3</v>
      </c>
      <c r="E207" s="174" t="s">
        <v>911</v>
      </c>
      <c r="F207" s="186" t="s">
        <v>909</v>
      </c>
      <c r="G207" s="174"/>
      <c r="H207" s="174"/>
      <c r="I207" s="174"/>
      <c r="J207" s="180" t="s">
        <v>2910</v>
      </c>
      <c r="K207" s="181" t="s">
        <v>4833</v>
      </c>
      <c r="L207" s="181" t="s">
        <v>39</v>
      </c>
      <c r="M207" s="181" t="s">
        <v>231</v>
      </c>
      <c r="N207" s="182" t="s">
        <v>231</v>
      </c>
    </row>
    <row r="208" spans="1:14" ht="19.5">
      <c r="A208" s="197" t="s">
        <v>921</v>
      </c>
      <c r="B208" s="188" t="s">
        <v>3</v>
      </c>
      <c r="C208" s="174" t="s">
        <v>3894</v>
      </c>
      <c r="D208" s="174" t="s">
        <v>3</v>
      </c>
      <c r="E208" s="174" t="s">
        <v>925</v>
      </c>
      <c r="F208" s="186" t="s">
        <v>922</v>
      </c>
      <c r="G208" s="174"/>
      <c r="H208" s="174"/>
      <c r="I208" s="174"/>
      <c r="J208" s="180" t="s">
        <v>4118</v>
      </c>
      <c r="K208" s="181" t="s">
        <v>4833</v>
      </c>
      <c r="L208" s="181" t="s">
        <v>39</v>
      </c>
      <c r="M208" s="181" t="s">
        <v>231</v>
      </c>
      <c r="N208" s="182" t="s">
        <v>231</v>
      </c>
    </row>
    <row r="209" spans="1:14" ht="19.5">
      <c r="A209" s="197" t="s">
        <v>937</v>
      </c>
      <c r="B209" s="188" t="s">
        <v>3</v>
      </c>
      <c r="C209" s="174" t="s">
        <v>3894</v>
      </c>
      <c r="D209" s="174" t="s">
        <v>3</v>
      </c>
      <c r="E209" s="174" t="s">
        <v>940</v>
      </c>
      <c r="F209" s="186" t="s">
        <v>938</v>
      </c>
      <c r="G209" s="174"/>
      <c r="H209" s="174"/>
      <c r="I209" s="174"/>
      <c r="J209" s="180" t="s">
        <v>4121</v>
      </c>
      <c r="K209" s="181" t="s">
        <v>4833</v>
      </c>
      <c r="L209" s="181" t="s">
        <v>39</v>
      </c>
      <c r="M209" s="181" t="s">
        <v>231</v>
      </c>
      <c r="N209" s="182" t="s">
        <v>231</v>
      </c>
    </row>
    <row r="210" spans="1:14" ht="19.5">
      <c r="A210" s="197" t="s">
        <v>945</v>
      </c>
      <c r="B210" s="188" t="s">
        <v>3</v>
      </c>
      <c r="C210" s="174" t="s">
        <v>3894</v>
      </c>
      <c r="D210" s="174" t="s">
        <v>3</v>
      </c>
      <c r="E210" s="174" t="s">
        <v>948</v>
      </c>
      <c r="F210" s="186" t="s">
        <v>946</v>
      </c>
      <c r="G210" s="174"/>
      <c r="H210" s="174"/>
      <c r="I210" s="174"/>
      <c r="J210" s="180" t="s">
        <v>2915</v>
      </c>
      <c r="K210" s="181" t="s">
        <v>4833</v>
      </c>
      <c r="L210" s="181" t="s">
        <v>39</v>
      </c>
      <c r="M210" s="181" t="s">
        <v>231</v>
      </c>
      <c r="N210" s="182" t="s">
        <v>231</v>
      </c>
    </row>
    <row r="211" spans="1:14" ht="19.5">
      <c r="A211" s="197" t="s">
        <v>960</v>
      </c>
      <c r="B211" s="188" t="s">
        <v>3</v>
      </c>
      <c r="C211" s="174" t="s">
        <v>3894</v>
      </c>
      <c r="D211" s="174" t="s">
        <v>5356</v>
      </c>
      <c r="E211" s="174" t="s">
        <v>963</v>
      </c>
      <c r="F211" s="186" t="s">
        <v>961</v>
      </c>
      <c r="G211" s="174"/>
      <c r="H211" s="174"/>
      <c r="I211" s="174"/>
      <c r="J211" s="180" t="s">
        <v>4124</v>
      </c>
      <c r="K211" s="181" t="s">
        <v>4833</v>
      </c>
      <c r="L211" s="181" t="s">
        <v>39</v>
      </c>
      <c r="M211" s="181" t="s">
        <v>231</v>
      </c>
      <c r="N211" s="182" t="s">
        <v>231</v>
      </c>
    </row>
    <row r="212" spans="1:14" ht="19.5">
      <c r="A212" s="197" t="s">
        <v>968</v>
      </c>
      <c r="B212" s="188" t="s">
        <v>3</v>
      </c>
      <c r="C212" s="174" t="s">
        <v>3894</v>
      </c>
      <c r="D212" s="174" t="s">
        <v>5356</v>
      </c>
      <c r="E212" s="174" t="s">
        <v>948</v>
      </c>
      <c r="F212" s="186" t="s">
        <v>969</v>
      </c>
      <c r="G212" s="174"/>
      <c r="H212" s="174"/>
      <c r="I212" s="174"/>
      <c r="J212" s="180" t="s">
        <v>4127</v>
      </c>
      <c r="K212" s="181" t="s">
        <v>4833</v>
      </c>
      <c r="L212" s="181" t="s">
        <v>39</v>
      </c>
      <c r="M212" s="181" t="s">
        <v>231</v>
      </c>
      <c r="N212" s="182" t="s">
        <v>231</v>
      </c>
    </row>
    <row r="213" spans="1:14" ht="19.5">
      <c r="A213" s="197" t="s">
        <v>983</v>
      </c>
      <c r="B213" s="188" t="s">
        <v>3</v>
      </c>
      <c r="C213" s="174" t="s">
        <v>3894</v>
      </c>
      <c r="D213" s="174" t="s">
        <v>3</v>
      </c>
      <c r="E213" s="174" t="s">
        <v>986</v>
      </c>
      <c r="F213" s="186" t="s">
        <v>984</v>
      </c>
      <c r="G213" s="174"/>
      <c r="H213" s="174"/>
      <c r="I213" s="174"/>
      <c r="J213" s="180" t="s">
        <v>4247</v>
      </c>
      <c r="K213" s="181" t="s">
        <v>4833</v>
      </c>
      <c r="L213" s="181" t="s">
        <v>39</v>
      </c>
      <c r="M213" s="181" t="s">
        <v>231</v>
      </c>
      <c r="N213" s="182" t="s">
        <v>231</v>
      </c>
    </row>
    <row r="214" spans="1:14" ht="19.5">
      <c r="A214" s="197" t="s">
        <v>991</v>
      </c>
      <c r="B214" s="188" t="s">
        <v>3</v>
      </c>
      <c r="C214" s="174" t="s">
        <v>3894</v>
      </c>
      <c r="D214" s="174" t="s">
        <v>3</v>
      </c>
      <c r="E214" s="174" t="s">
        <v>994</v>
      </c>
      <c r="F214" s="186" t="s">
        <v>992</v>
      </c>
      <c r="G214" s="174"/>
      <c r="H214" s="174"/>
      <c r="I214" s="174"/>
      <c r="J214" s="180" t="s">
        <v>4130</v>
      </c>
      <c r="K214" s="181" t="s">
        <v>4833</v>
      </c>
      <c r="L214" s="181" t="s">
        <v>39</v>
      </c>
      <c r="M214" s="181" t="s">
        <v>231</v>
      </c>
      <c r="N214" s="182" t="s">
        <v>231</v>
      </c>
    </row>
    <row r="215" spans="1:14" ht="19.5">
      <c r="A215" s="197" t="s">
        <v>999</v>
      </c>
      <c r="B215" s="188" t="s">
        <v>3</v>
      </c>
      <c r="C215" s="174" t="s">
        <v>3894</v>
      </c>
      <c r="D215" s="174" t="s">
        <v>3</v>
      </c>
      <c r="E215" s="174" t="s">
        <v>917</v>
      </c>
      <c r="F215" s="186" t="s">
        <v>1000</v>
      </c>
      <c r="G215" s="174"/>
      <c r="H215" s="174"/>
      <c r="I215" s="174"/>
      <c r="J215" s="180" t="s">
        <v>2920</v>
      </c>
      <c r="K215" s="181" t="s">
        <v>4833</v>
      </c>
      <c r="L215" s="181" t="s">
        <v>39</v>
      </c>
      <c r="M215" s="181" t="s">
        <v>231</v>
      </c>
      <c r="N215" s="182" t="s">
        <v>231</v>
      </c>
    </row>
    <row r="216" spans="1:14" ht="19.5">
      <c r="A216" s="197" t="s">
        <v>1005</v>
      </c>
      <c r="B216" s="188" t="s">
        <v>3</v>
      </c>
      <c r="C216" s="174" t="s">
        <v>3894</v>
      </c>
      <c r="D216" s="174" t="s">
        <v>3</v>
      </c>
      <c r="E216" s="174" t="s">
        <v>887</v>
      </c>
      <c r="F216" s="186" t="s">
        <v>1006</v>
      </c>
      <c r="G216" s="174"/>
      <c r="H216" s="174"/>
      <c r="I216" s="174"/>
      <c r="J216" s="180" t="s">
        <v>4133</v>
      </c>
      <c r="K216" s="181" t="s">
        <v>4833</v>
      </c>
      <c r="L216" s="181" t="s">
        <v>39</v>
      </c>
      <c r="M216" s="181" t="s">
        <v>231</v>
      </c>
      <c r="N216" s="182" t="s">
        <v>231</v>
      </c>
    </row>
    <row r="217" spans="1:14" ht="19.5">
      <c r="A217" s="197" t="s">
        <v>1011</v>
      </c>
      <c r="B217" s="188" t="s">
        <v>3</v>
      </c>
      <c r="C217" s="174" t="s">
        <v>3894</v>
      </c>
      <c r="D217" s="174" t="s">
        <v>3</v>
      </c>
      <c r="E217" s="174" t="s">
        <v>1014</v>
      </c>
      <c r="F217" s="186" t="s">
        <v>1012</v>
      </c>
      <c r="G217" s="174"/>
      <c r="H217" s="174"/>
      <c r="I217" s="174"/>
      <c r="J217" s="180" t="s">
        <v>4136</v>
      </c>
      <c r="K217" s="181" t="s">
        <v>4833</v>
      </c>
      <c r="L217" s="181" t="s">
        <v>39</v>
      </c>
      <c r="M217" s="181" t="s">
        <v>231</v>
      </c>
      <c r="N217" s="182" t="s">
        <v>231</v>
      </c>
    </row>
    <row r="218" spans="1:14" ht="19.5">
      <c r="A218" s="197" t="s">
        <v>1019</v>
      </c>
      <c r="B218" s="188" t="s">
        <v>3</v>
      </c>
      <c r="C218" s="174" t="s">
        <v>3894</v>
      </c>
      <c r="D218" s="174" t="s">
        <v>3</v>
      </c>
      <c r="E218" s="174" t="s">
        <v>1022</v>
      </c>
      <c r="F218" s="186" t="s">
        <v>1020</v>
      </c>
      <c r="G218" s="174"/>
      <c r="H218" s="174"/>
      <c r="I218" s="174"/>
      <c r="J218" s="180" t="s">
        <v>4141</v>
      </c>
      <c r="K218" s="181" t="s">
        <v>4833</v>
      </c>
      <c r="L218" s="181" t="s">
        <v>39</v>
      </c>
      <c r="M218" s="181" t="s">
        <v>231</v>
      </c>
      <c r="N218" s="182" t="s">
        <v>231</v>
      </c>
    </row>
    <row r="219" spans="1:14" ht="19.5">
      <c r="A219" s="197" t="s">
        <v>1025</v>
      </c>
      <c r="B219" s="188" t="s">
        <v>3</v>
      </c>
      <c r="C219" s="174" t="s">
        <v>3894</v>
      </c>
      <c r="D219" s="174" t="s">
        <v>3</v>
      </c>
      <c r="E219" s="174" t="s">
        <v>1028</v>
      </c>
      <c r="F219" s="186" t="s">
        <v>1026</v>
      </c>
      <c r="G219" s="174"/>
      <c r="H219" s="174"/>
      <c r="I219" s="174"/>
      <c r="J219" s="180" t="s">
        <v>4146</v>
      </c>
      <c r="K219" s="181" t="s">
        <v>4833</v>
      </c>
      <c r="L219" s="181" t="s">
        <v>39</v>
      </c>
      <c r="M219" s="181" t="s">
        <v>231</v>
      </c>
      <c r="N219" s="182" t="s">
        <v>231</v>
      </c>
    </row>
    <row r="220" spans="1:14" ht="19.5">
      <c r="A220" s="197" t="s">
        <v>1031</v>
      </c>
      <c r="B220" s="188" t="s">
        <v>3</v>
      </c>
      <c r="C220" s="174" t="s">
        <v>3894</v>
      </c>
      <c r="D220" s="174" t="s">
        <v>3</v>
      </c>
      <c r="E220" s="174" t="s">
        <v>1034</v>
      </c>
      <c r="F220" s="186" t="s">
        <v>1032</v>
      </c>
      <c r="G220" s="174"/>
      <c r="H220" s="174"/>
      <c r="I220" s="174"/>
      <c r="J220" s="180" t="s">
        <v>4151</v>
      </c>
      <c r="K220" s="181" t="s">
        <v>4833</v>
      </c>
      <c r="L220" s="181" t="s">
        <v>39</v>
      </c>
      <c r="M220" s="181" t="s">
        <v>231</v>
      </c>
      <c r="N220" s="182" t="s">
        <v>231</v>
      </c>
    </row>
    <row r="221" spans="1:14" ht="19.5">
      <c r="A221" s="197" t="s">
        <v>1037</v>
      </c>
      <c r="B221" s="188" t="s">
        <v>3</v>
      </c>
      <c r="C221" s="174" t="s">
        <v>3894</v>
      </c>
      <c r="D221" s="174" t="s">
        <v>3</v>
      </c>
      <c r="E221" s="174" t="s">
        <v>1038</v>
      </c>
      <c r="F221" s="186" t="s">
        <v>294</v>
      </c>
      <c r="G221" s="174"/>
      <c r="H221" s="174"/>
      <c r="I221" s="174"/>
      <c r="J221" s="180" t="s">
        <v>4156</v>
      </c>
      <c r="K221" s="181" t="s">
        <v>4833</v>
      </c>
      <c r="L221" s="181" t="s">
        <v>39</v>
      </c>
      <c r="M221" s="181" t="s">
        <v>231</v>
      </c>
      <c r="N221" s="182" t="s">
        <v>231</v>
      </c>
    </row>
    <row r="222" spans="1:14" ht="19.5">
      <c r="A222" s="197" t="s">
        <v>1042</v>
      </c>
      <c r="B222" s="188" t="s">
        <v>3</v>
      </c>
      <c r="C222" s="174" t="s">
        <v>3894</v>
      </c>
      <c r="D222" s="174" t="s">
        <v>3</v>
      </c>
      <c r="E222" s="174" t="s">
        <v>1045</v>
      </c>
      <c r="F222" s="186" t="s">
        <v>1043</v>
      </c>
      <c r="G222" s="174"/>
      <c r="H222" s="174"/>
      <c r="I222" s="174"/>
      <c r="J222" s="180" t="s">
        <v>4608</v>
      </c>
      <c r="K222" s="181" t="s">
        <v>3894</v>
      </c>
      <c r="L222" s="181" t="s">
        <v>5346</v>
      </c>
      <c r="M222" s="181" t="s">
        <v>157</v>
      </c>
      <c r="N222" s="182" t="s">
        <v>5347</v>
      </c>
    </row>
    <row r="223" spans="1:14" ht="19.5">
      <c r="A223" s="197" t="s">
        <v>1049</v>
      </c>
      <c r="B223" s="188" t="s">
        <v>3</v>
      </c>
      <c r="C223" s="174" t="s">
        <v>3894</v>
      </c>
      <c r="D223" s="174" t="s">
        <v>3</v>
      </c>
      <c r="E223" s="174" t="s">
        <v>887</v>
      </c>
      <c r="F223" s="186" t="s">
        <v>1050</v>
      </c>
      <c r="G223" s="174"/>
      <c r="H223" s="174"/>
      <c r="I223" s="174"/>
      <c r="J223" s="180" t="s">
        <v>4160</v>
      </c>
      <c r="K223" s="181" t="s">
        <v>4833</v>
      </c>
      <c r="L223" s="181" t="s">
        <v>39</v>
      </c>
      <c r="M223" s="181" t="s">
        <v>231</v>
      </c>
      <c r="N223" s="182" t="s">
        <v>231</v>
      </c>
    </row>
    <row r="224" spans="1:14" ht="19.5">
      <c r="A224" s="197" t="s">
        <v>1055</v>
      </c>
      <c r="B224" s="188" t="s">
        <v>3</v>
      </c>
      <c r="C224" s="174" t="s">
        <v>3894</v>
      </c>
      <c r="D224" s="174" t="s">
        <v>3</v>
      </c>
      <c r="E224" s="174" t="s">
        <v>1058</v>
      </c>
      <c r="F224" s="186" t="s">
        <v>1056</v>
      </c>
      <c r="G224" s="174"/>
      <c r="H224" s="174"/>
      <c r="I224" s="174"/>
      <c r="J224" s="180" t="s">
        <v>4164</v>
      </c>
      <c r="K224" s="181" t="s">
        <v>4833</v>
      </c>
      <c r="L224" s="181" t="s">
        <v>39</v>
      </c>
      <c r="M224" s="181" t="s">
        <v>231</v>
      </c>
      <c r="N224" s="182" t="s">
        <v>231</v>
      </c>
    </row>
    <row r="225" spans="1:14" ht="19.5">
      <c r="A225" s="197" t="s">
        <v>1062</v>
      </c>
      <c r="B225" s="188" t="s">
        <v>3</v>
      </c>
      <c r="C225" s="174" t="s">
        <v>3894</v>
      </c>
      <c r="D225" s="174" t="s">
        <v>3</v>
      </c>
      <c r="E225" s="174" t="s">
        <v>1065</v>
      </c>
      <c r="F225" s="186" t="s">
        <v>1063</v>
      </c>
      <c r="G225" s="174"/>
      <c r="H225" s="174"/>
      <c r="I225" s="174"/>
      <c r="J225" s="180" t="s">
        <v>2925</v>
      </c>
      <c r="K225" s="181" t="s">
        <v>4833</v>
      </c>
      <c r="L225" s="181" t="s">
        <v>39</v>
      </c>
      <c r="M225" s="181" t="s">
        <v>231</v>
      </c>
      <c r="N225" s="182" t="s">
        <v>231</v>
      </c>
    </row>
    <row r="226" spans="1:14" ht="19.5">
      <c r="A226" s="197" t="s">
        <v>1069</v>
      </c>
      <c r="B226" s="188" t="s">
        <v>3</v>
      </c>
      <c r="C226" s="174" t="s">
        <v>3894</v>
      </c>
      <c r="D226" s="174" t="s">
        <v>3</v>
      </c>
      <c r="E226" s="174" t="s">
        <v>925</v>
      </c>
      <c r="F226" s="186" t="s">
        <v>1070</v>
      </c>
      <c r="G226" s="174"/>
      <c r="H226" s="174"/>
      <c r="I226" s="174"/>
      <c r="J226" s="180" t="s">
        <v>2930</v>
      </c>
      <c r="K226" s="181" t="s">
        <v>4833</v>
      </c>
      <c r="L226" s="181" t="s">
        <v>39</v>
      </c>
      <c r="M226" s="181" t="s">
        <v>231</v>
      </c>
      <c r="N226" s="182" t="s">
        <v>231</v>
      </c>
    </row>
    <row r="227" spans="1:14" ht="19.5">
      <c r="A227" s="197" t="s">
        <v>1075</v>
      </c>
      <c r="B227" s="188" t="s">
        <v>3</v>
      </c>
      <c r="C227" s="174" t="e">
        <v>#N/A</v>
      </c>
      <c r="D227" s="174" t="e">
        <v>#N/A</v>
      </c>
      <c r="E227" s="174" t="e">
        <v>#N/A</v>
      </c>
      <c r="F227" s="186" t="s">
        <v>1076</v>
      </c>
      <c r="G227" s="174"/>
      <c r="H227" s="174"/>
      <c r="I227" s="174"/>
      <c r="J227" s="180" t="s">
        <v>1042</v>
      </c>
      <c r="K227" s="181" t="s">
        <v>3894</v>
      </c>
      <c r="L227" s="181" t="s">
        <v>3</v>
      </c>
      <c r="M227" s="181" t="s">
        <v>1045</v>
      </c>
      <c r="N227" s="182" t="s">
        <v>3</v>
      </c>
    </row>
    <row r="228" spans="1:14" ht="19.5">
      <c r="A228" s="197" t="s">
        <v>1081</v>
      </c>
      <c r="B228" s="188" t="s">
        <v>3</v>
      </c>
      <c r="C228" s="174" t="e">
        <v>#N/A</v>
      </c>
      <c r="D228" s="174" t="e">
        <v>#N/A</v>
      </c>
      <c r="E228" s="174" t="e">
        <v>#N/A</v>
      </c>
      <c r="F228" s="186" t="s">
        <v>1082</v>
      </c>
      <c r="G228" s="174"/>
      <c r="H228" s="174"/>
      <c r="I228" s="174"/>
      <c r="J228" s="180" t="s">
        <v>1929</v>
      </c>
      <c r="K228" s="181" t="s">
        <v>3894</v>
      </c>
      <c r="L228" s="181" t="s">
        <v>5346</v>
      </c>
      <c r="M228" s="181" t="s">
        <v>157</v>
      </c>
      <c r="N228" s="182" t="s">
        <v>5347</v>
      </c>
    </row>
    <row r="229" spans="1:14" ht="19.5">
      <c r="A229" s="186" t="s">
        <v>1086</v>
      </c>
      <c r="B229" s="188" t="s">
        <v>3</v>
      </c>
      <c r="C229" s="174" t="s">
        <v>3894</v>
      </c>
      <c r="D229" s="174" t="s">
        <v>3</v>
      </c>
      <c r="E229" s="174" t="s">
        <v>1089</v>
      </c>
      <c r="F229" s="186" t="s">
        <v>1087</v>
      </c>
      <c r="G229" s="174"/>
      <c r="H229" s="174"/>
      <c r="I229" s="174"/>
      <c r="J229" s="180" t="s">
        <v>2950</v>
      </c>
      <c r="K229" s="181" t="s">
        <v>4833</v>
      </c>
      <c r="L229" s="181" t="s">
        <v>39</v>
      </c>
      <c r="M229" s="181" t="s">
        <v>231</v>
      </c>
      <c r="N229" s="182" t="s">
        <v>231</v>
      </c>
    </row>
    <row r="230" spans="1:14" ht="19.5">
      <c r="A230" s="199" t="s">
        <v>1092</v>
      </c>
      <c r="B230" s="188" t="s">
        <v>3</v>
      </c>
      <c r="C230" s="174" t="s">
        <v>3894</v>
      </c>
      <c r="D230" s="174" t="s">
        <v>3</v>
      </c>
      <c r="E230" s="174" t="s">
        <v>994</v>
      </c>
      <c r="F230" s="186" t="s">
        <v>1093</v>
      </c>
      <c r="G230" s="174"/>
      <c r="H230" s="174"/>
      <c r="I230" s="174"/>
      <c r="J230" s="180" t="s">
        <v>1049</v>
      </c>
      <c r="K230" s="181" t="s">
        <v>3894</v>
      </c>
      <c r="L230" s="181" t="s">
        <v>3</v>
      </c>
      <c r="M230" s="181" t="s">
        <v>887</v>
      </c>
      <c r="N230" s="182" t="s">
        <v>3</v>
      </c>
    </row>
    <row r="231" spans="1:14" ht="19.5">
      <c r="A231" s="199" t="s">
        <v>1097</v>
      </c>
      <c r="B231" s="188" t="s">
        <v>3</v>
      </c>
      <c r="C231" s="174" t="s">
        <v>3894</v>
      </c>
      <c r="D231" s="174" t="s">
        <v>3</v>
      </c>
      <c r="E231" s="174" t="s">
        <v>1101</v>
      </c>
      <c r="F231" s="186" t="s">
        <v>1098</v>
      </c>
      <c r="G231" s="174"/>
      <c r="H231" s="174"/>
      <c r="I231" s="174"/>
      <c r="J231" s="180" t="s">
        <v>399</v>
      </c>
      <c r="K231" s="181" t="s">
        <v>4833</v>
      </c>
      <c r="L231" s="181" t="s">
        <v>39</v>
      </c>
      <c r="M231" s="181" t="s">
        <v>231</v>
      </c>
      <c r="N231" s="182" t="s">
        <v>231</v>
      </c>
    </row>
    <row r="232" spans="1:14" ht="19.5">
      <c r="A232" s="186" t="s">
        <v>1106</v>
      </c>
      <c r="B232" s="188" t="s">
        <v>3</v>
      </c>
      <c r="C232" s="174" t="s">
        <v>3894</v>
      </c>
      <c r="D232" s="174" t="s">
        <v>3</v>
      </c>
      <c r="E232" s="174" t="s">
        <v>1109</v>
      </c>
      <c r="F232" s="186" t="s">
        <v>1107</v>
      </c>
      <c r="G232" s="174"/>
      <c r="H232" s="174"/>
      <c r="I232" s="174"/>
      <c r="J232" s="180" t="s">
        <v>2939</v>
      </c>
      <c r="K232" s="181" t="s">
        <v>4833</v>
      </c>
      <c r="L232" s="181" t="s">
        <v>39</v>
      </c>
      <c r="M232" s="181" t="s">
        <v>231</v>
      </c>
      <c r="N232" s="182" t="s">
        <v>231</v>
      </c>
    </row>
    <row r="233" spans="1:14" ht="19.5">
      <c r="A233" s="186" t="s">
        <v>1114</v>
      </c>
      <c r="B233" s="188" t="s">
        <v>3</v>
      </c>
      <c r="C233" s="174" t="s">
        <v>3894</v>
      </c>
      <c r="D233" s="174" t="s">
        <v>3</v>
      </c>
      <c r="E233" s="174" t="s">
        <v>887</v>
      </c>
      <c r="F233" s="186" t="s">
        <v>1115</v>
      </c>
      <c r="G233" s="174"/>
      <c r="H233" s="174"/>
      <c r="I233" s="174"/>
      <c r="J233" s="180" t="s">
        <v>2944</v>
      </c>
      <c r="K233" s="181" t="s">
        <v>4833</v>
      </c>
      <c r="L233" s="181" t="s">
        <v>39</v>
      </c>
      <c r="M233" s="181" t="s">
        <v>231</v>
      </c>
      <c r="N233" s="182" t="s">
        <v>231</v>
      </c>
    </row>
    <row r="234" spans="1:14" ht="19.5">
      <c r="A234" s="186" t="s">
        <v>1120</v>
      </c>
      <c r="B234" s="188" t="s">
        <v>3</v>
      </c>
      <c r="C234" s="174" t="s">
        <v>3894</v>
      </c>
      <c r="D234" s="174" t="s">
        <v>3</v>
      </c>
      <c r="E234" s="174" t="s">
        <v>1123</v>
      </c>
      <c r="F234" s="186" t="s">
        <v>1121</v>
      </c>
      <c r="G234" s="174"/>
      <c r="H234" s="174"/>
      <c r="I234" s="174"/>
      <c r="J234" s="180" t="s">
        <v>2954</v>
      </c>
      <c r="K234" s="181" t="s">
        <v>4833</v>
      </c>
      <c r="L234" s="181" t="s">
        <v>39</v>
      </c>
      <c r="M234" s="181" t="s">
        <v>231</v>
      </c>
      <c r="N234" s="182" t="s">
        <v>231</v>
      </c>
    </row>
    <row r="235" spans="1:14" ht="19.5">
      <c r="A235" s="186" t="s">
        <v>1126</v>
      </c>
      <c r="B235" s="188" t="s">
        <v>3</v>
      </c>
      <c r="C235" s="174" t="s">
        <v>3894</v>
      </c>
      <c r="D235" s="174" t="s">
        <v>3</v>
      </c>
      <c r="E235" s="174" t="s">
        <v>1129</v>
      </c>
      <c r="F235" s="186" t="s">
        <v>1127</v>
      </c>
      <c r="G235" s="174"/>
      <c r="H235" s="174"/>
      <c r="I235" s="174"/>
      <c r="J235" s="180" t="s">
        <v>2959</v>
      </c>
      <c r="K235" s="181" t="s">
        <v>4833</v>
      </c>
      <c r="L235" s="181" t="s">
        <v>39</v>
      </c>
      <c r="M235" s="181" t="s">
        <v>231</v>
      </c>
      <c r="N235" s="182" t="s">
        <v>231</v>
      </c>
    </row>
    <row r="236" spans="1:14" ht="19.5">
      <c r="A236" s="186" t="s">
        <v>1132</v>
      </c>
      <c r="B236" s="188" t="s">
        <v>3</v>
      </c>
      <c r="C236" s="174" t="s">
        <v>3894</v>
      </c>
      <c r="D236" s="174" t="s">
        <v>3</v>
      </c>
      <c r="E236" s="174" t="s">
        <v>1135</v>
      </c>
      <c r="F236" s="186" t="s">
        <v>1133</v>
      </c>
      <c r="G236" s="174"/>
      <c r="H236" s="174"/>
      <c r="I236" s="174"/>
      <c r="J236" s="180" t="s">
        <v>4169</v>
      </c>
      <c r="K236" s="181" t="s">
        <v>4833</v>
      </c>
      <c r="L236" s="181" t="s">
        <v>39</v>
      </c>
      <c r="M236" s="181" t="s">
        <v>231</v>
      </c>
      <c r="N236" s="182" t="s">
        <v>231</v>
      </c>
    </row>
    <row r="237" spans="1:14" ht="19.5">
      <c r="A237" s="186" t="s">
        <v>1138</v>
      </c>
      <c r="B237" s="188" t="s">
        <v>3</v>
      </c>
      <c r="C237" s="174" t="s">
        <v>3894</v>
      </c>
      <c r="D237" s="174" t="s">
        <v>3</v>
      </c>
      <c r="E237" s="174" t="s">
        <v>903</v>
      </c>
      <c r="F237" s="186" t="s">
        <v>1139</v>
      </c>
      <c r="G237" s="174"/>
      <c r="H237" s="174"/>
      <c r="I237" s="174"/>
      <c r="J237" s="180" t="s">
        <v>4694</v>
      </c>
      <c r="K237" s="181" t="s">
        <v>4833</v>
      </c>
      <c r="L237" s="181" t="s">
        <v>39</v>
      </c>
      <c r="M237" s="181" t="s">
        <v>231</v>
      </c>
      <c r="N237" s="182" t="s">
        <v>231</v>
      </c>
    </row>
    <row r="238" spans="1:14" ht="19.5">
      <c r="A238" s="186" t="s">
        <v>1143</v>
      </c>
      <c r="B238" s="188" t="s">
        <v>3</v>
      </c>
      <c r="C238" s="174" t="s">
        <v>3894</v>
      </c>
      <c r="D238" s="174" t="s">
        <v>3</v>
      </c>
      <c r="E238" s="174" t="s">
        <v>123</v>
      </c>
      <c r="F238" s="186" t="s">
        <v>1144</v>
      </c>
      <c r="G238" s="174"/>
      <c r="H238" s="174"/>
      <c r="I238" s="174"/>
      <c r="J238" s="180" t="s">
        <v>4174</v>
      </c>
      <c r="K238" s="181" t="s">
        <v>4833</v>
      </c>
      <c r="L238" s="181" t="s">
        <v>39</v>
      </c>
      <c r="M238" s="181" t="s">
        <v>231</v>
      </c>
      <c r="N238" s="182" t="s">
        <v>231</v>
      </c>
    </row>
    <row r="239" spans="1:14" ht="19.5">
      <c r="A239" s="186" t="s">
        <v>1148</v>
      </c>
      <c r="B239" s="188" t="s">
        <v>3</v>
      </c>
      <c r="C239" s="174" t="s">
        <v>3894</v>
      </c>
      <c r="D239" s="174" t="s">
        <v>3</v>
      </c>
      <c r="E239" s="174" t="s">
        <v>1151</v>
      </c>
      <c r="F239" s="186" t="s">
        <v>1149</v>
      </c>
      <c r="G239" s="174"/>
      <c r="H239" s="174"/>
      <c r="I239" s="174"/>
      <c r="J239" s="180" t="s">
        <v>4697</v>
      </c>
      <c r="K239" s="181" t="s">
        <v>4833</v>
      </c>
      <c r="L239" s="181" t="s">
        <v>39</v>
      </c>
      <c r="M239" s="181" t="s">
        <v>231</v>
      </c>
      <c r="N239" s="182" t="s">
        <v>231</v>
      </c>
    </row>
    <row r="240" spans="1:14" ht="19.5">
      <c r="A240" s="186" t="s">
        <v>1154</v>
      </c>
      <c r="B240" s="188" t="s">
        <v>3</v>
      </c>
      <c r="C240" s="174" t="s">
        <v>3894</v>
      </c>
      <c r="D240" s="174" t="s">
        <v>3</v>
      </c>
      <c r="E240" s="174" t="s">
        <v>1157</v>
      </c>
      <c r="F240" s="186" t="s">
        <v>1155</v>
      </c>
      <c r="G240" s="174"/>
      <c r="H240" s="174"/>
      <c r="I240" s="174"/>
      <c r="J240" s="180" t="s">
        <v>2934</v>
      </c>
      <c r="K240" s="181" t="s">
        <v>4833</v>
      </c>
      <c r="L240" s="181" t="s">
        <v>39</v>
      </c>
      <c r="M240" s="181" t="s">
        <v>231</v>
      </c>
      <c r="N240" s="182" t="s">
        <v>231</v>
      </c>
    </row>
    <row r="241" spans="1:14" ht="19.5">
      <c r="A241" s="186" t="s">
        <v>1160</v>
      </c>
      <c r="B241" s="188" t="s">
        <v>3</v>
      </c>
      <c r="C241" s="174" t="s">
        <v>3894</v>
      </c>
      <c r="D241" s="174" t="s">
        <v>3</v>
      </c>
      <c r="E241" s="174" t="s">
        <v>948</v>
      </c>
      <c r="F241" s="186" t="s">
        <v>1161</v>
      </c>
      <c r="G241" s="174"/>
      <c r="H241" s="174"/>
      <c r="I241" s="174"/>
      <c r="J241" s="180" t="s">
        <v>2964</v>
      </c>
      <c r="K241" s="181" t="s">
        <v>4833</v>
      </c>
      <c r="L241" s="181" t="s">
        <v>39</v>
      </c>
      <c r="M241" s="181" t="s">
        <v>231</v>
      </c>
      <c r="N241" s="182" t="s">
        <v>231</v>
      </c>
    </row>
    <row r="242" spans="1:14" ht="19.5">
      <c r="A242" s="186" t="s">
        <v>1165</v>
      </c>
      <c r="B242" s="188" t="s">
        <v>3</v>
      </c>
      <c r="C242" s="174" t="s">
        <v>3894</v>
      </c>
      <c r="D242" s="174" t="s">
        <v>3</v>
      </c>
      <c r="E242" s="174" t="s">
        <v>903</v>
      </c>
      <c r="F242" s="186" t="s">
        <v>1166</v>
      </c>
      <c r="G242" s="174"/>
      <c r="H242" s="174"/>
      <c r="I242" s="174"/>
      <c r="J242" s="180" t="s">
        <v>2978</v>
      </c>
      <c r="K242" s="181" t="s">
        <v>4833</v>
      </c>
      <c r="L242" s="181" t="s">
        <v>39</v>
      </c>
      <c r="M242" s="181" t="s">
        <v>231</v>
      </c>
      <c r="N242" s="182" t="s">
        <v>231</v>
      </c>
    </row>
    <row r="243" spans="1:14" ht="19.5">
      <c r="A243" s="186" t="s">
        <v>1170</v>
      </c>
      <c r="B243" s="188" t="s">
        <v>3</v>
      </c>
      <c r="C243" s="174" t="s">
        <v>3894</v>
      </c>
      <c r="D243" s="174" t="s">
        <v>3</v>
      </c>
      <c r="E243" s="174" t="s">
        <v>903</v>
      </c>
      <c r="F243" s="186" t="s">
        <v>1171</v>
      </c>
      <c r="G243" s="174"/>
      <c r="H243" s="174"/>
      <c r="I243" s="174"/>
      <c r="J243" s="180" t="s">
        <v>2969</v>
      </c>
      <c r="K243" s="181" t="s">
        <v>4833</v>
      </c>
      <c r="L243" s="181" t="s">
        <v>39</v>
      </c>
      <c r="M243" s="181" t="s">
        <v>231</v>
      </c>
      <c r="N243" s="182" t="s">
        <v>231</v>
      </c>
    </row>
    <row r="244" spans="1:14" ht="19.5">
      <c r="A244" s="186" t="s">
        <v>1175</v>
      </c>
      <c r="B244" s="188" t="s">
        <v>3</v>
      </c>
      <c r="C244" s="174" t="s">
        <v>3894</v>
      </c>
      <c r="D244" s="174" t="s">
        <v>3</v>
      </c>
      <c r="E244" s="174" t="s">
        <v>948</v>
      </c>
      <c r="F244" s="186" t="s">
        <v>1176</v>
      </c>
      <c r="G244" s="174"/>
      <c r="H244" s="174"/>
      <c r="I244" s="174"/>
      <c r="J244" s="180" t="s">
        <v>2973</v>
      </c>
      <c r="K244" s="181" t="s">
        <v>4833</v>
      </c>
      <c r="L244" s="181" t="s">
        <v>39</v>
      </c>
      <c r="M244" s="181" t="s">
        <v>231</v>
      </c>
      <c r="N244" s="182" t="s">
        <v>231</v>
      </c>
    </row>
    <row r="245" spans="1:14" ht="19.5">
      <c r="A245" s="186" t="s">
        <v>1180</v>
      </c>
      <c r="B245" s="188" t="s">
        <v>3</v>
      </c>
      <c r="C245" s="174" t="s">
        <v>3894</v>
      </c>
      <c r="D245" s="174" t="s">
        <v>3</v>
      </c>
      <c r="E245" s="174" t="s">
        <v>1183</v>
      </c>
      <c r="F245" s="186" t="s">
        <v>1181</v>
      </c>
      <c r="G245" s="174"/>
      <c r="H245" s="174"/>
      <c r="I245" s="174"/>
      <c r="J245" s="180" t="s">
        <v>2983</v>
      </c>
      <c r="K245" s="181" t="s">
        <v>4833</v>
      </c>
      <c r="L245" s="181" t="s">
        <v>39</v>
      </c>
      <c r="M245" s="181" t="s">
        <v>231</v>
      </c>
      <c r="N245" s="182" t="s">
        <v>231</v>
      </c>
    </row>
    <row r="246" spans="1:14" ht="19.5">
      <c r="A246" s="186" t="s">
        <v>1186</v>
      </c>
      <c r="B246" s="188" t="s">
        <v>3</v>
      </c>
      <c r="C246" s="174" t="s">
        <v>3894</v>
      </c>
      <c r="D246" s="174" t="s">
        <v>3</v>
      </c>
      <c r="E246" s="174" t="s">
        <v>1189</v>
      </c>
      <c r="F246" s="186" t="s">
        <v>1187</v>
      </c>
      <c r="G246" s="174"/>
      <c r="H246" s="174"/>
      <c r="I246" s="174"/>
      <c r="J246" s="180" t="s">
        <v>1826</v>
      </c>
      <c r="K246" s="181" t="s">
        <v>3894</v>
      </c>
      <c r="L246" s="181" t="s">
        <v>5</v>
      </c>
      <c r="M246" s="181" t="s">
        <v>87</v>
      </c>
      <c r="N246" s="182" t="s">
        <v>5</v>
      </c>
    </row>
    <row r="247" spans="1:14" ht="19.5">
      <c r="A247" s="186" t="s">
        <v>1193</v>
      </c>
      <c r="B247" s="188" t="s">
        <v>3</v>
      </c>
      <c r="C247" s="174" t="s">
        <v>3894</v>
      </c>
      <c r="D247" s="174" t="s">
        <v>3</v>
      </c>
      <c r="E247" s="174" t="s">
        <v>87</v>
      </c>
      <c r="F247" s="186" t="s">
        <v>1194</v>
      </c>
      <c r="G247" s="174"/>
      <c r="H247" s="174"/>
      <c r="I247" s="174"/>
      <c r="J247" s="180" t="s">
        <v>2989</v>
      </c>
      <c r="K247" s="181" t="s">
        <v>4833</v>
      </c>
      <c r="L247" s="181" t="s">
        <v>39</v>
      </c>
      <c r="M247" s="181" t="s">
        <v>231</v>
      </c>
      <c r="N247" s="182" t="s">
        <v>231</v>
      </c>
    </row>
    <row r="248" spans="1:14" ht="19.5">
      <c r="A248" s="186" t="s">
        <v>1198</v>
      </c>
      <c r="B248" s="188" t="s">
        <v>3</v>
      </c>
      <c r="C248" s="174" t="s">
        <v>3894</v>
      </c>
      <c r="D248" s="174" t="s">
        <v>3</v>
      </c>
      <c r="E248" s="174" t="s">
        <v>1201</v>
      </c>
      <c r="F248" s="186" t="s">
        <v>1199</v>
      </c>
      <c r="G248" s="174"/>
      <c r="H248" s="174"/>
      <c r="I248" s="174"/>
      <c r="J248" s="180" t="s">
        <v>407</v>
      </c>
      <c r="K248" s="181" t="s">
        <v>4833</v>
      </c>
      <c r="L248" s="181" t="s">
        <v>39</v>
      </c>
      <c r="M248" s="181" t="s">
        <v>231</v>
      </c>
      <c r="N248" s="182" t="s">
        <v>231</v>
      </c>
    </row>
    <row r="249" spans="1:14" ht="19.5">
      <c r="A249" s="186" t="s">
        <v>1204</v>
      </c>
      <c r="B249" s="188" t="s">
        <v>3</v>
      </c>
      <c r="C249" s="174" t="s">
        <v>3894</v>
      </c>
      <c r="D249" s="174" t="s">
        <v>3</v>
      </c>
      <c r="E249" s="174" t="s">
        <v>940</v>
      </c>
      <c r="F249" s="186" t="s">
        <v>1205</v>
      </c>
      <c r="G249" s="174"/>
      <c r="H249" s="174"/>
      <c r="I249" s="174"/>
      <c r="J249" s="180" t="s">
        <v>2998</v>
      </c>
      <c r="K249" s="181" t="s">
        <v>4833</v>
      </c>
      <c r="L249" s="181" t="s">
        <v>39</v>
      </c>
      <c r="M249" s="181" t="s">
        <v>231</v>
      </c>
      <c r="N249" s="182" t="s">
        <v>231</v>
      </c>
    </row>
    <row r="250" spans="1:14" ht="19.5">
      <c r="A250" s="186" t="s">
        <v>1209</v>
      </c>
      <c r="B250" s="188" t="s">
        <v>3</v>
      </c>
      <c r="C250" s="174" t="s">
        <v>3894</v>
      </c>
      <c r="D250" s="174" t="s">
        <v>3</v>
      </c>
      <c r="E250" s="174" t="s">
        <v>986</v>
      </c>
      <c r="F250" s="186" t="s">
        <v>1210</v>
      </c>
      <c r="G250" s="174"/>
      <c r="H250" s="174"/>
      <c r="I250" s="174"/>
      <c r="J250" s="180" t="s">
        <v>3003</v>
      </c>
      <c r="K250" s="181" t="s">
        <v>4833</v>
      </c>
      <c r="L250" s="181" t="s">
        <v>39</v>
      </c>
      <c r="M250" s="181" t="s">
        <v>231</v>
      </c>
      <c r="N250" s="182" t="s">
        <v>231</v>
      </c>
    </row>
    <row r="251" spans="1:14" ht="19.5">
      <c r="A251" s="186" t="s">
        <v>1215</v>
      </c>
      <c r="B251" s="188" t="s">
        <v>3</v>
      </c>
      <c r="C251" s="174" t="s">
        <v>3894</v>
      </c>
      <c r="D251" s="174" t="s">
        <v>3</v>
      </c>
      <c r="E251" s="174" t="s">
        <v>1135</v>
      </c>
      <c r="F251" s="186" t="s">
        <v>1216</v>
      </c>
      <c r="G251" s="174"/>
      <c r="H251" s="174"/>
      <c r="I251" s="174"/>
      <c r="J251" s="180" t="s">
        <v>1055</v>
      </c>
      <c r="K251" s="181" t="s">
        <v>3894</v>
      </c>
      <c r="L251" s="181" t="s">
        <v>3</v>
      </c>
      <c r="M251" s="181" t="s">
        <v>1058</v>
      </c>
      <c r="N251" s="182" t="s">
        <v>3</v>
      </c>
    </row>
    <row r="252" spans="1:14" ht="19.5">
      <c r="A252" s="197" t="s">
        <v>1225</v>
      </c>
      <c r="B252" s="188" t="s">
        <v>3</v>
      </c>
      <c r="C252" s="174" t="s">
        <v>3894</v>
      </c>
      <c r="D252" s="174" t="s">
        <v>3</v>
      </c>
      <c r="E252" s="174" t="s">
        <v>1228</v>
      </c>
      <c r="F252" s="186" t="s">
        <v>1226</v>
      </c>
      <c r="G252" s="174"/>
      <c r="H252" s="174"/>
      <c r="I252" s="174"/>
      <c r="J252" s="180" t="s">
        <v>1651</v>
      </c>
      <c r="K252" s="181" t="s">
        <v>3894</v>
      </c>
      <c r="L252" s="181" t="s">
        <v>4</v>
      </c>
      <c r="M252" s="181" t="s">
        <v>1038</v>
      </c>
      <c r="N252" s="182" t="s">
        <v>4</v>
      </c>
    </row>
    <row r="253" spans="1:14" ht="19.5">
      <c r="A253" s="197" t="s">
        <v>1231</v>
      </c>
      <c r="B253" s="188" t="s">
        <v>3</v>
      </c>
      <c r="C253" s="174" t="s">
        <v>3894</v>
      </c>
      <c r="D253" s="174" t="s">
        <v>3</v>
      </c>
      <c r="E253" s="174" t="s">
        <v>57</v>
      </c>
      <c r="F253" s="186" t="s">
        <v>1232</v>
      </c>
      <c r="G253" s="174"/>
      <c r="H253" s="174"/>
      <c r="I253" s="174"/>
      <c r="J253" s="180" t="s">
        <v>413</v>
      </c>
      <c r="K253" s="181" t="s">
        <v>4833</v>
      </c>
      <c r="L253" s="181" t="s">
        <v>39</v>
      </c>
      <c r="M253" s="181" t="s">
        <v>231</v>
      </c>
      <c r="N253" s="182" t="s">
        <v>231</v>
      </c>
    </row>
    <row r="254" spans="1:14" ht="19.5">
      <c r="A254" s="197" t="s">
        <v>1236</v>
      </c>
      <c r="B254" s="188" t="s">
        <v>3</v>
      </c>
      <c r="C254" s="174" t="s">
        <v>3894</v>
      </c>
      <c r="D254" s="174" t="s">
        <v>3</v>
      </c>
      <c r="E254" s="174" t="s">
        <v>1239</v>
      </c>
      <c r="F254" s="186" t="s">
        <v>1237</v>
      </c>
      <c r="G254" s="174"/>
      <c r="H254" s="174"/>
      <c r="I254" s="174"/>
      <c r="J254" s="180" t="s">
        <v>1062</v>
      </c>
      <c r="K254" s="181" t="s">
        <v>3894</v>
      </c>
      <c r="L254" s="181" t="s">
        <v>3</v>
      </c>
      <c r="M254" s="181" t="s">
        <v>1065</v>
      </c>
      <c r="N254" s="182" t="s">
        <v>3</v>
      </c>
    </row>
    <row r="255" spans="1:14" ht="19.5">
      <c r="A255" s="186" t="s">
        <v>1242</v>
      </c>
      <c r="B255" s="188" t="s">
        <v>3</v>
      </c>
      <c r="C255" s="174" t="s">
        <v>3894</v>
      </c>
      <c r="D255" s="174" t="s">
        <v>3</v>
      </c>
      <c r="E255" s="174" t="s">
        <v>1245</v>
      </c>
      <c r="F255" s="186" t="s">
        <v>1243</v>
      </c>
      <c r="G255" s="174"/>
      <c r="H255" s="174"/>
      <c r="I255" s="174"/>
      <c r="J255" s="180" t="s">
        <v>1069</v>
      </c>
      <c r="K255" s="181" t="s">
        <v>3894</v>
      </c>
      <c r="L255" s="181" t="s">
        <v>3</v>
      </c>
      <c r="M255" s="181" t="s">
        <v>925</v>
      </c>
      <c r="N255" s="182" t="s">
        <v>3</v>
      </c>
    </row>
    <row r="256" spans="1:14" ht="19.5">
      <c r="A256" s="186" t="s">
        <v>1248</v>
      </c>
      <c r="B256" s="188" t="s">
        <v>3</v>
      </c>
      <c r="C256" s="174" t="s">
        <v>3894</v>
      </c>
      <c r="D256" s="174" t="s">
        <v>3</v>
      </c>
      <c r="E256" s="174" t="s">
        <v>1022</v>
      </c>
      <c r="F256" s="186" t="s">
        <v>1249</v>
      </c>
      <c r="G256" s="174"/>
      <c r="H256" s="174"/>
      <c r="I256" s="174"/>
      <c r="J256" s="180" t="s">
        <v>4473</v>
      </c>
      <c r="K256" s="181" t="s">
        <v>4833</v>
      </c>
      <c r="L256" s="181" t="s">
        <v>39</v>
      </c>
      <c r="M256" s="181" t="s">
        <v>231</v>
      </c>
      <c r="N256" s="182" t="s">
        <v>231</v>
      </c>
    </row>
    <row r="257" spans="1:14" ht="19.5">
      <c r="A257" s="186" t="s">
        <v>1253</v>
      </c>
      <c r="B257" s="188" t="s">
        <v>3</v>
      </c>
      <c r="C257" s="174" t="s">
        <v>3894</v>
      </c>
      <c r="D257" s="174" t="s">
        <v>3</v>
      </c>
      <c r="E257" s="174" t="s">
        <v>1135</v>
      </c>
      <c r="F257" s="186" t="s">
        <v>1254</v>
      </c>
      <c r="G257" s="174"/>
      <c r="H257" s="174"/>
      <c r="I257" s="174"/>
      <c r="J257" s="180" t="s">
        <v>422</v>
      </c>
      <c r="K257" s="181" t="s">
        <v>4833</v>
      </c>
      <c r="L257" s="181" t="s">
        <v>39</v>
      </c>
      <c r="M257" s="181" t="s">
        <v>231</v>
      </c>
      <c r="N257" s="182" t="s">
        <v>231</v>
      </c>
    </row>
    <row r="258" spans="1:14" ht="19.5">
      <c r="A258" s="186" t="s">
        <v>1258</v>
      </c>
      <c r="B258" s="188" t="s">
        <v>3</v>
      </c>
      <c r="C258" s="174" t="s">
        <v>3894</v>
      </c>
      <c r="D258" s="174" t="s">
        <v>3</v>
      </c>
      <c r="E258" s="174" t="s">
        <v>1245</v>
      </c>
      <c r="F258" s="186" t="s">
        <v>1259</v>
      </c>
      <c r="G258" s="174"/>
      <c r="H258" s="174"/>
      <c r="I258" s="174"/>
      <c r="J258" s="180" t="s">
        <v>4184</v>
      </c>
      <c r="K258" s="181" t="s">
        <v>4833</v>
      </c>
      <c r="L258" s="181" t="s">
        <v>39</v>
      </c>
      <c r="M258" s="181" t="s">
        <v>231</v>
      </c>
      <c r="N258" s="182" t="s">
        <v>231</v>
      </c>
    </row>
    <row r="259" spans="1:14" ht="19.5">
      <c r="A259" s="186" t="s">
        <v>1263</v>
      </c>
      <c r="B259" s="188" t="s">
        <v>3</v>
      </c>
      <c r="C259" s="174" t="s">
        <v>3894</v>
      </c>
      <c r="D259" s="174" t="s">
        <v>3</v>
      </c>
      <c r="E259" s="174" t="s">
        <v>1266</v>
      </c>
      <c r="F259" s="186" t="s">
        <v>1264</v>
      </c>
      <c r="G259" s="174"/>
      <c r="H259" s="174"/>
      <c r="I259" s="174"/>
      <c r="J259" s="180" t="s">
        <v>3009</v>
      </c>
      <c r="K259" s="181" t="s">
        <v>4833</v>
      </c>
      <c r="L259" s="181" t="s">
        <v>39</v>
      </c>
      <c r="M259" s="181" t="s">
        <v>231</v>
      </c>
      <c r="N259" s="182" t="s">
        <v>231</v>
      </c>
    </row>
    <row r="260" spans="1:14" ht="19.5">
      <c r="A260" s="186" t="s">
        <v>1269</v>
      </c>
      <c r="B260" s="188" t="s">
        <v>3</v>
      </c>
      <c r="C260" s="174" t="s">
        <v>3894</v>
      </c>
      <c r="D260" s="174" t="s">
        <v>3</v>
      </c>
      <c r="E260" s="174" t="s">
        <v>87</v>
      </c>
      <c r="F260" s="186" t="s">
        <v>1270</v>
      </c>
      <c r="G260" s="174"/>
      <c r="H260" s="174"/>
      <c r="I260" s="174"/>
      <c r="J260" s="180" t="s">
        <v>4190</v>
      </c>
      <c r="K260" s="181" t="s">
        <v>3894</v>
      </c>
      <c r="L260" s="181" t="s">
        <v>3</v>
      </c>
      <c r="M260" s="181" t="s">
        <v>4397</v>
      </c>
      <c r="N260" s="182" t="s">
        <v>3</v>
      </c>
    </row>
    <row r="261" spans="1:14" ht="39">
      <c r="A261" s="197" t="s">
        <v>1274</v>
      </c>
      <c r="B261" s="188" t="s">
        <v>3</v>
      </c>
      <c r="C261" s="174" t="s">
        <v>3894</v>
      </c>
      <c r="D261" s="174" t="s">
        <v>3</v>
      </c>
      <c r="E261" s="174" t="s">
        <v>903</v>
      </c>
      <c r="F261" s="186" t="s">
        <v>1275</v>
      </c>
      <c r="G261" s="174"/>
      <c r="H261" s="174"/>
      <c r="I261" s="174"/>
      <c r="J261" s="180" t="s">
        <v>3647</v>
      </c>
      <c r="K261" s="181" t="s">
        <v>3894</v>
      </c>
      <c r="L261" s="181" t="s">
        <v>15</v>
      </c>
      <c r="M261" s="181" t="s">
        <v>97</v>
      </c>
      <c r="N261" s="182" t="s">
        <v>5368</v>
      </c>
    </row>
    <row r="262" spans="1:14" ht="19.5">
      <c r="A262" s="186" t="s">
        <v>1279</v>
      </c>
      <c r="B262" s="188" t="s">
        <v>3</v>
      </c>
      <c r="C262" s="174" t="s">
        <v>3894</v>
      </c>
      <c r="D262" s="174" t="s">
        <v>3</v>
      </c>
      <c r="E262" s="174" t="s">
        <v>1135</v>
      </c>
      <c r="F262" s="186" t="s">
        <v>1280</v>
      </c>
      <c r="G262" s="174"/>
      <c r="H262" s="174"/>
      <c r="I262" s="174"/>
      <c r="J262" s="180" t="s">
        <v>4733</v>
      </c>
      <c r="K262" s="181" t="s">
        <v>3894</v>
      </c>
      <c r="L262" s="181" t="s">
        <v>3</v>
      </c>
      <c r="M262" s="181" t="s">
        <v>5371</v>
      </c>
      <c r="N262" s="182" t="s">
        <v>3</v>
      </c>
    </row>
    <row r="263" spans="1:14" ht="19.5">
      <c r="A263" s="186" t="s">
        <v>1284</v>
      </c>
      <c r="B263" s="188" t="s">
        <v>3</v>
      </c>
      <c r="C263" s="174" t="e">
        <v>#N/A</v>
      </c>
      <c r="D263" s="174" t="e">
        <v>#N/A</v>
      </c>
      <c r="E263" s="174" t="e">
        <v>#N/A</v>
      </c>
      <c r="F263" s="186" t="s">
        <v>1285</v>
      </c>
      <c r="G263" s="174"/>
      <c r="H263" s="174"/>
      <c r="I263" s="174"/>
      <c r="J263" s="180" t="s">
        <v>2993</v>
      </c>
      <c r="K263" s="181" t="s">
        <v>4833</v>
      </c>
      <c r="L263" s="181" t="s">
        <v>39</v>
      </c>
      <c r="M263" s="181" t="s">
        <v>231</v>
      </c>
      <c r="N263" s="182" t="s">
        <v>231</v>
      </c>
    </row>
    <row r="264" spans="1:14" ht="19.5">
      <c r="A264" s="186" t="s">
        <v>1290</v>
      </c>
      <c r="B264" s="188" t="s">
        <v>3</v>
      </c>
      <c r="C264" s="174" t="e">
        <v>#N/A</v>
      </c>
      <c r="D264" s="174" t="e">
        <v>#N/A</v>
      </c>
      <c r="E264" s="174" t="e">
        <v>#N/A</v>
      </c>
      <c r="F264" s="186" t="s">
        <v>1291</v>
      </c>
      <c r="G264" s="174"/>
      <c r="H264" s="174"/>
      <c r="I264" s="174"/>
      <c r="J264" s="180" t="s">
        <v>4199</v>
      </c>
      <c r="K264" s="181" t="s">
        <v>4833</v>
      </c>
      <c r="L264" s="181" t="s">
        <v>39</v>
      </c>
      <c r="M264" s="181" t="s">
        <v>231</v>
      </c>
      <c r="N264" s="182" t="s">
        <v>231</v>
      </c>
    </row>
    <row r="265" spans="1:14" ht="19.5">
      <c r="A265" s="186">
        <v>5</v>
      </c>
      <c r="B265" s="188" t="s">
        <v>4</v>
      </c>
      <c r="C265" s="174" t="e">
        <v>#N/A</v>
      </c>
      <c r="D265" s="174" t="e">
        <v>#N/A</v>
      </c>
      <c r="E265" s="174" t="e">
        <v>#N/A</v>
      </c>
      <c r="F265" s="186" t="s">
        <v>1303</v>
      </c>
      <c r="G265" s="174"/>
      <c r="H265" s="174"/>
      <c r="I265" s="174"/>
      <c r="J265" s="180" t="s">
        <v>3014</v>
      </c>
      <c r="K265" s="181" t="s">
        <v>4833</v>
      </c>
      <c r="L265" s="181" t="s">
        <v>39</v>
      </c>
      <c r="M265" s="181" t="s">
        <v>231</v>
      </c>
      <c r="N265" s="182" t="s">
        <v>231</v>
      </c>
    </row>
    <row r="266" spans="1:14" ht="19.5">
      <c r="A266" s="186" t="s">
        <v>4505</v>
      </c>
      <c r="B266" s="188" t="s">
        <v>4</v>
      </c>
      <c r="C266" s="174" t="s">
        <v>3894</v>
      </c>
      <c r="D266" s="174" t="s">
        <v>4</v>
      </c>
      <c r="E266" s="174" t="s">
        <v>1028</v>
      </c>
      <c r="F266" s="186" t="s">
        <v>1809</v>
      </c>
      <c r="G266" s="174"/>
      <c r="H266" s="174"/>
      <c r="I266" s="174"/>
      <c r="J266" s="180" t="s">
        <v>4195</v>
      </c>
      <c r="K266" s="181" t="s">
        <v>3894</v>
      </c>
      <c r="L266" s="181" t="s">
        <v>5</v>
      </c>
      <c r="M266" s="181" t="s">
        <v>1811</v>
      </c>
      <c r="N266" s="182" t="s">
        <v>5</v>
      </c>
    </row>
    <row r="267" spans="1:14" ht="39">
      <c r="A267" s="186" t="s">
        <v>1307</v>
      </c>
      <c r="B267" s="188" t="s">
        <v>4</v>
      </c>
      <c r="C267" s="174" t="s">
        <v>3894</v>
      </c>
      <c r="D267" s="174" t="s">
        <v>4</v>
      </c>
      <c r="E267" s="174" t="s">
        <v>1310</v>
      </c>
      <c r="F267" s="186" t="s">
        <v>1308</v>
      </c>
      <c r="G267" s="174"/>
      <c r="H267" s="174"/>
      <c r="I267" s="174"/>
      <c r="J267" s="180" t="s">
        <v>5372</v>
      </c>
      <c r="K267" s="181" t="s">
        <v>3894</v>
      </c>
      <c r="L267" s="181" t="s">
        <v>5363</v>
      </c>
      <c r="M267" s="181" t="s">
        <v>5373</v>
      </c>
      <c r="N267" s="182" t="s">
        <v>5363</v>
      </c>
    </row>
    <row r="268" spans="1:14" ht="19.5">
      <c r="A268" s="186" t="s">
        <v>1315</v>
      </c>
      <c r="B268" s="188" t="s">
        <v>4</v>
      </c>
      <c r="C268" s="174" t="s">
        <v>3894</v>
      </c>
      <c r="D268" s="174" t="s">
        <v>4</v>
      </c>
      <c r="E268" s="174" t="s">
        <v>1318</v>
      </c>
      <c r="F268" s="186" t="s">
        <v>1316</v>
      </c>
      <c r="G268" s="174"/>
      <c r="H268" s="174"/>
      <c r="I268" s="174"/>
      <c r="J268" s="180" t="s">
        <v>4734</v>
      </c>
      <c r="K268" s="181" t="s">
        <v>3894</v>
      </c>
      <c r="L268" s="181" t="s">
        <v>3</v>
      </c>
      <c r="M268" s="181" t="s">
        <v>1656</v>
      </c>
      <c r="N268" s="182" t="s">
        <v>3</v>
      </c>
    </row>
    <row r="269" spans="1:14" ht="19.5">
      <c r="A269" s="186" t="s">
        <v>1321</v>
      </c>
      <c r="B269" s="188" t="s">
        <v>4</v>
      </c>
      <c r="C269" s="174" t="s">
        <v>3894</v>
      </c>
      <c r="D269" s="174" t="s">
        <v>4</v>
      </c>
      <c r="E269" s="174">
        <v>0</v>
      </c>
      <c r="F269" s="186" t="s">
        <v>1322</v>
      </c>
      <c r="G269" s="174"/>
      <c r="H269" s="174"/>
      <c r="I269" s="174"/>
      <c r="J269" s="180" t="s">
        <v>4202</v>
      </c>
      <c r="K269" s="181" t="s">
        <v>4833</v>
      </c>
      <c r="L269" s="181" t="s">
        <v>39</v>
      </c>
      <c r="M269" s="181" t="s">
        <v>231</v>
      </c>
      <c r="N269" s="182" t="s">
        <v>231</v>
      </c>
    </row>
    <row r="270" spans="1:14" ht="19.5">
      <c r="A270" s="186" t="s">
        <v>1334</v>
      </c>
      <c r="B270" s="188" t="s">
        <v>4</v>
      </c>
      <c r="C270" s="174" t="s">
        <v>3894</v>
      </c>
      <c r="D270" s="174" t="s">
        <v>4</v>
      </c>
      <c r="E270" s="174" t="s">
        <v>1337</v>
      </c>
      <c r="F270" s="186" t="s">
        <v>1335</v>
      </c>
      <c r="G270" s="174"/>
      <c r="H270" s="174"/>
      <c r="I270" s="174"/>
      <c r="J270" s="180" t="s">
        <v>4205</v>
      </c>
      <c r="K270" s="181" t="s">
        <v>4833</v>
      </c>
      <c r="L270" s="181" t="s">
        <v>39</v>
      </c>
      <c r="M270" s="181" t="s">
        <v>231</v>
      </c>
      <c r="N270" s="182" t="s">
        <v>231</v>
      </c>
    </row>
    <row r="271" spans="1:14" ht="19.5">
      <c r="A271" s="186" t="s">
        <v>1341</v>
      </c>
      <c r="B271" s="188" t="s">
        <v>4</v>
      </c>
      <c r="C271" s="174" t="s">
        <v>3894</v>
      </c>
      <c r="D271" s="174" t="s">
        <v>4</v>
      </c>
      <c r="E271" s="174" t="s">
        <v>887</v>
      </c>
      <c r="F271" s="186" t="s">
        <v>1342</v>
      </c>
      <c r="G271" s="174"/>
      <c r="H271" s="174"/>
      <c r="I271" s="174"/>
      <c r="J271" s="180" t="s">
        <v>4580</v>
      </c>
      <c r="K271" s="181" t="s">
        <v>4833</v>
      </c>
      <c r="L271" s="181" t="s">
        <v>39</v>
      </c>
      <c r="M271" s="181" t="s">
        <v>231</v>
      </c>
      <c r="N271" s="182" t="s">
        <v>231</v>
      </c>
    </row>
    <row r="272" spans="1:14" ht="19.5">
      <c r="A272" s="186" t="s">
        <v>1347</v>
      </c>
      <c r="B272" s="188" t="s">
        <v>4</v>
      </c>
      <c r="C272" s="174" t="s">
        <v>3894</v>
      </c>
      <c r="D272" s="174" t="s">
        <v>4</v>
      </c>
      <c r="E272" s="174" t="s">
        <v>887</v>
      </c>
      <c r="F272" s="186" t="s">
        <v>1348</v>
      </c>
      <c r="G272" s="174"/>
      <c r="H272" s="174"/>
      <c r="I272" s="174"/>
      <c r="J272" s="180" t="s">
        <v>392</v>
      </c>
      <c r="K272" s="181" t="s">
        <v>3894</v>
      </c>
      <c r="L272" s="181" t="s">
        <v>5</v>
      </c>
      <c r="M272" s="181" t="s">
        <v>1834</v>
      </c>
      <c r="N272" s="182" t="s">
        <v>5</v>
      </c>
    </row>
    <row r="273" spans="1:14" ht="19.5">
      <c r="A273" s="186" t="s">
        <v>1354</v>
      </c>
      <c r="B273" s="188" t="s">
        <v>4</v>
      </c>
      <c r="C273" s="174" t="s">
        <v>3894</v>
      </c>
      <c r="D273" s="174" t="s">
        <v>4</v>
      </c>
      <c r="E273" s="174">
        <v>0</v>
      </c>
      <c r="F273" s="186" t="s">
        <v>1355</v>
      </c>
      <c r="G273" s="174"/>
      <c r="H273" s="174"/>
      <c r="I273" s="174"/>
      <c r="J273" s="180" t="s">
        <v>489</v>
      </c>
      <c r="K273" s="181" t="s">
        <v>4833</v>
      </c>
      <c r="L273" s="181" t="s">
        <v>39</v>
      </c>
      <c r="M273" s="181" t="s">
        <v>231</v>
      </c>
      <c r="N273" s="182" t="s">
        <v>231</v>
      </c>
    </row>
    <row r="274" spans="1:14" ht="19.5">
      <c r="A274" s="186" t="s">
        <v>1360</v>
      </c>
      <c r="B274" s="188" t="s">
        <v>4</v>
      </c>
      <c r="C274" s="174" t="s">
        <v>3894</v>
      </c>
      <c r="D274" s="174" t="s">
        <v>4</v>
      </c>
      <c r="E274" s="174" t="s">
        <v>887</v>
      </c>
      <c r="F274" s="186" t="s">
        <v>1361</v>
      </c>
      <c r="G274" s="174"/>
      <c r="H274" s="174"/>
      <c r="I274" s="174"/>
      <c r="J274" s="180" t="s">
        <v>4179</v>
      </c>
      <c r="K274" s="181" t="s">
        <v>4833</v>
      </c>
      <c r="L274" s="181" t="s">
        <v>39</v>
      </c>
      <c r="M274" s="181" t="s">
        <v>231</v>
      </c>
      <c r="N274" s="182" t="s">
        <v>231</v>
      </c>
    </row>
    <row r="275" spans="1:14" ht="19.5">
      <c r="A275" s="186" t="s">
        <v>1366</v>
      </c>
      <c r="B275" s="201" t="s">
        <v>4</v>
      </c>
      <c r="C275" s="174" t="s">
        <v>3894</v>
      </c>
      <c r="D275" s="174" t="s">
        <v>5363</v>
      </c>
      <c r="E275" s="174" t="s">
        <v>1369</v>
      </c>
      <c r="F275" s="186" t="s">
        <v>1367</v>
      </c>
      <c r="G275" s="174"/>
      <c r="H275" s="174"/>
      <c r="I275" s="174"/>
      <c r="J275" s="180" t="s">
        <v>4187</v>
      </c>
      <c r="K275" s="181" t="s">
        <v>4833</v>
      </c>
      <c r="L275" s="181" t="s">
        <v>39</v>
      </c>
      <c r="M275" s="181" t="s">
        <v>231</v>
      </c>
      <c r="N275" s="182" t="s">
        <v>231</v>
      </c>
    </row>
    <row r="276" spans="1:14" ht="19.5">
      <c r="A276" s="186" t="s">
        <v>1373</v>
      </c>
      <c r="B276" s="188" t="s">
        <v>4</v>
      </c>
      <c r="C276" s="174" t="s">
        <v>3894</v>
      </c>
      <c r="D276" s="174" t="s">
        <v>4</v>
      </c>
      <c r="E276" s="174" t="s">
        <v>1376</v>
      </c>
      <c r="F276" s="186" t="s">
        <v>1374</v>
      </c>
      <c r="G276" s="174"/>
      <c r="H276" s="174"/>
      <c r="I276" s="174"/>
      <c r="J276" s="180" t="s">
        <v>430</v>
      </c>
      <c r="K276" s="181" t="s">
        <v>4833</v>
      </c>
      <c r="L276" s="181" t="s">
        <v>39</v>
      </c>
      <c r="M276" s="181" t="s">
        <v>231</v>
      </c>
      <c r="N276" s="182" t="s">
        <v>231</v>
      </c>
    </row>
    <row r="277" spans="1:14" ht="19.5">
      <c r="A277" s="186" t="s">
        <v>1386</v>
      </c>
      <c r="B277" s="188" t="s">
        <v>4</v>
      </c>
      <c r="C277" s="174" t="s">
        <v>3894</v>
      </c>
      <c r="D277" s="174" t="s">
        <v>5363</v>
      </c>
      <c r="E277" s="174" t="s">
        <v>1389</v>
      </c>
      <c r="F277" s="186" t="s">
        <v>1387</v>
      </c>
      <c r="G277" s="174"/>
      <c r="H277" s="174"/>
      <c r="I277" s="174"/>
      <c r="J277" s="180" t="s">
        <v>1086</v>
      </c>
      <c r="K277" s="181" t="s">
        <v>3894</v>
      </c>
      <c r="L277" s="181" t="s">
        <v>3</v>
      </c>
      <c r="M277" s="181" t="s">
        <v>1089</v>
      </c>
      <c r="N277" s="182" t="s">
        <v>3</v>
      </c>
    </row>
    <row r="278" spans="1:14" ht="19.5">
      <c r="A278" s="186" t="s">
        <v>1393</v>
      </c>
      <c r="B278" s="188" t="s">
        <v>4</v>
      </c>
      <c r="C278" s="174" t="s">
        <v>3894</v>
      </c>
      <c r="D278" s="174" t="s">
        <v>4</v>
      </c>
      <c r="E278" s="174">
        <v>0</v>
      </c>
      <c r="F278" s="186" t="s">
        <v>1394</v>
      </c>
      <c r="G278" s="174"/>
      <c r="H278" s="174"/>
      <c r="I278" s="174"/>
      <c r="J278" s="180" t="s">
        <v>445</v>
      </c>
      <c r="K278" s="181" t="s">
        <v>3894</v>
      </c>
      <c r="L278" s="181" t="s">
        <v>4</v>
      </c>
      <c r="M278" s="181" t="s">
        <v>5374</v>
      </c>
      <c r="N278" s="182" t="s">
        <v>4</v>
      </c>
    </row>
    <row r="279" spans="1:14" ht="19.5">
      <c r="A279" s="186" t="s">
        <v>1401</v>
      </c>
      <c r="B279" s="188" t="s">
        <v>4</v>
      </c>
      <c r="C279" s="174" t="s">
        <v>3894</v>
      </c>
      <c r="D279" s="174" t="s">
        <v>4</v>
      </c>
      <c r="E279" s="174" t="s">
        <v>1404</v>
      </c>
      <c r="F279" s="186" t="s">
        <v>1402</v>
      </c>
      <c r="G279" s="174"/>
      <c r="H279" s="174"/>
      <c r="I279" s="174"/>
      <c r="J279" s="180" t="s">
        <v>4067</v>
      </c>
      <c r="K279" s="181" t="s">
        <v>3894</v>
      </c>
      <c r="L279" s="181" t="s">
        <v>3</v>
      </c>
      <c r="M279" s="181" t="s">
        <v>123</v>
      </c>
      <c r="N279" s="182" t="s">
        <v>3</v>
      </c>
    </row>
    <row r="280" spans="1:14" ht="19.5">
      <c r="A280" s="186" t="s">
        <v>1409</v>
      </c>
      <c r="B280" s="188" t="s">
        <v>4</v>
      </c>
      <c r="C280" s="174" t="s">
        <v>3894</v>
      </c>
      <c r="D280" s="174" t="s">
        <v>5351</v>
      </c>
      <c r="E280" s="174" t="s">
        <v>887</v>
      </c>
      <c r="F280" s="186" t="s">
        <v>1410</v>
      </c>
      <c r="G280" s="174"/>
      <c r="H280" s="174"/>
      <c r="I280" s="174"/>
      <c r="J280" s="180" t="s">
        <v>1092</v>
      </c>
      <c r="K280" s="181" t="s">
        <v>3894</v>
      </c>
      <c r="L280" s="181" t="s">
        <v>3</v>
      </c>
      <c r="M280" s="181" t="s">
        <v>994</v>
      </c>
      <c r="N280" s="182" t="s">
        <v>3</v>
      </c>
    </row>
    <row r="281" spans="1:14" ht="19.5">
      <c r="A281" s="186" t="s">
        <v>1416</v>
      </c>
      <c r="B281" s="188" t="s">
        <v>4</v>
      </c>
      <c r="C281" s="174" t="s">
        <v>3894</v>
      </c>
      <c r="D281" s="174" t="s">
        <v>5351</v>
      </c>
      <c r="E281" s="174" t="s">
        <v>917</v>
      </c>
      <c r="F281" s="186" t="s">
        <v>1417</v>
      </c>
      <c r="G281" s="174"/>
      <c r="H281" s="174"/>
      <c r="I281" s="174"/>
      <c r="J281" s="180" t="s">
        <v>1097</v>
      </c>
      <c r="K281" s="181" t="s">
        <v>3894</v>
      </c>
      <c r="L281" s="181" t="s">
        <v>3</v>
      </c>
      <c r="M281" s="181" t="s">
        <v>1101</v>
      </c>
      <c r="N281" s="182" t="s">
        <v>3</v>
      </c>
    </row>
    <row r="282" spans="1:14" ht="19.5">
      <c r="A282" s="186" t="s">
        <v>1423</v>
      </c>
      <c r="B282" s="188" t="s">
        <v>4</v>
      </c>
      <c r="C282" s="174" t="s">
        <v>3894</v>
      </c>
      <c r="D282" s="174" t="s">
        <v>5351</v>
      </c>
      <c r="E282" s="174" t="s">
        <v>917</v>
      </c>
      <c r="F282" s="186" t="s">
        <v>1424</v>
      </c>
      <c r="G282" s="174"/>
      <c r="H282" s="174"/>
      <c r="I282" s="174"/>
      <c r="J282" s="180" t="s">
        <v>1803</v>
      </c>
      <c r="K282" s="181" t="s">
        <v>3894</v>
      </c>
      <c r="L282" s="181" t="s">
        <v>5</v>
      </c>
      <c r="M282" s="181" t="s">
        <v>123</v>
      </c>
      <c r="N282" s="182" t="s">
        <v>5</v>
      </c>
    </row>
    <row r="283" spans="1:14" ht="39">
      <c r="A283" s="186" t="s">
        <v>1430</v>
      </c>
      <c r="B283" s="188" t="s">
        <v>4</v>
      </c>
      <c r="C283" s="174" t="s">
        <v>3894</v>
      </c>
      <c r="D283" s="174" t="s">
        <v>5351</v>
      </c>
      <c r="E283" s="174" t="s">
        <v>887</v>
      </c>
      <c r="F283" s="186" t="s">
        <v>1431</v>
      </c>
      <c r="G283" s="174"/>
      <c r="H283" s="174"/>
      <c r="I283" s="174"/>
      <c r="J283" s="180" t="s">
        <v>436</v>
      </c>
      <c r="K283" s="181" t="s">
        <v>3894</v>
      </c>
      <c r="L283" s="181" t="s">
        <v>15</v>
      </c>
      <c r="M283" s="181" t="s">
        <v>5367</v>
      </c>
      <c r="N283" s="182" t="s">
        <v>5368</v>
      </c>
    </row>
    <row r="284" spans="1:14" ht="19.5">
      <c r="A284" s="186" t="s">
        <v>1437</v>
      </c>
      <c r="B284" s="188" t="s">
        <v>4</v>
      </c>
      <c r="C284" s="174" t="s">
        <v>3894</v>
      </c>
      <c r="D284" s="174" t="s">
        <v>4</v>
      </c>
      <c r="E284" s="174" t="s">
        <v>948</v>
      </c>
      <c r="F284" s="186" t="s">
        <v>1438</v>
      </c>
      <c r="G284" s="174"/>
      <c r="H284" s="174"/>
      <c r="I284" s="174"/>
      <c r="J284" s="180" t="s">
        <v>1654</v>
      </c>
      <c r="K284" s="181" t="s">
        <v>3894</v>
      </c>
      <c r="L284" s="181" t="s">
        <v>4</v>
      </c>
      <c r="M284" s="181" t="s">
        <v>1656</v>
      </c>
      <c r="N284" s="182" t="s">
        <v>4</v>
      </c>
    </row>
    <row r="285" spans="1:14" ht="19.5">
      <c r="A285" s="186" t="s">
        <v>1450</v>
      </c>
      <c r="B285" s="188" t="s">
        <v>4</v>
      </c>
      <c r="C285" s="174" t="s">
        <v>3894</v>
      </c>
      <c r="D285" s="174" t="s">
        <v>5351</v>
      </c>
      <c r="E285" s="174" t="s">
        <v>1404</v>
      </c>
      <c r="F285" s="186" t="s">
        <v>1451</v>
      </c>
      <c r="G285" s="174"/>
      <c r="H285" s="174"/>
      <c r="I285" s="174"/>
      <c r="J285" s="180" t="s">
        <v>4250</v>
      </c>
      <c r="K285" s="181" t="s">
        <v>4833</v>
      </c>
      <c r="L285" s="181" t="s">
        <v>39</v>
      </c>
      <c r="M285" s="181" t="s">
        <v>231</v>
      </c>
      <c r="N285" s="182" t="s">
        <v>231</v>
      </c>
    </row>
    <row r="286" spans="1:14" ht="19.5">
      <c r="A286" s="186" t="s">
        <v>1457</v>
      </c>
      <c r="B286" s="188" t="s">
        <v>4</v>
      </c>
      <c r="C286" s="174" t="s">
        <v>3894</v>
      </c>
      <c r="D286" s="174" t="s">
        <v>5351</v>
      </c>
      <c r="E286" s="174" t="s">
        <v>1404</v>
      </c>
      <c r="F286" s="186" t="s">
        <v>1458</v>
      </c>
      <c r="G286" s="174"/>
      <c r="H286" s="174"/>
      <c r="I286" s="174"/>
      <c r="J286" s="180" t="s">
        <v>446</v>
      </c>
      <c r="K286" s="181" t="s">
        <v>4833</v>
      </c>
      <c r="L286" s="181" t="s">
        <v>39</v>
      </c>
      <c r="M286" s="181" t="s">
        <v>231</v>
      </c>
      <c r="N286" s="182" t="s">
        <v>231</v>
      </c>
    </row>
    <row r="287" spans="1:14" ht="19.5">
      <c r="A287" s="186" t="s">
        <v>1469</v>
      </c>
      <c r="B287" s="188" t="s">
        <v>4</v>
      </c>
      <c r="C287" s="174" t="s">
        <v>3894</v>
      </c>
      <c r="D287" s="174" t="s">
        <v>4</v>
      </c>
      <c r="E287" s="174" t="s">
        <v>948</v>
      </c>
      <c r="F287" s="186" t="s">
        <v>1470</v>
      </c>
      <c r="G287" s="174"/>
      <c r="H287" s="174"/>
      <c r="I287" s="174"/>
      <c r="J287" s="180" t="s">
        <v>1120</v>
      </c>
      <c r="K287" s="181" t="s">
        <v>3894</v>
      </c>
      <c r="L287" s="181" t="s">
        <v>3</v>
      </c>
      <c r="M287" s="181" t="s">
        <v>1123</v>
      </c>
      <c r="N287" s="182" t="s">
        <v>3</v>
      </c>
    </row>
    <row r="288" spans="1:14" ht="19.5">
      <c r="A288" s="186" t="s">
        <v>1475</v>
      </c>
      <c r="B288" s="188" t="s">
        <v>4</v>
      </c>
      <c r="C288" s="174" t="s">
        <v>3894</v>
      </c>
      <c r="D288" s="174" t="s">
        <v>5351</v>
      </c>
      <c r="E288" s="174" t="s">
        <v>948</v>
      </c>
      <c r="F288" s="186" t="s">
        <v>1476</v>
      </c>
      <c r="G288" s="174"/>
      <c r="H288" s="174"/>
      <c r="I288" s="174"/>
      <c r="J288" s="180" t="s">
        <v>1126</v>
      </c>
      <c r="K288" s="181" t="s">
        <v>3894</v>
      </c>
      <c r="L288" s="181" t="s">
        <v>3</v>
      </c>
      <c r="M288" s="181" t="s">
        <v>1129</v>
      </c>
      <c r="N288" s="182" t="s">
        <v>3</v>
      </c>
    </row>
    <row r="289" spans="1:14" ht="19.5">
      <c r="A289" s="186" t="s">
        <v>1490</v>
      </c>
      <c r="B289" s="188" t="s">
        <v>4</v>
      </c>
      <c r="C289" s="174" t="s">
        <v>3894</v>
      </c>
      <c r="D289" s="174" t="s">
        <v>5351</v>
      </c>
      <c r="E289" s="174" t="s">
        <v>887</v>
      </c>
      <c r="F289" s="186" t="s">
        <v>1491</v>
      </c>
      <c r="G289" s="174"/>
      <c r="H289" s="174"/>
      <c r="I289" s="174"/>
      <c r="J289" s="180" t="s">
        <v>617</v>
      </c>
      <c r="K289" s="181" t="s">
        <v>4833</v>
      </c>
      <c r="L289" s="181" t="s">
        <v>39</v>
      </c>
      <c r="M289" s="181" t="s">
        <v>231</v>
      </c>
      <c r="N289" s="182" t="s">
        <v>231</v>
      </c>
    </row>
    <row r="290" spans="1:14" ht="19.5">
      <c r="A290" s="186" t="s">
        <v>1497</v>
      </c>
      <c r="B290" s="188" t="s">
        <v>4</v>
      </c>
      <c r="C290" s="174" t="s">
        <v>3894</v>
      </c>
      <c r="D290" s="174" t="s">
        <v>4</v>
      </c>
      <c r="E290" s="174" t="s">
        <v>1404</v>
      </c>
      <c r="F290" s="186" t="s">
        <v>1498</v>
      </c>
      <c r="G290" s="174"/>
      <c r="H290" s="174"/>
      <c r="I290" s="174"/>
      <c r="J290" s="180" t="s">
        <v>1132</v>
      </c>
      <c r="K290" s="181" t="s">
        <v>3894</v>
      </c>
      <c r="L290" s="181" t="s">
        <v>3</v>
      </c>
      <c r="M290" s="181" t="s">
        <v>1135</v>
      </c>
      <c r="N290" s="182" t="s">
        <v>3</v>
      </c>
    </row>
    <row r="291" spans="1:14" ht="19.5">
      <c r="A291" s="186" t="s">
        <v>1504</v>
      </c>
      <c r="B291" s="188" t="s">
        <v>4</v>
      </c>
      <c r="C291" s="174" t="s">
        <v>3894</v>
      </c>
      <c r="D291" s="174" t="s">
        <v>4</v>
      </c>
      <c r="E291" s="174" t="s">
        <v>887</v>
      </c>
      <c r="F291" s="186" t="s">
        <v>1505</v>
      </c>
      <c r="G291" s="174"/>
      <c r="H291" s="174"/>
      <c r="I291" s="174"/>
      <c r="J291" s="180" t="s">
        <v>1225</v>
      </c>
      <c r="K291" s="181" t="s">
        <v>3894</v>
      </c>
      <c r="L291" s="181" t="s">
        <v>3</v>
      </c>
      <c r="M291" s="181" t="s">
        <v>1228</v>
      </c>
      <c r="N291" s="182" t="s">
        <v>3</v>
      </c>
    </row>
    <row r="292" spans="1:14" ht="19.5">
      <c r="A292" s="186" t="s">
        <v>1511</v>
      </c>
      <c r="B292" s="188" t="s">
        <v>4</v>
      </c>
      <c r="C292" s="174" t="s">
        <v>3894</v>
      </c>
      <c r="D292" s="174" t="s">
        <v>4</v>
      </c>
      <c r="E292" s="174" t="s">
        <v>1514</v>
      </c>
      <c r="F292" s="186" t="s">
        <v>1512</v>
      </c>
      <c r="G292" s="174"/>
      <c r="H292" s="174"/>
      <c r="I292" s="174"/>
      <c r="J292" s="180" t="s">
        <v>1138</v>
      </c>
      <c r="K292" s="181" t="s">
        <v>3894</v>
      </c>
      <c r="L292" s="181" t="s">
        <v>3</v>
      </c>
      <c r="M292" s="181" t="s">
        <v>903</v>
      </c>
      <c r="N292" s="182" t="s">
        <v>3</v>
      </c>
    </row>
    <row r="293" spans="1:14" ht="19.5">
      <c r="A293" s="186" t="s">
        <v>1518</v>
      </c>
      <c r="B293" s="188" t="s">
        <v>4</v>
      </c>
      <c r="C293" s="174" t="s">
        <v>3894</v>
      </c>
      <c r="D293" s="174" t="s">
        <v>5351</v>
      </c>
      <c r="E293" s="174" t="s">
        <v>887</v>
      </c>
      <c r="F293" s="186" t="s">
        <v>1519</v>
      </c>
      <c r="G293" s="174"/>
      <c r="H293" s="174"/>
      <c r="I293" s="174"/>
      <c r="J293" s="180" t="s">
        <v>464</v>
      </c>
      <c r="K293" s="181" t="s">
        <v>4833</v>
      </c>
      <c r="L293" s="181" t="s">
        <v>39</v>
      </c>
      <c r="M293" s="181" t="s">
        <v>231</v>
      </c>
      <c r="N293" s="182" t="s">
        <v>231</v>
      </c>
    </row>
    <row r="294" spans="1:14" ht="19.5">
      <c r="A294" s="186" t="s">
        <v>1524</v>
      </c>
      <c r="B294" s="188" t="s">
        <v>4</v>
      </c>
      <c r="C294" s="174" t="s">
        <v>3894</v>
      </c>
      <c r="D294" s="174" t="s">
        <v>5351</v>
      </c>
      <c r="E294" s="174" t="s">
        <v>887</v>
      </c>
      <c r="F294" s="186" t="s">
        <v>1525</v>
      </c>
      <c r="G294" s="174"/>
      <c r="H294" s="174"/>
      <c r="I294" s="174"/>
      <c r="J294" s="180" t="s">
        <v>4616</v>
      </c>
      <c r="K294" s="181" t="s">
        <v>3894</v>
      </c>
      <c r="L294" s="181" t="s">
        <v>3</v>
      </c>
      <c r="M294" s="181" t="s">
        <v>57</v>
      </c>
      <c r="N294" s="182" t="s">
        <v>3</v>
      </c>
    </row>
    <row r="295" spans="1:14" ht="39">
      <c r="A295" s="186" t="s">
        <v>1531</v>
      </c>
      <c r="B295" s="188" t="s">
        <v>4</v>
      </c>
      <c r="C295" s="174" t="s">
        <v>3894</v>
      </c>
      <c r="D295" s="174" t="s">
        <v>4</v>
      </c>
      <c r="E295" s="174" t="s">
        <v>917</v>
      </c>
      <c r="F295" s="186" t="s">
        <v>1532</v>
      </c>
      <c r="G295" s="174"/>
      <c r="H295" s="174"/>
      <c r="I295" s="174"/>
      <c r="J295" s="180" t="s">
        <v>4638</v>
      </c>
      <c r="K295" s="181" t="s">
        <v>3894</v>
      </c>
      <c r="L295" s="181" t="s">
        <v>15</v>
      </c>
      <c r="M295" s="181" t="s">
        <v>160</v>
      </c>
      <c r="N295" s="182" t="s">
        <v>5368</v>
      </c>
    </row>
    <row r="296" spans="1:14" ht="19.5">
      <c r="A296" s="186" t="s">
        <v>1543</v>
      </c>
      <c r="B296" s="188" t="s">
        <v>4</v>
      </c>
      <c r="C296" s="174" t="s">
        <v>3894</v>
      </c>
      <c r="D296" s="174" t="s">
        <v>5351</v>
      </c>
      <c r="E296" s="174" t="s">
        <v>1546</v>
      </c>
      <c r="F296" s="186" t="s">
        <v>1544</v>
      </c>
      <c r="G296" s="174"/>
      <c r="H296" s="174"/>
      <c r="I296" s="174"/>
      <c r="J296" s="180" t="s">
        <v>1143</v>
      </c>
      <c r="K296" s="181" t="s">
        <v>3894</v>
      </c>
      <c r="L296" s="181" t="s">
        <v>3</v>
      </c>
      <c r="M296" s="181" t="s">
        <v>123</v>
      </c>
      <c r="N296" s="182" t="s">
        <v>3</v>
      </c>
    </row>
    <row r="297" spans="1:14" ht="39">
      <c r="A297" s="186" t="s">
        <v>1551</v>
      </c>
      <c r="B297" s="188" t="s">
        <v>4</v>
      </c>
      <c r="C297" s="174" t="s">
        <v>3894</v>
      </c>
      <c r="D297" s="174" t="s">
        <v>5351</v>
      </c>
      <c r="E297" s="174" t="s">
        <v>1554</v>
      </c>
      <c r="F297" s="186" t="s">
        <v>1552</v>
      </c>
      <c r="G297" s="174"/>
      <c r="H297" s="174"/>
      <c r="I297" s="174"/>
      <c r="J297" s="180" t="s">
        <v>1890</v>
      </c>
      <c r="K297" s="181" t="s">
        <v>3894</v>
      </c>
      <c r="L297" s="181" t="s">
        <v>15</v>
      </c>
      <c r="M297" s="181" t="s">
        <v>162</v>
      </c>
      <c r="N297" s="182" t="s">
        <v>5368</v>
      </c>
    </row>
    <row r="298" spans="1:14" ht="19.5">
      <c r="A298" s="186" t="s">
        <v>1558</v>
      </c>
      <c r="B298" s="188" t="s">
        <v>4</v>
      </c>
      <c r="C298" s="174" t="s">
        <v>3894</v>
      </c>
      <c r="D298" s="174" t="s">
        <v>4</v>
      </c>
      <c r="E298" s="174" t="s">
        <v>1561</v>
      </c>
      <c r="F298" s="186" t="s">
        <v>1559</v>
      </c>
      <c r="G298" s="174"/>
      <c r="H298" s="174"/>
      <c r="I298" s="174"/>
      <c r="J298" s="180" t="s">
        <v>1114</v>
      </c>
      <c r="K298" s="181" t="s">
        <v>3894</v>
      </c>
      <c r="L298" s="181" t="s">
        <v>3</v>
      </c>
      <c r="M298" s="181" t="s">
        <v>887</v>
      </c>
      <c r="N298" s="182" t="s">
        <v>3</v>
      </c>
    </row>
    <row r="299" spans="1:14" ht="19.5">
      <c r="A299" s="186" t="s">
        <v>1566</v>
      </c>
      <c r="B299" s="188" t="s">
        <v>4</v>
      </c>
      <c r="C299" s="174" t="s">
        <v>3894</v>
      </c>
      <c r="D299" s="174" t="s">
        <v>4</v>
      </c>
      <c r="E299" s="174" t="s">
        <v>1569</v>
      </c>
      <c r="F299" s="186" t="s">
        <v>1567</v>
      </c>
      <c r="G299" s="174"/>
      <c r="H299" s="174"/>
      <c r="I299" s="174"/>
      <c r="J299" s="180" t="s">
        <v>1231</v>
      </c>
      <c r="K299" s="181" t="s">
        <v>3894</v>
      </c>
      <c r="L299" s="181" t="s">
        <v>3</v>
      </c>
      <c r="M299" s="181" t="s">
        <v>57</v>
      </c>
      <c r="N299" s="182" t="s">
        <v>3</v>
      </c>
    </row>
    <row r="300" spans="1:14" ht="19.5">
      <c r="A300" s="186" t="s">
        <v>4508</v>
      </c>
      <c r="B300" s="188" t="s">
        <v>4</v>
      </c>
      <c r="C300" s="174" t="s">
        <v>3894</v>
      </c>
      <c r="D300" s="174" t="s">
        <v>4</v>
      </c>
      <c r="E300" s="174" t="s">
        <v>1834</v>
      </c>
      <c r="F300" s="186" t="s">
        <v>992</v>
      </c>
      <c r="G300" s="174"/>
      <c r="H300" s="174"/>
      <c r="I300" s="174"/>
      <c r="J300" s="180" t="s">
        <v>1148</v>
      </c>
      <c r="K300" s="181" t="s">
        <v>3894</v>
      </c>
      <c r="L300" s="181" t="s">
        <v>3</v>
      </c>
      <c r="M300" s="181" t="s">
        <v>1151</v>
      </c>
      <c r="N300" s="182" t="s">
        <v>3</v>
      </c>
    </row>
    <row r="301" spans="1:14" ht="19.5">
      <c r="A301" s="186" t="s">
        <v>1573</v>
      </c>
      <c r="B301" s="188" t="s">
        <v>4</v>
      </c>
      <c r="C301" s="174" t="s">
        <v>3894</v>
      </c>
      <c r="D301" s="174" t="s">
        <v>4</v>
      </c>
      <c r="E301" s="174" t="s">
        <v>1038</v>
      </c>
      <c r="F301" s="186" t="s">
        <v>294</v>
      </c>
      <c r="G301" s="174"/>
      <c r="H301" s="174"/>
      <c r="I301" s="174"/>
      <c r="J301" s="180" t="s">
        <v>451</v>
      </c>
      <c r="K301" s="181" t="s">
        <v>4833</v>
      </c>
      <c r="L301" s="181" t="s">
        <v>39</v>
      </c>
      <c r="M301" s="181" t="s">
        <v>231</v>
      </c>
      <c r="N301" s="182" t="s">
        <v>231</v>
      </c>
    </row>
    <row r="302" spans="1:14" ht="19.5">
      <c r="A302" s="186" t="s">
        <v>1576</v>
      </c>
      <c r="B302" s="188" t="s">
        <v>4</v>
      </c>
      <c r="C302" s="174" t="s">
        <v>3894</v>
      </c>
      <c r="D302" s="174" t="s">
        <v>4</v>
      </c>
      <c r="E302" s="174" t="s">
        <v>5370</v>
      </c>
      <c r="F302" s="186" t="s">
        <v>1577</v>
      </c>
      <c r="G302" s="174"/>
      <c r="H302" s="174"/>
      <c r="I302" s="174"/>
      <c r="J302" s="180" t="s">
        <v>1106</v>
      </c>
      <c r="K302" s="181" t="s">
        <v>3894</v>
      </c>
      <c r="L302" s="181" t="s">
        <v>3</v>
      </c>
      <c r="M302" s="181" t="s">
        <v>1109</v>
      </c>
      <c r="N302" s="182" t="s">
        <v>3</v>
      </c>
    </row>
    <row r="303" spans="1:14" ht="19.5">
      <c r="A303" s="186" t="s">
        <v>362</v>
      </c>
      <c r="B303" s="188" t="s">
        <v>4</v>
      </c>
      <c r="C303" s="174" t="e">
        <v>#N/A</v>
      </c>
      <c r="D303" s="174" t="e">
        <v>#N/A</v>
      </c>
      <c r="E303" s="174" t="e">
        <v>#N/A</v>
      </c>
      <c r="F303" s="186" t="s">
        <v>1660</v>
      </c>
      <c r="G303" s="174"/>
      <c r="H303" s="174"/>
      <c r="I303" s="174"/>
      <c r="J303" s="180" t="s">
        <v>1154</v>
      </c>
      <c r="K303" s="181" t="s">
        <v>3894</v>
      </c>
      <c r="L303" s="181" t="s">
        <v>3</v>
      </c>
      <c r="M303" s="181" t="s">
        <v>1157</v>
      </c>
      <c r="N303" s="182" t="s">
        <v>3</v>
      </c>
    </row>
    <row r="304" spans="1:14" ht="19.5">
      <c r="A304" s="186" t="s">
        <v>445</v>
      </c>
      <c r="B304" s="188" t="s">
        <v>4</v>
      </c>
      <c r="C304" s="174" t="s">
        <v>3894</v>
      </c>
      <c r="D304" s="174" t="s">
        <v>4</v>
      </c>
      <c r="E304" s="174" t="s">
        <v>5374</v>
      </c>
      <c r="F304" s="186" t="s">
        <v>3775</v>
      </c>
      <c r="G304" s="174"/>
      <c r="H304" s="174"/>
      <c r="I304" s="174"/>
      <c r="J304" s="180" t="s">
        <v>1160</v>
      </c>
      <c r="K304" s="181" t="s">
        <v>3894</v>
      </c>
      <c r="L304" s="181" t="s">
        <v>3</v>
      </c>
      <c r="M304" s="181" t="s">
        <v>948</v>
      </c>
      <c r="N304" s="182" t="s">
        <v>3</v>
      </c>
    </row>
    <row r="305" spans="1:14" ht="19.5">
      <c r="A305" s="186" t="s">
        <v>1582</v>
      </c>
      <c r="B305" s="188" t="s">
        <v>4</v>
      </c>
      <c r="C305" s="174" t="s">
        <v>3894</v>
      </c>
      <c r="D305" s="174" t="s">
        <v>4</v>
      </c>
      <c r="E305" s="174" t="s">
        <v>5375</v>
      </c>
      <c r="F305" s="186" t="s">
        <v>1583</v>
      </c>
      <c r="G305" s="174"/>
      <c r="H305" s="174"/>
      <c r="I305" s="174"/>
      <c r="J305" s="180" t="s">
        <v>1165</v>
      </c>
      <c r="K305" s="181" t="s">
        <v>3894</v>
      </c>
      <c r="L305" s="181" t="s">
        <v>3</v>
      </c>
      <c r="M305" s="181" t="s">
        <v>903</v>
      </c>
      <c r="N305" s="182" t="s">
        <v>3</v>
      </c>
    </row>
    <row r="306" spans="1:14" ht="19.5">
      <c r="A306" s="186" t="s">
        <v>1589</v>
      </c>
      <c r="B306" s="188" t="s">
        <v>4</v>
      </c>
      <c r="C306" s="174" t="s">
        <v>3894</v>
      </c>
      <c r="D306" s="174" t="s">
        <v>4</v>
      </c>
      <c r="E306" s="174" t="s">
        <v>1592</v>
      </c>
      <c r="F306" s="186" t="s">
        <v>1590</v>
      </c>
      <c r="G306" s="174"/>
      <c r="H306" s="174"/>
      <c r="I306" s="174"/>
      <c r="J306" s="180" t="s">
        <v>1170</v>
      </c>
      <c r="K306" s="181" t="s">
        <v>3894</v>
      </c>
      <c r="L306" s="181" t="s">
        <v>3</v>
      </c>
      <c r="M306" s="181" t="s">
        <v>903</v>
      </c>
      <c r="N306" s="182" t="s">
        <v>3</v>
      </c>
    </row>
    <row r="307" spans="1:14" ht="19.5">
      <c r="A307" s="186" t="s">
        <v>1595</v>
      </c>
      <c r="B307" s="188" t="s">
        <v>4</v>
      </c>
      <c r="C307" s="174" t="s">
        <v>3894</v>
      </c>
      <c r="D307" s="174" t="s">
        <v>4</v>
      </c>
      <c r="E307" s="174" t="s">
        <v>887</v>
      </c>
      <c r="F307" s="186" t="s">
        <v>1596</v>
      </c>
      <c r="G307" s="174"/>
      <c r="H307" s="174"/>
      <c r="I307" s="174"/>
      <c r="J307" s="180" t="s">
        <v>4253</v>
      </c>
      <c r="K307" s="181" t="s">
        <v>4833</v>
      </c>
      <c r="L307" s="181" t="s">
        <v>39</v>
      </c>
      <c r="M307" s="181" t="s">
        <v>231</v>
      </c>
      <c r="N307" s="182" t="s">
        <v>231</v>
      </c>
    </row>
    <row r="308" spans="1:14" ht="19.5">
      <c r="A308" s="186" t="s">
        <v>1606</v>
      </c>
      <c r="B308" s="188" t="s">
        <v>4</v>
      </c>
      <c r="C308" s="174" t="s">
        <v>3894</v>
      </c>
      <c r="D308" s="174" t="s">
        <v>5351</v>
      </c>
      <c r="E308" s="174" t="s">
        <v>887</v>
      </c>
      <c r="F308" s="186" t="s">
        <v>1607</v>
      </c>
      <c r="G308" s="174"/>
      <c r="H308" s="174"/>
      <c r="I308" s="174"/>
      <c r="J308" s="180" t="s">
        <v>3098</v>
      </c>
      <c r="K308" s="181" t="s">
        <v>4833</v>
      </c>
      <c r="L308" s="181" t="s">
        <v>39</v>
      </c>
      <c r="M308" s="181" t="s">
        <v>231</v>
      </c>
      <c r="N308" s="182" t="s">
        <v>231</v>
      </c>
    </row>
    <row r="309" spans="1:14" ht="19.5">
      <c r="A309" s="186" t="s">
        <v>1612</v>
      </c>
      <c r="B309" s="188" t="s">
        <v>4</v>
      </c>
      <c r="C309" s="174" t="s">
        <v>3894</v>
      </c>
      <c r="D309" s="174" t="s">
        <v>5351</v>
      </c>
      <c r="E309" s="174" t="s">
        <v>887</v>
      </c>
      <c r="F309" s="186" t="s">
        <v>1613</v>
      </c>
      <c r="G309" s="174"/>
      <c r="H309" s="174"/>
      <c r="I309" s="174"/>
      <c r="J309" s="180" t="s">
        <v>3102</v>
      </c>
      <c r="K309" s="181" t="s">
        <v>4833</v>
      </c>
      <c r="L309" s="181" t="s">
        <v>39</v>
      </c>
      <c r="M309" s="181" t="s">
        <v>231</v>
      </c>
      <c r="N309" s="182" t="s">
        <v>231</v>
      </c>
    </row>
    <row r="310" spans="1:14" ht="19.5">
      <c r="A310" s="186" t="s">
        <v>1617</v>
      </c>
      <c r="B310" s="188" t="s">
        <v>4</v>
      </c>
      <c r="C310" s="174" t="s">
        <v>3894</v>
      </c>
      <c r="D310" s="174" t="s">
        <v>5351</v>
      </c>
      <c r="E310" s="174" t="s">
        <v>1620</v>
      </c>
      <c r="F310" s="186" t="s">
        <v>1618</v>
      </c>
      <c r="G310" s="174"/>
      <c r="H310" s="174"/>
      <c r="I310" s="174"/>
      <c r="J310" s="180" t="s">
        <v>3108</v>
      </c>
      <c r="K310" s="181" t="s">
        <v>4833</v>
      </c>
      <c r="L310" s="181" t="s">
        <v>39</v>
      </c>
      <c r="M310" s="181" t="s">
        <v>231</v>
      </c>
      <c r="N310" s="182" t="s">
        <v>231</v>
      </c>
    </row>
    <row r="311" spans="1:14" ht="19.5">
      <c r="A311" s="186" t="s">
        <v>1623</v>
      </c>
      <c r="B311" s="188" t="s">
        <v>4</v>
      </c>
      <c r="C311" s="174" t="s">
        <v>3894</v>
      </c>
      <c r="D311" s="174" t="s">
        <v>5351</v>
      </c>
      <c r="E311" s="174" t="s">
        <v>1626</v>
      </c>
      <c r="F311" s="186" t="s">
        <v>1624</v>
      </c>
      <c r="G311" s="174"/>
      <c r="H311" s="174"/>
      <c r="I311" s="174"/>
      <c r="J311" s="180" t="s">
        <v>3112</v>
      </c>
      <c r="K311" s="181" t="s">
        <v>4833</v>
      </c>
      <c r="L311" s="181" t="s">
        <v>39</v>
      </c>
      <c r="M311" s="181" t="s">
        <v>231</v>
      </c>
      <c r="N311" s="182" t="s">
        <v>231</v>
      </c>
    </row>
    <row r="312" spans="1:14" ht="19.5">
      <c r="A312" s="186" t="s">
        <v>1629</v>
      </c>
      <c r="B312" s="188" t="s">
        <v>4</v>
      </c>
      <c r="C312" s="174" t="s">
        <v>3894</v>
      </c>
      <c r="D312" s="174" t="s">
        <v>5351</v>
      </c>
      <c r="E312" s="174" t="s">
        <v>1376</v>
      </c>
      <c r="F312" s="186" t="s">
        <v>1630</v>
      </c>
      <c r="G312" s="174"/>
      <c r="H312" s="174"/>
      <c r="I312" s="174"/>
      <c r="J312" s="180" t="s">
        <v>3117</v>
      </c>
      <c r="K312" s="181" t="s">
        <v>4833</v>
      </c>
      <c r="L312" s="181" t="s">
        <v>39</v>
      </c>
      <c r="M312" s="181" t="s">
        <v>231</v>
      </c>
      <c r="N312" s="182" t="s">
        <v>231</v>
      </c>
    </row>
    <row r="313" spans="1:14" ht="19.5">
      <c r="A313" s="186" t="s">
        <v>1634</v>
      </c>
      <c r="B313" s="188" t="s">
        <v>4</v>
      </c>
      <c r="C313" s="174" t="s">
        <v>3894</v>
      </c>
      <c r="D313" s="174" t="s">
        <v>5351</v>
      </c>
      <c r="E313" s="174" t="s">
        <v>887</v>
      </c>
      <c r="F313" s="186" t="s">
        <v>1635</v>
      </c>
      <c r="G313" s="174"/>
      <c r="H313" s="174"/>
      <c r="I313" s="174"/>
      <c r="J313" s="180" t="s">
        <v>3122</v>
      </c>
      <c r="K313" s="181" t="s">
        <v>4833</v>
      </c>
      <c r="L313" s="181" t="s">
        <v>39</v>
      </c>
      <c r="M313" s="181" t="s">
        <v>231</v>
      </c>
      <c r="N313" s="182" t="s">
        <v>231</v>
      </c>
    </row>
    <row r="314" spans="1:14" ht="19.5">
      <c r="A314" s="186" t="s">
        <v>1639</v>
      </c>
      <c r="B314" s="188" t="s">
        <v>4</v>
      </c>
      <c r="C314" s="174" t="s">
        <v>3894</v>
      </c>
      <c r="D314" s="174" t="s">
        <v>4</v>
      </c>
      <c r="E314" s="174" t="s">
        <v>1038</v>
      </c>
      <c r="F314" s="186" t="s">
        <v>1640</v>
      </c>
      <c r="G314" s="174"/>
      <c r="H314" s="174"/>
      <c r="I314" s="174"/>
      <c r="J314" s="180" t="s">
        <v>3127</v>
      </c>
      <c r="K314" s="181" t="s">
        <v>4833</v>
      </c>
      <c r="L314" s="181" t="s">
        <v>39</v>
      </c>
      <c r="M314" s="181" t="s">
        <v>231</v>
      </c>
      <c r="N314" s="182" t="s">
        <v>231</v>
      </c>
    </row>
    <row r="315" spans="1:14" ht="19.5">
      <c r="A315" s="186" t="s">
        <v>1645</v>
      </c>
      <c r="B315" s="188" t="s">
        <v>4</v>
      </c>
      <c r="C315" s="174" t="s">
        <v>3894</v>
      </c>
      <c r="D315" s="174" t="s">
        <v>4</v>
      </c>
      <c r="E315" s="174" t="s">
        <v>1648</v>
      </c>
      <c r="F315" s="186" t="s">
        <v>1646</v>
      </c>
      <c r="G315" s="174"/>
      <c r="H315" s="174"/>
      <c r="I315" s="174"/>
      <c r="J315" s="180" t="s">
        <v>1236</v>
      </c>
      <c r="K315" s="181" t="s">
        <v>3894</v>
      </c>
      <c r="L315" s="181" t="s">
        <v>3</v>
      </c>
      <c r="M315" s="181" t="s">
        <v>1239</v>
      </c>
      <c r="N315" s="182" t="s">
        <v>3</v>
      </c>
    </row>
    <row r="316" spans="1:14" ht="19.5">
      <c r="A316" s="186" t="s">
        <v>1651</v>
      </c>
      <c r="B316" s="188" t="s">
        <v>4</v>
      </c>
      <c r="C316" s="174" t="s">
        <v>3894</v>
      </c>
      <c r="D316" s="174" t="s">
        <v>4</v>
      </c>
      <c r="E316" s="174" t="s">
        <v>1038</v>
      </c>
      <c r="F316" s="186" t="s">
        <v>294</v>
      </c>
      <c r="G316" s="174"/>
      <c r="H316" s="174"/>
      <c r="I316" s="174"/>
      <c r="J316" s="180" t="s">
        <v>1175</v>
      </c>
      <c r="K316" s="181" t="s">
        <v>3894</v>
      </c>
      <c r="L316" s="181" t="s">
        <v>3</v>
      </c>
      <c r="M316" s="181" t="s">
        <v>948</v>
      </c>
      <c r="N316" s="182" t="s">
        <v>3</v>
      </c>
    </row>
    <row r="317" spans="1:14" ht="19.5">
      <c r="A317" s="186" t="s">
        <v>1654</v>
      </c>
      <c r="B317" s="188" t="s">
        <v>4</v>
      </c>
      <c r="C317" s="174" t="s">
        <v>3894</v>
      </c>
      <c r="D317" s="174" t="s">
        <v>4</v>
      </c>
      <c r="E317" s="174" t="s">
        <v>1656</v>
      </c>
      <c r="F317" s="186" t="s">
        <v>1655</v>
      </c>
      <c r="G317" s="174"/>
      <c r="H317" s="174"/>
      <c r="I317" s="174"/>
      <c r="J317" s="180" t="s">
        <v>4622</v>
      </c>
      <c r="K317" s="181" t="s">
        <v>3894</v>
      </c>
      <c r="L317" s="181" t="s">
        <v>3</v>
      </c>
      <c r="M317" s="181" t="s">
        <v>161</v>
      </c>
      <c r="N317" s="182" t="s">
        <v>3</v>
      </c>
    </row>
    <row r="318" spans="1:14" ht="19.5">
      <c r="A318" s="186" t="s">
        <v>1659</v>
      </c>
      <c r="B318" s="188" t="s">
        <v>4</v>
      </c>
      <c r="C318" s="174" t="s">
        <v>3894</v>
      </c>
      <c r="D318" s="174" t="s">
        <v>5363</v>
      </c>
      <c r="E318" s="174" t="s">
        <v>5373</v>
      </c>
      <c r="F318" s="186" t="s">
        <v>1660</v>
      </c>
      <c r="G318" s="174"/>
      <c r="H318" s="174"/>
      <c r="I318" s="174"/>
      <c r="J318" s="180" t="s">
        <v>3132</v>
      </c>
      <c r="K318" s="181" t="s">
        <v>4833</v>
      </c>
      <c r="L318" s="181" t="s">
        <v>39</v>
      </c>
      <c r="M318" s="181" t="s">
        <v>231</v>
      </c>
      <c r="N318" s="182" t="s">
        <v>231</v>
      </c>
    </row>
    <row r="319" spans="1:14" ht="19.5">
      <c r="A319" s="186" t="s">
        <v>1665</v>
      </c>
      <c r="B319" s="188" t="s">
        <v>4</v>
      </c>
      <c r="C319" s="174" t="e">
        <v>#N/A</v>
      </c>
      <c r="D319" s="174" t="e">
        <v>#N/A</v>
      </c>
      <c r="E319" s="174" t="e">
        <v>#N/A</v>
      </c>
      <c r="F319" s="186" t="s">
        <v>1666</v>
      </c>
      <c r="G319" s="174"/>
      <c r="H319" s="174"/>
      <c r="I319" s="174"/>
      <c r="J319" s="180" t="s">
        <v>3138</v>
      </c>
      <c r="K319" s="181" t="s">
        <v>4833</v>
      </c>
      <c r="L319" s="181" t="s">
        <v>39</v>
      </c>
      <c r="M319" s="181" t="s">
        <v>231</v>
      </c>
      <c r="N319" s="182" t="s">
        <v>231</v>
      </c>
    </row>
    <row r="320" spans="1:14" ht="39">
      <c r="A320" s="199" t="s">
        <v>4520</v>
      </c>
      <c r="B320" s="188" t="s">
        <v>4</v>
      </c>
      <c r="C320" s="174" t="e">
        <v>#N/A</v>
      </c>
      <c r="D320" s="174" t="e">
        <v>#N/A</v>
      </c>
      <c r="E320" s="174" t="e">
        <v>#N/A</v>
      </c>
      <c r="F320" s="186" t="s">
        <v>3775</v>
      </c>
      <c r="G320" s="174"/>
      <c r="H320" s="174"/>
      <c r="I320" s="174"/>
      <c r="J320" s="180" t="s">
        <v>1659</v>
      </c>
      <c r="K320" s="181" t="s">
        <v>3894</v>
      </c>
      <c r="L320" s="181" t="s">
        <v>5363</v>
      </c>
      <c r="M320" s="181" t="s">
        <v>5373</v>
      </c>
      <c r="N320" s="182" t="s">
        <v>5363</v>
      </c>
    </row>
    <row r="321" spans="1:14" ht="19.5">
      <c r="A321" s="199">
        <v>4</v>
      </c>
      <c r="B321" s="188" t="s">
        <v>4</v>
      </c>
      <c r="C321" s="174" t="e">
        <v>#N/A</v>
      </c>
      <c r="D321" s="174" t="e">
        <v>#N/A</v>
      </c>
      <c r="E321" s="174" t="e">
        <v>#N/A</v>
      </c>
      <c r="F321" s="186" t="s">
        <v>1671</v>
      </c>
      <c r="G321" s="174"/>
      <c r="H321" s="174"/>
      <c r="I321" s="174"/>
      <c r="J321" s="180" t="s">
        <v>1180</v>
      </c>
      <c r="K321" s="181" t="s">
        <v>3894</v>
      </c>
      <c r="L321" s="181" t="s">
        <v>3</v>
      </c>
      <c r="M321" s="181" t="s">
        <v>1183</v>
      </c>
      <c r="N321" s="182" t="s">
        <v>3</v>
      </c>
    </row>
    <row r="322" spans="1:14" ht="19.5">
      <c r="A322" s="197">
        <v>8</v>
      </c>
      <c r="B322" s="188" t="s">
        <v>5</v>
      </c>
      <c r="C322" s="174" t="e">
        <v>#N/A</v>
      </c>
      <c r="D322" s="174" t="e">
        <v>#N/A</v>
      </c>
      <c r="E322" s="174" t="e">
        <v>#N/A</v>
      </c>
      <c r="F322" s="186" t="s">
        <v>1680</v>
      </c>
      <c r="G322" s="174"/>
      <c r="H322" s="174"/>
      <c r="I322" s="174"/>
      <c r="J322" s="180" t="s">
        <v>1186</v>
      </c>
      <c r="K322" s="181" t="s">
        <v>3894</v>
      </c>
      <c r="L322" s="181" t="s">
        <v>3</v>
      </c>
      <c r="M322" s="181" t="s">
        <v>1189</v>
      </c>
      <c r="N322" s="182" t="s">
        <v>3</v>
      </c>
    </row>
    <row r="323" spans="1:14" ht="19.5">
      <c r="A323" s="186" t="s">
        <v>1690</v>
      </c>
      <c r="B323" s="188" t="s">
        <v>5</v>
      </c>
      <c r="C323" s="174" t="s">
        <v>3894</v>
      </c>
      <c r="D323" s="174" t="s">
        <v>5</v>
      </c>
      <c r="E323" s="174" t="s">
        <v>87</v>
      </c>
      <c r="F323" s="186" t="s">
        <v>1691</v>
      </c>
      <c r="G323" s="174"/>
      <c r="H323" s="174"/>
      <c r="I323" s="174"/>
      <c r="J323" s="180" t="s">
        <v>3142</v>
      </c>
      <c r="K323" s="181" t="s">
        <v>4833</v>
      </c>
      <c r="L323" s="181" t="s">
        <v>39</v>
      </c>
      <c r="M323" s="181" t="s">
        <v>231</v>
      </c>
      <c r="N323" s="182" t="s">
        <v>231</v>
      </c>
    </row>
    <row r="324" spans="1:14" ht="19.5">
      <c r="A324" s="186" t="s">
        <v>1717</v>
      </c>
      <c r="B324" s="188" t="s">
        <v>5</v>
      </c>
      <c r="C324" s="174" t="s">
        <v>3894</v>
      </c>
      <c r="D324" s="174" t="s">
        <v>5</v>
      </c>
      <c r="E324" s="174" t="s">
        <v>1720</v>
      </c>
      <c r="F324" s="186" t="s">
        <v>1718</v>
      </c>
      <c r="G324" s="174"/>
      <c r="H324" s="174"/>
      <c r="I324" s="174"/>
      <c r="J324" s="180" t="s">
        <v>3147</v>
      </c>
      <c r="K324" s="181" t="s">
        <v>4833</v>
      </c>
      <c r="L324" s="181" t="s">
        <v>39</v>
      </c>
      <c r="M324" s="181" t="s">
        <v>231</v>
      </c>
      <c r="N324" s="182" t="s">
        <v>231</v>
      </c>
    </row>
    <row r="325" spans="1:14" ht="19.5">
      <c r="A325" s="186" t="s">
        <v>1724</v>
      </c>
      <c r="B325" s="188" t="s">
        <v>5</v>
      </c>
      <c r="C325" s="174" t="s">
        <v>3894</v>
      </c>
      <c r="D325" s="174" t="s">
        <v>5</v>
      </c>
      <c r="E325" s="174" t="s">
        <v>1727</v>
      </c>
      <c r="F325" s="186" t="s">
        <v>1725</v>
      </c>
      <c r="G325" s="174"/>
      <c r="H325" s="174"/>
      <c r="I325" s="174"/>
      <c r="J325" s="180" t="s">
        <v>3152</v>
      </c>
      <c r="K325" s="181" t="s">
        <v>4833</v>
      </c>
      <c r="L325" s="181" t="s">
        <v>39</v>
      </c>
      <c r="M325" s="181" t="s">
        <v>231</v>
      </c>
      <c r="N325" s="182" t="s">
        <v>231</v>
      </c>
    </row>
    <row r="326" spans="1:14" ht="19.5">
      <c r="A326" s="186" t="s">
        <v>4523</v>
      </c>
      <c r="B326" s="188" t="s">
        <v>5</v>
      </c>
      <c r="C326" s="174" t="s">
        <v>3894</v>
      </c>
      <c r="D326" s="174" t="s">
        <v>5</v>
      </c>
      <c r="E326" s="174" t="s">
        <v>5365</v>
      </c>
      <c r="F326" s="186" t="s">
        <v>1844</v>
      </c>
      <c r="G326" s="174"/>
      <c r="H326" s="174"/>
      <c r="I326" s="174"/>
      <c r="J326" s="180" t="s">
        <v>3157</v>
      </c>
      <c r="K326" s="181" t="s">
        <v>4833</v>
      </c>
      <c r="L326" s="181" t="s">
        <v>39</v>
      </c>
      <c r="M326" s="181" t="s">
        <v>231</v>
      </c>
      <c r="N326" s="182" t="s">
        <v>231</v>
      </c>
    </row>
    <row r="327" spans="1:14" ht="19.5">
      <c r="A327" s="186" t="s">
        <v>1738</v>
      </c>
      <c r="B327" s="188" t="s">
        <v>5</v>
      </c>
      <c r="C327" s="174" t="s">
        <v>3894</v>
      </c>
      <c r="D327" s="174" t="s">
        <v>5</v>
      </c>
      <c r="E327" s="174" t="s">
        <v>933</v>
      </c>
      <c r="F327" s="186" t="s">
        <v>1739</v>
      </c>
      <c r="G327" s="174"/>
      <c r="H327" s="174"/>
      <c r="I327" s="174"/>
      <c r="J327" s="180" t="s">
        <v>3162</v>
      </c>
      <c r="K327" s="181" t="s">
        <v>4833</v>
      </c>
      <c r="L327" s="181" t="s">
        <v>39</v>
      </c>
      <c r="M327" s="181" t="s">
        <v>231</v>
      </c>
      <c r="N327" s="182" t="s">
        <v>231</v>
      </c>
    </row>
    <row r="328" spans="1:14" ht="19.5">
      <c r="A328" s="186" t="s">
        <v>1744</v>
      </c>
      <c r="B328" s="188" t="s">
        <v>5</v>
      </c>
      <c r="C328" s="174" t="s">
        <v>3894</v>
      </c>
      <c r="D328" s="174" t="s">
        <v>5</v>
      </c>
      <c r="E328" s="174" t="s">
        <v>1747</v>
      </c>
      <c r="F328" s="186" t="s">
        <v>1745</v>
      </c>
      <c r="G328" s="174"/>
      <c r="H328" s="174"/>
      <c r="I328" s="174"/>
      <c r="J328" s="180" t="s">
        <v>3167</v>
      </c>
      <c r="K328" s="181" t="s">
        <v>4833</v>
      </c>
      <c r="L328" s="181" t="s">
        <v>39</v>
      </c>
      <c r="M328" s="181" t="s">
        <v>231</v>
      </c>
      <c r="N328" s="182" t="s">
        <v>231</v>
      </c>
    </row>
    <row r="329" spans="1:14" ht="19.5">
      <c r="A329" s="186" t="s">
        <v>1751</v>
      </c>
      <c r="B329" s="188" t="s">
        <v>5</v>
      </c>
      <c r="C329" s="174" t="s">
        <v>3894</v>
      </c>
      <c r="D329" s="174" t="s">
        <v>5</v>
      </c>
      <c r="E329" s="174" t="s">
        <v>948</v>
      </c>
      <c r="F329" s="186" t="s">
        <v>1752</v>
      </c>
      <c r="G329" s="174"/>
      <c r="H329" s="174"/>
      <c r="I329" s="174"/>
      <c r="J329" s="180" t="s">
        <v>3172</v>
      </c>
      <c r="K329" s="181" t="s">
        <v>4833</v>
      </c>
      <c r="L329" s="181" t="s">
        <v>39</v>
      </c>
      <c r="M329" s="181" t="s">
        <v>231</v>
      </c>
      <c r="N329" s="182" t="s">
        <v>231</v>
      </c>
    </row>
    <row r="330" spans="1:14" ht="19.5">
      <c r="A330" s="186" t="s">
        <v>1757</v>
      </c>
      <c r="B330" s="188" t="s">
        <v>5</v>
      </c>
      <c r="C330" s="174" t="s">
        <v>3894</v>
      </c>
      <c r="D330" s="174" t="s">
        <v>5</v>
      </c>
      <c r="E330" s="174" t="s">
        <v>917</v>
      </c>
      <c r="F330" s="186" t="s">
        <v>1758</v>
      </c>
      <c r="G330" s="174"/>
      <c r="H330" s="174"/>
      <c r="I330" s="174"/>
      <c r="J330" s="180" t="s">
        <v>3178</v>
      </c>
      <c r="K330" s="181" t="s">
        <v>4833</v>
      </c>
      <c r="L330" s="181" t="s">
        <v>39</v>
      </c>
      <c r="M330" s="181" t="s">
        <v>231</v>
      </c>
      <c r="N330" s="182" t="s">
        <v>231</v>
      </c>
    </row>
    <row r="331" spans="1:14" ht="19.5">
      <c r="A331" s="186" t="s">
        <v>1763</v>
      </c>
      <c r="B331" s="188" t="s">
        <v>5</v>
      </c>
      <c r="C331" s="174" t="s">
        <v>3894</v>
      </c>
      <c r="D331" s="174" t="s">
        <v>5</v>
      </c>
      <c r="E331" s="174" t="s">
        <v>911</v>
      </c>
      <c r="F331" s="186" t="s">
        <v>1764</v>
      </c>
      <c r="G331" s="174"/>
      <c r="H331" s="174"/>
      <c r="I331" s="174"/>
      <c r="J331" s="180" t="s">
        <v>1193</v>
      </c>
      <c r="K331" s="181" t="s">
        <v>3894</v>
      </c>
      <c r="L331" s="181" t="s">
        <v>3</v>
      </c>
      <c r="M331" s="181" t="s">
        <v>87</v>
      </c>
      <c r="N331" s="182" t="s">
        <v>3</v>
      </c>
    </row>
    <row r="332" spans="1:14" ht="19.5">
      <c r="A332" s="186" t="s">
        <v>1774</v>
      </c>
      <c r="B332" s="188" t="s">
        <v>5</v>
      </c>
      <c r="C332" s="174" t="s">
        <v>3894</v>
      </c>
      <c r="D332" s="174" t="s">
        <v>5</v>
      </c>
      <c r="E332" s="174" t="s">
        <v>1266</v>
      </c>
      <c r="F332" s="186" t="s">
        <v>1775</v>
      </c>
      <c r="G332" s="174"/>
      <c r="H332" s="174"/>
      <c r="I332" s="174"/>
      <c r="J332" s="180" t="s">
        <v>2811</v>
      </c>
      <c r="K332" s="181" t="s">
        <v>3894</v>
      </c>
      <c r="L332" s="181" t="s">
        <v>3</v>
      </c>
      <c r="M332" s="181" t="s">
        <v>5376</v>
      </c>
      <c r="N332" s="182" t="s">
        <v>3</v>
      </c>
    </row>
    <row r="333" spans="1:14" ht="19.5">
      <c r="A333" s="186" t="s">
        <v>1781</v>
      </c>
      <c r="B333" s="188" t="s">
        <v>5</v>
      </c>
      <c r="C333" s="174" t="s">
        <v>3894</v>
      </c>
      <c r="D333" s="174" t="s">
        <v>5</v>
      </c>
      <c r="E333" s="174" t="s">
        <v>1784</v>
      </c>
      <c r="F333" s="186" t="s">
        <v>1782</v>
      </c>
      <c r="G333" s="174"/>
      <c r="H333" s="174"/>
      <c r="I333" s="174"/>
      <c r="J333" s="180" t="s">
        <v>1582</v>
      </c>
      <c r="K333" s="181" t="s">
        <v>3894</v>
      </c>
      <c r="L333" s="181" t="s">
        <v>4</v>
      </c>
      <c r="M333" s="181" t="s">
        <v>5375</v>
      </c>
      <c r="N333" s="182" t="s">
        <v>4</v>
      </c>
    </row>
    <row r="334" spans="1:14" ht="19.5">
      <c r="A334" s="186" t="s">
        <v>1788</v>
      </c>
      <c r="B334" s="188" t="s">
        <v>5</v>
      </c>
      <c r="C334" s="174" t="s">
        <v>3894</v>
      </c>
      <c r="D334" s="174" t="s">
        <v>5</v>
      </c>
      <c r="E334" s="174" t="s">
        <v>1791</v>
      </c>
      <c r="F334" s="186" t="s">
        <v>1789</v>
      </c>
      <c r="G334" s="174"/>
      <c r="H334" s="174"/>
      <c r="I334" s="174"/>
      <c r="J334" s="180" t="s">
        <v>456</v>
      </c>
      <c r="K334" s="181" t="s">
        <v>3894</v>
      </c>
      <c r="L334" s="181" t="s">
        <v>5346</v>
      </c>
      <c r="M334" s="181" t="s">
        <v>459</v>
      </c>
      <c r="N334" s="182" t="s">
        <v>5347</v>
      </c>
    </row>
    <row r="335" spans="1:14" ht="19.5">
      <c r="A335" s="186" t="s">
        <v>1795</v>
      </c>
      <c r="B335" s="188" t="s">
        <v>5</v>
      </c>
      <c r="C335" s="174" t="s">
        <v>3894</v>
      </c>
      <c r="D335" s="174" t="s">
        <v>5</v>
      </c>
      <c r="E335" s="174" t="s">
        <v>1798</v>
      </c>
      <c r="F335" s="186" t="s">
        <v>1796</v>
      </c>
      <c r="G335" s="174"/>
      <c r="H335" s="174"/>
      <c r="I335" s="174"/>
      <c r="J335" s="180" t="s">
        <v>465</v>
      </c>
      <c r="K335" s="181" t="s">
        <v>4833</v>
      </c>
      <c r="L335" s="181" t="s">
        <v>39</v>
      </c>
      <c r="M335" s="181" t="s">
        <v>231</v>
      </c>
      <c r="N335" s="182" t="s">
        <v>231</v>
      </c>
    </row>
    <row r="336" spans="1:14" ht="19.5">
      <c r="A336" s="186" t="s">
        <v>4198</v>
      </c>
      <c r="B336" s="188" t="s">
        <v>5</v>
      </c>
      <c r="C336" s="174" t="s">
        <v>3894</v>
      </c>
      <c r="D336" s="174" t="s">
        <v>5</v>
      </c>
      <c r="E336" s="174" t="s">
        <v>5369</v>
      </c>
      <c r="F336" s="186" t="s">
        <v>4196</v>
      </c>
      <c r="G336" s="174"/>
      <c r="H336" s="174"/>
      <c r="I336" s="174"/>
      <c r="J336" s="180" t="s">
        <v>3182</v>
      </c>
      <c r="K336" s="181" t="s">
        <v>4833</v>
      </c>
      <c r="L336" s="181" t="s">
        <v>39</v>
      </c>
      <c r="M336" s="181" t="s">
        <v>231</v>
      </c>
      <c r="N336" s="182" t="s">
        <v>231</v>
      </c>
    </row>
    <row r="337" spans="1:14" ht="19.5">
      <c r="A337" s="186" t="s">
        <v>392</v>
      </c>
      <c r="B337" s="188" t="s">
        <v>5</v>
      </c>
      <c r="C337" s="174" t="s">
        <v>3894</v>
      </c>
      <c r="D337" s="174" t="s">
        <v>5</v>
      </c>
      <c r="E337" s="174" t="s">
        <v>1834</v>
      </c>
      <c r="F337" s="186" t="s">
        <v>1832</v>
      </c>
      <c r="G337" s="174"/>
      <c r="H337" s="174"/>
      <c r="I337" s="174"/>
      <c r="J337" s="180" t="s">
        <v>3187</v>
      </c>
      <c r="K337" s="181" t="s">
        <v>4833</v>
      </c>
      <c r="L337" s="181" t="s">
        <v>39</v>
      </c>
      <c r="M337" s="181" t="s">
        <v>231</v>
      </c>
      <c r="N337" s="182" t="s">
        <v>231</v>
      </c>
    </row>
    <row r="338" spans="1:14" ht="19.5">
      <c r="A338" s="186" t="s">
        <v>1803</v>
      </c>
      <c r="B338" s="188" t="s">
        <v>5</v>
      </c>
      <c r="C338" s="174" t="s">
        <v>3894</v>
      </c>
      <c r="D338" s="174" t="s">
        <v>5</v>
      </c>
      <c r="E338" s="174" t="s">
        <v>123</v>
      </c>
      <c r="F338" s="186" t="s">
        <v>1804</v>
      </c>
      <c r="G338" s="174"/>
      <c r="H338" s="174"/>
      <c r="I338" s="174"/>
      <c r="J338" s="180" t="s">
        <v>3192</v>
      </c>
      <c r="K338" s="181" t="s">
        <v>3894</v>
      </c>
      <c r="L338" s="181" t="s">
        <v>5346</v>
      </c>
      <c r="M338" s="181" t="s">
        <v>4395</v>
      </c>
      <c r="N338" s="182" t="s">
        <v>5347</v>
      </c>
    </row>
    <row r="339" spans="1:14" ht="19.5">
      <c r="A339" s="186" t="s">
        <v>500</v>
      </c>
      <c r="B339" s="188" t="s">
        <v>5</v>
      </c>
      <c r="C339" s="174" t="s">
        <v>3894</v>
      </c>
      <c r="D339" s="174" t="s">
        <v>5</v>
      </c>
      <c r="E339" s="174" t="s">
        <v>5377</v>
      </c>
      <c r="F339" s="186" t="s">
        <v>1849</v>
      </c>
      <c r="G339" s="174"/>
      <c r="H339" s="174"/>
      <c r="I339" s="174"/>
      <c r="J339" s="180" t="s">
        <v>3198</v>
      </c>
      <c r="K339" s="181" t="s">
        <v>4833</v>
      </c>
      <c r="L339" s="181" t="s">
        <v>39</v>
      </c>
      <c r="M339" s="181" t="s">
        <v>231</v>
      </c>
      <c r="N339" s="182" t="s">
        <v>231</v>
      </c>
    </row>
    <row r="340" spans="1:14" ht="19.5">
      <c r="A340" s="186" t="s">
        <v>872</v>
      </c>
      <c r="B340" s="188" t="s">
        <v>5</v>
      </c>
      <c r="C340" s="174" t="s">
        <v>3894</v>
      </c>
      <c r="D340" s="174" t="s">
        <v>5</v>
      </c>
      <c r="E340" s="174" t="s">
        <v>123</v>
      </c>
      <c r="F340" s="186" t="s">
        <v>867</v>
      </c>
      <c r="G340" s="174"/>
      <c r="H340" s="174"/>
      <c r="I340" s="174"/>
      <c r="J340" s="180" t="s">
        <v>1198</v>
      </c>
      <c r="K340" s="181" t="s">
        <v>3894</v>
      </c>
      <c r="L340" s="181" t="s">
        <v>3</v>
      </c>
      <c r="M340" s="181" t="s">
        <v>1201</v>
      </c>
      <c r="N340" s="182" t="s">
        <v>3</v>
      </c>
    </row>
    <row r="341" spans="1:14" ht="19.5">
      <c r="A341" s="186" t="s">
        <v>1815</v>
      </c>
      <c r="B341" s="188" t="s">
        <v>5</v>
      </c>
      <c r="C341" s="174" t="s">
        <v>3894</v>
      </c>
      <c r="D341" s="174" t="s">
        <v>5</v>
      </c>
      <c r="E341" s="174" t="s">
        <v>887</v>
      </c>
      <c r="F341" s="186" t="s">
        <v>1816</v>
      </c>
      <c r="G341" s="174"/>
      <c r="H341" s="174"/>
      <c r="I341" s="174"/>
      <c r="J341" s="180" t="s">
        <v>1204</v>
      </c>
      <c r="K341" s="181" t="s">
        <v>3894</v>
      </c>
      <c r="L341" s="181" t="s">
        <v>3</v>
      </c>
      <c r="M341" s="181" t="s">
        <v>940</v>
      </c>
      <c r="N341" s="182" t="s">
        <v>3</v>
      </c>
    </row>
    <row r="342" spans="1:14" ht="19.5">
      <c r="A342" s="186" t="s">
        <v>1820</v>
      </c>
      <c r="B342" s="188" t="s">
        <v>5</v>
      </c>
      <c r="C342" s="174" t="s">
        <v>3894</v>
      </c>
      <c r="D342" s="174" t="s">
        <v>5</v>
      </c>
      <c r="E342" s="174" t="s">
        <v>1823</v>
      </c>
      <c r="F342" s="186" t="s">
        <v>1821</v>
      </c>
      <c r="G342" s="174"/>
      <c r="H342" s="174"/>
      <c r="I342" s="174"/>
      <c r="J342" s="180" t="s">
        <v>4626</v>
      </c>
      <c r="K342" s="181" t="s">
        <v>3894</v>
      </c>
      <c r="L342" s="181" t="s">
        <v>3</v>
      </c>
      <c r="M342" s="181" t="s">
        <v>123</v>
      </c>
      <c r="N342" s="182" t="s">
        <v>3</v>
      </c>
    </row>
    <row r="343" spans="1:14" ht="19.5">
      <c r="A343" s="186" t="s">
        <v>1826</v>
      </c>
      <c r="B343" s="188" t="s">
        <v>5</v>
      </c>
      <c r="C343" s="174" t="s">
        <v>3894</v>
      </c>
      <c r="D343" s="174" t="s">
        <v>5</v>
      </c>
      <c r="E343" s="174" t="s">
        <v>87</v>
      </c>
      <c r="F343" s="186" t="s">
        <v>1827</v>
      </c>
      <c r="G343" s="174"/>
      <c r="H343" s="174"/>
      <c r="I343" s="174"/>
      <c r="J343" s="180" t="s">
        <v>1209</v>
      </c>
      <c r="K343" s="181" t="s">
        <v>3894</v>
      </c>
      <c r="L343" s="181" t="s">
        <v>3</v>
      </c>
      <c r="M343" s="181" t="s">
        <v>986</v>
      </c>
      <c r="N343" s="182" t="s">
        <v>3</v>
      </c>
    </row>
    <row r="344" spans="1:14" ht="19.5">
      <c r="A344" s="199" t="s">
        <v>1831</v>
      </c>
      <c r="B344" s="188" t="s">
        <v>5</v>
      </c>
      <c r="C344" s="174" t="s">
        <v>3894</v>
      </c>
      <c r="D344" s="174" t="s">
        <v>5</v>
      </c>
      <c r="E344" s="174" t="s">
        <v>1834</v>
      </c>
      <c r="F344" s="186" t="s">
        <v>1832</v>
      </c>
      <c r="G344" s="174"/>
      <c r="H344" s="174"/>
      <c r="I344" s="174"/>
      <c r="J344" s="180" t="s">
        <v>623</v>
      </c>
      <c r="K344" s="181" t="s">
        <v>4833</v>
      </c>
      <c r="L344" s="181" t="s">
        <v>39</v>
      </c>
      <c r="M344" s="181" t="s">
        <v>231</v>
      </c>
      <c r="N344" s="182" t="s">
        <v>231</v>
      </c>
    </row>
    <row r="345" spans="1:14" ht="19.5">
      <c r="A345" s="197" t="s">
        <v>1843</v>
      </c>
      <c r="B345" s="188" t="s">
        <v>5</v>
      </c>
      <c r="C345" s="174" t="e">
        <v>#N/A</v>
      </c>
      <c r="D345" s="174" t="e">
        <v>#N/A</v>
      </c>
      <c r="E345" s="174" t="e">
        <v>#N/A</v>
      </c>
      <c r="F345" s="186" t="s">
        <v>1844</v>
      </c>
      <c r="G345" s="174"/>
      <c r="H345" s="174"/>
      <c r="I345" s="174"/>
      <c r="J345" s="180" t="s">
        <v>483</v>
      </c>
      <c r="K345" s="181" t="s">
        <v>4833</v>
      </c>
      <c r="L345" s="181" t="s">
        <v>39</v>
      </c>
      <c r="M345" s="181" t="s">
        <v>231</v>
      </c>
      <c r="N345" s="182" t="s">
        <v>231</v>
      </c>
    </row>
    <row r="346" spans="1:14" ht="19.5">
      <c r="A346" s="197" t="s">
        <v>4533</v>
      </c>
      <c r="B346" s="188" t="s">
        <v>5</v>
      </c>
      <c r="C346" s="174" t="e">
        <v>#N/A</v>
      </c>
      <c r="D346" s="174" t="e">
        <v>#N/A</v>
      </c>
      <c r="E346" s="174" t="e">
        <v>#N/A</v>
      </c>
      <c r="F346" s="186" t="s">
        <v>1849</v>
      </c>
      <c r="G346" s="174"/>
      <c r="H346" s="174"/>
      <c r="I346" s="174"/>
      <c r="J346" s="180" t="s">
        <v>1215</v>
      </c>
      <c r="K346" s="181" t="s">
        <v>3894</v>
      </c>
      <c r="L346" s="181" t="s">
        <v>3</v>
      </c>
      <c r="M346" s="181" t="s">
        <v>1135</v>
      </c>
      <c r="N346" s="182" t="s">
        <v>3</v>
      </c>
    </row>
    <row r="347" spans="1:14" ht="19.5">
      <c r="A347" s="197" t="s">
        <v>4537</v>
      </c>
      <c r="B347" s="188" t="s">
        <v>5</v>
      </c>
      <c r="C347" s="174" t="e">
        <v>#N/A</v>
      </c>
      <c r="D347" s="174" t="e">
        <v>#N/A</v>
      </c>
      <c r="E347" s="174" t="e">
        <v>#N/A</v>
      </c>
      <c r="F347" s="186" t="s">
        <v>1832</v>
      </c>
      <c r="G347" s="174"/>
      <c r="H347" s="174"/>
      <c r="I347" s="174"/>
      <c r="J347" s="180" t="s">
        <v>2817</v>
      </c>
      <c r="K347" s="181" t="s">
        <v>3894</v>
      </c>
      <c r="L347" s="181" t="s">
        <v>3</v>
      </c>
      <c r="M347" s="181" t="s">
        <v>903</v>
      </c>
      <c r="N347" s="182" t="s">
        <v>3</v>
      </c>
    </row>
    <row r="348" spans="1:14" ht="19.5">
      <c r="A348" s="197" t="s">
        <v>1848</v>
      </c>
      <c r="B348" s="188" t="s">
        <v>5</v>
      </c>
      <c r="C348" s="174" t="e">
        <v>#N/A</v>
      </c>
      <c r="D348" s="174" t="e">
        <v>#N/A</v>
      </c>
      <c r="E348" s="174" t="e">
        <v>#N/A</v>
      </c>
      <c r="F348" s="186" t="s">
        <v>1849</v>
      </c>
      <c r="G348" s="174"/>
      <c r="H348" s="174"/>
      <c r="I348" s="174"/>
      <c r="J348" s="180" t="s">
        <v>4717</v>
      </c>
      <c r="K348" s="181" t="s">
        <v>4833</v>
      </c>
      <c r="L348" s="181" t="s">
        <v>39</v>
      </c>
      <c r="M348" s="181" t="s">
        <v>231</v>
      </c>
      <c r="N348" s="182" t="s">
        <v>231</v>
      </c>
    </row>
    <row r="349" spans="1:14" ht="19.5">
      <c r="A349" s="186" t="s">
        <v>1853</v>
      </c>
      <c r="B349" s="188" t="s">
        <v>5</v>
      </c>
      <c r="C349" s="174" t="e">
        <v>#N/A</v>
      </c>
      <c r="D349" s="174" t="e">
        <v>#N/A</v>
      </c>
      <c r="E349" s="174" t="e">
        <v>#N/A</v>
      </c>
      <c r="F349" s="186" t="s">
        <v>1854</v>
      </c>
      <c r="G349" s="174"/>
      <c r="H349" s="174"/>
      <c r="I349" s="174"/>
      <c r="J349" s="180" t="s">
        <v>2821</v>
      </c>
      <c r="K349" s="181" t="s">
        <v>3894</v>
      </c>
      <c r="L349" s="181" t="s">
        <v>3</v>
      </c>
      <c r="M349" s="181" t="s">
        <v>2824</v>
      </c>
      <c r="N349" s="182" t="s">
        <v>3</v>
      </c>
    </row>
    <row r="350" spans="1:14" ht="19.5">
      <c r="A350" s="186" t="s">
        <v>1861</v>
      </c>
      <c r="B350" s="188" t="s">
        <v>15</v>
      </c>
      <c r="C350" s="174" t="s">
        <v>4833</v>
      </c>
      <c r="D350" s="174" t="s">
        <v>39</v>
      </c>
      <c r="E350" s="174">
        <v>0</v>
      </c>
      <c r="F350" s="186" t="s">
        <v>1862</v>
      </c>
      <c r="G350" s="174"/>
      <c r="H350" s="174"/>
      <c r="I350" s="174"/>
      <c r="J350" s="180" t="s">
        <v>2826</v>
      </c>
      <c r="K350" s="181" t="s">
        <v>3894</v>
      </c>
      <c r="L350" s="181" t="s">
        <v>3</v>
      </c>
      <c r="M350" s="181" t="s">
        <v>2829</v>
      </c>
      <c r="N350" s="182" t="s">
        <v>3</v>
      </c>
    </row>
    <row r="351" spans="1:14" ht="19.5">
      <c r="A351" s="186" t="s">
        <v>3647</v>
      </c>
      <c r="B351" s="188" t="s">
        <v>15</v>
      </c>
      <c r="C351" s="174" t="s">
        <v>3894</v>
      </c>
      <c r="D351" s="174" t="s">
        <v>15</v>
      </c>
      <c r="E351" s="174" t="s">
        <v>97</v>
      </c>
      <c r="F351" s="186" t="s">
        <v>3643</v>
      </c>
      <c r="G351" s="174"/>
      <c r="H351" s="174"/>
      <c r="I351" s="174"/>
      <c r="J351" s="180" t="s">
        <v>1274</v>
      </c>
      <c r="K351" s="181" t="s">
        <v>3894</v>
      </c>
      <c r="L351" s="181" t="s">
        <v>3</v>
      </c>
      <c r="M351" s="181" t="s">
        <v>903</v>
      </c>
      <c r="N351" s="182" t="s">
        <v>3</v>
      </c>
    </row>
    <row r="352" spans="1:14" ht="19.5">
      <c r="A352" s="186" t="s">
        <v>1867</v>
      </c>
      <c r="B352" s="188" t="s">
        <v>15</v>
      </c>
      <c r="C352" s="174" t="s">
        <v>4833</v>
      </c>
      <c r="D352" s="174" t="s">
        <v>39</v>
      </c>
      <c r="E352" s="174">
        <v>0</v>
      </c>
      <c r="F352" s="186" t="s">
        <v>1868</v>
      </c>
      <c r="G352" s="174"/>
      <c r="H352" s="174"/>
      <c r="I352" s="174"/>
      <c r="J352" s="180" t="s">
        <v>2831</v>
      </c>
      <c r="K352" s="181" t="s">
        <v>3894</v>
      </c>
      <c r="L352" s="181" t="s">
        <v>3</v>
      </c>
      <c r="M352" s="181" t="s">
        <v>1038</v>
      </c>
      <c r="N352" s="182" t="s">
        <v>3</v>
      </c>
    </row>
    <row r="353" spans="1:14" ht="19.5">
      <c r="A353" s="197" t="s">
        <v>1890</v>
      </c>
      <c r="B353" s="188" t="s">
        <v>15</v>
      </c>
      <c r="C353" s="174" t="s">
        <v>3894</v>
      </c>
      <c r="D353" s="174" t="s">
        <v>15</v>
      </c>
      <c r="E353" s="174" t="s">
        <v>162</v>
      </c>
      <c r="F353" s="186" t="s">
        <v>1891</v>
      </c>
      <c r="G353" s="174"/>
      <c r="H353" s="174"/>
      <c r="I353" s="174"/>
      <c r="J353" s="180" t="s">
        <v>2835</v>
      </c>
      <c r="K353" s="181" t="s">
        <v>3894</v>
      </c>
      <c r="L353" s="181" t="s">
        <v>3</v>
      </c>
      <c r="M353" s="181" t="s">
        <v>1720</v>
      </c>
      <c r="N353" s="182" t="s">
        <v>3</v>
      </c>
    </row>
    <row r="354" spans="1:14" ht="19.5">
      <c r="A354" s="186" t="s">
        <v>1895</v>
      </c>
      <c r="B354" s="188" t="s">
        <v>15</v>
      </c>
      <c r="C354" s="174" t="s">
        <v>3894</v>
      </c>
      <c r="D354" s="174" t="s">
        <v>5378</v>
      </c>
      <c r="E354" s="174" t="s">
        <v>156</v>
      </c>
      <c r="F354" s="186" t="s">
        <v>1896</v>
      </c>
      <c r="G354" s="174"/>
      <c r="H354" s="174"/>
      <c r="I354" s="174"/>
      <c r="J354" s="180" t="s">
        <v>4719</v>
      </c>
      <c r="K354" s="181" t="s">
        <v>4833</v>
      </c>
      <c r="L354" s="181" t="s">
        <v>39</v>
      </c>
      <c r="M354" s="181" t="s">
        <v>231</v>
      </c>
      <c r="N354" s="182" t="s">
        <v>231</v>
      </c>
    </row>
    <row r="355" spans="1:14" ht="19.5">
      <c r="A355" s="186" t="s">
        <v>1906</v>
      </c>
      <c r="B355" s="188" t="s">
        <v>15</v>
      </c>
      <c r="C355" s="174" t="s">
        <v>3894</v>
      </c>
      <c r="D355" s="174" t="s">
        <v>15</v>
      </c>
      <c r="E355" s="174" t="s">
        <v>146</v>
      </c>
      <c r="F355" s="186" t="s">
        <v>1907</v>
      </c>
      <c r="G355" s="174"/>
      <c r="H355" s="174"/>
      <c r="I355" s="174"/>
      <c r="J355" s="180" t="s">
        <v>3203</v>
      </c>
      <c r="K355" s="181" t="s">
        <v>4833</v>
      </c>
      <c r="L355" s="181" t="s">
        <v>39</v>
      </c>
      <c r="M355" s="181" t="s">
        <v>231</v>
      </c>
      <c r="N355" s="182" t="s">
        <v>231</v>
      </c>
    </row>
    <row r="356" spans="1:14" ht="19.5">
      <c r="A356" s="186" t="s">
        <v>4546</v>
      </c>
      <c r="B356" s="188" t="s">
        <v>15</v>
      </c>
      <c r="C356" s="174" t="s">
        <v>3894</v>
      </c>
      <c r="D356" s="174" t="s">
        <v>15</v>
      </c>
      <c r="E356" s="174" t="s">
        <v>97</v>
      </c>
      <c r="F356" s="186" t="s">
        <v>3643</v>
      </c>
      <c r="G356" s="174"/>
      <c r="H356" s="174"/>
      <c r="I356" s="174"/>
      <c r="J356" s="180" t="s">
        <v>3207</v>
      </c>
      <c r="K356" s="181" t="s">
        <v>4833</v>
      </c>
      <c r="L356" s="181" t="s">
        <v>39</v>
      </c>
      <c r="M356" s="181" t="s">
        <v>231</v>
      </c>
      <c r="N356" s="182" t="s">
        <v>231</v>
      </c>
    </row>
    <row r="357" spans="1:14" ht="39">
      <c r="A357" s="199" t="s">
        <v>1920</v>
      </c>
      <c r="B357" s="188" t="s">
        <v>15</v>
      </c>
      <c r="C357" s="174" t="s">
        <v>3894</v>
      </c>
      <c r="D357" s="174" t="s">
        <v>15</v>
      </c>
      <c r="E357" s="174" t="s">
        <v>97</v>
      </c>
      <c r="F357" s="186" t="s">
        <v>1921</v>
      </c>
      <c r="G357" s="174"/>
      <c r="H357" s="174"/>
      <c r="I357" s="174"/>
      <c r="J357" s="180" t="s">
        <v>4721</v>
      </c>
      <c r="K357" s="181" t="s">
        <v>3894</v>
      </c>
      <c r="L357" s="181" t="s">
        <v>5358</v>
      </c>
      <c r="M357" s="181" t="s">
        <v>106</v>
      </c>
      <c r="N357" s="182" t="s">
        <v>5359</v>
      </c>
    </row>
    <row r="358" spans="1:14" ht="19.5">
      <c r="A358" s="197" t="s">
        <v>4079</v>
      </c>
      <c r="B358" s="188" t="s">
        <v>18</v>
      </c>
      <c r="C358" s="174" t="e">
        <v>#N/A</v>
      </c>
      <c r="D358" s="174" t="e">
        <v>#N/A</v>
      </c>
      <c r="E358" s="174" t="e">
        <v>#N/A</v>
      </c>
      <c r="F358" s="186" t="s">
        <v>4073</v>
      </c>
      <c r="G358" s="174"/>
      <c r="H358" s="174"/>
      <c r="I358" s="174"/>
      <c r="J358" s="180" t="s">
        <v>5379</v>
      </c>
      <c r="K358" s="181" t="s">
        <v>3894</v>
      </c>
      <c r="L358" s="181" t="s">
        <v>4</v>
      </c>
      <c r="M358" s="181" t="s">
        <v>5380</v>
      </c>
      <c r="N358" s="182" t="s">
        <v>4</v>
      </c>
    </row>
    <row r="359" spans="1:14" ht="19.5">
      <c r="A359" s="197" t="s">
        <v>4552</v>
      </c>
      <c r="B359" s="188" t="s">
        <v>18</v>
      </c>
      <c r="C359" s="174" t="e">
        <v>#N/A</v>
      </c>
      <c r="D359" s="174" t="e">
        <v>#N/A</v>
      </c>
      <c r="E359" s="174" t="e">
        <v>#N/A</v>
      </c>
      <c r="F359" s="186" t="s">
        <v>2604</v>
      </c>
      <c r="G359" s="174"/>
      <c r="H359" s="174"/>
      <c r="I359" s="174"/>
      <c r="J359" s="180" t="s">
        <v>5381</v>
      </c>
      <c r="K359" s="181" t="s">
        <v>3894</v>
      </c>
      <c r="L359" s="181" t="s">
        <v>3</v>
      </c>
      <c r="M359" s="181" t="s">
        <v>5382</v>
      </c>
      <c r="N359" s="182" t="s">
        <v>3</v>
      </c>
    </row>
    <row r="360" spans="1:14" ht="19.5">
      <c r="A360" s="199" t="s">
        <v>1934</v>
      </c>
      <c r="B360" s="188" t="s">
        <v>18</v>
      </c>
      <c r="C360" s="174" t="e">
        <v>#N/A</v>
      </c>
      <c r="D360" s="174" t="e">
        <v>#N/A</v>
      </c>
      <c r="E360" s="174" t="e">
        <v>#N/A</v>
      </c>
      <c r="F360" s="186" t="s">
        <v>1935</v>
      </c>
      <c r="G360" s="174"/>
      <c r="H360" s="174"/>
      <c r="I360" s="174"/>
      <c r="J360" s="180" t="s">
        <v>5383</v>
      </c>
      <c r="K360" s="181" t="s">
        <v>3894</v>
      </c>
      <c r="L360" s="181" t="s">
        <v>3</v>
      </c>
      <c r="M360" s="181" t="s">
        <v>5384</v>
      </c>
      <c r="N360" s="182" t="s">
        <v>3</v>
      </c>
    </row>
    <row r="361" spans="1:14" ht="19.5">
      <c r="A361" s="186" t="s">
        <v>4612</v>
      </c>
      <c r="B361" s="188" t="s">
        <v>27</v>
      </c>
      <c r="C361" s="174" t="e">
        <v>#N/A</v>
      </c>
      <c r="D361" s="174" t="e">
        <v>#N/A</v>
      </c>
      <c r="E361" s="174" t="e">
        <v>#N/A</v>
      </c>
      <c r="F361" s="186" t="s">
        <v>4613</v>
      </c>
      <c r="G361" s="174"/>
      <c r="H361" s="174"/>
      <c r="I361" s="174"/>
      <c r="J361" s="180" t="s">
        <v>1279</v>
      </c>
      <c r="K361" s="181" t="s">
        <v>3894</v>
      </c>
      <c r="L361" s="181" t="s">
        <v>3</v>
      </c>
      <c r="M361" s="181" t="s">
        <v>1135</v>
      </c>
      <c r="N361" s="182" t="s">
        <v>3</v>
      </c>
    </row>
    <row r="362" spans="1:14" ht="19.5">
      <c r="A362" s="186" t="s">
        <v>595</v>
      </c>
      <c r="B362" s="188" t="s">
        <v>27</v>
      </c>
      <c r="C362" s="174" t="e">
        <v>#N/A</v>
      </c>
      <c r="D362" s="174" t="e">
        <v>#N/A</v>
      </c>
      <c r="E362" s="174" t="e">
        <v>#N/A</v>
      </c>
      <c r="F362" s="186" t="s">
        <v>4428</v>
      </c>
      <c r="G362" s="174"/>
      <c r="H362" s="174"/>
      <c r="I362" s="174"/>
      <c r="J362" s="180" t="s">
        <v>5385</v>
      </c>
      <c r="K362" s="181" t="s">
        <v>3894</v>
      </c>
      <c r="L362" s="181" t="s">
        <v>3</v>
      </c>
      <c r="M362" s="181" t="s">
        <v>123</v>
      </c>
      <c r="N362" s="182" t="s">
        <v>3</v>
      </c>
    </row>
    <row r="363" spans="1:14" ht="19.5">
      <c r="A363" s="186" t="s">
        <v>1940</v>
      </c>
      <c r="B363" s="188" t="s">
        <v>27</v>
      </c>
      <c r="C363" s="174" t="e">
        <v>#N/A</v>
      </c>
      <c r="D363" s="174" t="e">
        <v>#N/A</v>
      </c>
      <c r="E363" s="174" t="e">
        <v>#N/A</v>
      </c>
      <c r="F363" s="186" t="s">
        <v>1941</v>
      </c>
      <c r="G363" s="174"/>
      <c r="H363" s="174"/>
      <c r="I363" s="174"/>
      <c r="J363" s="180" t="s">
        <v>4650</v>
      </c>
      <c r="K363" s="181" t="s">
        <v>4833</v>
      </c>
      <c r="L363" s="181" t="s">
        <v>39</v>
      </c>
      <c r="M363" s="181" t="s">
        <v>231</v>
      </c>
      <c r="N363" s="182" t="s">
        <v>231</v>
      </c>
    </row>
    <row r="364" spans="1:14" ht="39">
      <c r="A364" s="186" t="s">
        <v>1946</v>
      </c>
      <c r="B364" s="188" t="s">
        <v>27</v>
      </c>
      <c r="C364" s="174" t="e">
        <v>#N/A</v>
      </c>
      <c r="D364" s="174" t="e">
        <v>#N/A</v>
      </c>
      <c r="E364" s="174" t="e">
        <v>#N/A</v>
      </c>
      <c r="F364" s="186" t="s">
        <v>1947</v>
      </c>
      <c r="G364" s="174"/>
      <c r="H364" s="174"/>
      <c r="I364" s="174"/>
      <c r="J364" s="180" t="s">
        <v>1895</v>
      </c>
      <c r="K364" s="181" t="s">
        <v>3894</v>
      </c>
      <c r="L364" s="181" t="s">
        <v>5378</v>
      </c>
      <c r="M364" s="181" t="s">
        <v>156</v>
      </c>
      <c r="N364" s="182" t="s">
        <v>5368</v>
      </c>
    </row>
    <row r="365" spans="1:14" ht="19.5">
      <c r="A365" s="186" t="s">
        <v>1951</v>
      </c>
      <c r="B365" s="188" t="s">
        <v>27</v>
      </c>
      <c r="C365" s="174" t="e">
        <v>#N/A</v>
      </c>
      <c r="D365" s="174" t="e">
        <v>#N/A</v>
      </c>
      <c r="E365" s="174" t="e">
        <v>#N/A</v>
      </c>
      <c r="F365" s="186" t="s">
        <v>1952</v>
      </c>
      <c r="G365" s="174"/>
      <c r="H365" s="174"/>
      <c r="I365" s="174"/>
      <c r="J365" s="180" t="s">
        <v>3212</v>
      </c>
      <c r="K365" s="181" t="s">
        <v>4833</v>
      </c>
      <c r="L365" s="181" t="s">
        <v>39</v>
      </c>
      <c r="M365" s="181" t="s">
        <v>231</v>
      </c>
      <c r="N365" s="182" t="s">
        <v>231</v>
      </c>
    </row>
    <row r="366" spans="1:14" ht="19.5">
      <c r="A366" s="186" t="s">
        <v>1956</v>
      </c>
      <c r="B366" s="188" t="s">
        <v>27</v>
      </c>
      <c r="C366" s="174" t="e">
        <v>#N/A</v>
      </c>
      <c r="D366" s="174" t="e">
        <v>#N/A</v>
      </c>
      <c r="E366" s="174" t="e">
        <v>#N/A</v>
      </c>
      <c r="F366" s="186" t="s">
        <v>1957</v>
      </c>
      <c r="G366" s="174"/>
      <c r="H366" s="174"/>
      <c r="I366" s="174"/>
      <c r="J366" s="180" t="s">
        <v>3216</v>
      </c>
      <c r="K366" s="181" t="s">
        <v>4833</v>
      </c>
      <c r="L366" s="181" t="s">
        <v>39</v>
      </c>
      <c r="M366" s="181" t="s">
        <v>231</v>
      </c>
      <c r="N366" s="182" t="s">
        <v>231</v>
      </c>
    </row>
    <row r="367" spans="1:14" ht="19.5">
      <c r="A367" s="186" t="s">
        <v>1961</v>
      </c>
      <c r="B367" s="188" t="s">
        <v>27</v>
      </c>
      <c r="C367" s="174" t="e">
        <v>#N/A</v>
      </c>
      <c r="D367" s="174" t="e">
        <v>#N/A</v>
      </c>
      <c r="E367" s="174" t="e">
        <v>#N/A</v>
      </c>
      <c r="F367" s="186" t="s">
        <v>1962</v>
      </c>
      <c r="G367" s="174"/>
      <c r="H367" s="174"/>
      <c r="I367" s="174"/>
      <c r="J367" s="180" t="s">
        <v>3220</v>
      </c>
      <c r="K367" s="181" t="s">
        <v>4833</v>
      </c>
      <c r="L367" s="181" t="s">
        <v>39</v>
      </c>
      <c r="M367" s="181" t="s">
        <v>231</v>
      </c>
      <c r="N367" s="182" t="s">
        <v>231</v>
      </c>
    </row>
    <row r="368" spans="1:14" ht="19.5">
      <c r="A368" s="186" t="s">
        <v>1966</v>
      </c>
      <c r="B368" s="188" t="s">
        <v>27</v>
      </c>
      <c r="C368" s="174" t="e">
        <v>#N/A</v>
      </c>
      <c r="D368" s="174" t="e">
        <v>#N/A</v>
      </c>
      <c r="E368" s="174" t="e">
        <v>#N/A</v>
      </c>
      <c r="F368" s="186" t="s">
        <v>1967</v>
      </c>
      <c r="G368" s="174"/>
      <c r="H368" s="174"/>
      <c r="I368" s="174"/>
      <c r="J368" s="180" t="s">
        <v>3225</v>
      </c>
      <c r="K368" s="181" t="s">
        <v>4833</v>
      </c>
      <c r="L368" s="181" t="s">
        <v>39</v>
      </c>
      <c r="M368" s="181" t="s">
        <v>231</v>
      </c>
      <c r="N368" s="182" t="s">
        <v>231</v>
      </c>
    </row>
    <row r="369" spans="1:14" ht="19.5">
      <c r="A369" s="186" t="s">
        <v>1971</v>
      </c>
      <c r="B369" s="188" t="s">
        <v>27</v>
      </c>
      <c r="C369" s="174" t="e">
        <v>#N/A</v>
      </c>
      <c r="D369" s="174" t="e">
        <v>#N/A</v>
      </c>
      <c r="E369" s="174" t="e">
        <v>#N/A</v>
      </c>
      <c r="F369" s="186" t="s">
        <v>1972</v>
      </c>
      <c r="G369" s="174"/>
      <c r="H369" s="174"/>
      <c r="I369" s="174"/>
      <c r="J369" s="180" t="s">
        <v>3230</v>
      </c>
      <c r="K369" s="181" t="s">
        <v>4833</v>
      </c>
      <c r="L369" s="181" t="s">
        <v>39</v>
      </c>
      <c r="M369" s="181" t="s">
        <v>231</v>
      </c>
      <c r="N369" s="182" t="s">
        <v>231</v>
      </c>
    </row>
    <row r="370" spans="1:14" ht="19.5">
      <c r="A370" s="186" t="s">
        <v>1976</v>
      </c>
      <c r="B370" s="188" t="s">
        <v>27</v>
      </c>
      <c r="C370" s="174" t="e">
        <v>#N/A</v>
      </c>
      <c r="D370" s="174" t="e">
        <v>#N/A</v>
      </c>
      <c r="E370" s="174" t="e">
        <v>#N/A</v>
      </c>
      <c r="F370" s="186" t="s">
        <v>1977</v>
      </c>
      <c r="G370" s="174"/>
      <c r="H370" s="174"/>
      <c r="I370" s="174"/>
      <c r="J370" s="180" t="s">
        <v>4700</v>
      </c>
      <c r="K370" s="181" t="s">
        <v>4833</v>
      </c>
      <c r="L370" s="181" t="s">
        <v>39</v>
      </c>
      <c r="M370" s="181" t="s">
        <v>231</v>
      </c>
      <c r="N370" s="182" t="s">
        <v>231</v>
      </c>
    </row>
    <row r="371" spans="1:14" ht="19.5">
      <c r="A371" s="186" t="s">
        <v>1981</v>
      </c>
      <c r="B371" s="188" t="s">
        <v>27</v>
      </c>
      <c r="C371" s="174" t="e">
        <v>#N/A</v>
      </c>
      <c r="D371" s="174" t="e">
        <v>#N/A</v>
      </c>
      <c r="E371" s="174" t="e">
        <v>#N/A</v>
      </c>
      <c r="F371" s="186" t="s">
        <v>1982</v>
      </c>
      <c r="G371" s="174"/>
      <c r="H371" s="174"/>
      <c r="I371" s="174"/>
      <c r="J371" s="180" t="s">
        <v>3234</v>
      </c>
      <c r="K371" s="181" t="s">
        <v>4833</v>
      </c>
      <c r="L371" s="181" t="s">
        <v>39</v>
      </c>
      <c r="M371" s="181" t="s">
        <v>231</v>
      </c>
      <c r="N371" s="182" t="s">
        <v>231</v>
      </c>
    </row>
    <row r="372" spans="1:14" ht="19.5">
      <c r="A372" s="186" t="s">
        <v>1986</v>
      </c>
      <c r="B372" s="188" t="s">
        <v>27</v>
      </c>
      <c r="C372" s="174" t="e">
        <v>#N/A</v>
      </c>
      <c r="D372" s="174" t="e">
        <v>#N/A</v>
      </c>
      <c r="E372" s="174" t="e">
        <v>#N/A</v>
      </c>
      <c r="F372" s="186" t="s">
        <v>1987</v>
      </c>
      <c r="G372" s="174"/>
      <c r="H372" s="174"/>
      <c r="I372" s="174"/>
      <c r="J372" s="180" t="s">
        <v>3239</v>
      </c>
      <c r="K372" s="181" t="s">
        <v>4833</v>
      </c>
      <c r="L372" s="181" t="s">
        <v>39</v>
      </c>
      <c r="M372" s="181" t="s">
        <v>231</v>
      </c>
      <c r="N372" s="182" t="s">
        <v>231</v>
      </c>
    </row>
    <row r="373" spans="1:14" ht="39">
      <c r="A373" s="186" t="s">
        <v>1991</v>
      </c>
      <c r="B373" s="188" t="s">
        <v>27</v>
      </c>
      <c r="C373" s="174" t="e">
        <v>#N/A</v>
      </c>
      <c r="D373" s="174" t="e">
        <v>#N/A</v>
      </c>
      <c r="E373" s="174" t="e">
        <v>#N/A</v>
      </c>
      <c r="F373" s="186" t="s">
        <v>1992</v>
      </c>
      <c r="G373" s="174"/>
      <c r="H373" s="174"/>
      <c r="I373" s="174"/>
      <c r="J373" s="180" t="s">
        <v>1901</v>
      </c>
      <c r="K373" s="181" t="s">
        <v>3894</v>
      </c>
      <c r="L373" s="181" t="s">
        <v>15</v>
      </c>
      <c r="M373" s="181" t="s">
        <v>157</v>
      </c>
      <c r="N373" s="182" t="s">
        <v>5368</v>
      </c>
    </row>
    <row r="374" spans="1:14" ht="19.5">
      <c r="A374" s="186" t="s">
        <v>1996</v>
      </c>
      <c r="B374" s="188" t="s">
        <v>27</v>
      </c>
      <c r="C374" s="174" t="e">
        <v>#N/A</v>
      </c>
      <c r="D374" s="174" t="e">
        <v>#N/A</v>
      </c>
      <c r="E374" s="174" t="e">
        <v>#N/A</v>
      </c>
      <c r="F374" s="186" t="s">
        <v>1997</v>
      </c>
      <c r="G374" s="174"/>
      <c r="H374" s="174"/>
      <c r="I374" s="174"/>
      <c r="J374" s="180" t="s">
        <v>3244</v>
      </c>
      <c r="K374" s="181" t="s">
        <v>4833</v>
      </c>
      <c r="L374" s="181" t="s">
        <v>39</v>
      </c>
      <c r="M374" s="181" t="s">
        <v>231</v>
      </c>
      <c r="N374" s="182" t="s">
        <v>231</v>
      </c>
    </row>
    <row r="375" spans="1:14" ht="19.5">
      <c r="A375" s="186" t="s">
        <v>2001</v>
      </c>
      <c r="B375" s="188" t="s">
        <v>27</v>
      </c>
      <c r="C375" s="174" t="e">
        <v>#N/A</v>
      </c>
      <c r="D375" s="174" t="e">
        <v>#N/A</v>
      </c>
      <c r="E375" s="174" t="e">
        <v>#N/A</v>
      </c>
      <c r="F375" s="186" t="s">
        <v>2002</v>
      </c>
      <c r="G375" s="174"/>
      <c r="H375" s="174"/>
      <c r="I375" s="174"/>
      <c r="J375" s="180" t="s">
        <v>3249</v>
      </c>
      <c r="K375" s="181" t="s">
        <v>4833</v>
      </c>
      <c r="L375" s="181" t="s">
        <v>39</v>
      </c>
      <c r="M375" s="181" t="s">
        <v>231</v>
      </c>
      <c r="N375" s="182" t="s">
        <v>231</v>
      </c>
    </row>
    <row r="376" spans="1:14" ht="19.5">
      <c r="A376" s="186" t="s">
        <v>2006</v>
      </c>
      <c r="B376" s="188" t="s">
        <v>27</v>
      </c>
      <c r="C376" s="174" t="e">
        <v>#N/A</v>
      </c>
      <c r="D376" s="174" t="e">
        <v>#N/A</v>
      </c>
      <c r="E376" s="174" t="e">
        <v>#N/A</v>
      </c>
      <c r="F376" s="186" t="s">
        <v>2007</v>
      </c>
      <c r="G376" s="174"/>
      <c r="H376" s="174"/>
      <c r="I376" s="174"/>
      <c r="J376" s="180" t="s">
        <v>4712</v>
      </c>
      <c r="K376" s="181" t="s">
        <v>4833</v>
      </c>
      <c r="L376" s="181" t="s">
        <v>39</v>
      </c>
      <c r="M376" s="181" t="s">
        <v>231</v>
      </c>
      <c r="N376" s="182" t="s">
        <v>231</v>
      </c>
    </row>
    <row r="377" spans="1:14" ht="19.5">
      <c r="A377" s="186" t="s">
        <v>2012</v>
      </c>
      <c r="B377" s="188" t="s">
        <v>27</v>
      </c>
      <c r="C377" s="174" t="e">
        <v>#N/A</v>
      </c>
      <c r="D377" s="174" t="e">
        <v>#N/A</v>
      </c>
      <c r="E377" s="174" t="e">
        <v>#N/A</v>
      </c>
      <c r="F377" s="186" t="s">
        <v>2013</v>
      </c>
      <c r="G377" s="174"/>
      <c r="H377" s="174"/>
      <c r="I377" s="174"/>
      <c r="J377" s="180" t="s">
        <v>4715</v>
      </c>
      <c r="K377" s="181" t="s">
        <v>4833</v>
      </c>
      <c r="L377" s="181" t="s">
        <v>39</v>
      </c>
      <c r="M377" s="181" t="s">
        <v>231</v>
      </c>
      <c r="N377" s="182" t="s">
        <v>231</v>
      </c>
    </row>
    <row r="378" spans="1:14" ht="19.5">
      <c r="A378" s="186" t="s">
        <v>2016</v>
      </c>
      <c r="B378" s="188" t="s">
        <v>27</v>
      </c>
      <c r="C378" s="174" t="e">
        <v>#N/A</v>
      </c>
      <c r="D378" s="174" t="e">
        <v>#N/A</v>
      </c>
      <c r="E378" s="174" t="e">
        <v>#N/A</v>
      </c>
      <c r="F378" s="186" t="s">
        <v>2017</v>
      </c>
      <c r="G378" s="174"/>
      <c r="H378" s="174"/>
      <c r="I378" s="174"/>
      <c r="J378" s="180" t="s">
        <v>3253</v>
      </c>
      <c r="K378" s="181" t="s">
        <v>4833</v>
      </c>
      <c r="L378" s="181" t="s">
        <v>39</v>
      </c>
      <c r="M378" s="181" t="s">
        <v>231</v>
      </c>
      <c r="N378" s="182" t="s">
        <v>231</v>
      </c>
    </row>
    <row r="379" spans="1:14" ht="19.5">
      <c r="A379" s="186" t="s">
        <v>2021</v>
      </c>
      <c r="B379" s="188" t="s">
        <v>27</v>
      </c>
      <c r="C379" s="174" t="e">
        <v>#N/A</v>
      </c>
      <c r="D379" s="174" t="e">
        <v>#N/A</v>
      </c>
      <c r="E379" s="174" t="e">
        <v>#N/A</v>
      </c>
      <c r="F379" s="186" t="s">
        <v>2022</v>
      </c>
      <c r="G379" s="174"/>
      <c r="H379" s="174"/>
      <c r="I379" s="174"/>
      <c r="J379" s="180" t="s">
        <v>3258</v>
      </c>
      <c r="K379" s="181" t="s">
        <v>4833</v>
      </c>
      <c r="L379" s="181" t="s">
        <v>39</v>
      </c>
      <c r="M379" s="181" t="s">
        <v>231</v>
      </c>
      <c r="N379" s="182" t="s">
        <v>231</v>
      </c>
    </row>
    <row r="380" spans="1:14" ht="19.5">
      <c r="A380" s="186" t="s">
        <v>2026</v>
      </c>
      <c r="B380" s="188" t="s">
        <v>27</v>
      </c>
      <c r="C380" s="174" t="e">
        <v>#N/A</v>
      </c>
      <c r="D380" s="174" t="e">
        <v>#N/A</v>
      </c>
      <c r="E380" s="174" t="e">
        <v>#N/A</v>
      </c>
      <c r="F380" s="186" t="s">
        <v>2027</v>
      </c>
      <c r="G380" s="174"/>
      <c r="H380" s="174"/>
      <c r="I380" s="174"/>
      <c r="J380" s="180" t="s">
        <v>3263</v>
      </c>
      <c r="K380" s="181" t="s">
        <v>4833</v>
      </c>
      <c r="L380" s="181" t="s">
        <v>39</v>
      </c>
      <c r="M380" s="181" t="s">
        <v>231</v>
      </c>
      <c r="N380" s="182" t="s">
        <v>231</v>
      </c>
    </row>
    <row r="381" spans="1:14" ht="19.5">
      <c r="A381" s="186" t="s">
        <v>2031</v>
      </c>
      <c r="B381" s="188" t="s">
        <v>27</v>
      </c>
      <c r="C381" s="174" t="e">
        <v>#N/A</v>
      </c>
      <c r="D381" s="174" t="e">
        <v>#N/A</v>
      </c>
      <c r="E381" s="174" t="e">
        <v>#N/A</v>
      </c>
      <c r="F381" s="186" t="s">
        <v>2032</v>
      </c>
      <c r="G381" s="174"/>
      <c r="H381" s="174"/>
      <c r="I381" s="174"/>
      <c r="J381" s="180" t="s">
        <v>3269</v>
      </c>
      <c r="K381" s="181" t="s">
        <v>4833</v>
      </c>
      <c r="L381" s="181" t="s">
        <v>39</v>
      </c>
      <c r="M381" s="181" t="s">
        <v>231</v>
      </c>
      <c r="N381" s="182" t="s">
        <v>231</v>
      </c>
    </row>
    <row r="382" spans="1:14" ht="19.5">
      <c r="A382" s="186" t="s">
        <v>2036</v>
      </c>
      <c r="B382" s="188" t="s">
        <v>27</v>
      </c>
      <c r="C382" s="174" t="e">
        <v>#N/A</v>
      </c>
      <c r="D382" s="174" t="e">
        <v>#N/A</v>
      </c>
      <c r="E382" s="174" t="e">
        <v>#N/A</v>
      </c>
      <c r="F382" s="186" t="s">
        <v>2037</v>
      </c>
      <c r="G382" s="174"/>
      <c r="H382" s="174"/>
      <c r="I382" s="174"/>
      <c r="J382" s="180" t="s">
        <v>3273</v>
      </c>
      <c r="K382" s="181" t="s">
        <v>4833</v>
      </c>
      <c r="L382" s="181" t="s">
        <v>39</v>
      </c>
      <c r="M382" s="181" t="s">
        <v>231</v>
      </c>
      <c r="N382" s="182" t="s">
        <v>231</v>
      </c>
    </row>
    <row r="383" spans="1:14" ht="19.5">
      <c r="A383" s="197" t="s">
        <v>2041</v>
      </c>
      <c r="B383" s="188" t="s">
        <v>27</v>
      </c>
      <c r="C383" s="174" t="e">
        <v>#N/A</v>
      </c>
      <c r="D383" s="174" t="e">
        <v>#N/A</v>
      </c>
      <c r="E383" s="174" t="e">
        <v>#N/A</v>
      </c>
      <c r="F383" s="186" t="s">
        <v>2042</v>
      </c>
      <c r="G383" s="174"/>
      <c r="H383" s="174"/>
      <c r="I383" s="174"/>
      <c r="J383" s="180" t="s">
        <v>3277</v>
      </c>
      <c r="K383" s="181" t="s">
        <v>4833</v>
      </c>
      <c r="L383" s="181" t="s">
        <v>39</v>
      </c>
      <c r="M383" s="181" t="s">
        <v>231</v>
      </c>
      <c r="N383" s="182" t="s">
        <v>231</v>
      </c>
    </row>
    <row r="384" spans="1:14" ht="19.5">
      <c r="A384" s="186" t="s">
        <v>2046</v>
      </c>
      <c r="B384" s="188" t="s">
        <v>27</v>
      </c>
      <c r="C384" s="174" t="e">
        <v>#N/A</v>
      </c>
      <c r="D384" s="174" t="e">
        <v>#N/A</v>
      </c>
      <c r="E384" s="174" t="e">
        <v>#N/A</v>
      </c>
      <c r="F384" s="186" t="s">
        <v>2047</v>
      </c>
      <c r="G384" s="174"/>
      <c r="H384" s="174"/>
      <c r="I384" s="174"/>
      <c r="J384" s="180" t="s">
        <v>3281</v>
      </c>
      <c r="K384" s="181" t="s">
        <v>4833</v>
      </c>
      <c r="L384" s="181" t="s">
        <v>39</v>
      </c>
      <c r="M384" s="181" t="s">
        <v>231</v>
      </c>
      <c r="N384" s="182" t="s">
        <v>231</v>
      </c>
    </row>
    <row r="385" spans="1:14" ht="19.5">
      <c r="A385" s="186" t="s">
        <v>2051</v>
      </c>
      <c r="B385" s="188" t="s">
        <v>27</v>
      </c>
      <c r="C385" s="174" t="e">
        <v>#N/A</v>
      </c>
      <c r="D385" s="174" t="e">
        <v>#N/A</v>
      </c>
      <c r="E385" s="174" t="e">
        <v>#N/A</v>
      </c>
      <c r="F385" s="186" t="s">
        <v>2052</v>
      </c>
      <c r="G385" s="174"/>
      <c r="H385" s="174"/>
      <c r="I385" s="174"/>
      <c r="J385" s="180" t="s">
        <v>3286</v>
      </c>
      <c r="K385" s="181" t="s">
        <v>4833</v>
      </c>
      <c r="L385" s="181" t="s">
        <v>39</v>
      </c>
      <c r="M385" s="181" t="s">
        <v>231</v>
      </c>
      <c r="N385" s="182" t="s">
        <v>231</v>
      </c>
    </row>
    <row r="386" spans="1:14" ht="19.5">
      <c r="A386" s="197" t="s">
        <v>2056</v>
      </c>
      <c r="B386" s="188" t="s">
        <v>27</v>
      </c>
      <c r="C386" s="174" t="e">
        <v>#N/A</v>
      </c>
      <c r="D386" s="174" t="e">
        <v>#N/A</v>
      </c>
      <c r="E386" s="174" t="e">
        <v>#N/A</v>
      </c>
      <c r="F386" s="186" t="s">
        <v>2057</v>
      </c>
      <c r="G386" s="174"/>
      <c r="H386" s="174"/>
      <c r="I386" s="174"/>
      <c r="J386" s="180" t="s">
        <v>3292</v>
      </c>
      <c r="K386" s="181" t="s">
        <v>4833</v>
      </c>
      <c r="L386" s="181" t="s">
        <v>39</v>
      </c>
      <c r="M386" s="181" t="s">
        <v>231</v>
      </c>
      <c r="N386" s="182" t="s">
        <v>231</v>
      </c>
    </row>
    <row r="387" spans="1:14" ht="19.5">
      <c r="A387" s="197" t="s">
        <v>2062</v>
      </c>
      <c r="B387" s="188" t="s">
        <v>27</v>
      </c>
      <c r="C387" s="174" t="e">
        <v>#N/A</v>
      </c>
      <c r="D387" s="174" t="e">
        <v>#N/A</v>
      </c>
      <c r="E387" s="174" t="e">
        <v>#N/A</v>
      </c>
      <c r="F387" s="186" t="s">
        <v>2063</v>
      </c>
      <c r="G387" s="174"/>
      <c r="H387" s="174"/>
      <c r="I387" s="174"/>
      <c r="J387" s="180" t="s">
        <v>3296</v>
      </c>
      <c r="K387" s="181" t="s">
        <v>4833</v>
      </c>
      <c r="L387" s="181" t="s">
        <v>39</v>
      </c>
      <c r="M387" s="181" t="s">
        <v>231</v>
      </c>
      <c r="N387" s="182" t="s">
        <v>231</v>
      </c>
    </row>
    <row r="388" spans="1:14" ht="19.5">
      <c r="A388" s="197" t="s">
        <v>2067</v>
      </c>
      <c r="B388" s="188" t="s">
        <v>27</v>
      </c>
      <c r="C388" s="174" t="e">
        <v>#N/A</v>
      </c>
      <c r="D388" s="174" t="e">
        <v>#N/A</v>
      </c>
      <c r="E388" s="174" t="e">
        <v>#N/A</v>
      </c>
      <c r="F388" s="186" t="s">
        <v>2068</v>
      </c>
      <c r="G388" s="174"/>
      <c r="H388" s="174"/>
      <c r="I388" s="174"/>
      <c r="J388" s="180" t="s">
        <v>3301</v>
      </c>
      <c r="K388" s="181" t="s">
        <v>4833</v>
      </c>
      <c r="L388" s="181" t="s">
        <v>39</v>
      </c>
      <c r="M388" s="181" t="s">
        <v>231</v>
      </c>
      <c r="N388" s="182" t="s">
        <v>231</v>
      </c>
    </row>
    <row r="389" spans="1:14" ht="19.5">
      <c r="A389" s="197" t="s">
        <v>2073</v>
      </c>
      <c r="B389" s="188" t="s">
        <v>27</v>
      </c>
      <c r="C389" s="174" t="e">
        <v>#N/A</v>
      </c>
      <c r="D389" s="174" t="e">
        <v>#N/A</v>
      </c>
      <c r="E389" s="174" t="e">
        <v>#N/A</v>
      </c>
      <c r="F389" s="186" t="s">
        <v>2074</v>
      </c>
      <c r="G389" s="174"/>
      <c r="H389" s="174"/>
      <c r="I389" s="174"/>
      <c r="J389" s="180" t="s">
        <v>3306</v>
      </c>
      <c r="K389" s="181" t="s">
        <v>4833</v>
      </c>
      <c r="L389" s="181" t="s">
        <v>39</v>
      </c>
      <c r="M389" s="181" t="s">
        <v>231</v>
      </c>
      <c r="N389" s="182" t="s">
        <v>231</v>
      </c>
    </row>
    <row r="390" spans="1:14" ht="19.5">
      <c r="A390" s="197" t="s">
        <v>2079</v>
      </c>
      <c r="B390" s="188" t="s">
        <v>27</v>
      </c>
      <c r="C390" s="174" t="e">
        <v>#N/A</v>
      </c>
      <c r="D390" s="174" t="e">
        <v>#N/A</v>
      </c>
      <c r="E390" s="174" t="e">
        <v>#N/A</v>
      </c>
      <c r="F390" s="186" t="s">
        <v>2080</v>
      </c>
      <c r="G390" s="174"/>
      <c r="H390" s="174"/>
      <c r="I390" s="174"/>
      <c r="J390" s="180" t="s">
        <v>3311</v>
      </c>
      <c r="K390" s="181" t="s">
        <v>4833</v>
      </c>
      <c r="L390" s="181" t="s">
        <v>39</v>
      </c>
      <c r="M390" s="181" t="s">
        <v>231</v>
      </c>
      <c r="N390" s="182" t="s">
        <v>231</v>
      </c>
    </row>
    <row r="391" spans="1:14" ht="19.5">
      <c r="A391" s="197" t="s">
        <v>2084</v>
      </c>
      <c r="B391" s="188" t="s">
        <v>27</v>
      </c>
      <c r="C391" s="174" t="e">
        <v>#N/A</v>
      </c>
      <c r="D391" s="174" t="e">
        <v>#N/A</v>
      </c>
      <c r="E391" s="174" t="e">
        <v>#N/A</v>
      </c>
      <c r="F391" s="186" t="s">
        <v>2085</v>
      </c>
      <c r="G391" s="174"/>
      <c r="H391" s="174"/>
      <c r="I391" s="174"/>
      <c r="J391" s="180" t="s">
        <v>3316</v>
      </c>
      <c r="K391" s="181" t="s">
        <v>4833</v>
      </c>
      <c r="L391" s="181" t="s">
        <v>39</v>
      </c>
      <c r="M391" s="181" t="s">
        <v>231</v>
      </c>
      <c r="N391" s="182" t="s">
        <v>231</v>
      </c>
    </row>
    <row r="392" spans="1:14" ht="19.5">
      <c r="A392" s="197" t="s">
        <v>2090</v>
      </c>
      <c r="B392" s="188" t="s">
        <v>27</v>
      </c>
      <c r="C392" s="174" t="e">
        <v>#N/A</v>
      </c>
      <c r="D392" s="174" t="e">
        <v>#N/A</v>
      </c>
      <c r="E392" s="174" t="e">
        <v>#N/A</v>
      </c>
      <c r="F392" s="186" t="s">
        <v>2091</v>
      </c>
      <c r="G392" s="174"/>
      <c r="H392" s="174"/>
      <c r="I392" s="174"/>
      <c r="J392" s="180" t="s">
        <v>3322</v>
      </c>
      <c r="K392" s="181" t="s">
        <v>4833</v>
      </c>
      <c r="L392" s="181" t="s">
        <v>39</v>
      </c>
      <c r="M392" s="181" t="s">
        <v>231</v>
      </c>
      <c r="N392" s="182" t="s">
        <v>231</v>
      </c>
    </row>
    <row r="393" spans="1:14" ht="19.5">
      <c r="A393" s="197" t="s">
        <v>2095</v>
      </c>
      <c r="B393" s="188" t="s">
        <v>27</v>
      </c>
      <c r="C393" s="174" t="e">
        <v>#N/A</v>
      </c>
      <c r="D393" s="174" t="e">
        <v>#N/A</v>
      </c>
      <c r="E393" s="174" t="e">
        <v>#N/A</v>
      </c>
      <c r="F393" s="186" t="s">
        <v>2096</v>
      </c>
      <c r="G393" s="174"/>
      <c r="H393" s="174"/>
      <c r="I393" s="174"/>
      <c r="J393" s="180" t="s">
        <v>3326</v>
      </c>
      <c r="K393" s="181" t="s">
        <v>4833</v>
      </c>
      <c r="L393" s="181" t="s">
        <v>39</v>
      </c>
      <c r="M393" s="181" t="s">
        <v>231</v>
      </c>
      <c r="N393" s="182" t="s">
        <v>231</v>
      </c>
    </row>
    <row r="394" spans="1:14" ht="19.5">
      <c r="A394" s="197" t="s">
        <v>4555</v>
      </c>
      <c r="B394" s="188" t="s">
        <v>27</v>
      </c>
      <c r="C394" s="174" t="e">
        <v>#N/A</v>
      </c>
      <c r="D394" s="174" t="e">
        <v>#N/A</v>
      </c>
      <c r="E394" s="174" t="e">
        <v>#N/A</v>
      </c>
      <c r="F394" s="186" t="s">
        <v>2270</v>
      </c>
      <c r="G394" s="174"/>
      <c r="H394" s="174"/>
      <c r="I394" s="174"/>
      <c r="J394" s="180" t="s">
        <v>3330</v>
      </c>
      <c r="K394" s="181" t="s">
        <v>4833</v>
      </c>
      <c r="L394" s="181" t="s">
        <v>39</v>
      </c>
      <c r="M394" s="181" t="s">
        <v>231</v>
      </c>
      <c r="N394" s="182" t="s">
        <v>231</v>
      </c>
    </row>
    <row r="395" spans="1:14" ht="19.5">
      <c r="A395" s="197" t="s">
        <v>2100</v>
      </c>
      <c r="B395" s="188" t="s">
        <v>27</v>
      </c>
      <c r="C395" s="174" t="e">
        <v>#N/A</v>
      </c>
      <c r="D395" s="174" t="e">
        <v>#N/A</v>
      </c>
      <c r="E395" s="174" t="e">
        <v>#N/A</v>
      </c>
      <c r="F395" s="186" t="s">
        <v>2101</v>
      </c>
      <c r="G395" s="174"/>
      <c r="H395" s="174"/>
      <c r="I395" s="174"/>
      <c r="J395" s="180" t="s">
        <v>3334</v>
      </c>
      <c r="K395" s="181" t="s">
        <v>4833</v>
      </c>
      <c r="L395" s="181" t="s">
        <v>39</v>
      </c>
      <c r="M395" s="181" t="s">
        <v>231</v>
      </c>
      <c r="N395" s="182" t="s">
        <v>231</v>
      </c>
    </row>
    <row r="396" spans="1:14" ht="19.5">
      <c r="A396" s="197" t="s">
        <v>2105</v>
      </c>
      <c r="B396" s="188" t="s">
        <v>27</v>
      </c>
      <c r="C396" s="174" t="e">
        <v>#N/A</v>
      </c>
      <c r="D396" s="174" t="e">
        <v>#N/A</v>
      </c>
      <c r="E396" s="174" t="e">
        <v>#N/A</v>
      </c>
      <c r="F396" s="186" t="s">
        <v>2106</v>
      </c>
      <c r="G396" s="174"/>
      <c r="H396" s="174"/>
      <c r="I396" s="174"/>
      <c r="J396" s="180" t="s">
        <v>3339</v>
      </c>
      <c r="K396" s="181" t="s">
        <v>4833</v>
      </c>
      <c r="L396" s="181" t="s">
        <v>39</v>
      </c>
      <c r="M396" s="181" t="s">
        <v>231</v>
      </c>
      <c r="N396" s="182" t="s">
        <v>231</v>
      </c>
    </row>
    <row r="397" spans="1:14" ht="19.5">
      <c r="A397" s="197" t="s">
        <v>4560</v>
      </c>
      <c r="B397" s="188" t="s">
        <v>27</v>
      </c>
      <c r="C397" s="174" t="e">
        <v>#N/A</v>
      </c>
      <c r="D397" s="174" t="e">
        <v>#N/A</v>
      </c>
      <c r="E397" s="174" t="e">
        <v>#N/A</v>
      </c>
      <c r="F397" s="186" t="s">
        <v>4561</v>
      </c>
      <c r="G397" s="174"/>
      <c r="H397" s="174"/>
      <c r="I397" s="174"/>
      <c r="J397" s="180" t="s">
        <v>3344</v>
      </c>
      <c r="K397" s="181" t="s">
        <v>4833</v>
      </c>
      <c r="L397" s="181" t="s">
        <v>39</v>
      </c>
      <c r="M397" s="181" t="s">
        <v>231</v>
      </c>
      <c r="N397" s="182" t="s">
        <v>231</v>
      </c>
    </row>
    <row r="398" spans="1:14" ht="19.5">
      <c r="A398" s="197" t="s">
        <v>2110</v>
      </c>
      <c r="B398" s="188" t="s">
        <v>27</v>
      </c>
      <c r="C398" s="174" t="e">
        <v>#N/A</v>
      </c>
      <c r="D398" s="174" t="e">
        <v>#N/A</v>
      </c>
      <c r="E398" s="174" t="e">
        <v>#N/A</v>
      </c>
      <c r="F398" s="186" t="s">
        <v>2111</v>
      </c>
      <c r="G398" s="174"/>
      <c r="H398" s="174"/>
      <c r="I398" s="174"/>
      <c r="J398" s="180" t="s">
        <v>3349</v>
      </c>
      <c r="K398" s="181" t="s">
        <v>4833</v>
      </c>
      <c r="L398" s="181" t="s">
        <v>39</v>
      </c>
      <c r="M398" s="181" t="s">
        <v>231</v>
      </c>
      <c r="N398" s="182" t="s">
        <v>231</v>
      </c>
    </row>
    <row r="399" spans="1:14" ht="19.5">
      <c r="A399" s="197" t="s">
        <v>4565</v>
      </c>
      <c r="B399" s="188" t="s">
        <v>27</v>
      </c>
      <c r="C399" s="174" t="e">
        <v>#N/A</v>
      </c>
      <c r="D399" s="174" t="e">
        <v>#N/A</v>
      </c>
      <c r="E399" s="174" t="e">
        <v>#N/A</v>
      </c>
      <c r="F399" s="186" t="s">
        <v>4566</v>
      </c>
      <c r="G399" s="174"/>
      <c r="H399" s="174"/>
      <c r="I399" s="174"/>
      <c r="J399" s="180" t="s">
        <v>3354</v>
      </c>
      <c r="K399" s="181" t="s">
        <v>4833</v>
      </c>
      <c r="L399" s="181" t="s">
        <v>39</v>
      </c>
      <c r="M399" s="181" t="s">
        <v>231</v>
      </c>
      <c r="N399" s="182" t="s">
        <v>231</v>
      </c>
    </row>
    <row r="400" spans="1:14" ht="19.5">
      <c r="A400" s="197" t="s">
        <v>2116</v>
      </c>
      <c r="B400" s="188" t="s">
        <v>27</v>
      </c>
      <c r="C400" s="174" t="e">
        <v>#N/A</v>
      </c>
      <c r="D400" s="174" t="e">
        <v>#N/A</v>
      </c>
      <c r="E400" s="174" t="e">
        <v>#N/A</v>
      </c>
      <c r="F400" s="186" t="s">
        <v>2117</v>
      </c>
      <c r="G400" s="174"/>
      <c r="H400" s="174"/>
      <c r="I400" s="174"/>
      <c r="J400" s="180" t="s">
        <v>3359</v>
      </c>
      <c r="K400" s="181" t="s">
        <v>4833</v>
      </c>
      <c r="L400" s="181" t="s">
        <v>39</v>
      </c>
      <c r="M400" s="181" t="s">
        <v>231</v>
      </c>
      <c r="N400" s="182" t="s">
        <v>231</v>
      </c>
    </row>
    <row r="401" spans="1:14" ht="19.5">
      <c r="A401" s="197" t="s">
        <v>2121</v>
      </c>
      <c r="B401" s="188" t="s">
        <v>27</v>
      </c>
      <c r="C401" s="174" t="e">
        <v>#N/A</v>
      </c>
      <c r="D401" s="174" t="e">
        <v>#N/A</v>
      </c>
      <c r="E401" s="174" t="e">
        <v>#N/A</v>
      </c>
      <c r="F401" s="186" t="s">
        <v>2122</v>
      </c>
      <c r="G401" s="174"/>
      <c r="H401" s="174"/>
      <c r="I401" s="174"/>
      <c r="J401" s="180" t="s">
        <v>3363</v>
      </c>
      <c r="K401" s="181" t="s">
        <v>4833</v>
      </c>
      <c r="L401" s="181" t="s">
        <v>39</v>
      </c>
      <c r="M401" s="181" t="s">
        <v>231</v>
      </c>
      <c r="N401" s="182" t="s">
        <v>231</v>
      </c>
    </row>
    <row r="402" spans="1:14" ht="19.5">
      <c r="A402" s="197" t="s">
        <v>2126</v>
      </c>
      <c r="B402" s="188" t="s">
        <v>27</v>
      </c>
      <c r="C402" s="174" t="e">
        <v>#N/A</v>
      </c>
      <c r="D402" s="174" t="e">
        <v>#N/A</v>
      </c>
      <c r="E402" s="174" t="e">
        <v>#N/A</v>
      </c>
      <c r="F402" s="186" t="s">
        <v>2127</v>
      </c>
      <c r="G402" s="174"/>
      <c r="H402" s="174"/>
      <c r="I402" s="174"/>
      <c r="J402" s="180" t="s">
        <v>3368</v>
      </c>
      <c r="K402" s="181" t="s">
        <v>4833</v>
      </c>
      <c r="L402" s="181" t="s">
        <v>39</v>
      </c>
      <c r="M402" s="181" t="s">
        <v>231</v>
      </c>
      <c r="N402" s="182" t="s">
        <v>231</v>
      </c>
    </row>
    <row r="403" spans="1:14" ht="19.5">
      <c r="A403" s="197" t="s">
        <v>2132</v>
      </c>
      <c r="B403" s="188" t="s">
        <v>27</v>
      </c>
      <c r="C403" s="174" t="e">
        <v>#N/A</v>
      </c>
      <c r="D403" s="174" t="e">
        <v>#N/A</v>
      </c>
      <c r="E403" s="174" t="e">
        <v>#N/A</v>
      </c>
      <c r="F403" s="186" t="s">
        <v>2133</v>
      </c>
      <c r="G403" s="174"/>
      <c r="H403" s="174"/>
      <c r="I403" s="174"/>
      <c r="J403" s="180" t="s">
        <v>3372</v>
      </c>
      <c r="K403" s="181" t="s">
        <v>4833</v>
      </c>
      <c r="L403" s="181" t="s">
        <v>39</v>
      </c>
      <c r="M403" s="181" t="s">
        <v>231</v>
      </c>
      <c r="N403" s="182" t="s">
        <v>231</v>
      </c>
    </row>
    <row r="404" spans="1:14" ht="19.5">
      <c r="A404" s="197" t="s">
        <v>2137</v>
      </c>
      <c r="B404" s="188" t="s">
        <v>27</v>
      </c>
      <c r="C404" s="174" t="e">
        <v>#N/A</v>
      </c>
      <c r="D404" s="174" t="e">
        <v>#N/A</v>
      </c>
      <c r="E404" s="174" t="e">
        <v>#N/A</v>
      </c>
      <c r="F404" s="186" t="s">
        <v>2138</v>
      </c>
      <c r="G404" s="174"/>
      <c r="H404" s="174"/>
      <c r="I404" s="174"/>
      <c r="J404" s="180" t="s">
        <v>3378</v>
      </c>
      <c r="K404" s="181" t="s">
        <v>4833</v>
      </c>
      <c r="L404" s="181" t="s">
        <v>39</v>
      </c>
      <c r="M404" s="181" t="s">
        <v>231</v>
      </c>
      <c r="N404" s="182" t="s">
        <v>231</v>
      </c>
    </row>
    <row r="405" spans="1:14" ht="19.5">
      <c r="A405" s="197" t="s">
        <v>2142</v>
      </c>
      <c r="B405" s="188" t="s">
        <v>27</v>
      </c>
      <c r="C405" s="174" t="e">
        <v>#N/A</v>
      </c>
      <c r="D405" s="174" t="e">
        <v>#N/A</v>
      </c>
      <c r="E405" s="174" t="e">
        <v>#N/A</v>
      </c>
      <c r="F405" s="186" t="s">
        <v>2143</v>
      </c>
      <c r="G405" s="174"/>
      <c r="H405" s="174"/>
      <c r="I405" s="174"/>
      <c r="J405" s="180" t="s">
        <v>3383</v>
      </c>
      <c r="K405" s="181" t="s">
        <v>4833</v>
      </c>
      <c r="L405" s="181" t="s">
        <v>39</v>
      </c>
      <c r="M405" s="181" t="s">
        <v>231</v>
      </c>
      <c r="N405" s="182" t="s">
        <v>231</v>
      </c>
    </row>
    <row r="406" spans="1:14" ht="19.5">
      <c r="A406" s="197" t="s">
        <v>2148</v>
      </c>
      <c r="B406" s="188" t="s">
        <v>27</v>
      </c>
      <c r="C406" s="174" t="e">
        <v>#N/A</v>
      </c>
      <c r="D406" s="174" t="e">
        <v>#N/A</v>
      </c>
      <c r="E406" s="174" t="e">
        <v>#N/A</v>
      </c>
      <c r="F406" s="186" t="s">
        <v>2149</v>
      </c>
      <c r="G406" s="174"/>
      <c r="H406" s="174"/>
      <c r="I406" s="174"/>
      <c r="J406" s="180" t="s">
        <v>3388</v>
      </c>
      <c r="K406" s="181" t="s">
        <v>4833</v>
      </c>
      <c r="L406" s="181" t="s">
        <v>39</v>
      </c>
      <c r="M406" s="181" t="s">
        <v>231</v>
      </c>
      <c r="N406" s="182" t="s">
        <v>231</v>
      </c>
    </row>
    <row r="407" spans="1:14" ht="19.5">
      <c r="A407" s="197" t="s">
        <v>2154</v>
      </c>
      <c r="B407" s="188" t="s">
        <v>27</v>
      </c>
      <c r="C407" s="174" t="e">
        <v>#N/A</v>
      </c>
      <c r="D407" s="174" t="e">
        <v>#N/A</v>
      </c>
      <c r="E407" s="174" t="e">
        <v>#N/A</v>
      </c>
      <c r="F407" s="186" t="s">
        <v>2155</v>
      </c>
      <c r="G407" s="174"/>
      <c r="H407" s="174"/>
      <c r="I407" s="174"/>
      <c r="J407" s="180" t="s">
        <v>3392</v>
      </c>
      <c r="K407" s="181" t="s">
        <v>4833</v>
      </c>
      <c r="L407" s="181" t="s">
        <v>39</v>
      </c>
      <c r="M407" s="181" t="s">
        <v>231</v>
      </c>
      <c r="N407" s="182" t="s">
        <v>231</v>
      </c>
    </row>
    <row r="408" spans="1:14" ht="19.5">
      <c r="A408" s="197" t="s">
        <v>2160</v>
      </c>
      <c r="B408" s="188" t="s">
        <v>27</v>
      </c>
      <c r="C408" s="174" t="e">
        <v>#N/A</v>
      </c>
      <c r="D408" s="174" t="e">
        <v>#N/A</v>
      </c>
      <c r="E408" s="174" t="e">
        <v>#N/A</v>
      </c>
      <c r="F408" s="186" t="s">
        <v>2161</v>
      </c>
      <c r="G408" s="174"/>
      <c r="H408" s="174"/>
      <c r="I408" s="174"/>
      <c r="J408" s="180" t="s">
        <v>3397</v>
      </c>
      <c r="K408" s="181" t="s">
        <v>4833</v>
      </c>
      <c r="L408" s="181" t="s">
        <v>39</v>
      </c>
      <c r="M408" s="181" t="s">
        <v>231</v>
      </c>
      <c r="N408" s="182" t="s">
        <v>231</v>
      </c>
    </row>
    <row r="409" spans="1:14" ht="19.5">
      <c r="A409" s="197" t="s">
        <v>2166</v>
      </c>
      <c r="B409" s="188" t="s">
        <v>27</v>
      </c>
      <c r="C409" s="174" t="e">
        <v>#N/A</v>
      </c>
      <c r="D409" s="174" t="e">
        <v>#N/A</v>
      </c>
      <c r="E409" s="174" t="e">
        <v>#N/A</v>
      </c>
      <c r="F409" s="186" t="s">
        <v>2167</v>
      </c>
      <c r="G409" s="174"/>
      <c r="H409" s="174"/>
      <c r="I409" s="174"/>
      <c r="J409" s="180" t="s">
        <v>3401</v>
      </c>
      <c r="K409" s="181" t="s">
        <v>4833</v>
      </c>
      <c r="L409" s="181" t="s">
        <v>39</v>
      </c>
      <c r="M409" s="181" t="s">
        <v>231</v>
      </c>
      <c r="N409" s="182" t="s">
        <v>231</v>
      </c>
    </row>
    <row r="410" spans="1:14" ht="19.5">
      <c r="A410" s="197" t="s">
        <v>2173</v>
      </c>
      <c r="B410" s="188" t="s">
        <v>27</v>
      </c>
      <c r="C410" s="174" t="e">
        <v>#N/A</v>
      </c>
      <c r="D410" s="174" t="e">
        <v>#N/A</v>
      </c>
      <c r="E410" s="174" t="e">
        <v>#N/A</v>
      </c>
      <c r="F410" s="186" t="s">
        <v>2174</v>
      </c>
      <c r="G410" s="174"/>
      <c r="H410" s="174"/>
      <c r="I410" s="174"/>
      <c r="J410" s="180" t="s">
        <v>3406</v>
      </c>
      <c r="K410" s="181" t="s">
        <v>4833</v>
      </c>
      <c r="L410" s="181" t="s">
        <v>39</v>
      </c>
      <c r="M410" s="181" t="s">
        <v>231</v>
      </c>
      <c r="N410" s="182" t="s">
        <v>231</v>
      </c>
    </row>
    <row r="411" spans="1:14" ht="19.5">
      <c r="A411" s="197" t="s">
        <v>2180</v>
      </c>
      <c r="B411" s="188" t="s">
        <v>27</v>
      </c>
      <c r="C411" s="174" t="e">
        <v>#N/A</v>
      </c>
      <c r="D411" s="174" t="e">
        <v>#N/A</v>
      </c>
      <c r="E411" s="174" t="e">
        <v>#N/A</v>
      </c>
      <c r="F411" s="186" t="s">
        <v>2181</v>
      </c>
      <c r="G411" s="174"/>
      <c r="H411" s="174"/>
      <c r="I411" s="174"/>
      <c r="J411" s="180" t="s">
        <v>3411</v>
      </c>
      <c r="K411" s="181" t="s">
        <v>4833</v>
      </c>
      <c r="L411" s="181" t="s">
        <v>39</v>
      </c>
      <c r="M411" s="181" t="s">
        <v>231</v>
      </c>
      <c r="N411" s="182" t="s">
        <v>231</v>
      </c>
    </row>
    <row r="412" spans="1:14" ht="19.5">
      <c r="A412" s="197" t="s">
        <v>2186</v>
      </c>
      <c r="B412" s="188" t="s">
        <v>27</v>
      </c>
      <c r="C412" s="174" t="e">
        <v>#N/A</v>
      </c>
      <c r="D412" s="174" t="e">
        <v>#N/A</v>
      </c>
      <c r="E412" s="174" t="e">
        <v>#N/A</v>
      </c>
      <c r="F412" s="186" t="s">
        <v>2187</v>
      </c>
      <c r="G412" s="174"/>
      <c r="H412" s="174"/>
      <c r="I412" s="174"/>
      <c r="J412" s="180" t="s">
        <v>3416</v>
      </c>
      <c r="K412" s="181" t="s">
        <v>4833</v>
      </c>
      <c r="L412" s="181" t="s">
        <v>39</v>
      </c>
      <c r="M412" s="181" t="s">
        <v>231</v>
      </c>
      <c r="N412" s="182" t="s">
        <v>231</v>
      </c>
    </row>
    <row r="413" spans="1:14" ht="19.5">
      <c r="A413" s="197" t="s">
        <v>2192</v>
      </c>
      <c r="B413" s="188" t="s">
        <v>27</v>
      </c>
      <c r="C413" s="174" t="e">
        <v>#N/A</v>
      </c>
      <c r="D413" s="174" t="e">
        <v>#N/A</v>
      </c>
      <c r="E413" s="174" t="e">
        <v>#N/A</v>
      </c>
      <c r="F413" s="186" t="s">
        <v>2193</v>
      </c>
      <c r="G413" s="174"/>
      <c r="H413" s="174"/>
      <c r="I413" s="174"/>
      <c r="J413" s="180" t="s">
        <v>3421</v>
      </c>
      <c r="K413" s="181" t="s">
        <v>4833</v>
      </c>
      <c r="L413" s="181" t="s">
        <v>39</v>
      </c>
      <c r="M413" s="181" t="s">
        <v>231</v>
      </c>
      <c r="N413" s="182" t="s">
        <v>231</v>
      </c>
    </row>
    <row r="414" spans="1:14" ht="19.5">
      <c r="A414" s="197" t="s">
        <v>2198</v>
      </c>
      <c r="B414" s="188" t="s">
        <v>27</v>
      </c>
      <c r="C414" s="174" t="e">
        <v>#N/A</v>
      </c>
      <c r="D414" s="174" t="e">
        <v>#N/A</v>
      </c>
      <c r="E414" s="174" t="e">
        <v>#N/A</v>
      </c>
      <c r="F414" s="186" t="s">
        <v>2199</v>
      </c>
      <c r="G414" s="174"/>
      <c r="H414" s="174"/>
      <c r="I414" s="174"/>
      <c r="J414" s="180" t="s">
        <v>3426</v>
      </c>
      <c r="K414" s="181" t="s">
        <v>4833</v>
      </c>
      <c r="L414" s="181" t="s">
        <v>39</v>
      </c>
      <c r="M414" s="181" t="s">
        <v>231</v>
      </c>
      <c r="N414" s="182" t="s">
        <v>231</v>
      </c>
    </row>
    <row r="415" spans="1:14" ht="19.5">
      <c r="A415" s="197" t="s">
        <v>2203</v>
      </c>
      <c r="B415" s="188" t="s">
        <v>27</v>
      </c>
      <c r="C415" s="174" t="e">
        <v>#N/A</v>
      </c>
      <c r="D415" s="174" t="e">
        <v>#N/A</v>
      </c>
      <c r="E415" s="174" t="e">
        <v>#N/A</v>
      </c>
      <c r="F415" s="186" t="s">
        <v>2204</v>
      </c>
      <c r="G415" s="174"/>
      <c r="H415" s="174"/>
      <c r="I415" s="174"/>
      <c r="J415" s="180" t="s">
        <v>3431</v>
      </c>
      <c r="K415" s="181" t="s">
        <v>4833</v>
      </c>
      <c r="L415" s="181" t="s">
        <v>39</v>
      </c>
      <c r="M415" s="181" t="s">
        <v>231</v>
      </c>
      <c r="N415" s="182" t="s">
        <v>231</v>
      </c>
    </row>
    <row r="416" spans="1:14" ht="19.5">
      <c r="A416" s="197" t="s">
        <v>2209</v>
      </c>
      <c r="B416" s="188" t="s">
        <v>27</v>
      </c>
      <c r="C416" s="174" t="e">
        <v>#N/A</v>
      </c>
      <c r="D416" s="174" t="e">
        <v>#N/A</v>
      </c>
      <c r="E416" s="174" t="e">
        <v>#N/A</v>
      </c>
      <c r="F416" s="186" t="s">
        <v>2210</v>
      </c>
      <c r="G416" s="174"/>
      <c r="H416" s="174"/>
      <c r="I416" s="174"/>
      <c r="J416" s="180" t="s">
        <v>3436</v>
      </c>
      <c r="K416" s="181" t="s">
        <v>4833</v>
      </c>
      <c r="L416" s="181" t="s">
        <v>39</v>
      </c>
      <c r="M416" s="181" t="s">
        <v>231</v>
      </c>
      <c r="N416" s="182" t="s">
        <v>231</v>
      </c>
    </row>
    <row r="417" spans="1:14" ht="19.5">
      <c r="A417" s="197" t="s">
        <v>2214</v>
      </c>
      <c r="B417" s="188" t="s">
        <v>27</v>
      </c>
      <c r="C417" s="174" t="e">
        <v>#N/A</v>
      </c>
      <c r="D417" s="174" t="e">
        <v>#N/A</v>
      </c>
      <c r="E417" s="174" t="e">
        <v>#N/A</v>
      </c>
      <c r="F417" s="186" t="s">
        <v>2215</v>
      </c>
      <c r="G417" s="174"/>
      <c r="H417" s="174"/>
      <c r="I417" s="174"/>
      <c r="J417" s="180" t="s">
        <v>3440</v>
      </c>
      <c r="K417" s="181" t="s">
        <v>4833</v>
      </c>
      <c r="L417" s="181" t="s">
        <v>39</v>
      </c>
      <c r="M417" s="181" t="s">
        <v>231</v>
      </c>
      <c r="N417" s="182" t="s">
        <v>231</v>
      </c>
    </row>
    <row r="418" spans="1:14" ht="19.5">
      <c r="A418" s="197" t="s">
        <v>2220</v>
      </c>
      <c r="B418" s="188" t="s">
        <v>27</v>
      </c>
      <c r="C418" s="174" t="e">
        <v>#N/A</v>
      </c>
      <c r="D418" s="174" t="e">
        <v>#N/A</v>
      </c>
      <c r="E418" s="174" t="e">
        <v>#N/A</v>
      </c>
      <c r="F418" s="186" t="s">
        <v>2221</v>
      </c>
      <c r="G418" s="174"/>
      <c r="H418" s="174"/>
      <c r="I418" s="174"/>
      <c r="J418" s="180" t="s">
        <v>3445</v>
      </c>
      <c r="K418" s="181" t="s">
        <v>4833</v>
      </c>
      <c r="L418" s="181" t="s">
        <v>39</v>
      </c>
      <c r="M418" s="181" t="s">
        <v>231</v>
      </c>
      <c r="N418" s="182" t="s">
        <v>231</v>
      </c>
    </row>
    <row r="419" spans="1:14" ht="19.5">
      <c r="A419" s="197" t="s">
        <v>2227</v>
      </c>
      <c r="B419" s="188" t="s">
        <v>27</v>
      </c>
      <c r="C419" s="174" t="s">
        <v>4833</v>
      </c>
      <c r="D419" s="174" t="s">
        <v>39</v>
      </c>
      <c r="E419" s="174">
        <v>0</v>
      </c>
      <c r="F419" s="186" t="s">
        <v>2228</v>
      </c>
      <c r="G419" s="174"/>
      <c r="H419" s="174"/>
      <c r="I419" s="174"/>
      <c r="J419" s="180" t="s">
        <v>3450</v>
      </c>
      <c r="K419" s="181" t="s">
        <v>4833</v>
      </c>
      <c r="L419" s="181" t="s">
        <v>39</v>
      </c>
      <c r="M419" s="181" t="s">
        <v>231</v>
      </c>
      <c r="N419" s="182" t="s">
        <v>231</v>
      </c>
    </row>
    <row r="420" spans="1:14" ht="19.5">
      <c r="A420" s="197" t="s">
        <v>2232</v>
      </c>
      <c r="B420" s="188" t="s">
        <v>27</v>
      </c>
      <c r="C420" s="174" t="s">
        <v>4833</v>
      </c>
      <c r="D420" s="174" t="s">
        <v>39</v>
      </c>
      <c r="E420" s="174">
        <v>0</v>
      </c>
      <c r="F420" s="186" t="s">
        <v>2233</v>
      </c>
      <c r="G420" s="174"/>
      <c r="H420" s="174"/>
      <c r="I420" s="174"/>
      <c r="J420" s="180" t="s">
        <v>3455</v>
      </c>
      <c r="K420" s="181" t="s">
        <v>4833</v>
      </c>
      <c r="L420" s="181" t="s">
        <v>39</v>
      </c>
      <c r="M420" s="181" t="s">
        <v>231</v>
      </c>
      <c r="N420" s="182" t="s">
        <v>231</v>
      </c>
    </row>
    <row r="421" spans="1:14" ht="19.5">
      <c r="A421" s="197" t="s">
        <v>2237</v>
      </c>
      <c r="B421" s="188" t="s">
        <v>27</v>
      </c>
      <c r="C421" s="174" t="s">
        <v>4833</v>
      </c>
      <c r="D421" s="174" t="s">
        <v>39</v>
      </c>
      <c r="E421" s="174">
        <v>0</v>
      </c>
      <c r="F421" s="186" t="s">
        <v>2238</v>
      </c>
      <c r="G421" s="174"/>
      <c r="H421" s="174"/>
      <c r="I421" s="174"/>
      <c r="J421" s="180" t="s">
        <v>3459</v>
      </c>
      <c r="K421" s="181" t="s">
        <v>4833</v>
      </c>
      <c r="L421" s="181" t="s">
        <v>39</v>
      </c>
      <c r="M421" s="181" t="s">
        <v>231</v>
      </c>
      <c r="N421" s="182" t="s">
        <v>231</v>
      </c>
    </row>
    <row r="422" spans="1:14" ht="19.5">
      <c r="A422" s="197" t="s">
        <v>2242</v>
      </c>
      <c r="B422" s="188" t="s">
        <v>27</v>
      </c>
      <c r="C422" s="174" t="e">
        <v>#N/A</v>
      </c>
      <c r="D422" s="174" t="e">
        <v>#N/A</v>
      </c>
      <c r="E422" s="174" t="e">
        <v>#N/A</v>
      </c>
      <c r="F422" s="186" t="s">
        <v>2243</v>
      </c>
      <c r="G422" s="174"/>
      <c r="H422" s="174"/>
      <c r="I422" s="174"/>
      <c r="J422" s="180" t="s">
        <v>3464</v>
      </c>
      <c r="K422" s="181" t="s">
        <v>4833</v>
      </c>
      <c r="L422" s="181" t="s">
        <v>39</v>
      </c>
      <c r="M422" s="181" t="s">
        <v>231</v>
      </c>
      <c r="N422" s="182" t="s">
        <v>231</v>
      </c>
    </row>
    <row r="423" spans="1:14" ht="19.5">
      <c r="A423" s="197" t="s">
        <v>2247</v>
      </c>
      <c r="B423" s="188" t="s">
        <v>27</v>
      </c>
      <c r="C423" s="174" t="e">
        <v>#N/A</v>
      </c>
      <c r="D423" s="174" t="e">
        <v>#N/A</v>
      </c>
      <c r="E423" s="174" t="e">
        <v>#N/A</v>
      </c>
      <c r="F423" s="186" t="s">
        <v>2248</v>
      </c>
      <c r="G423" s="174"/>
      <c r="H423" s="174"/>
      <c r="I423" s="174"/>
      <c r="J423" s="180" t="s">
        <v>3469</v>
      </c>
      <c r="K423" s="181" t="s">
        <v>4833</v>
      </c>
      <c r="L423" s="181" t="s">
        <v>39</v>
      </c>
      <c r="M423" s="181" t="s">
        <v>231</v>
      </c>
      <c r="N423" s="182" t="s">
        <v>231</v>
      </c>
    </row>
    <row r="424" spans="1:14" ht="19.5">
      <c r="A424" s="197" t="s">
        <v>2253</v>
      </c>
      <c r="B424" s="188" t="s">
        <v>27</v>
      </c>
      <c r="C424" s="174" t="e">
        <v>#N/A</v>
      </c>
      <c r="D424" s="174" t="e">
        <v>#N/A</v>
      </c>
      <c r="E424" s="174" t="e">
        <v>#N/A</v>
      </c>
      <c r="F424" s="186" t="s">
        <v>2254</v>
      </c>
      <c r="G424" s="174"/>
      <c r="H424" s="174"/>
      <c r="I424" s="174"/>
      <c r="J424" s="180" t="s">
        <v>3474</v>
      </c>
      <c r="K424" s="181" t="s">
        <v>4833</v>
      </c>
      <c r="L424" s="181" t="s">
        <v>39</v>
      </c>
      <c r="M424" s="181" t="s">
        <v>231</v>
      </c>
      <c r="N424" s="182" t="s">
        <v>231</v>
      </c>
    </row>
    <row r="425" spans="1:14" ht="19.5">
      <c r="A425" s="197" t="s">
        <v>2258</v>
      </c>
      <c r="B425" s="188" t="s">
        <v>27</v>
      </c>
      <c r="C425" s="174" t="e">
        <v>#N/A</v>
      </c>
      <c r="D425" s="174" t="e">
        <v>#N/A</v>
      </c>
      <c r="E425" s="174" t="e">
        <v>#N/A</v>
      </c>
      <c r="F425" s="186" t="s">
        <v>2259</v>
      </c>
      <c r="G425" s="174"/>
      <c r="H425" s="174"/>
      <c r="I425" s="174"/>
      <c r="J425" s="180" t="s">
        <v>3479</v>
      </c>
      <c r="K425" s="181" t="s">
        <v>4833</v>
      </c>
      <c r="L425" s="181" t="s">
        <v>39</v>
      </c>
      <c r="M425" s="181" t="s">
        <v>231</v>
      </c>
      <c r="N425" s="182" t="s">
        <v>231</v>
      </c>
    </row>
    <row r="426" spans="1:14" ht="19.5">
      <c r="A426" s="197" t="s">
        <v>2263</v>
      </c>
      <c r="B426" s="188" t="s">
        <v>27</v>
      </c>
      <c r="C426" s="174" t="e">
        <v>#N/A</v>
      </c>
      <c r="D426" s="174" t="e">
        <v>#N/A</v>
      </c>
      <c r="E426" s="174" t="e">
        <v>#N/A</v>
      </c>
      <c r="F426" s="186" t="s">
        <v>2264</v>
      </c>
      <c r="G426" s="174"/>
      <c r="H426" s="174"/>
      <c r="I426" s="174"/>
      <c r="J426" s="180" t="s">
        <v>3484</v>
      </c>
      <c r="K426" s="181" t="s">
        <v>4833</v>
      </c>
      <c r="L426" s="181" t="s">
        <v>39</v>
      </c>
      <c r="M426" s="181" t="s">
        <v>231</v>
      </c>
      <c r="N426" s="182" t="s">
        <v>231</v>
      </c>
    </row>
    <row r="427" spans="1:14" ht="19.5">
      <c r="A427" s="197" t="s">
        <v>2269</v>
      </c>
      <c r="B427" s="188" t="s">
        <v>27</v>
      </c>
      <c r="C427" s="174" t="e">
        <v>#N/A</v>
      </c>
      <c r="D427" s="174" t="e">
        <v>#N/A</v>
      </c>
      <c r="E427" s="174" t="e">
        <v>#N/A</v>
      </c>
      <c r="F427" s="186" t="s">
        <v>2270</v>
      </c>
      <c r="G427" s="174"/>
      <c r="H427" s="174"/>
      <c r="I427" s="174"/>
      <c r="J427" s="180" t="s">
        <v>3489</v>
      </c>
      <c r="K427" s="181" t="s">
        <v>4833</v>
      </c>
      <c r="L427" s="181" t="s">
        <v>39</v>
      </c>
      <c r="M427" s="181" t="s">
        <v>231</v>
      </c>
      <c r="N427" s="182" t="s">
        <v>231</v>
      </c>
    </row>
    <row r="428" spans="1:14" ht="19.5">
      <c r="A428" s="197" t="s">
        <v>2274</v>
      </c>
      <c r="B428" s="188" t="s">
        <v>27</v>
      </c>
      <c r="C428" s="174" t="e">
        <v>#N/A</v>
      </c>
      <c r="D428" s="174" t="e">
        <v>#N/A</v>
      </c>
      <c r="E428" s="174" t="e">
        <v>#N/A</v>
      </c>
      <c r="F428" s="186" t="s">
        <v>2275</v>
      </c>
      <c r="G428" s="174"/>
      <c r="H428" s="174"/>
      <c r="I428" s="174"/>
      <c r="J428" s="180" t="s">
        <v>1808</v>
      </c>
      <c r="K428" s="181" t="s">
        <v>3894</v>
      </c>
      <c r="L428" s="181" t="s">
        <v>4</v>
      </c>
      <c r="M428" s="181" t="s">
        <v>1811</v>
      </c>
      <c r="N428" s="182" t="s">
        <v>4</v>
      </c>
    </row>
    <row r="429" spans="1:14" ht="19.5">
      <c r="A429" s="197" t="s">
        <v>4432</v>
      </c>
      <c r="B429" s="188" t="s">
        <v>27</v>
      </c>
      <c r="C429" s="174" t="e">
        <v>#N/A</v>
      </c>
      <c r="D429" s="174" t="e">
        <v>#N/A</v>
      </c>
      <c r="E429" s="174" t="e">
        <v>#N/A</v>
      </c>
      <c r="F429" s="186" t="s">
        <v>4433</v>
      </c>
      <c r="G429" s="174"/>
      <c r="H429" s="174"/>
      <c r="I429" s="174"/>
      <c r="J429" s="180" t="s">
        <v>3493</v>
      </c>
      <c r="K429" s="181" t="s">
        <v>4833</v>
      </c>
      <c r="L429" s="181" t="s">
        <v>39</v>
      </c>
      <c r="M429" s="181" t="s">
        <v>231</v>
      </c>
      <c r="N429" s="182" t="s">
        <v>231</v>
      </c>
    </row>
    <row r="430" spans="1:14" ht="39">
      <c r="A430" s="197" t="s">
        <v>2279</v>
      </c>
      <c r="B430" s="188" t="s">
        <v>27</v>
      </c>
      <c r="C430" s="174" t="e">
        <v>#N/A</v>
      </c>
      <c r="D430" s="174" t="e">
        <v>#N/A</v>
      </c>
      <c r="E430" s="174" t="e">
        <v>#N/A</v>
      </c>
      <c r="F430" s="186" t="s">
        <v>2280</v>
      </c>
      <c r="G430" s="174"/>
      <c r="H430" s="174"/>
      <c r="I430" s="174"/>
      <c r="J430" s="180" t="s">
        <v>1906</v>
      </c>
      <c r="K430" s="181" t="s">
        <v>3894</v>
      </c>
      <c r="L430" s="181" t="s">
        <v>15</v>
      </c>
      <c r="M430" s="181" t="s">
        <v>146</v>
      </c>
      <c r="N430" s="182" t="s">
        <v>5368</v>
      </c>
    </row>
    <row r="431" spans="1:14" ht="19.5">
      <c r="A431" s="197" t="s">
        <v>2284</v>
      </c>
      <c r="B431" s="188" t="s">
        <v>27</v>
      </c>
      <c r="C431" s="174" t="e">
        <v>#N/A</v>
      </c>
      <c r="D431" s="174" t="e">
        <v>#N/A</v>
      </c>
      <c r="E431" s="174" t="e">
        <v>#N/A</v>
      </c>
      <c r="F431" s="186" t="s">
        <v>2285</v>
      </c>
      <c r="G431" s="174"/>
      <c r="H431" s="174"/>
      <c r="I431" s="174"/>
      <c r="J431" s="180" t="s">
        <v>3498</v>
      </c>
      <c r="K431" s="181" t="s">
        <v>4833</v>
      </c>
      <c r="L431" s="181" t="s">
        <v>39</v>
      </c>
      <c r="M431" s="181" t="s">
        <v>231</v>
      </c>
      <c r="N431" s="182" t="s">
        <v>231</v>
      </c>
    </row>
    <row r="432" spans="1:14" ht="19.5">
      <c r="A432" s="197" t="s">
        <v>2290</v>
      </c>
      <c r="B432" s="188" t="s">
        <v>27</v>
      </c>
      <c r="C432" s="174" t="s">
        <v>4833</v>
      </c>
      <c r="D432" s="174" t="s">
        <v>39</v>
      </c>
      <c r="E432" s="174">
        <v>0</v>
      </c>
      <c r="F432" s="186" t="s">
        <v>2291</v>
      </c>
      <c r="G432" s="174"/>
      <c r="H432" s="174"/>
      <c r="I432" s="174"/>
      <c r="J432" s="180" t="s">
        <v>3503</v>
      </c>
      <c r="K432" s="181" t="s">
        <v>4833</v>
      </c>
      <c r="L432" s="181" t="s">
        <v>39</v>
      </c>
      <c r="M432" s="181" t="s">
        <v>231</v>
      </c>
      <c r="N432" s="182" t="s">
        <v>231</v>
      </c>
    </row>
    <row r="433" spans="1:14" ht="19.5">
      <c r="A433" s="197" t="s">
        <v>2295</v>
      </c>
      <c r="B433" s="188" t="s">
        <v>15</v>
      </c>
      <c r="C433" s="174" t="s">
        <v>3894</v>
      </c>
      <c r="D433" s="174" t="s">
        <v>5346</v>
      </c>
      <c r="E433" s="174" t="s">
        <v>145</v>
      </c>
      <c r="F433" s="186" t="s">
        <v>2296</v>
      </c>
      <c r="G433" s="174"/>
      <c r="H433" s="174"/>
      <c r="I433" s="174"/>
      <c r="J433" s="180" t="s">
        <v>2295</v>
      </c>
      <c r="K433" s="181" t="s">
        <v>3894</v>
      </c>
      <c r="L433" s="181" t="s">
        <v>5346</v>
      </c>
      <c r="M433" s="181" t="s">
        <v>145</v>
      </c>
      <c r="N433" s="182" t="s">
        <v>5347</v>
      </c>
    </row>
    <row r="434" spans="1:14" ht="19.5">
      <c r="A434" s="197" t="s">
        <v>2302</v>
      </c>
      <c r="B434" s="188" t="s">
        <v>15</v>
      </c>
      <c r="C434" s="174" t="s">
        <v>3894</v>
      </c>
      <c r="D434" s="174" t="s">
        <v>5346</v>
      </c>
      <c r="E434" s="174" t="s">
        <v>146</v>
      </c>
      <c r="F434" s="186" t="s">
        <v>2303</v>
      </c>
      <c r="G434" s="174"/>
      <c r="H434" s="174"/>
      <c r="I434" s="174"/>
      <c r="J434" s="180" t="s">
        <v>3508</v>
      </c>
      <c r="K434" s="181" t="s">
        <v>4833</v>
      </c>
      <c r="L434" s="181" t="s">
        <v>39</v>
      </c>
      <c r="M434" s="181" t="s">
        <v>231</v>
      </c>
      <c r="N434" s="182" t="s">
        <v>231</v>
      </c>
    </row>
    <row r="435" spans="1:14" ht="19.5">
      <c r="A435" s="197" t="s">
        <v>2307</v>
      </c>
      <c r="B435" s="188" t="s">
        <v>188</v>
      </c>
      <c r="C435" s="174" t="s">
        <v>4833</v>
      </c>
      <c r="D435" s="174" t="s">
        <v>39</v>
      </c>
      <c r="E435" s="174">
        <v>0</v>
      </c>
      <c r="F435" s="186" t="s">
        <v>2308</v>
      </c>
      <c r="G435" s="174"/>
      <c r="H435" s="174"/>
      <c r="I435" s="174"/>
      <c r="J435" s="180" t="s">
        <v>3513</v>
      </c>
      <c r="K435" s="181" t="s">
        <v>4833</v>
      </c>
      <c r="L435" s="181" t="s">
        <v>39</v>
      </c>
      <c r="M435" s="181" t="s">
        <v>231</v>
      </c>
      <c r="N435" s="182" t="s">
        <v>231</v>
      </c>
    </row>
    <row r="436" spans="1:14" ht="19.5">
      <c r="A436" s="197" t="s">
        <v>2311</v>
      </c>
      <c r="B436" s="188" t="s">
        <v>188</v>
      </c>
      <c r="C436" s="174" t="s">
        <v>4833</v>
      </c>
      <c r="D436" s="174" t="s">
        <v>39</v>
      </c>
      <c r="E436" s="174">
        <v>0</v>
      </c>
      <c r="F436" s="186" t="s">
        <v>2312</v>
      </c>
      <c r="G436" s="174"/>
      <c r="H436" s="174"/>
      <c r="I436" s="174"/>
      <c r="J436" s="180" t="s">
        <v>3518</v>
      </c>
      <c r="K436" s="181" t="s">
        <v>4833</v>
      </c>
      <c r="L436" s="181" t="s">
        <v>39</v>
      </c>
      <c r="M436" s="181" t="s">
        <v>231</v>
      </c>
      <c r="N436" s="182" t="s">
        <v>231</v>
      </c>
    </row>
    <row r="437" spans="1:14" ht="19.5">
      <c r="A437" s="197" t="s">
        <v>2315</v>
      </c>
      <c r="B437" s="188" t="s">
        <v>188</v>
      </c>
      <c r="C437" s="174" t="s">
        <v>4833</v>
      </c>
      <c r="D437" s="174" t="s">
        <v>39</v>
      </c>
      <c r="E437" s="174">
        <v>0</v>
      </c>
      <c r="F437" s="186" t="s">
        <v>2316</v>
      </c>
      <c r="G437" s="174"/>
      <c r="H437" s="174"/>
      <c r="I437" s="174"/>
      <c r="J437" s="180" t="s">
        <v>3524</v>
      </c>
      <c r="K437" s="181" t="s">
        <v>4833</v>
      </c>
      <c r="L437" s="181" t="s">
        <v>39</v>
      </c>
      <c r="M437" s="181" t="s">
        <v>231</v>
      </c>
      <c r="N437" s="182" t="s">
        <v>231</v>
      </c>
    </row>
    <row r="438" spans="1:14" ht="19.5">
      <c r="A438" s="197" t="s">
        <v>2319</v>
      </c>
      <c r="B438" s="188" t="s">
        <v>188</v>
      </c>
      <c r="C438" s="174" t="s">
        <v>4833</v>
      </c>
      <c r="D438" s="174" t="s">
        <v>39</v>
      </c>
      <c r="E438" s="174">
        <v>0</v>
      </c>
      <c r="F438" s="186" t="s">
        <v>2320</v>
      </c>
      <c r="G438" s="174"/>
      <c r="H438" s="174"/>
      <c r="I438" s="174"/>
      <c r="J438" s="180" t="s">
        <v>3528</v>
      </c>
      <c r="K438" s="181" t="s">
        <v>4833</v>
      </c>
      <c r="L438" s="181" t="s">
        <v>39</v>
      </c>
      <c r="M438" s="181" t="s">
        <v>231</v>
      </c>
      <c r="N438" s="182" t="s">
        <v>231</v>
      </c>
    </row>
    <row r="439" spans="1:14" ht="19.5">
      <c r="A439" s="197" t="s">
        <v>2323</v>
      </c>
      <c r="B439" s="188" t="s">
        <v>188</v>
      </c>
      <c r="C439" s="174" t="s">
        <v>4833</v>
      </c>
      <c r="D439" s="174" t="s">
        <v>39</v>
      </c>
      <c r="E439" s="174">
        <v>0</v>
      </c>
      <c r="F439" s="186" t="s">
        <v>2324</v>
      </c>
      <c r="G439" s="174"/>
      <c r="H439" s="174"/>
      <c r="I439" s="174"/>
      <c r="J439" s="180" t="s">
        <v>3533</v>
      </c>
      <c r="K439" s="181" t="s">
        <v>4833</v>
      </c>
      <c r="L439" s="181" t="s">
        <v>39</v>
      </c>
      <c r="M439" s="181" t="s">
        <v>231</v>
      </c>
      <c r="N439" s="182" t="s">
        <v>231</v>
      </c>
    </row>
    <row r="440" spans="1:14" ht="19.5">
      <c r="A440" s="197" t="s">
        <v>2327</v>
      </c>
      <c r="B440" s="188" t="s">
        <v>188</v>
      </c>
      <c r="C440" s="174" t="s">
        <v>4833</v>
      </c>
      <c r="D440" s="174" t="s">
        <v>39</v>
      </c>
      <c r="E440" s="174">
        <v>0</v>
      </c>
      <c r="F440" s="186" t="s">
        <v>2328</v>
      </c>
      <c r="G440" s="174"/>
      <c r="H440" s="174"/>
      <c r="I440" s="174"/>
      <c r="J440" s="180" t="s">
        <v>3538</v>
      </c>
      <c r="K440" s="181" t="s">
        <v>4833</v>
      </c>
      <c r="L440" s="181" t="s">
        <v>39</v>
      </c>
      <c r="M440" s="181" t="s">
        <v>231</v>
      </c>
      <c r="N440" s="182" t="s">
        <v>231</v>
      </c>
    </row>
    <row r="441" spans="1:14" ht="19.5">
      <c r="A441" s="197" t="s">
        <v>2331</v>
      </c>
      <c r="B441" s="188" t="s">
        <v>188</v>
      </c>
      <c r="C441" s="174" t="s">
        <v>4833</v>
      </c>
      <c r="D441" s="174" t="s">
        <v>39</v>
      </c>
      <c r="E441" s="174">
        <v>0</v>
      </c>
      <c r="F441" s="186" t="s">
        <v>2332</v>
      </c>
      <c r="G441" s="174"/>
      <c r="H441" s="174"/>
      <c r="I441" s="174"/>
      <c r="J441" s="180" t="s">
        <v>3543</v>
      </c>
      <c r="K441" s="181" t="s">
        <v>4833</v>
      </c>
      <c r="L441" s="181" t="s">
        <v>39</v>
      </c>
      <c r="M441" s="181" t="s">
        <v>231</v>
      </c>
      <c r="N441" s="182" t="s">
        <v>231</v>
      </c>
    </row>
    <row r="442" spans="1:14" ht="19.5">
      <c r="A442" s="197" t="s">
        <v>2335</v>
      </c>
      <c r="B442" s="188" t="s">
        <v>188</v>
      </c>
      <c r="C442" s="174" t="s">
        <v>4833</v>
      </c>
      <c r="D442" s="174" t="s">
        <v>39</v>
      </c>
      <c r="E442" s="174">
        <v>0</v>
      </c>
      <c r="F442" s="186" t="s">
        <v>2336</v>
      </c>
      <c r="G442" s="174"/>
      <c r="H442" s="174"/>
      <c r="I442" s="174"/>
      <c r="J442" s="180" t="s">
        <v>3547</v>
      </c>
      <c r="K442" s="181" t="s">
        <v>4833</v>
      </c>
      <c r="L442" s="181" t="s">
        <v>39</v>
      </c>
      <c r="M442" s="181" t="s">
        <v>231</v>
      </c>
      <c r="N442" s="182" t="s">
        <v>231</v>
      </c>
    </row>
    <row r="443" spans="1:14" ht="19.5">
      <c r="A443" s="197" t="s">
        <v>2340</v>
      </c>
      <c r="B443" s="188" t="s">
        <v>188</v>
      </c>
      <c r="C443" s="174" t="s">
        <v>4833</v>
      </c>
      <c r="D443" s="174" t="s">
        <v>39</v>
      </c>
      <c r="E443" s="174">
        <v>0</v>
      </c>
      <c r="F443" s="186" t="s">
        <v>2341</v>
      </c>
      <c r="G443" s="174"/>
      <c r="H443" s="174"/>
      <c r="I443" s="174"/>
      <c r="J443" s="180" t="s">
        <v>3552</v>
      </c>
      <c r="K443" s="181" t="s">
        <v>4833</v>
      </c>
      <c r="L443" s="181" t="s">
        <v>39</v>
      </c>
      <c r="M443" s="181" t="s">
        <v>231</v>
      </c>
      <c r="N443" s="182" t="s">
        <v>231</v>
      </c>
    </row>
    <row r="444" spans="1:14" ht="19.5">
      <c r="A444" s="197" t="s">
        <v>2344</v>
      </c>
      <c r="B444" s="188" t="s">
        <v>188</v>
      </c>
      <c r="C444" s="174" t="s">
        <v>4833</v>
      </c>
      <c r="D444" s="174" t="s">
        <v>39</v>
      </c>
      <c r="E444" s="174">
        <v>0</v>
      </c>
      <c r="F444" s="186" t="s">
        <v>2345</v>
      </c>
      <c r="G444" s="174"/>
      <c r="H444" s="174"/>
      <c r="I444" s="174"/>
      <c r="J444" s="180" t="s">
        <v>3557</v>
      </c>
      <c r="K444" s="181" t="s">
        <v>4833</v>
      </c>
      <c r="L444" s="181" t="s">
        <v>39</v>
      </c>
      <c r="M444" s="181" t="s">
        <v>231</v>
      </c>
      <c r="N444" s="182" t="s">
        <v>231</v>
      </c>
    </row>
    <row r="445" spans="1:14" ht="19.5">
      <c r="A445" s="197" t="s">
        <v>2348</v>
      </c>
      <c r="B445" s="188" t="s">
        <v>188</v>
      </c>
      <c r="C445" s="174" t="s">
        <v>4833</v>
      </c>
      <c r="D445" s="174" t="s">
        <v>39</v>
      </c>
      <c r="E445" s="174">
        <v>0</v>
      </c>
      <c r="F445" s="186" t="s">
        <v>2349</v>
      </c>
      <c r="G445" s="174"/>
      <c r="H445" s="174"/>
      <c r="I445" s="174"/>
      <c r="J445" s="180" t="s">
        <v>3562</v>
      </c>
      <c r="K445" s="181" t="s">
        <v>4833</v>
      </c>
      <c r="L445" s="181" t="s">
        <v>39</v>
      </c>
      <c r="M445" s="181" t="s">
        <v>231</v>
      </c>
      <c r="N445" s="182" t="s">
        <v>231</v>
      </c>
    </row>
    <row r="446" spans="1:14" ht="19.5">
      <c r="A446" s="197" t="s">
        <v>2352</v>
      </c>
      <c r="B446" s="188" t="s">
        <v>188</v>
      </c>
      <c r="C446" s="174" t="s">
        <v>4833</v>
      </c>
      <c r="D446" s="174" t="s">
        <v>39</v>
      </c>
      <c r="E446" s="174">
        <v>0</v>
      </c>
      <c r="F446" s="186" t="s">
        <v>2353</v>
      </c>
      <c r="G446" s="174"/>
      <c r="H446" s="174"/>
      <c r="I446" s="174"/>
      <c r="J446" s="180" t="s">
        <v>3567</v>
      </c>
      <c r="K446" s="181" t="s">
        <v>4833</v>
      </c>
      <c r="L446" s="181" t="s">
        <v>39</v>
      </c>
      <c r="M446" s="181" t="s">
        <v>231</v>
      </c>
      <c r="N446" s="182" t="s">
        <v>231</v>
      </c>
    </row>
    <row r="447" spans="1:14" ht="19.5">
      <c r="A447" s="197" t="s">
        <v>2356</v>
      </c>
      <c r="B447" s="188" t="s">
        <v>188</v>
      </c>
      <c r="C447" s="174" t="s">
        <v>4833</v>
      </c>
      <c r="D447" s="174" t="s">
        <v>39</v>
      </c>
      <c r="E447" s="174">
        <v>0</v>
      </c>
      <c r="F447" s="186" t="s">
        <v>2357</v>
      </c>
      <c r="G447" s="174"/>
      <c r="H447" s="174"/>
      <c r="I447" s="174"/>
      <c r="J447" s="180" t="s">
        <v>2302</v>
      </c>
      <c r="K447" s="181" t="s">
        <v>3894</v>
      </c>
      <c r="L447" s="181" t="s">
        <v>5346</v>
      </c>
      <c r="M447" s="181" t="s">
        <v>146</v>
      </c>
      <c r="N447" s="182" t="s">
        <v>5347</v>
      </c>
    </row>
    <row r="448" spans="1:14" ht="19.5">
      <c r="A448" s="197" t="s">
        <v>2360</v>
      </c>
      <c r="B448" s="188" t="s">
        <v>188</v>
      </c>
      <c r="C448" s="174" t="s">
        <v>4833</v>
      </c>
      <c r="D448" s="174" t="s">
        <v>39</v>
      </c>
      <c r="E448" s="174">
        <v>0</v>
      </c>
      <c r="F448" s="186" t="s">
        <v>2361</v>
      </c>
      <c r="G448" s="174"/>
      <c r="H448" s="174"/>
      <c r="I448" s="174"/>
      <c r="J448" s="180" t="s">
        <v>2307</v>
      </c>
      <c r="K448" s="181" t="s">
        <v>4833</v>
      </c>
      <c r="L448" s="181" t="s">
        <v>39</v>
      </c>
      <c r="M448" s="181" t="s">
        <v>231</v>
      </c>
      <c r="N448" s="182" t="s">
        <v>231</v>
      </c>
    </row>
    <row r="449" spans="1:14" ht="19.5">
      <c r="A449" s="197" t="s">
        <v>2364</v>
      </c>
      <c r="B449" s="188" t="s">
        <v>188</v>
      </c>
      <c r="C449" s="174" t="s">
        <v>4833</v>
      </c>
      <c r="D449" s="174" t="s">
        <v>39</v>
      </c>
      <c r="E449" s="174">
        <v>0</v>
      </c>
      <c r="F449" s="186" t="s">
        <v>2365</v>
      </c>
      <c r="G449" s="174"/>
      <c r="H449" s="174"/>
      <c r="I449" s="174"/>
      <c r="J449" s="180" t="s">
        <v>2311</v>
      </c>
      <c r="K449" s="181" t="s">
        <v>4833</v>
      </c>
      <c r="L449" s="181" t="s">
        <v>39</v>
      </c>
      <c r="M449" s="181" t="s">
        <v>231</v>
      </c>
      <c r="N449" s="182" t="s">
        <v>231</v>
      </c>
    </row>
    <row r="450" spans="1:14" ht="19.5">
      <c r="A450" s="197" t="s">
        <v>2369</v>
      </c>
      <c r="B450" s="188" t="s">
        <v>188</v>
      </c>
      <c r="C450" s="174" t="s">
        <v>4833</v>
      </c>
      <c r="D450" s="174" t="s">
        <v>39</v>
      </c>
      <c r="E450" s="174">
        <v>0</v>
      </c>
      <c r="F450" s="186" t="s">
        <v>2370</v>
      </c>
      <c r="G450" s="174"/>
      <c r="H450" s="174"/>
      <c r="I450" s="174"/>
      <c r="J450" s="180" t="s">
        <v>2315</v>
      </c>
      <c r="K450" s="181" t="s">
        <v>4833</v>
      </c>
      <c r="L450" s="181" t="s">
        <v>39</v>
      </c>
      <c r="M450" s="181" t="s">
        <v>231</v>
      </c>
      <c r="N450" s="182" t="s">
        <v>231</v>
      </c>
    </row>
    <row r="451" spans="1:14" ht="19.5">
      <c r="A451" s="197" t="s">
        <v>2373</v>
      </c>
      <c r="B451" s="188" t="s">
        <v>188</v>
      </c>
      <c r="C451" s="174" t="s">
        <v>4833</v>
      </c>
      <c r="D451" s="174" t="s">
        <v>39</v>
      </c>
      <c r="E451" s="174">
        <v>0</v>
      </c>
      <c r="F451" s="186" t="s">
        <v>2374</v>
      </c>
      <c r="G451" s="174"/>
      <c r="H451" s="174"/>
      <c r="I451" s="174"/>
      <c r="J451" s="180" t="s">
        <v>2319</v>
      </c>
      <c r="K451" s="181" t="s">
        <v>4833</v>
      </c>
      <c r="L451" s="181" t="s">
        <v>39</v>
      </c>
      <c r="M451" s="181" t="s">
        <v>231</v>
      </c>
      <c r="N451" s="182" t="s">
        <v>231</v>
      </c>
    </row>
    <row r="452" spans="1:14" ht="19.5">
      <c r="A452" s="197" t="s">
        <v>2377</v>
      </c>
      <c r="B452" s="188" t="s">
        <v>188</v>
      </c>
      <c r="C452" s="174" t="s">
        <v>4833</v>
      </c>
      <c r="D452" s="174" t="s">
        <v>39</v>
      </c>
      <c r="E452" s="174">
        <v>0</v>
      </c>
      <c r="F452" s="186" t="s">
        <v>2378</v>
      </c>
      <c r="G452" s="174"/>
      <c r="H452" s="174"/>
      <c r="I452" s="174"/>
      <c r="J452" s="180" t="s">
        <v>2323</v>
      </c>
      <c r="K452" s="181" t="s">
        <v>4833</v>
      </c>
      <c r="L452" s="181" t="s">
        <v>39</v>
      </c>
      <c r="M452" s="181" t="s">
        <v>231</v>
      </c>
      <c r="N452" s="182" t="s">
        <v>231</v>
      </c>
    </row>
    <row r="453" spans="1:14" ht="19.5">
      <c r="A453" s="197" t="s">
        <v>2381</v>
      </c>
      <c r="B453" s="188" t="s">
        <v>188</v>
      </c>
      <c r="C453" s="174" t="s">
        <v>4833</v>
      </c>
      <c r="D453" s="174" t="s">
        <v>39</v>
      </c>
      <c r="E453" s="174">
        <v>0</v>
      </c>
      <c r="F453" s="186" t="s">
        <v>2382</v>
      </c>
      <c r="G453" s="174"/>
      <c r="H453" s="174"/>
      <c r="I453" s="174"/>
      <c r="J453" s="180" t="s">
        <v>3846</v>
      </c>
      <c r="K453" s="181" t="s">
        <v>4833</v>
      </c>
      <c r="L453" s="181" t="s">
        <v>39</v>
      </c>
      <c r="M453" s="181" t="s">
        <v>231</v>
      </c>
      <c r="N453" s="182" t="s">
        <v>231</v>
      </c>
    </row>
    <row r="454" spans="1:14" ht="19.5">
      <c r="A454" s="197" t="s">
        <v>2385</v>
      </c>
      <c r="B454" s="188" t="s">
        <v>188</v>
      </c>
      <c r="C454" s="174" t="s">
        <v>4833</v>
      </c>
      <c r="D454" s="174" t="s">
        <v>39</v>
      </c>
      <c r="E454" s="174">
        <v>0</v>
      </c>
      <c r="F454" s="186" t="s">
        <v>2386</v>
      </c>
      <c r="G454" s="174"/>
      <c r="H454" s="174"/>
      <c r="I454" s="174"/>
      <c r="J454" s="180" t="s">
        <v>2327</v>
      </c>
      <c r="K454" s="181" t="s">
        <v>4833</v>
      </c>
      <c r="L454" s="181" t="s">
        <v>39</v>
      </c>
      <c r="M454" s="181" t="s">
        <v>231</v>
      </c>
      <c r="N454" s="182" t="s">
        <v>231</v>
      </c>
    </row>
    <row r="455" spans="1:14" ht="19.5">
      <c r="A455" s="197" t="s">
        <v>2389</v>
      </c>
      <c r="B455" s="188" t="s">
        <v>188</v>
      </c>
      <c r="C455" s="174" t="s">
        <v>4833</v>
      </c>
      <c r="D455" s="174" t="s">
        <v>39</v>
      </c>
      <c r="E455" s="174">
        <v>0</v>
      </c>
      <c r="F455" s="186" t="s">
        <v>2390</v>
      </c>
      <c r="G455" s="174"/>
      <c r="H455" s="174"/>
      <c r="I455" s="174"/>
      <c r="J455" s="180" t="s">
        <v>2331</v>
      </c>
      <c r="K455" s="181" t="s">
        <v>4833</v>
      </c>
      <c r="L455" s="181" t="s">
        <v>39</v>
      </c>
      <c r="M455" s="181" t="s">
        <v>231</v>
      </c>
      <c r="N455" s="182" t="s">
        <v>231</v>
      </c>
    </row>
    <row r="456" spans="1:14" ht="19.5">
      <c r="A456" s="197" t="s">
        <v>2393</v>
      </c>
      <c r="B456" s="188" t="s">
        <v>188</v>
      </c>
      <c r="C456" s="174" t="s">
        <v>4833</v>
      </c>
      <c r="D456" s="174" t="s">
        <v>39</v>
      </c>
      <c r="E456" s="174">
        <v>0</v>
      </c>
      <c r="F456" s="186" t="s">
        <v>2394</v>
      </c>
      <c r="G456" s="174"/>
      <c r="H456" s="174"/>
      <c r="I456" s="174"/>
      <c r="J456" s="180" t="s">
        <v>2335</v>
      </c>
      <c r="K456" s="181" t="s">
        <v>4833</v>
      </c>
      <c r="L456" s="181" t="s">
        <v>39</v>
      </c>
      <c r="M456" s="181" t="s">
        <v>231</v>
      </c>
      <c r="N456" s="182" t="s">
        <v>231</v>
      </c>
    </row>
    <row r="457" spans="1:14" ht="19.5">
      <c r="A457" s="197" t="s">
        <v>2397</v>
      </c>
      <c r="B457" s="188" t="s">
        <v>188</v>
      </c>
      <c r="C457" s="174" t="s">
        <v>4833</v>
      </c>
      <c r="D457" s="174" t="s">
        <v>39</v>
      </c>
      <c r="E457" s="174">
        <v>0</v>
      </c>
      <c r="F457" s="186" t="s">
        <v>2398</v>
      </c>
      <c r="G457" s="174"/>
      <c r="H457" s="174"/>
      <c r="I457" s="174"/>
      <c r="J457" s="180" t="s">
        <v>2340</v>
      </c>
      <c r="K457" s="181" t="s">
        <v>4833</v>
      </c>
      <c r="L457" s="181" t="s">
        <v>39</v>
      </c>
      <c r="M457" s="181" t="s">
        <v>231</v>
      </c>
      <c r="N457" s="182" t="s">
        <v>231</v>
      </c>
    </row>
    <row r="458" spans="1:14" ht="19.5">
      <c r="A458" s="197" t="s">
        <v>2402</v>
      </c>
      <c r="B458" s="188" t="s">
        <v>188</v>
      </c>
      <c r="C458" s="174" t="s">
        <v>4833</v>
      </c>
      <c r="D458" s="174" t="s">
        <v>39</v>
      </c>
      <c r="E458" s="174">
        <v>0</v>
      </c>
      <c r="F458" s="186" t="s">
        <v>2403</v>
      </c>
      <c r="G458" s="174"/>
      <c r="H458" s="174"/>
      <c r="I458" s="174"/>
      <c r="J458" s="180" t="s">
        <v>2344</v>
      </c>
      <c r="K458" s="181" t="s">
        <v>4833</v>
      </c>
      <c r="L458" s="181" t="s">
        <v>39</v>
      </c>
      <c r="M458" s="181" t="s">
        <v>231</v>
      </c>
      <c r="N458" s="182" t="s">
        <v>231</v>
      </c>
    </row>
    <row r="459" spans="1:14" ht="19.5">
      <c r="A459" s="197" t="s">
        <v>2406</v>
      </c>
      <c r="B459" s="188" t="s">
        <v>188</v>
      </c>
      <c r="C459" s="174" t="s">
        <v>4833</v>
      </c>
      <c r="D459" s="174" t="s">
        <v>39</v>
      </c>
      <c r="E459" s="174">
        <v>0</v>
      </c>
      <c r="F459" s="186" t="s">
        <v>2407</v>
      </c>
      <c r="G459" s="174"/>
      <c r="H459" s="174"/>
      <c r="I459" s="174"/>
      <c r="J459" s="180" t="s">
        <v>2348</v>
      </c>
      <c r="K459" s="181" t="s">
        <v>4833</v>
      </c>
      <c r="L459" s="181" t="s">
        <v>39</v>
      </c>
      <c r="M459" s="181" t="s">
        <v>231</v>
      </c>
      <c r="N459" s="182" t="s">
        <v>231</v>
      </c>
    </row>
    <row r="460" spans="1:14" ht="19.5">
      <c r="A460" s="197" t="s">
        <v>2411</v>
      </c>
      <c r="B460" s="188" t="s">
        <v>188</v>
      </c>
      <c r="C460" s="174" t="s">
        <v>4833</v>
      </c>
      <c r="D460" s="174" t="s">
        <v>39</v>
      </c>
      <c r="E460" s="174">
        <v>0</v>
      </c>
      <c r="F460" s="186" t="s">
        <v>2412</v>
      </c>
      <c r="G460" s="174"/>
      <c r="H460" s="174"/>
      <c r="I460" s="174"/>
      <c r="J460" s="180" t="s">
        <v>2352</v>
      </c>
      <c r="K460" s="181" t="s">
        <v>4833</v>
      </c>
      <c r="L460" s="181" t="s">
        <v>39</v>
      </c>
      <c r="M460" s="181" t="s">
        <v>231</v>
      </c>
      <c r="N460" s="182" t="s">
        <v>231</v>
      </c>
    </row>
    <row r="461" spans="1:14" ht="19.5">
      <c r="A461" s="197" t="s">
        <v>2416</v>
      </c>
      <c r="B461" s="188" t="s">
        <v>188</v>
      </c>
      <c r="C461" s="174" t="s">
        <v>4833</v>
      </c>
      <c r="D461" s="174" t="s">
        <v>39</v>
      </c>
      <c r="E461" s="174">
        <v>0</v>
      </c>
      <c r="F461" s="186" t="s">
        <v>2417</v>
      </c>
      <c r="G461" s="174"/>
      <c r="H461" s="174"/>
      <c r="I461" s="174"/>
      <c r="J461" s="180" t="s">
        <v>2356</v>
      </c>
      <c r="K461" s="181" t="s">
        <v>4833</v>
      </c>
      <c r="L461" s="181" t="s">
        <v>39</v>
      </c>
      <c r="M461" s="181" t="s">
        <v>231</v>
      </c>
      <c r="N461" s="182" t="s">
        <v>231</v>
      </c>
    </row>
    <row r="462" spans="1:14" ht="19.5">
      <c r="A462" s="197" t="s">
        <v>2420</v>
      </c>
      <c r="B462" s="188" t="s">
        <v>188</v>
      </c>
      <c r="C462" s="174" t="s">
        <v>4833</v>
      </c>
      <c r="D462" s="174" t="s">
        <v>39</v>
      </c>
      <c r="E462" s="174">
        <v>0</v>
      </c>
      <c r="F462" s="186" t="s">
        <v>2421</v>
      </c>
      <c r="G462" s="174"/>
      <c r="H462" s="174"/>
      <c r="I462" s="174"/>
      <c r="J462" s="180" t="s">
        <v>2360</v>
      </c>
      <c r="K462" s="181" t="s">
        <v>4833</v>
      </c>
      <c r="L462" s="181" t="s">
        <v>39</v>
      </c>
      <c r="M462" s="181" t="s">
        <v>231</v>
      </c>
      <c r="N462" s="182" t="s">
        <v>231</v>
      </c>
    </row>
    <row r="463" spans="1:14" ht="19.5">
      <c r="A463" s="197" t="s">
        <v>2424</v>
      </c>
      <c r="B463" s="188" t="s">
        <v>188</v>
      </c>
      <c r="C463" s="174" t="s">
        <v>4833</v>
      </c>
      <c r="D463" s="174" t="s">
        <v>39</v>
      </c>
      <c r="E463" s="174">
        <v>0</v>
      </c>
      <c r="F463" s="186" t="s">
        <v>2425</v>
      </c>
      <c r="G463" s="174"/>
      <c r="H463" s="174"/>
      <c r="I463" s="174"/>
      <c r="J463" s="180" t="s">
        <v>2364</v>
      </c>
      <c r="K463" s="181" t="s">
        <v>4833</v>
      </c>
      <c r="L463" s="181" t="s">
        <v>39</v>
      </c>
      <c r="M463" s="181" t="s">
        <v>231</v>
      </c>
      <c r="N463" s="182" t="s">
        <v>231</v>
      </c>
    </row>
    <row r="464" spans="1:14" ht="19.5">
      <c r="A464" s="197" t="s">
        <v>2428</v>
      </c>
      <c r="B464" s="188" t="s">
        <v>188</v>
      </c>
      <c r="C464" s="174" t="s">
        <v>4833</v>
      </c>
      <c r="D464" s="174" t="s">
        <v>39</v>
      </c>
      <c r="E464" s="174">
        <v>0</v>
      </c>
      <c r="F464" s="186" t="s">
        <v>2429</v>
      </c>
      <c r="G464" s="174"/>
      <c r="H464" s="174"/>
      <c r="I464" s="174"/>
      <c r="J464" s="180" t="s">
        <v>2369</v>
      </c>
      <c r="K464" s="181" t="s">
        <v>4833</v>
      </c>
      <c r="L464" s="181" t="s">
        <v>39</v>
      </c>
      <c r="M464" s="181" t="s">
        <v>231</v>
      </c>
      <c r="N464" s="182" t="s">
        <v>231</v>
      </c>
    </row>
    <row r="465" spans="1:14" ht="19.5">
      <c r="A465" s="197" t="s">
        <v>3726</v>
      </c>
      <c r="B465" s="188" t="s">
        <v>188</v>
      </c>
      <c r="C465" s="174" t="s">
        <v>4833</v>
      </c>
      <c r="D465" s="174" t="s">
        <v>39</v>
      </c>
      <c r="E465" s="174">
        <v>0</v>
      </c>
      <c r="F465" s="186" t="s">
        <v>3727</v>
      </c>
      <c r="G465" s="174"/>
      <c r="H465" s="174"/>
      <c r="I465" s="174"/>
      <c r="J465" s="180" t="s">
        <v>2373</v>
      </c>
      <c r="K465" s="181" t="s">
        <v>4833</v>
      </c>
      <c r="L465" s="181" t="s">
        <v>39</v>
      </c>
      <c r="M465" s="181" t="s">
        <v>231</v>
      </c>
      <c r="N465" s="182" t="s">
        <v>231</v>
      </c>
    </row>
    <row r="466" spans="1:14" ht="19.5">
      <c r="A466" s="197" t="s">
        <v>2432</v>
      </c>
      <c r="B466" s="188" t="s">
        <v>188</v>
      </c>
      <c r="C466" s="174" t="s">
        <v>4833</v>
      </c>
      <c r="D466" s="174" t="s">
        <v>39</v>
      </c>
      <c r="E466" s="174">
        <v>0</v>
      </c>
      <c r="F466" s="186" t="s">
        <v>2433</v>
      </c>
      <c r="G466" s="174"/>
      <c r="H466" s="174"/>
      <c r="I466" s="174"/>
      <c r="J466" s="180" t="s">
        <v>2377</v>
      </c>
      <c r="K466" s="181" t="s">
        <v>4833</v>
      </c>
      <c r="L466" s="181" t="s">
        <v>39</v>
      </c>
      <c r="M466" s="181" t="s">
        <v>231</v>
      </c>
      <c r="N466" s="182" t="s">
        <v>231</v>
      </c>
    </row>
    <row r="467" spans="1:14" ht="19.5">
      <c r="A467" s="197" t="s">
        <v>2437</v>
      </c>
      <c r="B467" s="188" t="s">
        <v>188</v>
      </c>
      <c r="C467" s="174" t="s">
        <v>4833</v>
      </c>
      <c r="D467" s="174" t="s">
        <v>39</v>
      </c>
      <c r="E467" s="174">
        <v>0</v>
      </c>
      <c r="F467" s="186" t="s">
        <v>2438</v>
      </c>
      <c r="G467" s="174"/>
      <c r="H467" s="174"/>
      <c r="I467" s="174"/>
      <c r="J467" s="180" t="s">
        <v>2381</v>
      </c>
      <c r="K467" s="181" t="s">
        <v>4833</v>
      </c>
      <c r="L467" s="181" t="s">
        <v>39</v>
      </c>
      <c r="M467" s="181" t="s">
        <v>231</v>
      </c>
      <c r="N467" s="182" t="s">
        <v>231</v>
      </c>
    </row>
    <row r="468" spans="1:14" ht="19.5">
      <c r="A468" s="197" t="s">
        <v>2442</v>
      </c>
      <c r="B468" s="188" t="s">
        <v>188</v>
      </c>
      <c r="C468" s="174" t="s">
        <v>4833</v>
      </c>
      <c r="D468" s="174" t="s">
        <v>39</v>
      </c>
      <c r="E468" s="174">
        <v>0</v>
      </c>
      <c r="F468" s="186" t="s">
        <v>2443</v>
      </c>
      <c r="G468" s="174"/>
      <c r="H468" s="174"/>
      <c r="I468" s="174"/>
      <c r="J468" s="180" t="s">
        <v>2385</v>
      </c>
      <c r="K468" s="181" t="s">
        <v>4833</v>
      </c>
      <c r="L468" s="181" t="s">
        <v>39</v>
      </c>
      <c r="M468" s="181" t="s">
        <v>231</v>
      </c>
      <c r="N468" s="182" t="s">
        <v>231</v>
      </c>
    </row>
    <row r="469" spans="1:14" ht="19.5">
      <c r="A469" s="197" t="s">
        <v>2447</v>
      </c>
      <c r="B469" s="188" t="s">
        <v>188</v>
      </c>
      <c r="C469" s="174" t="s">
        <v>4833</v>
      </c>
      <c r="D469" s="174" t="s">
        <v>39</v>
      </c>
      <c r="E469" s="174">
        <v>0</v>
      </c>
      <c r="F469" s="186" t="s">
        <v>2448</v>
      </c>
      <c r="G469" s="174"/>
      <c r="H469" s="174"/>
      <c r="I469" s="174"/>
      <c r="J469" s="180" t="s">
        <v>2389</v>
      </c>
      <c r="K469" s="181" t="s">
        <v>4833</v>
      </c>
      <c r="L469" s="181" t="s">
        <v>39</v>
      </c>
      <c r="M469" s="181" t="s">
        <v>231</v>
      </c>
      <c r="N469" s="182" t="s">
        <v>231</v>
      </c>
    </row>
    <row r="470" spans="1:14" ht="19.5">
      <c r="A470" s="197" t="s">
        <v>2453</v>
      </c>
      <c r="B470" s="188" t="s">
        <v>188</v>
      </c>
      <c r="C470" s="174" t="s">
        <v>4833</v>
      </c>
      <c r="D470" s="174" t="s">
        <v>39</v>
      </c>
      <c r="E470" s="174">
        <v>0</v>
      </c>
      <c r="F470" s="186" t="s">
        <v>2454</v>
      </c>
      <c r="G470" s="174"/>
      <c r="H470" s="174"/>
      <c r="I470" s="174"/>
      <c r="J470" s="180" t="s">
        <v>2393</v>
      </c>
      <c r="K470" s="181" t="s">
        <v>4833</v>
      </c>
      <c r="L470" s="181" t="s">
        <v>39</v>
      </c>
      <c r="M470" s="181" t="s">
        <v>231</v>
      </c>
      <c r="N470" s="182" t="s">
        <v>231</v>
      </c>
    </row>
    <row r="471" spans="1:14" ht="19.5">
      <c r="A471" s="197" t="s">
        <v>2458</v>
      </c>
      <c r="B471" s="188" t="s">
        <v>188</v>
      </c>
      <c r="C471" s="174" t="s">
        <v>4833</v>
      </c>
      <c r="D471" s="174" t="s">
        <v>39</v>
      </c>
      <c r="E471" s="174">
        <v>0</v>
      </c>
      <c r="F471" s="186" t="s">
        <v>2459</v>
      </c>
      <c r="G471" s="174"/>
      <c r="H471" s="174"/>
      <c r="I471" s="174"/>
      <c r="J471" s="180" t="s">
        <v>2397</v>
      </c>
      <c r="K471" s="181" t="s">
        <v>4833</v>
      </c>
      <c r="L471" s="181" t="s">
        <v>39</v>
      </c>
      <c r="M471" s="181" t="s">
        <v>231</v>
      </c>
      <c r="N471" s="182" t="s">
        <v>231</v>
      </c>
    </row>
    <row r="472" spans="1:14" ht="19.5">
      <c r="A472" s="197" t="s">
        <v>2463</v>
      </c>
      <c r="B472" s="188" t="s">
        <v>188</v>
      </c>
      <c r="C472" s="174" t="s">
        <v>4833</v>
      </c>
      <c r="D472" s="174" t="s">
        <v>39</v>
      </c>
      <c r="E472" s="174">
        <v>0</v>
      </c>
      <c r="F472" s="186" t="s">
        <v>2464</v>
      </c>
      <c r="G472" s="174"/>
      <c r="H472" s="174"/>
      <c r="I472" s="174"/>
      <c r="J472" s="180" t="s">
        <v>5386</v>
      </c>
      <c r="K472" s="181" t="s">
        <v>4833</v>
      </c>
      <c r="L472" s="181" t="s">
        <v>39</v>
      </c>
      <c r="M472" s="181" t="s">
        <v>231</v>
      </c>
      <c r="N472" s="182" t="s">
        <v>231</v>
      </c>
    </row>
    <row r="473" spans="1:14" ht="19.5">
      <c r="A473" s="197" t="s">
        <v>4570</v>
      </c>
      <c r="B473" s="188" t="s">
        <v>188</v>
      </c>
      <c r="C473" s="174" t="s">
        <v>4833</v>
      </c>
      <c r="D473" s="174" t="s">
        <v>39</v>
      </c>
      <c r="E473" s="174">
        <v>0</v>
      </c>
      <c r="F473" s="186" t="s">
        <v>2692</v>
      </c>
      <c r="G473" s="174"/>
      <c r="H473" s="174"/>
      <c r="I473" s="174"/>
      <c r="J473" s="180" t="s">
        <v>5387</v>
      </c>
      <c r="K473" s="181" t="s">
        <v>4833</v>
      </c>
      <c r="L473" s="181" t="s">
        <v>39</v>
      </c>
      <c r="M473" s="181" t="s">
        <v>231</v>
      </c>
      <c r="N473" s="182" t="s">
        <v>231</v>
      </c>
    </row>
    <row r="474" spans="1:14" ht="19.5">
      <c r="A474" s="197" t="s">
        <v>2468</v>
      </c>
      <c r="B474" s="188" t="s">
        <v>188</v>
      </c>
      <c r="C474" s="174" t="s">
        <v>4833</v>
      </c>
      <c r="D474" s="174" t="s">
        <v>39</v>
      </c>
      <c r="E474" s="174">
        <v>0</v>
      </c>
      <c r="F474" s="186" t="s">
        <v>2469</v>
      </c>
      <c r="G474" s="174"/>
      <c r="H474" s="174"/>
      <c r="I474" s="174"/>
      <c r="J474" s="180" t="s">
        <v>5388</v>
      </c>
      <c r="K474" s="181" t="s">
        <v>4833</v>
      </c>
      <c r="L474" s="181" t="s">
        <v>39</v>
      </c>
      <c r="M474" s="181" t="s">
        <v>231</v>
      </c>
      <c r="N474" s="182" t="s">
        <v>231</v>
      </c>
    </row>
    <row r="475" spans="1:14" ht="19.5">
      <c r="A475" s="197" t="s">
        <v>2473</v>
      </c>
      <c r="B475" s="188" t="s">
        <v>188</v>
      </c>
      <c r="C475" s="174" t="s">
        <v>4833</v>
      </c>
      <c r="D475" s="174" t="s">
        <v>39</v>
      </c>
      <c r="E475" s="174">
        <v>0</v>
      </c>
      <c r="F475" s="186" t="s">
        <v>2474</v>
      </c>
      <c r="G475" s="174"/>
      <c r="H475" s="174"/>
      <c r="I475" s="174"/>
      <c r="J475" s="180" t="s">
        <v>2402</v>
      </c>
      <c r="K475" s="181" t="s">
        <v>4833</v>
      </c>
      <c r="L475" s="181" t="s">
        <v>39</v>
      </c>
      <c r="M475" s="181" t="s">
        <v>231</v>
      </c>
      <c r="N475" s="182" t="s">
        <v>231</v>
      </c>
    </row>
    <row r="476" spans="1:14" ht="19.5">
      <c r="A476" s="197" t="s">
        <v>2477</v>
      </c>
      <c r="B476" s="188" t="s">
        <v>188</v>
      </c>
      <c r="C476" s="174" t="s">
        <v>4833</v>
      </c>
      <c r="D476" s="174" t="s">
        <v>39</v>
      </c>
      <c r="E476" s="174">
        <v>0</v>
      </c>
      <c r="F476" s="186" t="s">
        <v>2478</v>
      </c>
      <c r="G476" s="174"/>
      <c r="H476" s="174"/>
      <c r="I476" s="174"/>
      <c r="J476" s="180" t="s">
        <v>2406</v>
      </c>
      <c r="K476" s="181" t="s">
        <v>4833</v>
      </c>
      <c r="L476" s="181" t="s">
        <v>39</v>
      </c>
      <c r="M476" s="181" t="s">
        <v>231</v>
      </c>
      <c r="N476" s="182" t="s">
        <v>231</v>
      </c>
    </row>
    <row r="477" spans="1:14" ht="19.5">
      <c r="A477" s="197" t="s">
        <v>2481</v>
      </c>
      <c r="B477" s="188" t="s">
        <v>188</v>
      </c>
      <c r="C477" s="174" t="s">
        <v>4833</v>
      </c>
      <c r="D477" s="174" t="s">
        <v>39</v>
      </c>
      <c r="E477" s="174">
        <v>0</v>
      </c>
      <c r="F477" s="186" t="s">
        <v>2482</v>
      </c>
      <c r="G477" s="174"/>
      <c r="H477" s="174"/>
      <c r="I477" s="174"/>
      <c r="J477" s="180" t="s">
        <v>2411</v>
      </c>
      <c r="K477" s="181" t="s">
        <v>4833</v>
      </c>
      <c r="L477" s="181" t="s">
        <v>39</v>
      </c>
      <c r="M477" s="181" t="s">
        <v>231</v>
      </c>
      <c r="N477" s="182" t="s">
        <v>231</v>
      </c>
    </row>
    <row r="478" spans="1:14" ht="19.5">
      <c r="A478" s="197" t="s">
        <v>2485</v>
      </c>
      <c r="B478" s="188" t="s">
        <v>188</v>
      </c>
      <c r="C478" s="174" t="s">
        <v>4833</v>
      </c>
      <c r="D478" s="174" t="s">
        <v>39</v>
      </c>
      <c r="E478" s="174">
        <v>0</v>
      </c>
      <c r="F478" s="186" t="s">
        <v>2486</v>
      </c>
      <c r="G478" s="174"/>
      <c r="H478" s="174"/>
      <c r="I478" s="174"/>
      <c r="J478" s="180" t="s">
        <v>2416</v>
      </c>
      <c r="K478" s="181" t="s">
        <v>4833</v>
      </c>
      <c r="L478" s="181" t="s">
        <v>39</v>
      </c>
      <c r="M478" s="181" t="s">
        <v>231</v>
      </c>
      <c r="N478" s="182" t="s">
        <v>231</v>
      </c>
    </row>
    <row r="479" spans="1:14" ht="19.5">
      <c r="A479" s="197" t="s">
        <v>2489</v>
      </c>
      <c r="B479" s="188" t="s">
        <v>188</v>
      </c>
      <c r="C479" s="174" t="s">
        <v>4833</v>
      </c>
      <c r="D479" s="174" t="s">
        <v>39</v>
      </c>
      <c r="E479" s="174">
        <v>0</v>
      </c>
      <c r="F479" s="186" t="s">
        <v>2490</v>
      </c>
      <c r="G479" s="174"/>
      <c r="H479" s="174"/>
      <c r="I479" s="174"/>
      <c r="J479" s="180" t="s">
        <v>2420</v>
      </c>
      <c r="K479" s="181" t="s">
        <v>4833</v>
      </c>
      <c r="L479" s="181" t="s">
        <v>39</v>
      </c>
      <c r="M479" s="181" t="s">
        <v>231</v>
      </c>
      <c r="N479" s="182" t="s">
        <v>231</v>
      </c>
    </row>
    <row r="480" spans="1:14" ht="19.5">
      <c r="A480" s="197" t="s">
        <v>2493</v>
      </c>
      <c r="B480" s="188" t="s">
        <v>188</v>
      </c>
      <c r="C480" s="174" t="s">
        <v>4833</v>
      </c>
      <c r="D480" s="174" t="s">
        <v>39</v>
      </c>
      <c r="E480" s="174">
        <v>0</v>
      </c>
      <c r="F480" s="186" t="s">
        <v>2494</v>
      </c>
      <c r="G480" s="174"/>
      <c r="H480" s="174"/>
      <c r="I480" s="174"/>
      <c r="J480" s="180" t="s">
        <v>2424</v>
      </c>
      <c r="K480" s="181" t="s">
        <v>4833</v>
      </c>
      <c r="L480" s="181" t="s">
        <v>39</v>
      </c>
      <c r="M480" s="181" t="s">
        <v>231</v>
      </c>
      <c r="N480" s="182" t="s">
        <v>231</v>
      </c>
    </row>
    <row r="481" spans="1:14" ht="19.5">
      <c r="A481" s="197" t="s">
        <v>2497</v>
      </c>
      <c r="B481" s="188" t="s">
        <v>188</v>
      </c>
      <c r="C481" s="174" t="s">
        <v>4833</v>
      </c>
      <c r="D481" s="174" t="s">
        <v>39</v>
      </c>
      <c r="E481" s="174">
        <v>0</v>
      </c>
      <c r="F481" s="186" t="s">
        <v>2498</v>
      </c>
      <c r="G481" s="174"/>
      <c r="H481" s="174"/>
      <c r="I481" s="174"/>
      <c r="J481" s="180" t="s">
        <v>2428</v>
      </c>
      <c r="K481" s="181" t="s">
        <v>4833</v>
      </c>
      <c r="L481" s="181" t="s">
        <v>39</v>
      </c>
      <c r="M481" s="181" t="s">
        <v>231</v>
      </c>
      <c r="N481" s="182" t="s">
        <v>231</v>
      </c>
    </row>
    <row r="482" spans="1:14" ht="19.5">
      <c r="A482" s="197" t="s">
        <v>2501</v>
      </c>
      <c r="B482" s="188" t="s">
        <v>188</v>
      </c>
      <c r="C482" s="174" t="s">
        <v>4833</v>
      </c>
      <c r="D482" s="174" t="s">
        <v>39</v>
      </c>
      <c r="E482" s="174">
        <v>0</v>
      </c>
      <c r="F482" s="186" t="s">
        <v>2502</v>
      </c>
      <c r="G482" s="174"/>
      <c r="H482" s="174"/>
      <c r="I482" s="174"/>
      <c r="J482" s="180" t="s">
        <v>3573</v>
      </c>
      <c r="K482" s="181" t="s">
        <v>4833</v>
      </c>
      <c r="L482" s="181" t="s">
        <v>39</v>
      </c>
      <c r="M482" s="181" t="s">
        <v>231</v>
      </c>
      <c r="N482" s="182" t="s">
        <v>231</v>
      </c>
    </row>
    <row r="483" spans="1:14" ht="19.5">
      <c r="A483" s="197" t="s">
        <v>2505</v>
      </c>
      <c r="B483" s="188" t="s">
        <v>188</v>
      </c>
      <c r="C483" s="174" t="s">
        <v>4833</v>
      </c>
      <c r="D483" s="174" t="s">
        <v>39</v>
      </c>
      <c r="E483" s="174">
        <v>0</v>
      </c>
      <c r="F483" s="186" t="s">
        <v>2506</v>
      </c>
      <c r="G483" s="174"/>
      <c r="H483" s="174"/>
      <c r="I483" s="174"/>
      <c r="J483" s="180" t="s">
        <v>3577</v>
      </c>
      <c r="K483" s="181" t="s">
        <v>4833</v>
      </c>
      <c r="L483" s="181" t="s">
        <v>39</v>
      </c>
      <c r="M483" s="181" t="s">
        <v>231</v>
      </c>
      <c r="N483" s="182" t="s">
        <v>231</v>
      </c>
    </row>
    <row r="484" spans="1:14" ht="39">
      <c r="A484" s="197" t="s">
        <v>4573</v>
      </c>
      <c r="B484" s="188" t="s">
        <v>188</v>
      </c>
      <c r="C484" s="174" t="s">
        <v>4833</v>
      </c>
      <c r="D484" s="174" t="s">
        <v>39</v>
      </c>
      <c r="E484" s="174">
        <v>0</v>
      </c>
      <c r="F484" s="186" t="s">
        <v>2921</v>
      </c>
      <c r="G484" s="174"/>
      <c r="H484" s="174"/>
      <c r="I484" s="174"/>
      <c r="J484" s="180" t="s">
        <v>4546</v>
      </c>
      <c r="K484" s="181" t="s">
        <v>3894</v>
      </c>
      <c r="L484" s="181" t="s">
        <v>15</v>
      </c>
      <c r="M484" s="181" t="s">
        <v>97</v>
      </c>
      <c r="N484" s="182" t="s">
        <v>5368</v>
      </c>
    </row>
    <row r="485" spans="1:14" ht="19.5">
      <c r="A485" s="197" t="s">
        <v>2509</v>
      </c>
      <c r="B485" s="188" t="s">
        <v>188</v>
      </c>
      <c r="C485" s="174" t="s">
        <v>4833</v>
      </c>
      <c r="D485" s="174" t="s">
        <v>39</v>
      </c>
      <c r="E485" s="174">
        <v>0</v>
      </c>
      <c r="F485" s="186" t="s">
        <v>2510</v>
      </c>
      <c r="G485" s="174"/>
      <c r="H485" s="174"/>
      <c r="I485" s="174"/>
      <c r="J485" s="180" t="s">
        <v>3862</v>
      </c>
      <c r="K485" s="181" t="s">
        <v>4833</v>
      </c>
      <c r="L485" s="181" t="s">
        <v>39</v>
      </c>
      <c r="M485" s="181" t="s">
        <v>231</v>
      </c>
      <c r="N485" s="182" t="s">
        <v>231</v>
      </c>
    </row>
    <row r="486" spans="1:14" ht="19.5">
      <c r="A486" s="197" t="s">
        <v>2513</v>
      </c>
      <c r="B486" s="188" t="s">
        <v>188</v>
      </c>
      <c r="C486" s="174" t="s">
        <v>4833</v>
      </c>
      <c r="D486" s="174" t="s">
        <v>39</v>
      </c>
      <c r="E486" s="174">
        <v>0</v>
      </c>
      <c r="F486" s="186" t="s">
        <v>2514</v>
      </c>
      <c r="G486" s="174"/>
      <c r="H486" s="174"/>
      <c r="I486" s="174"/>
      <c r="J486" s="180" t="s">
        <v>4728</v>
      </c>
      <c r="K486" s="181" t="s">
        <v>4833</v>
      </c>
      <c r="L486" s="181" t="s">
        <v>39</v>
      </c>
      <c r="M486" s="181" t="s">
        <v>231</v>
      </c>
      <c r="N486" s="182" t="s">
        <v>231</v>
      </c>
    </row>
    <row r="487" spans="1:14" ht="19.5">
      <c r="A487" s="197" t="s">
        <v>2517</v>
      </c>
      <c r="B487" s="188" t="s">
        <v>188</v>
      </c>
      <c r="C487" s="174" t="s">
        <v>4833</v>
      </c>
      <c r="D487" s="174" t="s">
        <v>39</v>
      </c>
      <c r="E487" s="174">
        <v>0</v>
      </c>
      <c r="F487" s="186" t="s">
        <v>2518</v>
      </c>
      <c r="G487" s="174"/>
      <c r="H487" s="174"/>
      <c r="I487" s="174"/>
      <c r="J487" s="180" t="s">
        <v>3726</v>
      </c>
      <c r="K487" s="181" t="s">
        <v>4833</v>
      </c>
      <c r="L487" s="181" t="s">
        <v>39</v>
      </c>
      <c r="M487" s="181" t="s">
        <v>231</v>
      </c>
      <c r="N487" s="182" t="s">
        <v>231</v>
      </c>
    </row>
    <row r="488" spans="1:14" ht="19.5">
      <c r="A488" s="197" t="s">
        <v>2521</v>
      </c>
      <c r="B488" s="188" t="s">
        <v>188</v>
      </c>
      <c r="C488" s="174" t="s">
        <v>4833</v>
      </c>
      <c r="D488" s="174" t="s">
        <v>39</v>
      </c>
      <c r="E488" s="174">
        <v>0</v>
      </c>
      <c r="F488" s="186" t="s">
        <v>2522</v>
      </c>
      <c r="G488" s="174"/>
      <c r="H488" s="174"/>
      <c r="I488" s="174"/>
      <c r="J488" s="180" t="s">
        <v>2227</v>
      </c>
      <c r="K488" s="181" t="s">
        <v>4833</v>
      </c>
      <c r="L488" s="181" t="s">
        <v>39</v>
      </c>
      <c r="M488" s="181" t="s">
        <v>231</v>
      </c>
      <c r="N488" s="182" t="s">
        <v>231</v>
      </c>
    </row>
    <row r="489" spans="1:14" ht="19.5">
      <c r="A489" s="197" t="s">
        <v>2525</v>
      </c>
      <c r="B489" s="188" t="s">
        <v>188</v>
      </c>
      <c r="C489" s="174" t="s">
        <v>4833</v>
      </c>
      <c r="D489" s="174" t="s">
        <v>39</v>
      </c>
      <c r="E489" s="174">
        <v>0</v>
      </c>
      <c r="F489" s="186" t="s">
        <v>2526</v>
      </c>
      <c r="G489" s="174"/>
      <c r="H489" s="174"/>
      <c r="I489" s="174"/>
      <c r="J489" s="180" t="s">
        <v>5389</v>
      </c>
      <c r="K489" s="181" t="s">
        <v>4833</v>
      </c>
      <c r="L489" s="181" t="s">
        <v>39</v>
      </c>
      <c r="M489" s="181" t="s">
        <v>231</v>
      </c>
      <c r="N489" s="182" t="s">
        <v>231</v>
      </c>
    </row>
    <row r="490" spans="1:14" ht="19.5">
      <c r="A490" s="197" t="s">
        <v>2529</v>
      </c>
      <c r="B490" s="188" t="s">
        <v>188</v>
      </c>
      <c r="C490" s="174" t="s">
        <v>4833</v>
      </c>
      <c r="D490" s="174" t="s">
        <v>39</v>
      </c>
      <c r="E490" s="174">
        <v>0</v>
      </c>
      <c r="F490" s="186" t="s">
        <v>2530</v>
      </c>
      <c r="G490" s="174"/>
      <c r="H490" s="174"/>
      <c r="I490" s="174"/>
      <c r="J490" s="180" t="s">
        <v>500</v>
      </c>
      <c r="K490" s="181" t="s">
        <v>3894</v>
      </c>
      <c r="L490" s="181" t="s">
        <v>5</v>
      </c>
      <c r="M490" s="181" t="s">
        <v>5377</v>
      </c>
      <c r="N490" s="182" t="s">
        <v>5</v>
      </c>
    </row>
    <row r="491" spans="1:14" ht="19.5">
      <c r="A491" s="197" t="s">
        <v>2533</v>
      </c>
      <c r="B491" s="188" t="s">
        <v>188</v>
      </c>
      <c r="C491" s="174" t="s">
        <v>4833</v>
      </c>
      <c r="D491" s="174" t="s">
        <v>39</v>
      </c>
      <c r="E491" s="174">
        <v>0</v>
      </c>
      <c r="F491" s="186" t="s">
        <v>2534</v>
      </c>
      <c r="G491" s="174"/>
      <c r="H491" s="174"/>
      <c r="I491" s="174"/>
      <c r="J491" s="180" t="s">
        <v>2432</v>
      </c>
      <c r="K491" s="181" t="s">
        <v>4833</v>
      </c>
      <c r="L491" s="181" t="s">
        <v>39</v>
      </c>
      <c r="M491" s="181" t="s">
        <v>231</v>
      </c>
      <c r="N491" s="182" t="s">
        <v>231</v>
      </c>
    </row>
    <row r="492" spans="1:14" ht="19.5">
      <c r="A492" s="197" t="s">
        <v>2537</v>
      </c>
      <c r="B492" s="188" t="s">
        <v>188</v>
      </c>
      <c r="C492" s="174" t="s">
        <v>4833</v>
      </c>
      <c r="D492" s="174" t="s">
        <v>39</v>
      </c>
      <c r="E492" s="174">
        <v>0</v>
      </c>
      <c r="F492" s="186" t="s">
        <v>2538</v>
      </c>
      <c r="G492" s="174"/>
      <c r="H492" s="174"/>
      <c r="I492" s="174"/>
      <c r="J492" s="180" t="s">
        <v>2437</v>
      </c>
      <c r="K492" s="181" t="s">
        <v>4833</v>
      </c>
      <c r="L492" s="181" t="s">
        <v>39</v>
      </c>
      <c r="M492" s="181" t="s">
        <v>231</v>
      </c>
      <c r="N492" s="182" t="s">
        <v>231</v>
      </c>
    </row>
    <row r="493" spans="1:14" ht="19.5">
      <c r="A493" s="197" t="s">
        <v>2541</v>
      </c>
      <c r="B493" s="188" t="s">
        <v>188</v>
      </c>
      <c r="C493" s="174" t="s">
        <v>4833</v>
      </c>
      <c r="D493" s="174" t="s">
        <v>39</v>
      </c>
      <c r="E493" s="174">
        <v>0</v>
      </c>
      <c r="F493" s="186" t="s">
        <v>2542</v>
      </c>
      <c r="G493" s="174"/>
      <c r="H493" s="174"/>
      <c r="I493" s="174"/>
      <c r="J493" s="180" t="s">
        <v>2442</v>
      </c>
      <c r="K493" s="181" t="s">
        <v>4833</v>
      </c>
      <c r="L493" s="181" t="s">
        <v>39</v>
      </c>
      <c r="M493" s="181" t="s">
        <v>231</v>
      </c>
      <c r="N493" s="182" t="s">
        <v>231</v>
      </c>
    </row>
    <row r="494" spans="1:14" ht="19.5">
      <c r="A494" s="197" t="s">
        <v>2545</v>
      </c>
      <c r="B494" s="188" t="s">
        <v>188</v>
      </c>
      <c r="C494" s="174" t="s">
        <v>4833</v>
      </c>
      <c r="D494" s="174" t="s">
        <v>39</v>
      </c>
      <c r="E494" s="174">
        <v>0</v>
      </c>
      <c r="F494" s="186" t="s">
        <v>2546</v>
      </c>
      <c r="G494" s="174"/>
      <c r="H494" s="174"/>
      <c r="I494" s="174"/>
      <c r="J494" s="180" t="s">
        <v>2447</v>
      </c>
      <c r="K494" s="181" t="s">
        <v>4833</v>
      </c>
      <c r="L494" s="181" t="s">
        <v>39</v>
      </c>
      <c r="M494" s="181" t="s">
        <v>231</v>
      </c>
      <c r="N494" s="182" t="s">
        <v>231</v>
      </c>
    </row>
    <row r="495" spans="1:14" ht="19.5">
      <c r="A495" s="197" t="s">
        <v>2549</v>
      </c>
      <c r="B495" s="188" t="s">
        <v>188</v>
      </c>
      <c r="C495" s="174" t="s">
        <v>4833</v>
      </c>
      <c r="D495" s="174" t="s">
        <v>39</v>
      </c>
      <c r="E495" s="174">
        <v>0</v>
      </c>
      <c r="F495" s="186" t="s">
        <v>2550</v>
      </c>
      <c r="G495" s="174"/>
      <c r="H495" s="174"/>
      <c r="I495" s="174"/>
      <c r="J495" s="180" t="s">
        <v>769</v>
      </c>
      <c r="K495" s="181" t="s">
        <v>4833</v>
      </c>
      <c r="L495" s="181" t="s">
        <v>39</v>
      </c>
      <c r="M495" s="181" t="s">
        <v>231</v>
      </c>
      <c r="N495" s="182" t="s">
        <v>231</v>
      </c>
    </row>
    <row r="496" spans="1:14" ht="19.5">
      <c r="A496" s="197" t="s">
        <v>2553</v>
      </c>
      <c r="B496" s="188" t="s">
        <v>188</v>
      </c>
      <c r="C496" s="174" t="s">
        <v>4833</v>
      </c>
      <c r="D496" s="174" t="s">
        <v>39</v>
      </c>
      <c r="E496" s="174">
        <v>0</v>
      </c>
      <c r="F496" s="186" t="s">
        <v>2554</v>
      </c>
      <c r="G496" s="174"/>
      <c r="H496" s="174"/>
      <c r="I496" s="174"/>
      <c r="J496" s="180" t="s">
        <v>2453</v>
      </c>
      <c r="K496" s="181" t="s">
        <v>4833</v>
      </c>
      <c r="L496" s="181" t="s">
        <v>39</v>
      </c>
      <c r="M496" s="181" t="s">
        <v>231</v>
      </c>
      <c r="N496" s="182" t="s">
        <v>231</v>
      </c>
    </row>
    <row r="497" spans="1:14" ht="19.5">
      <c r="A497" s="197" t="s">
        <v>2557</v>
      </c>
      <c r="B497" s="188" t="s">
        <v>188</v>
      </c>
      <c r="C497" s="174" t="s">
        <v>4833</v>
      </c>
      <c r="D497" s="174" t="s">
        <v>39</v>
      </c>
      <c r="E497" s="174">
        <v>0</v>
      </c>
      <c r="F497" s="186" t="s">
        <v>2558</v>
      </c>
      <c r="G497" s="174"/>
      <c r="H497" s="174"/>
      <c r="I497" s="174"/>
      <c r="J497" s="180" t="s">
        <v>2458</v>
      </c>
      <c r="K497" s="181" t="s">
        <v>4833</v>
      </c>
      <c r="L497" s="181" t="s">
        <v>39</v>
      </c>
      <c r="M497" s="181" t="s">
        <v>231</v>
      </c>
      <c r="N497" s="182" t="s">
        <v>231</v>
      </c>
    </row>
    <row r="498" spans="1:14" ht="19.5">
      <c r="A498" s="197" t="s">
        <v>2561</v>
      </c>
      <c r="B498" s="188" t="s">
        <v>15</v>
      </c>
      <c r="C498" s="174" t="s">
        <v>3894</v>
      </c>
      <c r="D498" s="174" t="s">
        <v>5346</v>
      </c>
      <c r="E498" s="174" t="s">
        <v>98</v>
      </c>
      <c r="F498" s="186" t="s">
        <v>2562</v>
      </c>
      <c r="G498" s="174"/>
      <c r="H498" s="174"/>
      <c r="I498" s="174"/>
      <c r="J498" s="180" t="s">
        <v>2463</v>
      </c>
      <c r="K498" s="181" t="s">
        <v>4833</v>
      </c>
      <c r="L498" s="181" t="s">
        <v>39</v>
      </c>
      <c r="M498" s="181" t="s">
        <v>231</v>
      </c>
      <c r="N498" s="182" t="s">
        <v>231</v>
      </c>
    </row>
    <row r="499" spans="1:14" ht="19.5">
      <c r="A499" s="197" t="s">
        <v>2566</v>
      </c>
      <c r="B499" s="188" t="s">
        <v>188</v>
      </c>
      <c r="C499" s="174" t="s">
        <v>4833</v>
      </c>
      <c r="D499" s="174" t="s">
        <v>39</v>
      </c>
      <c r="E499" s="174">
        <v>0</v>
      </c>
      <c r="F499" s="186" t="s">
        <v>2567</v>
      </c>
      <c r="G499" s="174"/>
      <c r="H499" s="174"/>
      <c r="I499" s="174"/>
      <c r="J499" s="180" t="s">
        <v>4570</v>
      </c>
      <c r="K499" s="181" t="s">
        <v>4833</v>
      </c>
      <c r="L499" s="181" t="s">
        <v>39</v>
      </c>
      <c r="M499" s="181" t="s">
        <v>231</v>
      </c>
      <c r="N499" s="182" t="s">
        <v>231</v>
      </c>
    </row>
    <row r="500" spans="1:14" ht="19.5">
      <c r="A500" s="197" t="s">
        <v>2570</v>
      </c>
      <c r="B500" s="188" t="s">
        <v>188</v>
      </c>
      <c r="C500" s="174" t="s">
        <v>4833</v>
      </c>
      <c r="D500" s="174" t="s">
        <v>39</v>
      </c>
      <c r="E500" s="174">
        <v>0</v>
      </c>
      <c r="F500" s="186" t="s">
        <v>2571</v>
      </c>
      <c r="G500" s="174"/>
      <c r="H500" s="174"/>
      <c r="I500" s="174"/>
      <c r="J500" s="180" t="s">
        <v>2468</v>
      </c>
      <c r="K500" s="181" t="s">
        <v>4833</v>
      </c>
      <c r="L500" s="181" t="s">
        <v>39</v>
      </c>
      <c r="M500" s="181" t="s">
        <v>231</v>
      </c>
      <c r="N500" s="182" t="s">
        <v>231</v>
      </c>
    </row>
    <row r="501" spans="1:14" ht="19.5">
      <c r="A501" s="197" t="s">
        <v>2574</v>
      </c>
      <c r="B501" s="188" t="s">
        <v>188</v>
      </c>
      <c r="C501" s="174" t="s">
        <v>4833</v>
      </c>
      <c r="D501" s="174" t="s">
        <v>39</v>
      </c>
      <c r="E501" s="174">
        <v>0</v>
      </c>
      <c r="F501" s="186" t="s">
        <v>2575</v>
      </c>
      <c r="G501" s="174"/>
      <c r="H501" s="174"/>
      <c r="I501" s="174"/>
      <c r="J501" s="180" t="s">
        <v>2473</v>
      </c>
      <c r="K501" s="181" t="s">
        <v>4833</v>
      </c>
      <c r="L501" s="181" t="s">
        <v>39</v>
      </c>
      <c r="M501" s="181" t="s">
        <v>231</v>
      </c>
      <c r="N501" s="182" t="s">
        <v>231</v>
      </c>
    </row>
    <row r="502" spans="1:14" ht="19.5">
      <c r="A502" s="197" t="s">
        <v>2578</v>
      </c>
      <c r="B502" s="188" t="s">
        <v>188</v>
      </c>
      <c r="C502" s="174" t="s">
        <v>4833</v>
      </c>
      <c r="D502" s="174" t="s">
        <v>39</v>
      </c>
      <c r="E502" s="174">
        <v>0</v>
      </c>
      <c r="F502" s="186" t="s">
        <v>2579</v>
      </c>
      <c r="G502" s="174"/>
      <c r="H502" s="174"/>
      <c r="I502" s="174"/>
      <c r="J502" s="180" t="s">
        <v>2477</v>
      </c>
      <c r="K502" s="181" t="s">
        <v>4833</v>
      </c>
      <c r="L502" s="181" t="s">
        <v>39</v>
      </c>
      <c r="M502" s="181" t="s">
        <v>231</v>
      </c>
      <c r="N502" s="182" t="s">
        <v>231</v>
      </c>
    </row>
    <row r="503" spans="1:14" ht="19.5">
      <c r="A503" s="197" t="s">
        <v>2582</v>
      </c>
      <c r="B503" s="188" t="s">
        <v>188</v>
      </c>
      <c r="C503" s="174" t="s">
        <v>4833</v>
      </c>
      <c r="D503" s="174" t="s">
        <v>39</v>
      </c>
      <c r="E503" s="174">
        <v>0</v>
      </c>
      <c r="F503" s="186" t="s">
        <v>2583</v>
      </c>
      <c r="G503" s="174"/>
      <c r="H503" s="174"/>
      <c r="I503" s="174"/>
      <c r="J503" s="180" t="s">
        <v>2481</v>
      </c>
      <c r="K503" s="181" t="s">
        <v>4833</v>
      </c>
      <c r="L503" s="181" t="s">
        <v>39</v>
      </c>
      <c r="M503" s="181" t="s">
        <v>231</v>
      </c>
      <c r="N503" s="182" t="s">
        <v>231</v>
      </c>
    </row>
    <row r="504" spans="1:14" ht="19.5">
      <c r="A504" s="197" t="s">
        <v>2586</v>
      </c>
      <c r="B504" s="188" t="s">
        <v>188</v>
      </c>
      <c r="C504" s="174" t="s">
        <v>4833</v>
      </c>
      <c r="D504" s="174" t="s">
        <v>39</v>
      </c>
      <c r="E504" s="174">
        <v>0</v>
      </c>
      <c r="F504" s="186" t="s">
        <v>2587</v>
      </c>
      <c r="G504" s="174"/>
      <c r="H504" s="174"/>
      <c r="I504" s="174"/>
      <c r="J504" s="180" t="s">
        <v>2485</v>
      </c>
      <c r="K504" s="181" t="s">
        <v>4833</v>
      </c>
      <c r="L504" s="181" t="s">
        <v>39</v>
      </c>
      <c r="M504" s="181" t="s">
        <v>231</v>
      </c>
      <c r="N504" s="182" t="s">
        <v>231</v>
      </c>
    </row>
    <row r="505" spans="1:14" ht="19.5">
      <c r="A505" s="197" t="s">
        <v>2590</v>
      </c>
      <c r="B505" s="188" t="s">
        <v>188</v>
      </c>
      <c r="C505" s="174" t="s">
        <v>4833</v>
      </c>
      <c r="D505" s="174" t="s">
        <v>39</v>
      </c>
      <c r="E505" s="174">
        <v>0</v>
      </c>
      <c r="F505" s="186" t="s">
        <v>2591</v>
      </c>
      <c r="G505" s="174"/>
      <c r="H505" s="174"/>
      <c r="I505" s="174"/>
      <c r="J505" s="180" t="s">
        <v>2489</v>
      </c>
      <c r="K505" s="181" t="s">
        <v>4833</v>
      </c>
      <c r="L505" s="181" t="s">
        <v>39</v>
      </c>
      <c r="M505" s="181" t="s">
        <v>231</v>
      </c>
      <c r="N505" s="182" t="s">
        <v>231</v>
      </c>
    </row>
    <row r="506" spans="1:14" ht="19.5">
      <c r="A506" s="197" t="s">
        <v>2594</v>
      </c>
      <c r="B506" s="188" t="s">
        <v>188</v>
      </c>
      <c r="C506" s="174" t="s">
        <v>4833</v>
      </c>
      <c r="D506" s="174" t="s">
        <v>39</v>
      </c>
      <c r="E506" s="174">
        <v>0</v>
      </c>
      <c r="F506" s="186" t="s">
        <v>2595</v>
      </c>
      <c r="G506" s="174"/>
      <c r="H506" s="174"/>
      <c r="I506" s="174"/>
      <c r="J506" s="180" t="s">
        <v>2493</v>
      </c>
      <c r="K506" s="181" t="s">
        <v>4833</v>
      </c>
      <c r="L506" s="181" t="s">
        <v>39</v>
      </c>
      <c r="M506" s="181" t="s">
        <v>231</v>
      </c>
      <c r="N506" s="182" t="s">
        <v>231</v>
      </c>
    </row>
    <row r="507" spans="1:14" ht="19.5">
      <c r="A507" s="197" t="s">
        <v>2599</v>
      </c>
      <c r="B507" s="188" t="s">
        <v>188</v>
      </c>
      <c r="C507" s="174" t="s">
        <v>4833</v>
      </c>
      <c r="D507" s="174" t="s">
        <v>39</v>
      </c>
      <c r="E507" s="174">
        <v>0</v>
      </c>
      <c r="F507" s="186" t="s">
        <v>2600</v>
      </c>
      <c r="G507" s="174"/>
      <c r="H507" s="174"/>
      <c r="I507" s="174"/>
      <c r="J507" s="180" t="s">
        <v>2497</v>
      </c>
      <c r="K507" s="181" t="s">
        <v>4833</v>
      </c>
      <c r="L507" s="181" t="s">
        <v>39</v>
      </c>
      <c r="M507" s="181" t="s">
        <v>231</v>
      </c>
      <c r="N507" s="182" t="s">
        <v>231</v>
      </c>
    </row>
    <row r="508" spans="1:14" ht="19.5">
      <c r="A508" s="197" t="s">
        <v>2607</v>
      </c>
      <c r="B508" s="188" t="s">
        <v>188</v>
      </c>
      <c r="C508" s="174" t="s">
        <v>4833</v>
      </c>
      <c r="D508" s="174" t="s">
        <v>39</v>
      </c>
      <c r="E508" s="174">
        <v>0</v>
      </c>
      <c r="F508" s="186" t="s">
        <v>2608</v>
      </c>
      <c r="G508" s="174"/>
      <c r="H508" s="174"/>
      <c r="I508" s="174"/>
      <c r="J508" s="180" t="s">
        <v>2501</v>
      </c>
      <c r="K508" s="181" t="s">
        <v>4833</v>
      </c>
      <c r="L508" s="181" t="s">
        <v>39</v>
      </c>
      <c r="M508" s="181" t="s">
        <v>231</v>
      </c>
      <c r="N508" s="182" t="s">
        <v>231</v>
      </c>
    </row>
    <row r="509" spans="1:14" ht="19.5">
      <c r="A509" s="197" t="s">
        <v>2611</v>
      </c>
      <c r="B509" s="188" t="s">
        <v>188</v>
      </c>
      <c r="C509" s="174" t="s">
        <v>4833</v>
      </c>
      <c r="D509" s="174" t="s">
        <v>39</v>
      </c>
      <c r="E509" s="174">
        <v>0</v>
      </c>
      <c r="F509" s="186" t="s">
        <v>2612</v>
      </c>
      <c r="G509" s="174"/>
      <c r="H509" s="174"/>
      <c r="I509" s="174"/>
      <c r="J509" s="180" t="s">
        <v>2505</v>
      </c>
      <c r="K509" s="181" t="s">
        <v>4833</v>
      </c>
      <c r="L509" s="181" t="s">
        <v>39</v>
      </c>
      <c r="M509" s="181" t="s">
        <v>231</v>
      </c>
      <c r="N509" s="182" t="s">
        <v>231</v>
      </c>
    </row>
    <row r="510" spans="1:14" ht="19.5">
      <c r="A510" s="197" t="s">
        <v>2615</v>
      </c>
      <c r="B510" s="188" t="s">
        <v>188</v>
      </c>
      <c r="C510" s="174" t="s">
        <v>4833</v>
      </c>
      <c r="D510" s="174" t="s">
        <v>39</v>
      </c>
      <c r="E510" s="174">
        <v>0</v>
      </c>
      <c r="F510" s="186" t="s">
        <v>2616</v>
      </c>
      <c r="G510" s="174"/>
      <c r="H510" s="174"/>
      <c r="I510" s="174"/>
      <c r="J510" s="180" t="s">
        <v>4573</v>
      </c>
      <c r="K510" s="181" t="s">
        <v>4833</v>
      </c>
      <c r="L510" s="181" t="s">
        <v>39</v>
      </c>
      <c r="M510" s="181" t="s">
        <v>231</v>
      </c>
      <c r="N510" s="182" t="s">
        <v>231</v>
      </c>
    </row>
    <row r="511" spans="1:14" ht="19.5">
      <c r="A511" s="197" t="s">
        <v>2619</v>
      </c>
      <c r="B511" s="188" t="s">
        <v>188</v>
      </c>
      <c r="C511" s="174" t="s">
        <v>4833</v>
      </c>
      <c r="D511" s="174" t="s">
        <v>39</v>
      </c>
      <c r="E511" s="174">
        <v>0</v>
      </c>
      <c r="F511" s="186" t="s">
        <v>2620</v>
      </c>
      <c r="G511" s="174"/>
      <c r="H511" s="174"/>
      <c r="I511" s="174"/>
      <c r="J511" s="180" t="s">
        <v>2509</v>
      </c>
      <c r="K511" s="181" t="s">
        <v>4833</v>
      </c>
      <c r="L511" s="181" t="s">
        <v>39</v>
      </c>
      <c r="M511" s="181" t="s">
        <v>231</v>
      </c>
      <c r="N511" s="182" t="s">
        <v>231</v>
      </c>
    </row>
    <row r="512" spans="1:14" ht="19.5">
      <c r="A512" s="197" t="s">
        <v>2623</v>
      </c>
      <c r="B512" s="188" t="s">
        <v>188</v>
      </c>
      <c r="C512" s="174" t="s">
        <v>4833</v>
      </c>
      <c r="D512" s="174" t="s">
        <v>39</v>
      </c>
      <c r="E512" s="174">
        <v>0</v>
      </c>
      <c r="F512" s="186" t="s">
        <v>2624</v>
      </c>
      <c r="G512" s="174"/>
      <c r="H512" s="174"/>
      <c r="I512" s="174"/>
      <c r="J512" s="180" t="s">
        <v>2513</v>
      </c>
      <c r="K512" s="181" t="s">
        <v>4833</v>
      </c>
      <c r="L512" s="181" t="s">
        <v>39</v>
      </c>
      <c r="M512" s="181" t="s">
        <v>231</v>
      </c>
      <c r="N512" s="182" t="s">
        <v>231</v>
      </c>
    </row>
    <row r="513" spans="1:14" ht="19.5">
      <c r="A513" s="197" t="s">
        <v>2627</v>
      </c>
      <c r="B513" s="188" t="s">
        <v>188</v>
      </c>
      <c r="C513" s="174" t="s">
        <v>4833</v>
      </c>
      <c r="D513" s="174" t="s">
        <v>39</v>
      </c>
      <c r="E513" s="174">
        <v>0</v>
      </c>
      <c r="F513" s="186" t="s">
        <v>2628</v>
      </c>
      <c r="G513" s="174"/>
      <c r="H513" s="174"/>
      <c r="I513" s="174"/>
      <c r="J513" s="180" t="s">
        <v>2517</v>
      </c>
      <c r="K513" s="181" t="s">
        <v>4833</v>
      </c>
      <c r="L513" s="181" t="s">
        <v>39</v>
      </c>
      <c r="M513" s="181" t="s">
        <v>231</v>
      </c>
      <c r="N513" s="182" t="s">
        <v>231</v>
      </c>
    </row>
    <row r="514" spans="1:14" ht="19.5">
      <c r="A514" s="197" t="s">
        <v>2631</v>
      </c>
      <c r="B514" s="188" t="s">
        <v>188</v>
      </c>
      <c r="C514" s="174" t="s">
        <v>4833</v>
      </c>
      <c r="D514" s="174" t="s">
        <v>39</v>
      </c>
      <c r="E514" s="174">
        <v>0</v>
      </c>
      <c r="F514" s="186" t="s">
        <v>2632</v>
      </c>
      <c r="G514" s="174"/>
      <c r="H514" s="174"/>
      <c r="I514" s="174"/>
      <c r="J514" s="180" t="s">
        <v>5390</v>
      </c>
      <c r="K514" s="181" t="s">
        <v>3894</v>
      </c>
      <c r="L514" s="181" t="s">
        <v>3</v>
      </c>
      <c r="M514" s="181" t="s">
        <v>1038</v>
      </c>
      <c r="N514" s="182" t="s">
        <v>3</v>
      </c>
    </row>
    <row r="515" spans="1:14" ht="19.5">
      <c r="A515" s="197" t="s">
        <v>2635</v>
      </c>
      <c r="B515" s="188" t="s">
        <v>188</v>
      </c>
      <c r="C515" s="174" t="s">
        <v>4833</v>
      </c>
      <c r="D515" s="174" t="s">
        <v>39</v>
      </c>
      <c r="E515" s="174">
        <v>0</v>
      </c>
      <c r="F515" s="186" t="s">
        <v>2636</v>
      </c>
      <c r="G515" s="174"/>
      <c r="H515" s="174"/>
      <c r="I515" s="174"/>
      <c r="J515" s="180" t="s">
        <v>2521</v>
      </c>
      <c r="K515" s="181" t="s">
        <v>4833</v>
      </c>
      <c r="L515" s="181" t="s">
        <v>39</v>
      </c>
      <c r="M515" s="181" t="s">
        <v>231</v>
      </c>
      <c r="N515" s="182" t="s">
        <v>231</v>
      </c>
    </row>
    <row r="516" spans="1:14" ht="19.5">
      <c r="A516" s="197" t="s">
        <v>2640</v>
      </c>
      <c r="B516" s="188" t="s">
        <v>188</v>
      </c>
      <c r="C516" s="174" t="s">
        <v>4833</v>
      </c>
      <c r="D516" s="174" t="s">
        <v>39</v>
      </c>
      <c r="E516" s="174">
        <v>0</v>
      </c>
      <c r="F516" s="186" t="s">
        <v>2641</v>
      </c>
      <c r="G516" s="174"/>
      <c r="H516" s="174"/>
      <c r="I516" s="174"/>
      <c r="J516" s="180" t="s">
        <v>2525</v>
      </c>
      <c r="K516" s="181" t="s">
        <v>4833</v>
      </c>
      <c r="L516" s="181" t="s">
        <v>39</v>
      </c>
      <c r="M516" s="181" t="s">
        <v>231</v>
      </c>
      <c r="N516" s="182" t="s">
        <v>231</v>
      </c>
    </row>
    <row r="517" spans="1:14" ht="19.5">
      <c r="A517" s="197" t="s">
        <v>2644</v>
      </c>
      <c r="B517" s="188" t="s">
        <v>188</v>
      </c>
      <c r="C517" s="174" t="s">
        <v>4833</v>
      </c>
      <c r="D517" s="174" t="s">
        <v>39</v>
      </c>
      <c r="E517" s="174">
        <v>0</v>
      </c>
      <c r="F517" s="186" t="s">
        <v>2645</v>
      </c>
      <c r="G517" s="174"/>
      <c r="H517" s="174"/>
      <c r="I517" s="174"/>
      <c r="J517" s="180" t="s">
        <v>2529</v>
      </c>
      <c r="K517" s="181" t="s">
        <v>4833</v>
      </c>
      <c r="L517" s="181" t="s">
        <v>39</v>
      </c>
      <c r="M517" s="181" t="s">
        <v>231</v>
      </c>
      <c r="N517" s="182" t="s">
        <v>231</v>
      </c>
    </row>
    <row r="518" spans="1:14" ht="19.5">
      <c r="A518" s="197" t="s">
        <v>2648</v>
      </c>
      <c r="B518" s="188" t="s">
        <v>188</v>
      </c>
      <c r="C518" s="174" t="s">
        <v>4833</v>
      </c>
      <c r="D518" s="174" t="s">
        <v>39</v>
      </c>
      <c r="E518" s="174">
        <v>0</v>
      </c>
      <c r="F518" s="186" t="s">
        <v>2649</v>
      </c>
      <c r="G518" s="174"/>
      <c r="H518" s="174"/>
      <c r="I518" s="174"/>
      <c r="J518" s="180" t="s">
        <v>5391</v>
      </c>
      <c r="K518" s="181" t="s">
        <v>4833</v>
      </c>
      <c r="L518" s="181" t="s">
        <v>39</v>
      </c>
      <c r="M518" s="181" t="s">
        <v>231</v>
      </c>
      <c r="N518" s="182" t="s">
        <v>231</v>
      </c>
    </row>
    <row r="519" spans="1:14" ht="19.5">
      <c r="A519" s="197" t="s">
        <v>2652</v>
      </c>
      <c r="B519" s="188" t="s">
        <v>188</v>
      </c>
      <c r="C519" s="174" t="s">
        <v>4833</v>
      </c>
      <c r="D519" s="174" t="s">
        <v>39</v>
      </c>
      <c r="E519" s="174">
        <v>0</v>
      </c>
      <c r="F519" s="186" t="s">
        <v>2653</v>
      </c>
      <c r="G519" s="174"/>
      <c r="H519" s="174"/>
      <c r="I519" s="174"/>
      <c r="J519" s="180" t="s">
        <v>2533</v>
      </c>
      <c r="K519" s="181" t="s">
        <v>4833</v>
      </c>
      <c r="L519" s="181" t="s">
        <v>39</v>
      </c>
      <c r="M519" s="181" t="s">
        <v>231</v>
      </c>
      <c r="N519" s="182" t="s">
        <v>231</v>
      </c>
    </row>
    <row r="520" spans="1:14" ht="19.5">
      <c r="A520" s="197" t="s">
        <v>2656</v>
      </c>
      <c r="B520" s="188" t="s">
        <v>188</v>
      </c>
      <c r="C520" s="174" t="s">
        <v>4833</v>
      </c>
      <c r="D520" s="174" t="s">
        <v>39</v>
      </c>
      <c r="E520" s="174">
        <v>0</v>
      </c>
      <c r="F520" s="186" t="s">
        <v>2657</v>
      </c>
      <c r="G520" s="174"/>
      <c r="H520" s="174"/>
      <c r="I520" s="174"/>
      <c r="J520" s="180" t="s">
        <v>2537</v>
      </c>
      <c r="K520" s="181" t="s">
        <v>4833</v>
      </c>
      <c r="L520" s="181" t="s">
        <v>39</v>
      </c>
      <c r="M520" s="181" t="s">
        <v>231</v>
      </c>
      <c r="N520" s="182" t="s">
        <v>231</v>
      </c>
    </row>
    <row r="521" spans="1:14" ht="19.5">
      <c r="A521" s="197" t="s">
        <v>2660</v>
      </c>
      <c r="B521" s="188" t="s">
        <v>188</v>
      </c>
      <c r="C521" s="174" t="s">
        <v>4833</v>
      </c>
      <c r="D521" s="174" t="s">
        <v>39</v>
      </c>
      <c r="E521" s="174">
        <v>0</v>
      </c>
      <c r="F521" s="186" t="s">
        <v>2661</v>
      </c>
      <c r="G521" s="174"/>
      <c r="H521" s="174"/>
      <c r="I521" s="174"/>
      <c r="J521" s="180" t="s">
        <v>2541</v>
      </c>
      <c r="K521" s="181" t="s">
        <v>4833</v>
      </c>
      <c r="L521" s="181" t="s">
        <v>39</v>
      </c>
      <c r="M521" s="181" t="s">
        <v>231</v>
      </c>
      <c r="N521" s="182" t="s">
        <v>231</v>
      </c>
    </row>
    <row r="522" spans="1:14" ht="19.5">
      <c r="A522" s="197" t="s">
        <v>2664</v>
      </c>
      <c r="B522" s="188" t="s">
        <v>27</v>
      </c>
      <c r="C522" s="174" t="s">
        <v>4833</v>
      </c>
      <c r="D522" s="174" t="s">
        <v>39</v>
      </c>
      <c r="E522" s="174">
        <v>0</v>
      </c>
      <c r="F522" s="186" t="s">
        <v>2665</v>
      </c>
      <c r="G522" s="174"/>
      <c r="H522" s="174"/>
      <c r="I522" s="174"/>
      <c r="J522" s="180" t="s">
        <v>2545</v>
      </c>
      <c r="K522" s="181" t="s">
        <v>4833</v>
      </c>
      <c r="L522" s="181" t="s">
        <v>39</v>
      </c>
      <c r="M522" s="181" t="s">
        <v>231</v>
      </c>
      <c r="N522" s="182" t="s">
        <v>231</v>
      </c>
    </row>
    <row r="523" spans="1:14" ht="19.5">
      <c r="A523" s="197" t="s">
        <v>2668</v>
      </c>
      <c r="B523" s="188" t="s">
        <v>15</v>
      </c>
      <c r="C523" s="174" t="s">
        <v>3894</v>
      </c>
      <c r="D523" s="174">
        <v>0</v>
      </c>
      <c r="E523" s="174" t="s">
        <v>154</v>
      </c>
      <c r="F523" s="186" t="s">
        <v>2669</v>
      </c>
      <c r="G523" s="174"/>
      <c r="H523" s="174"/>
      <c r="I523" s="174"/>
      <c r="J523" s="180" t="s">
        <v>2549</v>
      </c>
      <c r="K523" s="181" t="s">
        <v>4833</v>
      </c>
      <c r="L523" s="181" t="s">
        <v>39</v>
      </c>
      <c r="M523" s="181" t="s">
        <v>231</v>
      </c>
      <c r="N523" s="182" t="s">
        <v>231</v>
      </c>
    </row>
    <row r="524" spans="1:14" ht="19.5">
      <c r="A524" s="197" t="s">
        <v>3722</v>
      </c>
      <c r="B524" s="188" t="s">
        <v>4</v>
      </c>
      <c r="C524" s="174" t="s">
        <v>4833</v>
      </c>
      <c r="D524" s="174" t="s">
        <v>39</v>
      </c>
      <c r="E524" s="174">
        <v>0</v>
      </c>
      <c r="F524" s="186" t="s">
        <v>3723</v>
      </c>
      <c r="G524" s="174"/>
      <c r="H524" s="174"/>
      <c r="I524" s="174"/>
      <c r="J524" s="180" t="s">
        <v>2553</v>
      </c>
      <c r="K524" s="181" t="s">
        <v>4833</v>
      </c>
      <c r="L524" s="181" t="s">
        <v>39</v>
      </c>
      <c r="M524" s="181" t="s">
        <v>231</v>
      </c>
      <c r="N524" s="182" t="s">
        <v>231</v>
      </c>
    </row>
    <row r="525" spans="1:14" ht="19.5">
      <c r="A525" s="197" t="s">
        <v>2674</v>
      </c>
      <c r="B525" s="188" t="s">
        <v>27</v>
      </c>
      <c r="C525" s="174" t="s">
        <v>4833</v>
      </c>
      <c r="D525" s="174" t="s">
        <v>39</v>
      </c>
      <c r="E525" s="174">
        <v>0</v>
      </c>
      <c r="F525" s="186" t="s">
        <v>2675</v>
      </c>
      <c r="G525" s="174"/>
      <c r="H525" s="174"/>
      <c r="I525" s="174"/>
      <c r="J525" s="180" t="s">
        <v>872</v>
      </c>
      <c r="K525" s="181" t="s">
        <v>3894</v>
      </c>
      <c r="L525" s="181" t="s">
        <v>5</v>
      </c>
      <c r="M525" s="181" t="s">
        <v>123</v>
      </c>
      <c r="N525" s="182" t="s">
        <v>5</v>
      </c>
    </row>
    <row r="526" spans="1:14" ht="19.5">
      <c r="A526" s="202" t="s">
        <v>2678</v>
      </c>
      <c r="B526" s="188" t="s">
        <v>27</v>
      </c>
      <c r="C526" s="174" t="s">
        <v>4833</v>
      </c>
      <c r="D526" s="174" t="s">
        <v>39</v>
      </c>
      <c r="E526" s="174">
        <v>0</v>
      </c>
      <c r="F526" s="203" t="s">
        <v>2679</v>
      </c>
      <c r="G526" s="174"/>
      <c r="H526" s="174"/>
      <c r="I526" s="174"/>
      <c r="J526" s="180" t="s">
        <v>2557</v>
      </c>
      <c r="K526" s="181" t="s">
        <v>4833</v>
      </c>
      <c r="L526" s="181" t="s">
        <v>39</v>
      </c>
      <c r="M526" s="181" t="s">
        <v>231</v>
      </c>
      <c r="N526" s="182" t="s">
        <v>231</v>
      </c>
    </row>
    <row r="527" spans="1:14" ht="19.5">
      <c r="A527" s="204" t="s">
        <v>2683</v>
      </c>
      <c r="B527" s="188" t="s">
        <v>27</v>
      </c>
      <c r="C527" s="174" t="s">
        <v>4833</v>
      </c>
      <c r="D527" s="174" t="s">
        <v>39</v>
      </c>
      <c r="E527" s="174">
        <v>0</v>
      </c>
      <c r="F527" s="15" t="s">
        <v>2684</v>
      </c>
      <c r="G527" s="174"/>
      <c r="H527" s="174"/>
      <c r="I527" s="174"/>
      <c r="J527" s="180" t="s">
        <v>2561</v>
      </c>
      <c r="K527" s="181" t="s">
        <v>3894</v>
      </c>
      <c r="L527" s="181" t="s">
        <v>5346</v>
      </c>
      <c r="M527" s="181" t="s">
        <v>98</v>
      </c>
      <c r="N527" s="182" t="s">
        <v>5347</v>
      </c>
    </row>
    <row r="528" spans="1:14" ht="19.5">
      <c r="A528" s="197" t="s">
        <v>2687</v>
      </c>
      <c r="B528" s="188" t="s">
        <v>27</v>
      </c>
      <c r="C528" s="174" t="s">
        <v>4833</v>
      </c>
      <c r="D528" s="174" t="s">
        <v>39</v>
      </c>
      <c r="E528" s="174">
        <v>0</v>
      </c>
      <c r="F528" s="186" t="s">
        <v>2688</v>
      </c>
      <c r="G528" s="174"/>
      <c r="H528" s="174"/>
      <c r="I528" s="174"/>
      <c r="J528" s="180" t="s">
        <v>2566</v>
      </c>
      <c r="K528" s="181" t="s">
        <v>4833</v>
      </c>
      <c r="L528" s="181" t="s">
        <v>39</v>
      </c>
      <c r="M528" s="181" t="s">
        <v>231</v>
      </c>
      <c r="N528" s="182" t="s">
        <v>231</v>
      </c>
    </row>
    <row r="529" spans="1:14" ht="19.5">
      <c r="A529" s="197" t="s">
        <v>2691</v>
      </c>
      <c r="B529" s="188" t="s">
        <v>188</v>
      </c>
      <c r="C529" s="174" t="s">
        <v>4833</v>
      </c>
      <c r="D529" s="174" t="s">
        <v>39</v>
      </c>
      <c r="E529" s="174">
        <v>0</v>
      </c>
      <c r="F529" s="186" t="s">
        <v>2692</v>
      </c>
      <c r="G529" s="174"/>
      <c r="H529" s="174"/>
      <c r="I529" s="174"/>
      <c r="J529" s="180" t="s">
        <v>2570</v>
      </c>
      <c r="K529" s="181" t="s">
        <v>4833</v>
      </c>
      <c r="L529" s="181" t="s">
        <v>39</v>
      </c>
      <c r="M529" s="181" t="s">
        <v>231</v>
      </c>
      <c r="N529" s="182" t="s">
        <v>231</v>
      </c>
    </row>
    <row r="530" spans="1:14" ht="19.5">
      <c r="A530" s="197" t="s">
        <v>4575</v>
      </c>
      <c r="B530" s="188" t="s">
        <v>188</v>
      </c>
      <c r="C530" s="174" t="s">
        <v>4833</v>
      </c>
      <c r="D530" s="174" t="s">
        <v>39</v>
      </c>
      <c r="E530" s="174">
        <v>0</v>
      </c>
      <c r="F530" s="186" t="s">
        <v>2951</v>
      </c>
      <c r="G530" s="174"/>
      <c r="H530" s="174"/>
      <c r="I530" s="174"/>
      <c r="J530" s="180" t="s">
        <v>2574</v>
      </c>
      <c r="K530" s="181" t="s">
        <v>4833</v>
      </c>
      <c r="L530" s="181" t="s">
        <v>39</v>
      </c>
      <c r="M530" s="181" t="s">
        <v>231</v>
      </c>
      <c r="N530" s="182" t="s">
        <v>231</v>
      </c>
    </row>
    <row r="531" spans="1:14" ht="19.5">
      <c r="A531" s="197" t="s">
        <v>2695</v>
      </c>
      <c r="B531" s="188" t="s">
        <v>188</v>
      </c>
      <c r="C531" s="174" t="s">
        <v>4833</v>
      </c>
      <c r="D531" s="174" t="s">
        <v>39</v>
      </c>
      <c r="E531" s="174">
        <v>0</v>
      </c>
      <c r="F531" s="186" t="s">
        <v>2696</v>
      </c>
      <c r="G531" s="174"/>
      <c r="H531" s="174"/>
      <c r="I531" s="174"/>
      <c r="J531" s="180" t="s">
        <v>2232</v>
      </c>
      <c r="K531" s="181" t="s">
        <v>4833</v>
      </c>
      <c r="L531" s="181" t="s">
        <v>39</v>
      </c>
      <c r="M531" s="181" t="s">
        <v>231</v>
      </c>
      <c r="N531" s="182" t="s">
        <v>231</v>
      </c>
    </row>
    <row r="532" spans="1:14" ht="19.5">
      <c r="A532" s="197" t="s">
        <v>2699</v>
      </c>
      <c r="B532" s="188" t="s">
        <v>15</v>
      </c>
      <c r="C532" s="174" t="s">
        <v>3894</v>
      </c>
      <c r="D532" s="174" t="s">
        <v>5346</v>
      </c>
      <c r="E532" s="174" t="s">
        <v>146</v>
      </c>
      <c r="F532" s="186" t="s">
        <v>2700</v>
      </c>
      <c r="G532" s="174"/>
      <c r="H532" s="174"/>
      <c r="I532" s="174"/>
      <c r="J532" s="180" t="s">
        <v>2578</v>
      </c>
      <c r="K532" s="181" t="s">
        <v>4833</v>
      </c>
      <c r="L532" s="181" t="s">
        <v>39</v>
      </c>
      <c r="M532" s="181" t="s">
        <v>231</v>
      </c>
      <c r="N532" s="182" t="s">
        <v>231</v>
      </c>
    </row>
    <row r="533" spans="1:14" ht="19.5">
      <c r="A533" s="197" t="s">
        <v>2703</v>
      </c>
      <c r="B533" s="188" t="s">
        <v>188</v>
      </c>
      <c r="C533" s="174" t="s">
        <v>4833</v>
      </c>
      <c r="D533" s="174" t="s">
        <v>39</v>
      </c>
      <c r="E533" s="174">
        <v>0</v>
      </c>
      <c r="F533" s="186" t="s">
        <v>2704</v>
      </c>
      <c r="G533" s="174"/>
      <c r="H533" s="174"/>
      <c r="I533" s="174"/>
      <c r="J533" s="180" t="s">
        <v>1589</v>
      </c>
      <c r="K533" s="181" t="s">
        <v>3894</v>
      </c>
      <c r="L533" s="181" t="s">
        <v>4</v>
      </c>
      <c r="M533" s="181" t="s">
        <v>1592</v>
      </c>
      <c r="N533" s="182" t="s">
        <v>4</v>
      </c>
    </row>
    <row r="534" spans="1:14" ht="19.5">
      <c r="A534" s="197" t="s">
        <v>2714</v>
      </c>
      <c r="B534" s="188" t="s">
        <v>4</v>
      </c>
      <c r="C534" s="174" t="s">
        <v>4833</v>
      </c>
      <c r="D534" s="174" t="s">
        <v>39</v>
      </c>
      <c r="E534" s="174">
        <v>0</v>
      </c>
      <c r="F534" s="186" t="s">
        <v>2715</v>
      </c>
      <c r="G534" s="174"/>
      <c r="H534" s="174"/>
      <c r="I534" s="174"/>
      <c r="J534" s="180" t="s">
        <v>2582</v>
      </c>
      <c r="K534" s="181" t="s">
        <v>4833</v>
      </c>
      <c r="L534" s="181" t="s">
        <v>39</v>
      </c>
      <c r="M534" s="181" t="s">
        <v>231</v>
      </c>
      <c r="N534" s="182" t="s">
        <v>231</v>
      </c>
    </row>
    <row r="535" spans="1:14" ht="19.5">
      <c r="A535" s="197" t="s">
        <v>2724</v>
      </c>
      <c r="B535" s="188" t="s">
        <v>188</v>
      </c>
      <c r="C535" s="174" t="s">
        <v>4833</v>
      </c>
      <c r="D535" s="174" t="s">
        <v>39</v>
      </c>
      <c r="E535" s="174">
        <v>0</v>
      </c>
      <c r="F535" s="186" t="s">
        <v>2725</v>
      </c>
      <c r="G535" s="174"/>
      <c r="H535" s="174"/>
      <c r="I535" s="174"/>
      <c r="J535" s="180" t="s">
        <v>2586</v>
      </c>
      <c r="K535" s="181" t="s">
        <v>4833</v>
      </c>
      <c r="L535" s="181" t="s">
        <v>39</v>
      </c>
      <c r="M535" s="181" t="s">
        <v>231</v>
      </c>
      <c r="N535" s="182" t="s">
        <v>231</v>
      </c>
    </row>
    <row r="536" spans="1:14" ht="19.5">
      <c r="A536" s="197" t="s">
        <v>2729</v>
      </c>
      <c r="B536" s="188" t="s">
        <v>188</v>
      </c>
      <c r="C536" s="174" t="s">
        <v>4833</v>
      </c>
      <c r="D536" s="174" t="s">
        <v>39</v>
      </c>
      <c r="E536" s="174">
        <v>0</v>
      </c>
      <c r="F536" s="186" t="s">
        <v>2730</v>
      </c>
      <c r="G536" s="174"/>
      <c r="H536" s="174"/>
      <c r="I536" s="174"/>
      <c r="J536" s="180" t="s">
        <v>2590</v>
      </c>
      <c r="K536" s="181" t="s">
        <v>4833</v>
      </c>
      <c r="L536" s="181" t="s">
        <v>39</v>
      </c>
      <c r="M536" s="181" t="s">
        <v>231</v>
      </c>
      <c r="N536" s="182" t="s">
        <v>231</v>
      </c>
    </row>
    <row r="537" spans="1:14" ht="19.5">
      <c r="A537" s="197" t="s">
        <v>2734</v>
      </c>
      <c r="B537" s="188" t="s">
        <v>5</v>
      </c>
      <c r="C537" s="174" t="s">
        <v>3894</v>
      </c>
      <c r="D537" s="174" t="s">
        <v>5</v>
      </c>
      <c r="E537" s="174" t="s">
        <v>2737</v>
      </c>
      <c r="F537" s="186" t="s">
        <v>2735</v>
      </c>
      <c r="G537" s="174"/>
      <c r="H537" s="174"/>
      <c r="I537" s="174"/>
      <c r="J537" s="180" t="s">
        <v>2594</v>
      </c>
      <c r="K537" s="181" t="s">
        <v>4833</v>
      </c>
      <c r="L537" s="181" t="s">
        <v>39</v>
      </c>
      <c r="M537" s="181" t="s">
        <v>231</v>
      </c>
      <c r="N537" s="182" t="s">
        <v>231</v>
      </c>
    </row>
    <row r="538" spans="1:14" ht="19.5">
      <c r="A538" s="197" t="s">
        <v>2739</v>
      </c>
      <c r="B538" s="188" t="s">
        <v>188</v>
      </c>
      <c r="C538" s="174" t="s">
        <v>4833</v>
      </c>
      <c r="D538" s="174" t="s">
        <v>39</v>
      </c>
      <c r="E538" s="174">
        <v>0</v>
      </c>
      <c r="F538" s="186" t="s">
        <v>2740</v>
      </c>
      <c r="G538" s="174"/>
      <c r="H538" s="174"/>
      <c r="I538" s="174"/>
      <c r="J538" s="180" t="s">
        <v>2599</v>
      </c>
      <c r="K538" s="181" t="s">
        <v>4833</v>
      </c>
      <c r="L538" s="181" t="s">
        <v>39</v>
      </c>
      <c r="M538" s="181" t="s">
        <v>231</v>
      </c>
      <c r="N538" s="182" t="s">
        <v>231</v>
      </c>
    </row>
    <row r="539" spans="1:14" ht="19.5">
      <c r="A539" s="197" t="s">
        <v>2744</v>
      </c>
      <c r="B539" s="188" t="s">
        <v>188</v>
      </c>
      <c r="C539" s="174" t="s">
        <v>4833</v>
      </c>
      <c r="D539" s="174" t="s">
        <v>39</v>
      </c>
      <c r="E539" s="174">
        <v>0</v>
      </c>
      <c r="F539" s="186" t="s">
        <v>2745</v>
      </c>
      <c r="G539" s="174"/>
      <c r="H539" s="174"/>
      <c r="I539" s="174"/>
      <c r="J539" s="180" t="s">
        <v>469</v>
      </c>
      <c r="K539" s="181" t="s">
        <v>4833</v>
      </c>
      <c r="L539" s="181" t="s">
        <v>39</v>
      </c>
      <c r="M539" s="181" t="s">
        <v>231</v>
      </c>
      <c r="N539" s="182" t="s">
        <v>231</v>
      </c>
    </row>
    <row r="540" spans="1:14" ht="19.5">
      <c r="A540" s="197" t="s">
        <v>2748</v>
      </c>
      <c r="B540" s="188" t="s">
        <v>188</v>
      </c>
      <c r="C540" s="174" t="s">
        <v>4833</v>
      </c>
      <c r="D540" s="174" t="s">
        <v>39</v>
      </c>
      <c r="E540" s="174">
        <v>0</v>
      </c>
      <c r="F540" s="186" t="s">
        <v>2749</v>
      </c>
      <c r="G540" s="174"/>
      <c r="H540" s="174"/>
      <c r="I540" s="174"/>
      <c r="J540" s="180" t="s">
        <v>475</v>
      </c>
      <c r="K540" s="181" t="s">
        <v>4833</v>
      </c>
      <c r="L540" s="181" t="s">
        <v>39</v>
      </c>
      <c r="M540" s="181" t="s">
        <v>231</v>
      </c>
      <c r="N540" s="182" t="s">
        <v>231</v>
      </c>
    </row>
    <row r="541" spans="1:14" ht="19.5">
      <c r="A541" s="197" t="s">
        <v>2752</v>
      </c>
      <c r="B541" s="188" t="s">
        <v>188</v>
      </c>
      <c r="C541" s="174" t="s">
        <v>4833</v>
      </c>
      <c r="D541" s="174" t="s">
        <v>39</v>
      </c>
      <c r="E541" s="174">
        <v>0</v>
      </c>
      <c r="F541" s="186" t="s">
        <v>2753</v>
      </c>
      <c r="G541" s="174"/>
      <c r="H541" s="174"/>
      <c r="I541" s="174"/>
      <c r="J541" s="180" t="s">
        <v>479</v>
      </c>
      <c r="K541" s="181" t="s">
        <v>4833</v>
      </c>
      <c r="L541" s="181" t="s">
        <v>39</v>
      </c>
      <c r="M541" s="181" t="s">
        <v>231</v>
      </c>
      <c r="N541" s="182" t="s">
        <v>231</v>
      </c>
    </row>
    <row r="542" spans="1:14" ht="19.5">
      <c r="A542" s="197" t="s">
        <v>2756</v>
      </c>
      <c r="B542" s="188" t="s">
        <v>188</v>
      </c>
      <c r="C542" s="174" t="s">
        <v>4833</v>
      </c>
      <c r="D542" s="174" t="s">
        <v>39</v>
      </c>
      <c r="E542" s="174">
        <v>0</v>
      </c>
      <c r="F542" s="186" t="s">
        <v>2757</v>
      </c>
      <c r="G542" s="174"/>
      <c r="H542" s="174"/>
      <c r="I542" s="174"/>
      <c r="J542" s="180" t="s">
        <v>1595</v>
      </c>
      <c r="K542" s="181" t="s">
        <v>3894</v>
      </c>
      <c r="L542" s="181" t="s">
        <v>4</v>
      </c>
      <c r="M542" s="181" t="s">
        <v>887</v>
      </c>
      <c r="N542" s="182" t="s">
        <v>4</v>
      </c>
    </row>
    <row r="543" spans="1:14" ht="19.5">
      <c r="A543" s="197" t="s">
        <v>2760</v>
      </c>
      <c r="B543" s="188" t="s">
        <v>188</v>
      </c>
      <c r="C543" s="174" t="s">
        <v>4833</v>
      </c>
      <c r="D543" s="174" t="s">
        <v>39</v>
      </c>
      <c r="E543" s="174">
        <v>0</v>
      </c>
      <c r="F543" s="186" t="s">
        <v>2761</v>
      </c>
      <c r="G543" s="174"/>
      <c r="H543" s="174"/>
      <c r="I543" s="174"/>
      <c r="J543" s="180" t="s">
        <v>2603</v>
      </c>
      <c r="K543" s="181" t="s">
        <v>3894</v>
      </c>
      <c r="L543" s="181" t="s">
        <v>5346</v>
      </c>
      <c r="M543" s="181" t="s">
        <v>97</v>
      </c>
      <c r="N543" s="182" t="s">
        <v>5347</v>
      </c>
    </row>
    <row r="544" spans="1:14" ht="19.5">
      <c r="A544" s="197" t="s">
        <v>2764</v>
      </c>
      <c r="B544" s="188" t="s">
        <v>4</v>
      </c>
      <c r="C544" s="174" t="s">
        <v>3894</v>
      </c>
      <c r="D544" s="174" t="s">
        <v>4</v>
      </c>
      <c r="E544" s="174">
        <v>0</v>
      </c>
      <c r="F544" s="186" t="s">
        <v>2765</v>
      </c>
      <c r="G544" s="174"/>
      <c r="H544" s="174"/>
      <c r="I544" s="174"/>
      <c r="J544" s="180" t="s">
        <v>687</v>
      </c>
      <c r="K544" s="181" t="s">
        <v>4833</v>
      </c>
      <c r="L544" s="181" t="s">
        <v>39</v>
      </c>
      <c r="M544" s="181" t="s">
        <v>231</v>
      </c>
      <c r="N544" s="182" t="s">
        <v>231</v>
      </c>
    </row>
    <row r="545" spans="1:14" ht="19.5">
      <c r="A545" s="197" t="s">
        <v>2769</v>
      </c>
      <c r="B545" s="188" t="s">
        <v>27</v>
      </c>
      <c r="C545" s="174" t="s">
        <v>4833</v>
      </c>
      <c r="D545" s="174" t="s">
        <v>39</v>
      </c>
      <c r="E545" s="174">
        <v>0</v>
      </c>
      <c r="F545" s="186" t="s">
        <v>2770</v>
      </c>
      <c r="G545" s="174"/>
      <c r="H545" s="174"/>
      <c r="I545" s="174"/>
      <c r="J545" s="180" t="s">
        <v>661</v>
      </c>
      <c r="K545" s="181" t="s">
        <v>4833</v>
      </c>
      <c r="L545" s="181" t="s">
        <v>39</v>
      </c>
      <c r="M545" s="181" t="s">
        <v>231</v>
      </c>
      <c r="N545" s="182" t="s">
        <v>231</v>
      </c>
    </row>
    <row r="546" spans="1:14" ht="19.5">
      <c r="A546" s="197" t="s">
        <v>2773</v>
      </c>
      <c r="B546" s="188" t="s">
        <v>27</v>
      </c>
      <c r="C546" s="174" t="s">
        <v>4833</v>
      </c>
      <c r="D546" s="174" t="s">
        <v>39</v>
      </c>
      <c r="E546" s="174">
        <v>0</v>
      </c>
      <c r="F546" s="186" t="s">
        <v>2774</v>
      </c>
      <c r="G546" s="174"/>
      <c r="H546" s="174"/>
      <c r="I546" s="174"/>
      <c r="J546" s="180" t="s">
        <v>607</v>
      </c>
      <c r="K546" s="181" t="s">
        <v>4833</v>
      </c>
      <c r="L546" s="181" t="s">
        <v>39</v>
      </c>
      <c r="M546" s="181" t="s">
        <v>231</v>
      </c>
      <c r="N546" s="182" t="s">
        <v>231</v>
      </c>
    </row>
    <row r="547" spans="1:14" ht="19.5">
      <c r="A547" s="197" t="s">
        <v>2776</v>
      </c>
      <c r="B547" s="188" t="s">
        <v>27</v>
      </c>
      <c r="C547" s="174" t="s">
        <v>4833</v>
      </c>
      <c r="D547" s="174" t="s">
        <v>39</v>
      </c>
      <c r="E547" s="174">
        <v>0</v>
      </c>
      <c r="F547" s="186" t="s">
        <v>2777</v>
      </c>
      <c r="G547" s="174"/>
      <c r="H547" s="174"/>
      <c r="I547" s="174"/>
      <c r="J547" s="180" t="s">
        <v>759</v>
      </c>
      <c r="K547" s="181" t="s">
        <v>4833</v>
      </c>
      <c r="L547" s="181" t="s">
        <v>39</v>
      </c>
      <c r="M547" s="181" t="s">
        <v>231</v>
      </c>
      <c r="N547" s="182" t="s">
        <v>231</v>
      </c>
    </row>
    <row r="548" spans="1:14" ht="19.5">
      <c r="A548" s="197" t="s">
        <v>2780</v>
      </c>
      <c r="B548" s="188" t="s">
        <v>188</v>
      </c>
      <c r="C548" s="174" t="s">
        <v>4833</v>
      </c>
      <c r="D548" s="174" t="s">
        <v>39</v>
      </c>
      <c r="E548" s="174">
        <v>0</v>
      </c>
      <c r="F548" s="186" t="s">
        <v>2781</v>
      </c>
      <c r="G548" s="174"/>
      <c r="H548" s="174"/>
      <c r="I548" s="174"/>
      <c r="J548" s="180" t="s">
        <v>707</v>
      </c>
      <c r="K548" s="181" t="s">
        <v>4833</v>
      </c>
      <c r="L548" s="181" t="s">
        <v>39</v>
      </c>
      <c r="M548" s="181" t="s">
        <v>231</v>
      </c>
      <c r="N548" s="182" t="s">
        <v>231</v>
      </c>
    </row>
    <row r="549" spans="1:14" ht="19.5">
      <c r="A549" s="186" t="s">
        <v>2793</v>
      </c>
      <c r="B549" s="188" t="s">
        <v>3</v>
      </c>
      <c r="C549" s="174" t="s">
        <v>3894</v>
      </c>
      <c r="D549" s="174" t="s">
        <v>3</v>
      </c>
      <c r="E549" s="174" t="s">
        <v>1318</v>
      </c>
      <c r="F549" s="186" t="s">
        <v>2794</v>
      </c>
      <c r="G549" s="174"/>
      <c r="H549" s="174"/>
      <c r="I549" s="174"/>
      <c r="J549" s="180" t="s">
        <v>702</v>
      </c>
      <c r="K549" s="181" t="s">
        <v>4833</v>
      </c>
      <c r="L549" s="181" t="s">
        <v>39</v>
      </c>
      <c r="M549" s="181" t="s">
        <v>231</v>
      </c>
      <c r="N549" s="182" t="s">
        <v>231</v>
      </c>
    </row>
    <row r="550" spans="1:14" ht="19.5">
      <c r="A550" s="186" t="s">
        <v>2797</v>
      </c>
      <c r="B550" s="188" t="s">
        <v>4</v>
      </c>
      <c r="C550" s="174" t="s">
        <v>3894</v>
      </c>
      <c r="D550" s="174" t="s">
        <v>4</v>
      </c>
      <c r="E550" s="174" t="s">
        <v>2800</v>
      </c>
      <c r="F550" s="186" t="s">
        <v>2798</v>
      </c>
      <c r="G550" s="174"/>
      <c r="H550" s="174"/>
      <c r="I550" s="174"/>
      <c r="J550" s="180" t="s">
        <v>697</v>
      </c>
      <c r="K550" s="181" t="s">
        <v>4833</v>
      </c>
      <c r="L550" s="181" t="s">
        <v>39</v>
      </c>
      <c r="M550" s="181" t="s">
        <v>231</v>
      </c>
      <c r="N550" s="182" t="s">
        <v>231</v>
      </c>
    </row>
    <row r="551" spans="1:14" ht="19.5">
      <c r="A551" s="186" t="s">
        <v>2802</v>
      </c>
      <c r="B551" s="188" t="s">
        <v>3</v>
      </c>
      <c r="C551" s="174" t="s">
        <v>3894</v>
      </c>
      <c r="D551" s="174" t="s">
        <v>3</v>
      </c>
      <c r="E551" s="174" t="s">
        <v>903</v>
      </c>
      <c r="F551" s="186" t="s">
        <v>2803</v>
      </c>
      <c r="G551" s="174"/>
      <c r="H551" s="174"/>
      <c r="I551" s="174"/>
      <c r="J551" s="180" t="s">
        <v>727</v>
      </c>
      <c r="K551" s="181" t="s">
        <v>4833</v>
      </c>
      <c r="L551" s="181" t="s">
        <v>39</v>
      </c>
      <c r="M551" s="181" t="s">
        <v>231</v>
      </c>
      <c r="N551" s="182" t="s">
        <v>231</v>
      </c>
    </row>
    <row r="552" spans="1:14" ht="19.5">
      <c r="A552" s="186" t="s">
        <v>2806</v>
      </c>
      <c r="B552" s="188" t="s">
        <v>3</v>
      </c>
      <c r="C552" s="174" t="s">
        <v>3894</v>
      </c>
      <c r="D552" s="174" t="s">
        <v>3</v>
      </c>
      <c r="E552" s="174" t="s">
        <v>2809</v>
      </c>
      <c r="F552" s="186" t="s">
        <v>2807</v>
      </c>
      <c r="G552" s="174"/>
      <c r="H552" s="174"/>
      <c r="I552" s="174"/>
      <c r="J552" s="180" t="s">
        <v>1867</v>
      </c>
      <c r="K552" s="181" t="s">
        <v>4833</v>
      </c>
      <c r="L552" s="181" t="s">
        <v>39</v>
      </c>
      <c r="M552" s="181" t="s">
        <v>231</v>
      </c>
      <c r="N552" s="182" t="s">
        <v>231</v>
      </c>
    </row>
    <row r="553" spans="1:14" ht="19.5">
      <c r="A553" s="197" t="s">
        <v>2811</v>
      </c>
      <c r="B553" s="188" t="s">
        <v>3</v>
      </c>
      <c r="C553" s="174" t="s">
        <v>3894</v>
      </c>
      <c r="D553" s="174" t="s">
        <v>3</v>
      </c>
      <c r="E553" s="174" t="s">
        <v>5376</v>
      </c>
      <c r="F553" s="186" t="s">
        <v>2812</v>
      </c>
      <c r="G553" s="174"/>
      <c r="H553" s="174"/>
      <c r="I553" s="174"/>
      <c r="J553" s="180" t="s">
        <v>682</v>
      </c>
      <c r="K553" s="181" t="s">
        <v>4833</v>
      </c>
      <c r="L553" s="181" t="s">
        <v>39</v>
      </c>
      <c r="M553" s="181" t="s">
        <v>231</v>
      </c>
      <c r="N553" s="182" t="s">
        <v>231</v>
      </c>
    </row>
    <row r="554" spans="1:14" ht="19.5">
      <c r="A554" s="186" t="s">
        <v>2817</v>
      </c>
      <c r="B554" s="188" t="s">
        <v>3</v>
      </c>
      <c r="C554" s="174" t="s">
        <v>3894</v>
      </c>
      <c r="D554" s="174" t="s">
        <v>3</v>
      </c>
      <c r="E554" s="174" t="s">
        <v>903</v>
      </c>
      <c r="F554" s="186" t="s">
        <v>2818</v>
      </c>
      <c r="G554" s="174"/>
      <c r="H554" s="174"/>
      <c r="I554" s="174"/>
      <c r="J554" s="180" t="s">
        <v>754</v>
      </c>
      <c r="K554" s="181" t="s">
        <v>4833</v>
      </c>
      <c r="L554" s="181" t="s">
        <v>39</v>
      </c>
      <c r="M554" s="181" t="s">
        <v>231</v>
      </c>
      <c r="N554" s="182" t="s">
        <v>231</v>
      </c>
    </row>
    <row r="555" spans="1:14" ht="19.5">
      <c r="A555" s="186" t="s">
        <v>2821</v>
      </c>
      <c r="B555" s="188" t="s">
        <v>3</v>
      </c>
      <c r="C555" s="174" t="s">
        <v>3894</v>
      </c>
      <c r="D555" s="174" t="s">
        <v>3</v>
      </c>
      <c r="E555" s="174" t="s">
        <v>2824</v>
      </c>
      <c r="F555" s="186" t="s">
        <v>2822</v>
      </c>
      <c r="G555" s="174"/>
      <c r="H555" s="174"/>
      <c r="I555" s="174"/>
      <c r="J555" s="180" t="s">
        <v>738</v>
      </c>
      <c r="K555" s="181" t="s">
        <v>4833</v>
      </c>
      <c r="L555" s="181" t="s">
        <v>39</v>
      </c>
      <c r="M555" s="181" t="s">
        <v>231</v>
      </c>
      <c r="N555" s="182" t="s">
        <v>231</v>
      </c>
    </row>
    <row r="556" spans="1:14" ht="19.5">
      <c r="A556" s="186" t="s">
        <v>2826</v>
      </c>
      <c r="B556" s="188" t="s">
        <v>3</v>
      </c>
      <c r="C556" s="174" t="s">
        <v>3894</v>
      </c>
      <c r="D556" s="174" t="s">
        <v>3</v>
      </c>
      <c r="E556" s="174" t="s">
        <v>2829</v>
      </c>
      <c r="F556" s="186" t="s">
        <v>2827</v>
      </c>
      <c r="G556" s="174"/>
      <c r="H556" s="174"/>
      <c r="I556" s="174"/>
      <c r="J556" s="180" t="s">
        <v>4493</v>
      </c>
      <c r="K556" s="181" t="s">
        <v>4833</v>
      </c>
      <c r="L556" s="181" t="s">
        <v>39</v>
      </c>
      <c r="M556" s="181" t="s">
        <v>231</v>
      </c>
      <c r="N556" s="182" t="s">
        <v>231</v>
      </c>
    </row>
    <row r="557" spans="1:14" ht="19.5">
      <c r="A557" s="186" t="s">
        <v>2831</v>
      </c>
      <c r="B557" s="188" t="s">
        <v>3</v>
      </c>
      <c r="C557" s="174" t="s">
        <v>3894</v>
      </c>
      <c r="D557" s="174" t="s">
        <v>3</v>
      </c>
      <c r="E557" s="174" t="s">
        <v>1038</v>
      </c>
      <c r="F557" s="186" t="s">
        <v>2832</v>
      </c>
      <c r="G557" s="174"/>
      <c r="H557" s="174"/>
      <c r="I557" s="174"/>
      <c r="J557" s="180" t="s">
        <v>1831</v>
      </c>
      <c r="K557" s="181" t="s">
        <v>3894</v>
      </c>
      <c r="L557" s="181" t="s">
        <v>5</v>
      </c>
      <c r="M557" s="181" t="s">
        <v>1834</v>
      </c>
      <c r="N557" s="182" t="s">
        <v>5</v>
      </c>
    </row>
    <row r="558" spans="1:14" ht="19.5">
      <c r="A558" s="186" t="s">
        <v>2835</v>
      </c>
      <c r="B558" s="188" t="s">
        <v>3</v>
      </c>
      <c r="C558" s="174" t="s">
        <v>3894</v>
      </c>
      <c r="D558" s="174" t="s">
        <v>3</v>
      </c>
      <c r="E558" s="174" t="s">
        <v>1720</v>
      </c>
      <c r="F558" s="186" t="s">
        <v>2836</v>
      </c>
      <c r="G558" s="174"/>
      <c r="H558" s="174"/>
      <c r="I558" s="174"/>
      <c r="J558" s="180" t="s">
        <v>494</v>
      </c>
      <c r="K558" s="181" t="s">
        <v>4833</v>
      </c>
      <c r="L558" s="181" t="s">
        <v>39</v>
      </c>
      <c r="M558" s="181" t="s">
        <v>231</v>
      </c>
      <c r="N558" s="182" t="s">
        <v>231</v>
      </c>
    </row>
    <row r="559" spans="1:14" ht="19.5">
      <c r="A559" s="186" t="s">
        <v>2839</v>
      </c>
      <c r="B559" s="188" t="s">
        <v>27</v>
      </c>
      <c r="C559" s="174" t="e">
        <v>#N/A</v>
      </c>
      <c r="D559" s="174" t="e">
        <v>#N/A</v>
      </c>
      <c r="E559" s="174" t="e">
        <v>#N/A</v>
      </c>
      <c r="F559" s="186" t="s">
        <v>2840</v>
      </c>
      <c r="G559" s="174"/>
      <c r="H559" s="174"/>
      <c r="I559" s="174"/>
      <c r="J559" s="180" t="s">
        <v>501</v>
      </c>
      <c r="K559" s="181" t="s">
        <v>4833</v>
      </c>
      <c r="L559" s="181" t="s">
        <v>39</v>
      </c>
      <c r="M559" s="181" t="s">
        <v>231</v>
      </c>
      <c r="N559" s="182" t="s">
        <v>231</v>
      </c>
    </row>
    <row r="560" spans="1:14" ht="39">
      <c r="A560" s="197" t="s">
        <v>2844</v>
      </c>
      <c r="B560" s="188" t="s">
        <v>188</v>
      </c>
      <c r="C560" s="174" t="s">
        <v>4833</v>
      </c>
      <c r="D560" s="174" t="s">
        <v>39</v>
      </c>
      <c r="E560" s="174">
        <v>0</v>
      </c>
      <c r="F560" s="186" t="s">
        <v>2845</v>
      </c>
      <c r="G560" s="174"/>
      <c r="H560" s="174"/>
      <c r="I560" s="174"/>
      <c r="J560" s="180" t="s">
        <v>1924</v>
      </c>
      <c r="K560" s="181" t="s">
        <v>3894</v>
      </c>
      <c r="L560" s="181" t="s">
        <v>15</v>
      </c>
      <c r="M560" s="181" t="s">
        <v>163</v>
      </c>
      <c r="N560" s="182" t="s">
        <v>5368</v>
      </c>
    </row>
    <row r="561" spans="1:14" ht="19.5">
      <c r="A561" s="197" t="s">
        <v>2850</v>
      </c>
      <c r="B561" s="188" t="s">
        <v>188</v>
      </c>
      <c r="C561" s="174" t="s">
        <v>4833</v>
      </c>
      <c r="D561" s="174" t="s">
        <v>39</v>
      </c>
      <c r="E561" s="174">
        <v>0</v>
      </c>
      <c r="F561" s="186" t="s">
        <v>2851</v>
      </c>
      <c r="G561" s="174"/>
      <c r="H561" s="174"/>
      <c r="I561" s="174"/>
      <c r="J561" s="180" t="s">
        <v>507</v>
      </c>
      <c r="K561" s="181" t="s">
        <v>4833</v>
      </c>
      <c r="L561" s="181" t="s">
        <v>39</v>
      </c>
      <c r="M561" s="181" t="s">
        <v>231</v>
      </c>
      <c r="N561" s="182" t="s">
        <v>231</v>
      </c>
    </row>
    <row r="562" spans="1:14" ht="19.5">
      <c r="A562" s="197" t="s">
        <v>2855</v>
      </c>
      <c r="B562" s="188" t="s">
        <v>188</v>
      </c>
      <c r="C562" s="174" t="s">
        <v>4833</v>
      </c>
      <c r="D562" s="174" t="s">
        <v>39</v>
      </c>
      <c r="E562" s="174">
        <v>0</v>
      </c>
      <c r="F562" s="186" t="s">
        <v>2856</v>
      </c>
      <c r="G562" s="174"/>
      <c r="H562" s="174"/>
      <c r="I562" s="174"/>
      <c r="J562" s="180" t="s">
        <v>722</v>
      </c>
      <c r="K562" s="181" t="s">
        <v>4833</v>
      </c>
      <c r="L562" s="181" t="s">
        <v>39</v>
      </c>
      <c r="M562" s="181" t="s">
        <v>231</v>
      </c>
      <c r="N562" s="182" t="s">
        <v>231</v>
      </c>
    </row>
    <row r="563" spans="1:14" ht="19.5">
      <c r="A563" s="197" t="s">
        <v>2860</v>
      </c>
      <c r="B563" s="188" t="s">
        <v>188</v>
      </c>
      <c r="C563" s="174" t="s">
        <v>4833</v>
      </c>
      <c r="D563" s="174" t="s">
        <v>39</v>
      </c>
      <c r="E563" s="174">
        <v>0</v>
      </c>
      <c r="F563" s="186" t="s">
        <v>2861</v>
      </c>
      <c r="G563" s="174"/>
      <c r="H563" s="174"/>
      <c r="I563" s="174"/>
      <c r="J563" s="180" t="s">
        <v>784</v>
      </c>
      <c r="K563" s="181" t="s">
        <v>4833</v>
      </c>
      <c r="L563" s="181" t="s">
        <v>39</v>
      </c>
      <c r="M563" s="181" t="s">
        <v>231</v>
      </c>
      <c r="N563" s="182" t="s">
        <v>231</v>
      </c>
    </row>
    <row r="564" spans="1:14" ht="19.5">
      <c r="A564" s="197" t="s">
        <v>2865</v>
      </c>
      <c r="B564" s="188" t="s">
        <v>188</v>
      </c>
      <c r="C564" s="174" t="s">
        <v>4833</v>
      </c>
      <c r="D564" s="174" t="s">
        <v>39</v>
      </c>
      <c r="E564" s="174">
        <v>0</v>
      </c>
      <c r="F564" s="186" t="s">
        <v>2866</v>
      </c>
      <c r="G564" s="174"/>
      <c r="H564" s="174"/>
      <c r="I564" s="174"/>
      <c r="J564" s="180" t="s">
        <v>612</v>
      </c>
      <c r="K564" s="181" t="s">
        <v>4833</v>
      </c>
      <c r="L564" s="181" t="s">
        <v>39</v>
      </c>
      <c r="M564" s="181" t="s">
        <v>231</v>
      </c>
      <c r="N564" s="182" t="s">
        <v>231</v>
      </c>
    </row>
    <row r="565" spans="1:14" ht="19.5">
      <c r="A565" s="197" t="s">
        <v>2870</v>
      </c>
      <c r="B565" s="188" t="s">
        <v>188</v>
      </c>
      <c r="C565" s="174" t="s">
        <v>4833</v>
      </c>
      <c r="D565" s="174" t="s">
        <v>39</v>
      </c>
      <c r="E565" s="174">
        <v>0</v>
      </c>
      <c r="F565" s="186" t="s">
        <v>2871</v>
      </c>
      <c r="G565" s="174"/>
      <c r="H565" s="174"/>
      <c r="I565" s="174"/>
      <c r="J565" s="180" t="s">
        <v>4732</v>
      </c>
      <c r="K565" s="181" t="s">
        <v>3894</v>
      </c>
      <c r="L565" s="181" t="s">
        <v>4</v>
      </c>
      <c r="M565" s="181" t="s">
        <v>917</v>
      </c>
      <c r="N565" s="182" t="s">
        <v>4</v>
      </c>
    </row>
    <row r="566" spans="1:14" ht="39">
      <c r="A566" s="197" t="s">
        <v>2875</v>
      </c>
      <c r="B566" s="188" t="s">
        <v>188</v>
      </c>
      <c r="C566" s="174" t="s">
        <v>4833</v>
      </c>
      <c r="D566" s="174" t="s">
        <v>39</v>
      </c>
      <c r="E566" s="174">
        <v>0</v>
      </c>
      <c r="F566" s="186" t="s">
        <v>2876</v>
      </c>
      <c r="G566" s="174"/>
      <c r="H566" s="174"/>
      <c r="I566" s="174"/>
      <c r="J566" s="180" t="s">
        <v>1858</v>
      </c>
      <c r="K566" s="181" t="s">
        <v>3894</v>
      </c>
      <c r="L566" s="181" t="s">
        <v>5356</v>
      </c>
      <c r="M566" s="181" t="s">
        <v>5357</v>
      </c>
      <c r="N566" s="182" t="s">
        <v>5356</v>
      </c>
    </row>
    <row r="567" spans="1:14" ht="19.5">
      <c r="A567" s="197" t="s">
        <v>2880</v>
      </c>
      <c r="B567" s="188" t="s">
        <v>188</v>
      </c>
      <c r="C567" s="174" t="s">
        <v>4833</v>
      </c>
      <c r="D567" s="174" t="s">
        <v>39</v>
      </c>
      <c r="E567" s="174">
        <v>0</v>
      </c>
      <c r="F567" s="186" t="s">
        <v>2881</v>
      </c>
      <c r="G567" s="174"/>
      <c r="H567" s="174"/>
      <c r="I567" s="174"/>
      <c r="J567" s="180" t="s">
        <v>512</v>
      </c>
      <c r="K567" s="181" t="s">
        <v>4833</v>
      </c>
      <c r="L567" s="181" t="s">
        <v>39</v>
      </c>
      <c r="M567" s="181" t="s">
        <v>231</v>
      </c>
      <c r="N567" s="182" t="s">
        <v>231</v>
      </c>
    </row>
    <row r="568" spans="1:14" ht="19.5">
      <c r="A568" s="197" t="s">
        <v>2885</v>
      </c>
      <c r="B568" s="188" t="s">
        <v>188</v>
      </c>
      <c r="C568" s="174" t="s">
        <v>4833</v>
      </c>
      <c r="D568" s="174" t="s">
        <v>39</v>
      </c>
      <c r="E568" s="174">
        <v>0</v>
      </c>
      <c r="F568" s="186" t="s">
        <v>2886</v>
      </c>
      <c r="G568" s="174"/>
      <c r="H568" s="174"/>
      <c r="I568" s="174"/>
      <c r="J568" s="180" t="s">
        <v>4482</v>
      </c>
      <c r="K568" s="181" t="s">
        <v>4833</v>
      </c>
      <c r="L568" s="181" t="s">
        <v>39</v>
      </c>
      <c r="M568" s="181" t="s">
        <v>231</v>
      </c>
      <c r="N568" s="182" t="s">
        <v>231</v>
      </c>
    </row>
    <row r="569" spans="1:14" ht="19.5">
      <c r="A569" s="197" t="s">
        <v>2890</v>
      </c>
      <c r="B569" s="188" t="s">
        <v>188</v>
      </c>
      <c r="C569" s="174" t="s">
        <v>4833</v>
      </c>
      <c r="D569" s="174" t="s">
        <v>39</v>
      </c>
      <c r="E569" s="174">
        <v>0</v>
      </c>
      <c r="F569" s="186" t="s">
        <v>2891</v>
      </c>
      <c r="G569" s="174"/>
      <c r="H569" s="174"/>
      <c r="I569" s="174"/>
      <c r="J569" s="180" t="s">
        <v>805</v>
      </c>
      <c r="K569" s="181" t="s">
        <v>4833</v>
      </c>
      <c r="L569" s="181" t="s">
        <v>39</v>
      </c>
      <c r="M569" s="181" t="s">
        <v>231</v>
      </c>
      <c r="N569" s="182" t="s">
        <v>231</v>
      </c>
    </row>
    <row r="570" spans="1:14" ht="19.5">
      <c r="A570" s="197" t="s">
        <v>2895</v>
      </c>
      <c r="B570" s="188" t="s">
        <v>188</v>
      </c>
      <c r="C570" s="174" t="s">
        <v>4833</v>
      </c>
      <c r="D570" s="174" t="s">
        <v>39</v>
      </c>
      <c r="E570" s="174">
        <v>0</v>
      </c>
      <c r="F570" s="186" t="s">
        <v>2896</v>
      </c>
      <c r="G570" s="174"/>
      <c r="H570" s="174"/>
      <c r="I570" s="174"/>
      <c r="J570" s="180" t="s">
        <v>789</v>
      </c>
      <c r="K570" s="181" t="s">
        <v>4833</v>
      </c>
      <c r="L570" s="181" t="s">
        <v>39</v>
      </c>
      <c r="M570" s="181" t="s">
        <v>231</v>
      </c>
      <c r="N570" s="182" t="s">
        <v>231</v>
      </c>
    </row>
    <row r="571" spans="1:14" ht="19.5">
      <c r="A571" s="197" t="s">
        <v>2900</v>
      </c>
      <c r="B571" s="188" t="s">
        <v>188</v>
      </c>
      <c r="C571" s="174" t="s">
        <v>4833</v>
      </c>
      <c r="D571" s="174" t="s">
        <v>39</v>
      </c>
      <c r="E571" s="174">
        <v>0</v>
      </c>
      <c r="F571" s="186" t="s">
        <v>2901</v>
      </c>
      <c r="G571" s="174"/>
      <c r="H571" s="174"/>
      <c r="I571" s="174"/>
      <c r="J571" s="180" t="s">
        <v>1915</v>
      </c>
      <c r="K571" s="181" t="s">
        <v>3894</v>
      </c>
      <c r="L571" s="181" t="s">
        <v>5361</v>
      </c>
      <c r="M571" s="181" t="s">
        <v>159</v>
      </c>
      <c r="N571" s="182" t="s">
        <v>5392</v>
      </c>
    </row>
    <row r="572" spans="1:14" ht="19.5">
      <c r="A572" s="197" t="s">
        <v>2905</v>
      </c>
      <c r="B572" s="188" t="s">
        <v>188</v>
      </c>
      <c r="C572" s="174" t="s">
        <v>4833</v>
      </c>
      <c r="D572" s="174" t="s">
        <v>39</v>
      </c>
      <c r="E572" s="174">
        <v>0</v>
      </c>
      <c r="F572" s="186" t="s">
        <v>2906</v>
      </c>
      <c r="G572" s="174"/>
      <c r="H572" s="174"/>
      <c r="I572" s="174"/>
      <c r="J572" s="180" t="s">
        <v>712</v>
      </c>
      <c r="K572" s="181" t="s">
        <v>4833</v>
      </c>
      <c r="L572" s="181" t="s">
        <v>39</v>
      </c>
      <c r="M572" s="181" t="s">
        <v>231</v>
      </c>
      <c r="N572" s="182" t="s">
        <v>231</v>
      </c>
    </row>
    <row r="573" spans="1:14" ht="19.5">
      <c r="A573" s="197" t="s">
        <v>2910</v>
      </c>
      <c r="B573" s="188" t="s">
        <v>188</v>
      </c>
      <c r="C573" s="174" t="s">
        <v>4833</v>
      </c>
      <c r="D573" s="174" t="s">
        <v>39</v>
      </c>
      <c r="E573" s="174">
        <v>0</v>
      </c>
      <c r="F573" s="186" t="s">
        <v>2911</v>
      </c>
      <c r="G573" s="174"/>
      <c r="H573" s="174"/>
      <c r="I573" s="174"/>
      <c r="J573" s="180" t="s">
        <v>764</v>
      </c>
      <c r="K573" s="181" t="s">
        <v>4833</v>
      </c>
      <c r="L573" s="181" t="s">
        <v>39</v>
      </c>
      <c r="M573" s="181" t="s">
        <v>231</v>
      </c>
      <c r="N573" s="182" t="s">
        <v>231</v>
      </c>
    </row>
    <row r="574" spans="1:14" ht="19.5">
      <c r="A574" s="197" t="s">
        <v>2915</v>
      </c>
      <c r="B574" s="188" t="s">
        <v>188</v>
      </c>
      <c r="C574" s="174" t="s">
        <v>4833</v>
      </c>
      <c r="D574" s="174" t="s">
        <v>39</v>
      </c>
      <c r="E574" s="174">
        <v>0</v>
      </c>
      <c r="F574" s="186" t="s">
        <v>2916</v>
      </c>
      <c r="G574" s="174"/>
      <c r="H574" s="174"/>
      <c r="I574" s="174"/>
      <c r="J574" s="180" t="s">
        <v>671</v>
      </c>
      <c r="K574" s="181" t="s">
        <v>4833</v>
      </c>
      <c r="L574" s="181" t="s">
        <v>39</v>
      </c>
      <c r="M574" s="181" t="s">
        <v>231</v>
      </c>
      <c r="N574" s="182" t="s">
        <v>231</v>
      </c>
    </row>
    <row r="575" spans="1:14" ht="19.5">
      <c r="A575" s="197" t="s">
        <v>2920</v>
      </c>
      <c r="B575" s="188" t="s">
        <v>188</v>
      </c>
      <c r="C575" s="174" t="s">
        <v>4833</v>
      </c>
      <c r="D575" s="174" t="s">
        <v>39</v>
      </c>
      <c r="E575" s="174">
        <v>0</v>
      </c>
      <c r="F575" s="186" t="s">
        <v>2921</v>
      </c>
      <c r="G575" s="174"/>
      <c r="H575" s="174"/>
      <c r="I575" s="174"/>
      <c r="J575" s="180" t="s">
        <v>800</v>
      </c>
      <c r="K575" s="181" t="s">
        <v>4833</v>
      </c>
      <c r="L575" s="181" t="s">
        <v>39</v>
      </c>
      <c r="M575" s="181" t="s">
        <v>231</v>
      </c>
      <c r="N575" s="182" t="s">
        <v>231</v>
      </c>
    </row>
    <row r="576" spans="1:14" ht="19.5">
      <c r="A576" s="197" t="s">
        <v>2925</v>
      </c>
      <c r="B576" s="188" t="s">
        <v>188</v>
      </c>
      <c r="C576" s="174" t="s">
        <v>4833</v>
      </c>
      <c r="D576" s="174" t="s">
        <v>39</v>
      </c>
      <c r="E576" s="174">
        <v>0</v>
      </c>
      <c r="F576" s="186" t="s">
        <v>2926</v>
      </c>
      <c r="G576" s="174"/>
      <c r="H576" s="174"/>
      <c r="I576" s="174"/>
      <c r="J576" s="180" t="s">
        <v>4489</v>
      </c>
      <c r="K576" s="181" t="s">
        <v>4833</v>
      </c>
      <c r="L576" s="181" t="s">
        <v>39</v>
      </c>
      <c r="M576" s="181" t="s">
        <v>231</v>
      </c>
      <c r="N576" s="182" t="s">
        <v>231</v>
      </c>
    </row>
    <row r="577" spans="1:14" ht="19.5">
      <c r="A577" s="197" t="s">
        <v>2930</v>
      </c>
      <c r="B577" s="188" t="s">
        <v>188</v>
      </c>
      <c r="C577" s="174" t="s">
        <v>4833</v>
      </c>
      <c r="D577" s="174" t="s">
        <v>39</v>
      </c>
      <c r="E577" s="174">
        <v>0</v>
      </c>
      <c r="F577" s="186" t="s">
        <v>2931</v>
      </c>
      <c r="G577" s="174"/>
      <c r="H577" s="174"/>
      <c r="I577" s="174"/>
      <c r="J577" s="180" t="s">
        <v>4496</v>
      </c>
      <c r="K577" s="181" t="s">
        <v>4833</v>
      </c>
      <c r="L577" s="181" t="s">
        <v>39</v>
      </c>
      <c r="M577" s="181" t="s">
        <v>231</v>
      </c>
      <c r="N577" s="182" t="s">
        <v>231</v>
      </c>
    </row>
    <row r="578" spans="1:14" ht="39">
      <c r="A578" s="197" t="s">
        <v>2934</v>
      </c>
      <c r="B578" s="188" t="s">
        <v>188</v>
      </c>
      <c r="C578" s="174" t="s">
        <v>4833</v>
      </c>
      <c r="D578" s="174" t="s">
        <v>39</v>
      </c>
      <c r="E578" s="174">
        <v>0</v>
      </c>
      <c r="F578" s="186" t="s">
        <v>2935</v>
      </c>
      <c r="G578" s="174"/>
      <c r="H578" s="174"/>
      <c r="I578" s="174"/>
      <c r="J578" s="180" t="s">
        <v>1920</v>
      </c>
      <c r="K578" s="181" t="s">
        <v>3894</v>
      </c>
      <c r="L578" s="181" t="s">
        <v>15</v>
      </c>
      <c r="M578" s="181" t="s">
        <v>97</v>
      </c>
      <c r="N578" s="182" t="s">
        <v>5368</v>
      </c>
    </row>
    <row r="579" spans="1:14" ht="19.5">
      <c r="A579" s="197" t="s">
        <v>2939</v>
      </c>
      <c r="B579" s="188" t="s">
        <v>188</v>
      </c>
      <c r="C579" s="174" t="s">
        <v>4833</v>
      </c>
      <c r="D579" s="174" t="s">
        <v>39</v>
      </c>
      <c r="E579" s="174">
        <v>0</v>
      </c>
      <c r="F579" s="186" t="s">
        <v>2940</v>
      </c>
      <c r="G579" s="174"/>
      <c r="H579" s="174"/>
      <c r="I579" s="174"/>
      <c r="J579" s="180" t="s">
        <v>732</v>
      </c>
      <c r="K579" s="181" t="s">
        <v>4833</v>
      </c>
      <c r="L579" s="181" t="s">
        <v>39</v>
      </c>
      <c r="M579" s="181" t="s">
        <v>231</v>
      </c>
      <c r="N579" s="182" t="s">
        <v>231</v>
      </c>
    </row>
    <row r="580" spans="1:14" ht="19.5">
      <c r="A580" s="197" t="s">
        <v>2944</v>
      </c>
      <c r="B580" s="188" t="s">
        <v>188</v>
      </c>
      <c r="C580" s="174" t="s">
        <v>4833</v>
      </c>
      <c r="D580" s="174" t="s">
        <v>39</v>
      </c>
      <c r="E580" s="174">
        <v>0</v>
      </c>
      <c r="F580" s="186" t="s">
        <v>2945</v>
      </c>
      <c r="G580" s="174"/>
      <c r="H580" s="174"/>
      <c r="I580" s="174"/>
      <c r="J580" s="180" t="s">
        <v>649</v>
      </c>
      <c r="K580" s="181" t="s">
        <v>4833</v>
      </c>
      <c r="L580" s="181" t="s">
        <v>39</v>
      </c>
      <c r="M580" s="181" t="s">
        <v>231</v>
      </c>
      <c r="N580" s="182" t="s">
        <v>231</v>
      </c>
    </row>
    <row r="581" spans="1:14" ht="19.5">
      <c r="A581" s="197" t="s">
        <v>2950</v>
      </c>
      <c r="B581" s="188" t="s">
        <v>188</v>
      </c>
      <c r="C581" s="174" t="s">
        <v>4833</v>
      </c>
      <c r="D581" s="174" t="s">
        <v>39</v>
      </c>
      <c r="E581" s="174">
        <v>0</v>
      </c>
      <c r="F581" s="186" t="s">
        <v>2951</v>
      </c>
      <c r="G581" s="174"/>
      <c r="H581" s="174"/>
      <c r="I581" s="174"/>
      <c r="J581" s="180" t="s">
        <v>4485</v>
      </c>
      <c r="K581" s="181" t="s">
        <v>4833</v>
      </c>
      <c r="L581" s="181" t="s">
        <v>39</v>
      </c>
      <c r="M581" s="181" t="s">
        <v>231</v>
      </c>
      <c r="N581" s="182" t="s">
        <v>231</v>
      </c>
    </row>
    <row r="582" spans="1:14" ht="19.5">
      <c r="A582" s="197" t="s">
        <v>2954</v>
      </c>
      <c r="B582" s="188" t="s">
        <v>188</v>
      </c>
      <c r="C582" s="174" t="s">
        <v>4833</v>
      </c>
      <c r="D582" s="174" t="s">
        <v>39</v>
      </c>
      <c r="E582" s="174">
        <v>0</v>
      </c>
      <c r="F582" s="186" t="s">
        <v>2955</v>
      </c>
      <c r="G582" s="174"/>
      <c r="H582" s="174"/>
      <c r="I582" s="174"/>
      <c r="J582" s="180" t="s">
        <v>748</v>
      </c>
      <c r="K582" s="181" t="s">
        <v>4833</v>
      </c>
      <c r="L582" s="181" t="s">
        <v>39</v>
      </c>
      <c r="M582" s="181" t="s">
        <v>231</v>
      </c>
      <c r="N582" s="182" t="s">
        <v>231</v>
      </c>
    </row>
    <row r="583" spans="1:14" ht="19.5">
      <c r="A583" s="197" t="s">
        <v>2959</v>
      </c>
      <c r="B583" s="188" t="s">
        <v>188</v>
      </c>
      <c r="C583" s="174" t="s">
        <v>4833</v>
      </c>
      <c r="D583" s="174" t="s">
        <v>39</v>
      </c>
      <c r="E583" s="174">
        <v>0</v>
      </c>
      <c r="F583" s="186" t="s">
        <v>2960</v>
      </c>
      <c r="G583" s="174"/>
      <c r="H583" s="174"/>
      <c r="I583" s="174"/>
      <c r="J583" s="180" t="s">
        <v>692</v>
      </c>
      <c r="K583" s="181" t="s">
        <v>4833</v>
      </c>
      <c r="L583" s="181" t="s">
        <v>39</v>
      </c>
      <c r="M583" s="181" t="s">
        <v>231</v>
      </c>
      <c r="N583" s="182" t="s">
        <v>231</v>
      </c>
    </row>
    <row r="584" spans="1:14" ht="19.5">
      <c r="A584" s="197" t="s">
        <v>2964</v>
      </c>
      <c r="B584" s="188" t="s">
        <v>188</v>
      </c>
      <c r="C584" s="174" t="s">
        <v>4833</v>
      </c>
      <c r="D584" s="174" t="s">
        <v>39</v>
      </c>
      <c r="E584" s="174">
        <v>0</v>
      </c>
      <c r="F584" s="186" t="s">
        <v>2965</v>
      </c>
      <c r="G584" s="174"/>
      <c r="H584" s="174"/>
      <c r="I584" s="174"/>
      <c r="J584" s="180" t="s">
        <v>779</v>
      </c>
      <c r="K584" s="181" t="s">
        <v>4833</v>
      </c>
      <c r="L584" s="181" t="s">
        <v>39</v>
      </c>
      <c r="M584" s="181" t="s">
        <v>231</v>
      </c>
      <c r="N584" s="182" t="s">
        <v>231</v>
      </c>
    </row>
    <row r="585" spans="1:14" ht="19.5">
      <c r="A585" s="197" t="s">
        <v>2969</v>
      </c>
      <c r="B585" s="188" t="s">
        <v>188</v>
      </c>
      <c r="C585" s="174" t="s">
        <v>4833</v>
      </c>
      <c r="D585" s="174" t="s">
        <v>39</v>
      </c>
      <c r="E585" s="174">
        <v>0</v>
      </c>
      <c r="F585" s="186" t="s">
        <v>2970</v>
      </c>
      <c r="G585" s="174"/>
      <c r="H585" s="174"/>
      <c r="I585" s="174"/>
      <c r="J585" s="180" t="s">
        <v>676</v>
      </c>
      <c r="K585" s="181" t="s">
        <v>4833</v>
      </c>
      <c r="L585" s="181" t="s">
        <v>39</v>
      </c>
      <c r="M585" s="181" t="s">
        <v>231</v>
      </c>
      <c r="N585" s="182" t="s">
        <v>231</v>
      </c>
    </row>
    <row r="586" spans="1:14" ht="19.5">
      <c r="A586" s="197" t="s">
        <v>2973</v>
      </c>
      <c r="B586" s="188" t="s">
        <v>188</v>
      </c>
      <c r="C586" s="174" t="s">
        <v>4833</v>
      </c>
      <c r="D586" s="174" t="s">
        <v>39</v>
      </c>
      <c r="E586" s="174">
        <v>0</v>
      </c>
      <c r="F586" s="186" t="s">
        <v>2974</v>
      </c>
      <c r="G586" s="174"/>
      <c r="H586" s="174"/>
      <c r="I586" s="174"/>
      <c r="J586" s="180" t="s">
        <v>666</v>
      </c>
      <c r="K586" s="181" t="s">
        <v>4833</v>
      </c>
      <c r="L586" s="181" t="s">
        <v>39</v>
      </c>
      <c r="M586" s="181" t="s">
        <v>231</v>
      </c>
      <c r="N586" s="182" t="s">
        <v>231</v>
      </c>
    </row>
    <row r="587" spans="1:14" ht="19.5">
      <c r="A587" s="197" t="s">
        <v>2978</v>
      </c>
      <c r="B587" s="188" t="s">
        <v>188</v>
      </c>
      <c r="C587" s="174" t="s">
        <v>4833</v>
      </c>
      <c r="D587" s="174" t="s">
        <v>39</v>
      </c>
      <c r="E587" s="174">
        <v>0</v>
      </c>
      <c r="F587" s="186" t="s">
        <v>2979</v>
      </c>
      <c r="G587" s="174"/>
      <c r="H587" s="174"/>
      <c r="I587" s="174"/>
      <c r="J587" s="180" t="s">
        <v>518</v>
      </c>
      <c r="K587" s="181" t="s">
        <v>4833</v>
      </c>
      <c r="L587" s="181" t="s">
        <v>39</v>
      </c>
      <c r="M587" s="181" t="s">
        <v>231</v>
      </c>
      <c r="N587" s="182" t="s">
        <v>231</v>
      </c>
    </row>
    <row r="588" spans="1:14" ht="19.5">
      <c r="A588" s="197" t="s">
        <v>2983</v>
      </c>
      <c r="B588" s="188" t="s">
        <v>188</v>
      </c>
      <c r="C588" s="174" t="s">
        <v>4833</v>
      </c>
      <c r="D588" s="174" t="s">
        <v>39</v>
      </c>
      <c r="E588" s="174">
        <v>0</v>
      </c>
      <c r="F588" s="186" t="s">
        <v>2984</v>
      </c>
      <c r="G588" s="174"/>
      <c r="H588" s="174"/>
      <c r="I588" s="174"/>
      <c r="J588" s="180" t="s">
        <v>774</v>
      </c>
      <c r="K588" s="181" t="s">
        <v>4833</v>
      </c>
      <c r="L588" s="181" t="s">
        <v>39</v>
      </c>
      <c r="M588" s="181" t="s">
        <v>231</v>
      </c>
      <c r="N588" s="182" t="s">
        <v>231</v>
      </c>
    </row>
    <row r="589" spans="1:14" ht="19.5">
      <c r="A589" s="197" t="s">
        <v>2989</v>
      </c>
      <c r="B589" s="188" t="s">
        <v>188</v>
      </c>
      <c r="C589" s="174" t="s">
        <v>4833</v>
      </c>
      <c r="D589" s="174" t="s">
        <v>39</v>
      </c>
      <c r="E589" s="174">
        <v>0</v>
      </c>
      <c r="F589" s="186" t="s">
        <v>2990</v>
      </c>
      <c r="G589" s="174"/>
      <c r="H589" s="174"/>
      <c r="I589" s="174"/>
      <c r="J589" s="180" t="s">
        <v>2607</v>
      </c>
      <c r="K589" s="181" t="s">
        <v>4833</v>
      </c>
      <c r="L589" s="181" t="s">
        <v>39</v>
      </c>
      <c r="M589" s="181" t="s">
        <v>231</v>
      </c>
      <c r="N589" s="182" t="s">
        <v>231</v>
      </c>
    </row>
    <row r="590" spans="1:14" ht="19.5">
      <c r="A590" s="197" t="s">
        <v>2993</v>
      </c>
      <c r="B590" s="188" t="s">
        <v>188</v>
      </c>
      <c r="C590" s="174" t="s">
        <v>4833</v>
      </c>
      <c r="D590" s="174" t="s">
        <v>39</v>
      </c>
      <c r="E590" s="174">
        <v>0</v>
      </c>
      <c r="F590" s="186" t="s">
        <v>2994</v>
      </c>
      <c r="G590" s="174"/>
      <c r="H590" s="174"/>
      <c r="I590" s="174"/>
      <c r="J590" s="180" t="s">
        <v>2611</v>
      </c>
      <c r="K590" s="181" t="s">
        <v>4833</v>
      </c>
      <c r="L590" s="181" t="s">
        <v>39</v>
      </c>
      <c r="M590" s="181" t="s">
        <v>231</v>
      </c>
      <c r="N590" s="182" t="s">
        <v>231</v>
      </c>
    </row>
    <row r="591" spans="1:14" ht="19.5">
      <c r="A591" s="197" t="s">
        <v>2998</v>
      </c>
      <c r="B591" s="188" t="s">
        <v>188</v>
      </c>
      <c r="C591" s="174" t="s">
        <v>4833</v>
      </c>
      <c r="D591" s="174" t="s">
        <v>39</v>
      </c>
      <c r="E591" s="174">
        <v>0</v>
      </c>
      <c r="F591" s="186" t="s">
        <v>2999</v>
      </c>
      <c r="G591" s="174"/>
      <c r="H591" s="174"/>
      <c r="I591" s="174"/>
      <c r="J591" s="180" t="s">
        <v>2615</v>
      </c>
      <c r="K591" s="181" t="s">
        <v>4833</v>
      </c>
      <c r="L591" s="181" t="s">
        <v>39</v>
      </c>
      <c r="M591" s="181" t="s">
        <v>231</v>
      </c>
      <c r="N591" s="182" t="s">
        <v>231</v>
      </c>
    </row>
    <row r="592" spans="1:14" ht="19.5">
      <c r="A592" s="197" t="s">
        <v>3003</v>
      </c>
      <c r="B592" s="188" t="s">
        <v>188</v>
      </c>
      <c r="C592" s="174" t="s">
        <v>4833</v>
      </c>
      <c r="D592" s="174" t="s">
        <v>39</v>
      </c>
      <c r="E592" s="174">
        <v>0</v>
      </c>
      <c r="F592" s="186" t="s">
        <v>3004</v>
      </c>
      <c r="G592" s="174"/>
      <c r="H592" s="174"/>
      <c r="I592" s="174"/>
      <c r="J592" s="180" t="s">
        <v>2619</v>
      </c>
      <c r="K592" s="181" t="s">
        <v>4833</v>
      </c>
      <c r="L592" s="181" t="s">
        <v>39</v>
      </c>
      <c r="M592" s="181" t="s">
        <v>231</v>
      </c>
      <c r="N592" s="182" t="s">
        <v>231</v>
      </c>
    </row>
    <row r="593" spans="1:14" ht="19.5">
      <c r="A593" s="197" t="s">
        <v>3009</v>
      </c>
      <c r="B593" s="188" t="s">
        <v>188</v>
      </c>
      <c r="C593" s="174" t="s">
        <v>4833</v>
      </c>
      <c r="D593" s="174" t="s">
        <v>39</v>
      </c>
      <c r="E593" s="174">
        <v>0</v>
      </c>
      <c r="F593" s="186" t="s">
        <v>3010</v>
      </c>
      <c r="G593" s="174"/>
      <c r="H593" s="174"/>
      <c r="I593" s="174"/>
      <c r="J593" s="180" t="s">
        <v>2623</v>
      </c>
      <c r="K593" s="181" t="s">
        <v>4833</v>
      </c>
      <c r="L593" s="181" t="s">
        <v>39</v>
      </c>
      <c r="M593" s="181" t="s">
        <v>231</v>
      </c>
      <c r="N593" s="182" t="s">
        <v>231</v>
      </c>
    </row>
    <row r="594" spans="1:14" ht="19.5">
      <c r="A594" s="197" t="s">
        <v>3014</v>
      </c>
      <c r="B594" s="188" t="s">
        <v>188</v>
      </c>
      <c r="C594" s="174" t="s">
        <v>4833</v>
      </c>
      <c r="D594" s="174" t="s">
        <v>39</v>
      </c>
      <c r="E594" s="174">
        <v>0</v>
      </c>
      <c r="F594" s="186" t="s">
        <v>3015</v>
      </c>
      <c r="G594" s="174"/>
      <c r="H594" s="174"/>
      <c r="I594" s="174"/>
      <c r="J594" s="180" t="s">
        <v>2627</v>
      </c>
      <c r="K594" s="181" t="s">
        <v>4833</v>
      </c>
      <c r="L594" s="181" t="s">
        <v>39</v>
      </c>
      <c r="M594" s="181" t="s">
        <v>231</v>
      </c>
      <c r="N594" s="182" t="s">
        <v>231</v>
      </c>
    </row>
    <row r="595" spans="1:14" ht="19.5">
      <c r="A595" s="197" t="s">
        <v>464</v>
      </c>
      <c r="B595" s="188" t="s">
        <v>188</v>
      </c>
      <c r="C595" s="174" t="s">
        <v>4833</v>
      </c>
      <c r="D595" s="174" t="s">
        <v>39</v>
      </c>
      <c r="E595" s="174">
        <v>0</v>
      </c>
      <c r="F595" s="186" t="s">
        <v>3019</v>
      </c>
      <c r="G595" s="174"/>
      <c r="H595" s="174"/>
      <c r="I595" s="174"/>
      <c r="J595" s="180" t="s">
        <v>2631</v>
      </c>
      <c r="K595" s="181" t="s">
        <v>4833</v>
      </c>
      <c r="L595" s="181" t="s">
        <v>39</v>
      </c>
      <c r="M595" s="181" t="s">
        <v>231</v>
      </c>
      <c r="N595" s="182" t="s">
        <v>231</v>
      </c>
    </row>
    <row r="596" spans="1:14" ht="19.5">
      <c r="A596" s="186" t="s">
        <v>4645</v>
      </c>
      <c r="B596" s="188" t="s">
        <v>4</v>
      </c>
      <c r="C596" s="174" t="s">
        <v>3894</v>
      </c>
      <c r="D596" s="174" t="s">
        <v>4</v>
      </c>
      <c r="E596" s="174" t="s">
        <v>3056</v>
      </c>
      <c r="F596" s="186" t="s">
        <v>4646</v>
      </c>
      <c r="G596" s="174"/>
      <c r="H596" s="174"/>
      <c r="I596" s="174"/>
      <c r="J596" s="180" t="s">
        <v>2635</v>
      </c>
      <c r="K596" s="181" t="s">
        <v>4833</v>
      </c>
      <c r="L596" s="181" t="s">
        <v>39</v>
      </c>
      <c r="M596" s="181" t="s">
        <v>231</v>
      </c>
      <c r="N596" s="182" t="s">
        <v>231</v>
      </c>
    </row>
    <row r="597" spans="1:14" ht="19.5">
      <c r="A597" s="186" t="s">
        <v>3023</v>
      </c>
      <c r="B597" s="188" t="s">
        <v>4</v>
      </c>
      <c r="C597" s="174" t="s">
        <v>3894</v>
      </c>
      <c r="D597" s="174" t="s">
        <v>5363</v>
      </c>
      <c r="E597" s="174" t="s">
        <v>3027</v>
      </c>
      <c r="F597" s="186" t="s">
        <v>3024</v>
      </c>
      <c r="G597" s="174"/>
      <c r="H597" s="174"/>
      <c r="I597" s="174"/>
      <c r="J597" s="180" t="s">
        <v>2640</v>
      </c>
      <c r="K597" s="181" t="s">
        <v>4833</v>
      </c>
      <c r="L597" s="181" t="s">
        <v>39</v>
      </c>
      <c r="M597" s="181" t="s">
        <v>231</v>
      </c>
      <c r="N597" s="182" t="s">
        <v>231</v>
      </c>
    </row>
    <row r="598" spans="1:14" ht="19.5">
      <c r="A598" s="186" t="s">
        <v>3030</v>
      </c>
      <c r="B598" s="188" t="s">
        <v>3</v>
      </c>
      <c r="C598" s="174" t="s">
        <v>3894</v>
      </c>
      <c r="D598" s="174" t="s">
        <v>3</v>
      </c>
      <c r="E598" s="174" t="s">
        <v>3033</v>
      </c>
      <c r="F598" s="186" t="s">
        <v>3031</v>
      </c>
      <c r="G598" s="174"/>
      <c r="H598" s="174"/>
      <c r="I598" s="174"/>
      <c r="J598" s="180" t="s">
        <v>2644</v>
      </c>
      <c r="K598" s="181" t="s">
        <v>4833</v>
      </c>
      <c r="L598" s="181" t="s">
        <v>39</v>
      </c>
      <c r="M598" s="181" t="s">
        <v>231</v>
      </c>
      <c r="N598" s="182" t="s">
        <v>231</v>
      </c>
    </row>
    <row r="599" spans="1:14" ht="19.5">
      <c r="A599" s="186" t="s">
        <v>3036</v>
      </c>
      <c r="B599" s="188" t="s">
        <v>4</v>
      </c>
      <c r="C599" s="174" t="s">
        <v>3894</v>
      </c>
      <c r="D599" s="174" t="s">
        <v>4</v>
      </c>
      <c r="E599" s="174" t="s">
        <v>3039</v>
      </c>
      <c r="F599" s="186" t="s">
        <v>3037</v>
      </c>
      <c r="G599" s="174"/>
      <c r="H599" s="174"/>
      <c r="I599" s="174"/>
      <c r="J599" s="180" t="s">
        <v>2648</v>
      </c>
      <c r="K599" s="181" t="s">
        <v>4833</v>
      </c>
      <c r="L599" s="181" t="s">
        <v>39</v>
      </c>
      <c r="M599" s="181" t="s">
        <v>231</v>
      </c>
      <c r="N599" s="182" t="s">
        <v>231</v>
      </c>
    </row>
    <row r="600" spans="1:14" ht="19.5">
      <c r="A600" s="186" t="s">
        <v>3042</v>
      </c>
      <c r="B600" s="188" t="s">
        <v>4</v>
      </c>
      <c r="C600" s="174" t="s">
        <v>3894</v>
      </c>
      <c r="D600" s="174" t="s">
        <v>4</v>
      </c>
      <c r="E600" s="174" t="s">
        <v>3045</v>
      </c>
      <c r="F600" s="186" t="s">
        <v>3043</v>
      </c>
      <c r="G600" s="174"/>
      <c r="H600" s="174"/>
      <c r="I600" s="174"/>
      <c r="J600" s="180" t="s">
        <v>2652</v>
      </c>
      <c r="K600" s="181" t="s">
        <v>4833</v>
      </c>
      <c r="L600" s="181" t="s">
        <v>39</v>
      </c>
      <c r="M600" s="181" t="s">
        <v>231</v>
      </c>
      <c r="N600" s="182" t="s">
        <v>231</v>
      </c>
    </row>
    <row r="601" spans="1:14" ht="19.5">
      <c r="A601" s="186" t="s">
        <v>3048</v>
      </c>
      <c r="B601" s="188" t="s">
        <v>3</v>
      </c>
      <c r="C601" s="174" t="s">
        <v>3894</v>
      </c>
      <c r="D601" s="174" t="s">
        <v>3</v>
      </c>
      <c r="E601" s="174" t="s">
        <v>1135</v>
      </c>
      <c r="F601" s="186" t="s">
        <v>3049</v>
      </c>
      <c r="G601" s="174"/>
      <c r="H601" s="174"/>
      <c r="I601" s="174"/>
      <c r="J601" s="180" t="s">
        <v>2656</v>
      </c>
      <c r="K601" s="181" t="s">
        <v>4833</v>
      </c>
      <c r="L601" s="181" t="s">
        <v>39</v>
      </c>
      <c r="M601" s="181" t="s">
        <v>231</v>
      </c>
      <c r="N601" s="182" t="s">
        <v>231</v>
      </c>
    </row>
    <row r="602" spans="1:14" ht="19.5">
      <c r="A602" s="186" t="s">
        <v>3053</v>
      </c>
      <c r="B602" s="188" t="s">
        <v>4</v>
      </c>
      <c r="C602" s="174" t="s">
        <v>3894</v>
      </c>
      <c r="D602" s="174" t="s">
        <v>4</v>
      </c>
      <c r="E602" s="174" t="s">
        <v>3056</v>
      </c>
      <c r="F602" s="186" t="s">
        <v>3054</v>
      </c>
      <c r="G602" s="174"/>
      <c r="H602" s="174"/>
      <c r="I602" s="174"/>
      <c r="J602" s="180" t="s">
        <v>523</v>
      </c>
      <c r="K602" s="181" t="s">
        <v>3894</v>
      </c>
      <c r="L602" s="181" t="s">
        <v>5349</v>
      </c>
      <c r="M602" s="181" t="s">
        <v>147</v>
      </c>
      <c r="N602" s="182" t="s">
        <v>5393</v>
      </c>
    </row>
    <row r="603" spans="1:14" ht="19.5">
      <c r="A603" s="186" t="s">
        <v>3059</v>
      </c>
      <c r="B603" s="188" t="s">
        <v>4</v>
      </c>
      <c r="C603" s="174" t="s">
        <v>3894</v>
      </c>
      <c r="D603" s="174" t="s">
        <v>4</v>
      </c>
      <c r="E603" s="174" t="s">
        <v>3062</v>
      </c>
      <c r="F603" s="186" t="s">
        <v>3060</v>
      </c>
      <c r="G603" s="174"/>
      <c r="H603" s="174"/>
      <c r="I603" s="174"/>
      <c r="J603" s="180" t="s">
        <v>2660</v>
      </c>
      <c r="K603" s="181" t="s">
        <v>4833</v>
      </c>
      <c r="L603" s="181" t="s">
        <v>39</v>
      </c>
      <c r="M603" s="181" t="s">
        <v>231</v>
      </c>
      <c r="N603" s="182" t="s">
        <v>231</v>
      </c>
    </row>
    <row r="604" spans="1:14" ht="19.5">
      <c r="A604" s="186" t="s">
        <v>3065</v>
      </c>
      <c r="B604" s="188" t="s">
        <v>4</v>
      </c>
      <c r="C604" s="174" t="s">
        <v>3894</v>
      </c>
      <c r="D604" s="174" t="s">
        <v>4</v>
      </c>
      <c r="E604" s="174" t="s">
        <v>3068</v>
      </c>
      <c r="F604" s="186" t="s">
        <v>3066</v>
      </c>
      <c r="G604" s="174"/>
      <c r="H604" s="174"/>
      <c r="I604" s="174"/>
      <c r="J604" s="180" t="s">
        <v>628</v>
      </c>
      <c r="K604" s="181" t="s">
        <v>4833</v>
      </c>
      <c r="L604" s="181" t="s">
        <v>39</v>
      </c>
      <c r="M604" s="181" t="s">
        <v>231</v>
      </c>
      <c r="N604" s="182" t="s">
        <v>231</v>
      </c>
    </row>
    <row r="605" spans="1:14" ht="19.5">
      <c r="A605" s="186" t="s">
        <v>3071</v>
      </c>
      <c r="B605" s="188" t="s">
        <v>3</v>
      </c>
      <c r="C605" s="174" t="s">
        <v>3894</v>
      </c>
      <c r="D605" s="174" t="s">
        <v>3</v>
      </c>
      <c r="E605" s="174" t="s">
        <v>1135</v>
      </c>
      <c r="F605" s="186" t="s">
        <v>3072</v>
      </c>
      <c r="G605" s="174"/>
      <c r="H605" s="174"/>
      <c r="I605" s="174"/>
      <c r="J605" s="180" t="s">
        <v>1297</v>
      </c>
      <c r="K605" s="181" t="s">
        <v>4833</v>
      </c>
      <c r="L605" s="181" t="s">
        <v>39</v>
      </c>
      <c r="M605" s="181" t="s">
        <v>231</v>
      </c>
      <c r="N605" s="182" t="s">
        <v>231</v>
      </c>
    </row>
    <row r="606" spans="1:14" ht="19.5">
      <c r="A606" s="186" t="s">
        <v>3076</v>
      </c>
      <c r="B606" s="188" t="s">
        <v>4</v>
      </c>
      <c r="C606" s="174" t="s">
        <v>3894</v>
      </c>
      <c r="D606" s="174" t="s">
        <v>4</v>
      </c>
      <c r="E606" s="174" t="s">
        <v>3079</v>
      </c>
      <c r="F606" s="186" t="s">
        <v>3077</v>
      </c>
      <c r="G606" s="174"/>
      <c r="H606" s="174"/>
      <c r="I606" s="174"/>
      <c r="J606" s="180" t="s">
        <v>851</v>
      </c>
      <c r="K606" s="181" t="s">
        <v>4833</v>
      </c>
      <c r="L606" s="181" t="s">
        <v>39</v>
      </c>
      <c r="M606" s="181" t="s">
        <v>231</v>
      </c>
      <c r="N606" s="182" t="s">
        <v>231</v>
      </c>
    </row>
    <row r="607" spans="1:14" ht="19.5">
      <c r="A607" s="186" t="s">
        <v>3082</v>
      </c>
      <c r="B607" s="188" t="s">
        <v>4</v>
      </c>
      <c r="C607" s="174" t="s">
        <v>3894</v>
      </c>
      <c r="D607" s="174" t="s">
        <v>4</v>
      </c>
      <c r="E607" s="174" t="s">
        <v>3085</v>
      </c>
      <c r="F607" s="186" t="s">
        <v>3083</v>
      </c>
      <c r="G607" s="174"/>
      <c r="H607" s="174"/>
      <c r="I607" s="174"/>
      <c r="J607" s="180" t="s">
        <v>4502</v>
      </c>
      <c r="K607" s="181" t="s">
        <v>4833</v>
      </c>
      <c r="L607" s="181" t="s">
        <v>39</v>
      </c>
      <c r="M607" s="181" t="s">
        <v>231</v>
      </c>
      <c r="N607" s="182" t="s">
        <v>231</v>
      </c>
    </row>
    <row r="608" spans="1:14" ht="19.5">
      <c r="A608" s="186" t="s">
        <v>3088</v>
      </c>
      <c r="B608" s="188" t="s">
        <v>188</v>
      </c>
      <c r="C608" s="174" t="s">
        <v>4833</v>
      </c>
      <c r="D608" s="174" t="s">
        <v>39</v>
      </c>
      <c r="E608" s="174">
        <v>0</v>
      </c>
      <c r="F608" s="186" t="s">
        <v>3089</v>
      </c>
      <c r="G608" s="174"/>
      <c r="H608" s="174"/>
      <c r="I608" s="174"/>
      <c r="J608" s="180" t="s">
        <v>4061</v>
      </c>
      <c r="K608" s="181" t="s">
        <v>4833</v>
      </c>
      <c r="L608" s="181" t="s">
        <v>39</v>
      </c>
      <c r="M608" s="181" t="s">
        <v>231</v>
      </c>
      <c r="N608" s="182" t="s">
        <v>231</v>
      </c>
    </row>
    <row r="609" spans="1:14" ht="19.5">
      <c r="A609" s="197" t="s">
        <v>3093</v>
      </c>
      <c r="B609" s="188" t="s">
        <v>188</v>
      </c>
      <c r="C609" s="174" t="s">
        <v>4833</v>
      </c>
      <c r="D609" s="174" t="s">
        <v>39</v>
      </c>
      <c r="E609" s="174">
        <v>0</v>
      </c>
      <c r="F609" s="186" t="s">
        <v>3094</v>
      </c>
      <c r="G609" s="174"/>
      <c r="H609" s="174"/>
      <c r="I609" s="174"/>
      <c r="J609" s="180" t="s">
        <v>531</v>
      </c>
      <c r="K609" s="181" t="s">
        <v>3894</v>
      </c>
      <c r="L609" s="181" t="s">
        <v>4</v>
      </c>
      <c r="M609" s="181" t="s">
        <v>534</v>
      </c>
      <c r="N609" s="182" t="s">
        <v>4</v>
      </c>
    </row>
    <row r="610" spans="1:14" ht="19.5">
      <c r="A610" s="197" t="s">
        <v>3098</v>
      </c>
      <c r="B610" s="188" t="s">
        <v>188</v>
      </c>
      <c r="C610" s="174" t="s">
        <v>4833</v>
      </c>
      <c r="D610" s="174" t="s">
        <v>39</v>
      </c>
      <c r="E610" s="174">
        <v>0</v>
      </c>
      <c r="F610" s="186" t="s">
        <v>3099</v>
      </c>
      <c r="G610" s="174"/>
      <c r="H610" s="174"/>
      <c r="I610" s="174"/>
      <c r="J610" s="180" t="s">
        <v>2237</v>
      </c>
      <c r="K610" s="181" t="s">
        <v>4833</v>
      </c>
      <c r="L610" s="181" t="s">
        <v>39</v>
      </c>
      <c r="M610" s="181" t="s">
        <v>231</v>
      </c>
      <c r="N610" s="182" t="s">
        <v>231</v>
      </c>
    </row>
    <row r="611" spans="1:14" ht="19.5">
      <c r="A611" s="197" t="s">
        <v>3102</v>
      </c>
      <c r="B611" s="188" t="s">
        <v>188</v>
      </c>
      <c r="C611" s="174" t="s">
        <v>4833</v>
      </c>
      <c r="D611" s="174" t="s">
        <v>39</v>
      </c>
      <c r="E611" s="174">
        <v>0</v>
      </c>
      <c r="F611" s="186" t="s">
        <v>3103</v>
      </c>
      <c r="G611" s="174"/>
      <c r="H611" s="174"/>
      <c r="I611" s="174"/>
      <c r="J611" s="180" t="s">
        <v>856</v>
      </c>
      <c r="K611" s="181" t="s">
        <v>4833</v>
      </c>
      <c r="L611" s="181" t="s">
        <v>39</v>
      </c>
      <c r="M611" s="181" t="s">
        <v>231</v>
      </c>
      <c r="N611" s="182" t="s">
        <v>231</v>
      </c>
    </row>
    <row r="612" spans="1:14" ht="19.5">
      <c r="A612" s="197" t="s">
        <v>3108</v>
      </c>
      <c r="B612" s="188" t="s">
        <v>188</v>
      </c>
      <c r="C612" s="174" t="s">
        <v>4833</v>
      </c>
      <c r="D612" s="174" t="s">
        <v>39</v>
      </c>
      <c r="E612" s="174">
        <v>0</v>
      </c>
      <c r="F612" s="186" t="s">
        <v>3109</v>
      </c>
      <c r="G612" s="174"/>
      <c r="H612" s="174"/>
      <c r="I612" s="174"/>
      <c r="J612" s="180" t="s">
        <v>1882</v>
      </c>
      <c r="K612" s="181" t="s">
        <v>4833</v>
      </c>
      <c r="L612" s="181" t="s">
        <v>39</v>
      </c>
      <c r="M612" s="181" t="s">
        <v>231</v>
      </c>
      <c r="N612" s="182" t="s">
        <v>231</v>
      </c>
    </row>
    <row r="613" spans="1:14" ht="19.5">
      <c r="A613" s="197" t="s">
        <v>3112</v>
      </c>
      <c r="B613" s="188" t="s">
        <v>188</v>
      </c>
      <c r="C613" s="174" t="s">
        <v>4833</v>
      </c>
      <c r="D613" s="174" t="s">
        <v>39</v>
      </c>
      <c r="E613" s="174">
        <v>0</v>
      </c>
      <c r="F613" s="186" t="s">
        <v>3113</v>
      </c>
      <c r="G613" s="174"/>
      <c r="H613" s="174"/>
      <c r="I613" s="174"/>
      <c r="J613" s="180" t="s">
        <v>2290</v>
      </c>
      <c r="K613" s="181" t="s">
        <v>4833</v>
      </c>
      <c r="L613" s="181" t="s">
        <v>39</v>
      </c>
      <c r="M613" s="181" t="s">
        <v>231</v>
      </c>
      <c r="N613" s="182" t="s">
        <v>231</v>
      </c>
    </row>
    <row r="614" spans="1:14" ht="19.5">
      <c r="A614" s="197" t="s">
        <v>3117</v>
      </c>
      <c r="B614" s="188" t="s">
        <v>188</v>
      </c>
      <c r="C614" s="174" t="s">
        <v>4833</v>
      </c>
      <c r="D614" s="174" t="s">
        <v>39</v>
      </c>
      <c r="E614" s="174">
        <v>0</v>
      </c>
      <c r="F614" s="186" t="s">
        <v>3118</v>
      </c>
      <c r="G614" s="174"/>
      <c r="H614" s="174"/>
      <c r="I614" s="174"/>
      <c r="J614" s="180" t="s">
        <v>861</v>
      </c>
      <c r="K614" s="181" t="s">
        <v>4833</v>
      </c>
      <c r="L614" s="181" t="s">
        <v>39</v>
      </c>
      <c r="M614" s="181" t="s">
        <v>231</v>
      </c>
      <c r="N614" s="182" t="s">
        <v>231</v>
      </c>
    </row>
    <row r="615" spans="1:14" ht="19.5">
      <c r="A615" s="197" t="s">
        <v>3122</v>
      </c>
      <c r="B615" s="188" t="s">
        <v>188</v>
      </c>
      <c r="C615" s="174" t="s">
        <v>4833</v>
      </c>
      <c r="D615" s="174" t="s">
        <v>39</v>
      </c>
      <c r="E615" s="174">
        <v>0</v>
      </c>
      <c r="F615" s="186" t="s">
        <v>3123</v>
      </c>
      <c r="G615" s="174"/>
      <c r="H615" s="174"/>
      <c r="I615" s="174"/>
      <c r="J615" s="180" t="s">
        <v>633</v>
      </c>
      <c r="K615" s="181" t="s">
        <v>4833</v>
      </c>
      <c r="L615" s="181" t="s">
        <v>39</v>
      </c>
      <c r="M615" s="181" t="s">
        <v>231</v>
      </c>
      <c r="N615" s="182" t="s">
        <v>231</v>
      </c>
    </row>
    <row r="616" spans="1:14" ht="19.5">
      <c r="A616" s="197" t="s">
        <v>3127</v>
      </c>
      <c r="B616" s="188" t="s">
        <v>188</v>
      </c>
      <c r="C616" s="174" t="s">
        <v>4833</v>
      </c>
      <c r="D616" s="174" t="s">
        <v>39</v>
      </c>
      <c r="E616" s="174">
        <v>0</v>
      </c>
      <c r="F616" s="186" t="s">
        <v>3128</v>
      </c>
      <c r="G616" s="174"/>
      <c r="H616" s="174"/>
      <c r="I616" s="174"/>
      <c r="J616" s="180" t="s">
        <v>4064</v>
      </c>
      <c r="K616" s="181" t="s">
        <v>4833</v>
      </c>
      <c r="L616" s="181" t="s">
        <v>39</v>
      </c>
      <c r="M616" s="181" t="s">
        <v>231</v>
      </c>
      <c r="N616" s="182" t="s">
        <v>231</v>
      </c>
    </row>
    <row r="617" spans="1:14" ht="19.5">
      <c r="A617" s="197" t="s">
        <v>3132</v>
      </c>
      <c r="B617" s="188" t="s">
        <v>188</v>
      </c>
      <c r="C617" s="174" t="s">
        <v>4833</v>
      </c>
      <c r="D617" s="174" t="s">
        <v>39</v>
      </c>
      <c r="E617" s="174">
        <v>0</v>
      </c>
      <c r="F617" s="186" t="s">
        <v>3133</v>
      </c>
      <c r="G617" s="174"/>
      <c r="H617" s="174"/>
      <c r="I617" s="174"/>
      <c r="J617" s="180" t="s">
        <v>638</v>
      </c>
      <c r="K617" s="181" t="s">
        <v>4833</v>
      </c>
      <c r="L617" s="181" t="s">
        <v>39</v>
      </c>
      <c r="M617" s="181" t="s">
        <v>231</v>
      </c>
      <c r="N617" s="182" t="s">
        <v>231</v>
      </c>
    </row>
    <row r="618" spans="1:14" ht="19.5">
      <c r="A618" s="197" t="s">
        <v>3138</v>
      </c>
      <c r="B618" s="188" t="s">
        <v>188</v>
      </c>
      <c r="C618" s="174" t="s">
        <v>4833</v>
      </c>
      <c r="D618" s="174" t="s">
        <v>39</v>
      </c>
      <c r="E618" s="174">
        <v>0</v>
      </c>
      <c r="F618" s="186" t="s">
        <v>3139</v>
      </c>
      <c r="G618" s="174"/>
      <c r="H618" s="174"/>
      <c r="I618" s="174"/>
      <c r="J618" s="180" t="s">
        <v>4479</v>
      </c>
      <c r="K618" s="181" t="s">
        <v>4833</v>
      </c>
      <c r="L618" s="181" t="s">
        <v>39</v>
      </c>
      <c r="M618" s="181" t="s">
        <v>231</v>
      </c>
      <c r="N618" s="182" t="s">
        <v>231</v>
      </c>
    </row>
    <row r="619" spans="1:14" ht="19.5">
      <c r="A619" s="197" t="s">
        <v>3142</v>
      </c>
      <c r="B619" s="188" t="s">
        <v>188</v>
      </c>
      <c r="C619" s="174" t="s">
        <v>4833</v>
      </c>
      <c r="D619" s="174" t="s">
        <v>39</v>
      </c>
      <c r="E619" s="174">
        <v>0</v>
      </c>
      <c r="F619" s="186" t="s">
        <v>3143</v>
      </c>
      <c r="G619" s="174"/>
      <c r="H619" s="174"/>
      <c r="I619" s="174"/>
      <c r="J619" s="180" t="s">
        <v>643</v>
      </c>
      <c r="K619" s="181" t="s">
        <v>4833</v>
      </c>
      <c r="L619" s="181" t="s">
        <v>39</v>
      </c>
      <c r="M619" s="181" t="s">
        <v>231</v>
      </c>
      <c r="N619" s="182" t="s">
        <v>231</v>
      </c>
    </row>
    <row r="620" spans="1:14" ht="59.25">
      <c r="A620" s="197" t="s">
        <v>3147</v>
      </c>
      <c r="B620" s="188" t="s">
        <v>188</v>
      </c>
      <c r="C620" s="174" t="s">
        <v>4833</v>
      </c>
      <c r="D620" s="174" t="s">
        <v>39</v>
      </c>
      <c r="E620" s="174">
        <v>0</v>
      </c>
      <c r="F620" s="186" t="s">
        <v>3148</v>
      </c>
      <c r="G620" s="174"/>
      <c r="H620" s="174"/>
      <c r="I620" s="174"/>
      <c r="J620" s="180" t="s">
        <v>582</v>
      </c>
      <c r="K620" s="181" t="s">
        <v>3894</v>
      </c>
      <c r="L620" s="181" t="s">
        <v>231</v>
      </c>
      <c r="M620" s="181" t="s">
        <v>231</v>
      </c>
      <c r="N620" s="182" t="s">
        <v>5360</v>
      </c>
    </row>
    <row r="621" spans="1:14" ht="19.5">
      <c r="A621" s="197" t="s">
        <v>3152</v>
      </c>
      <c r="B621" s="188" t="s">
        <v>188</v>
      </c>
      <c r="C621" s="174" t="s">
        <v>4833</v>
      </c>
      <c r="D621" s="174" t="s">
        <v>39</v>
      </c>
      <c r="E621" s="174">
        <v>0</v>
      </c>
      <c r="F621" s="186" t="s">
        <v>3153</v>
      </c>
      <c r="G621" s="174"/>
      <c r="H621" s="174"/>
      <c r="I621" s="174"/>
      <c r="J621" s="180" t="s">
        <v>567</v>
      </c>
      <c r="K621" s="181" t="s">
        <v>4833</v>
      </c>
      <c r="L621" s="181" t="s">
        <v>39</v>
      </c>
      <c r="M621" s="181" t="s">
        <v>231</v>
      </c>
      <c r="N621" s="182" t="s">
        <v>231</v>
      </c>
    </row>
    <row r="622" spans="1:14" ht="19.5">
      <c r="A622" s="197" t="s">
        <v>3157</v>
      </c>
      <c r="B622" s="188" t="s">
        <v>188</v>
      </c>
      <c r="C622" s="174" t="s">
        <v>4833</v>
      </c>
      <c r="D622" s="174" t="s">
        <v>39</v>
      </c>
      <c r="E622" s="174">
        <v>0</v>
      </c>
      <c r="F622" s="186" t="s">
        <v>3158</v>
      </c>
      <c r="G622" s="174"/>
      <c r="H622" s="174"/>
      <c r="I622" s="174"/>
      <c r="J622" s="180" t="s">
        <v>572</v>
      </c>
      <c r="K622" s="181" t="s">
        <v>4833</v>
      </c>
      <c r="L622" s="181" t="s">
        <v>39</v>
      </c>
      <c r="M622" s="181" t="s">
        <v>231</v>
      </c>
      <c r="N622" s="182" t="s">
        <v>231</v>
      </c>
    </row>
    <row r="623" spans="1:14" ht="19.5">
      <c r="A623" s="197" t="s">
        <v>3162</v>
      </c>
      <c r="B623" s="188" t="s">
        <v>188</v>
      </c>
      <c r="C623" s="174" t="s">
        <v>4833</v>
      </c>
      <c r="D623" s="174" t="s">
        <v>39</v>
      </c>
      <c r="E623" s="174">
        <v>0</v>
      </c>
      <c r="F623" s="186" t="s">
        <v>3163</v>
      </c>
      <c r="G623" s="174"/>
      <c r="H623" s="174"/>
      <c r="I623" s="174"/>
      <c r="J623" s="180" t="s">
        <v>577</v>
      </c>
      <c r="K623" s="181" t="s">
        <v>4833</v>
      </c>
      <c r="L623" s="181" t="s">
        <v>39</v>
      </c>
      <c r="M623" s="181" t="s">
        <v>231</v>
      </c>
      <c r="N623" s="182" t="s">
        <v>231</v>
      </c>
    </row>
    <row r="624" spans="1:14" ht="19.5">
      <c r="A624" s="197" t="s">
        <v>3167</v>
      </c>
      <c r="B624" s="188" t="s">
        <v>188</v>
      </c>
      <c r="C624" s="174" t="s">
        <v>4833</v>
      </c>
      <c r="D624" s="174" t="s">
        <v>39</v>
      </c>
      <c r="E624" s="174">
        <v>0</v>
      </c>
      <c r="F624" s="186" t="s">
        <v>3168</v>
      </c>
      <c r="G624" s="174"/>
      <c r="H624" s="174"/>
      <c r="I624" s="174"/>
      <c r="J624" s="180" t="s">
        <v>2664</v>
      </c>
      <c r="K624" s="181" t="s">
        <v>4833</v>
      </c>
      <c r="L624" s="181" t="s">
        <v>39</v>
      </c>
      <c r="M624" s="181" t="s">
        <v>231</v>
      </c>
      <c r="N624" s="182" t="s">
        <v>231</v>
      </c>
    </row>
    <row r="625" spans="1:14" ht="59.25">
      <c r="A625" s="197" t="s">
        <v>3172</v>
      </c>
      <c r="B625" s="188" t="s">
        <v>188</v>
      </c>
      <c r="C625" s="174" t="s">
        <v>4833</v>
      </c>
      <c r="D625" s="174" t="s">
        <v>39</v>
      </c>
      <c r="E625" s="174">
        <v>0</v>
      </c>
      <c r="F625" s="186" t="s">
        <v>3173</v>
      </c>
      <c r="G625" s="174"/>
      <c r="H625" s="174"/>
      <c r="I625" s="174"/>
      <c r="J625" s="180" t="s">
        <v>2668</v>
      </c>
      <c r="K625" s="181" t="s">
        <v>3894</v>
      </c>
      <c r="L625" s="181" t="s">
        <v>231</v>
      </c>
      <c r="M625" s="181" t="s">
        <v>154</v>
      </c>
      <c r="N625" s="182" t="s">
        <v>5360</v>
      </c>
    </row>
    <row r="626" spans="1:14" ht="19.5">
      <c r="A626" s="197" t="s">
        <v>3178</v>
      </c>
      <c r="B626" s="188" t="s">
        <v>188</v>
      </c>
      <c r="C626" s="174" t="s">
        <v>4833</v>
      </c>
      <c r="D626" s="174" t="s">
        <v>39</v>
      </c>
      <c r="E626" s="174">
        <v>0</v>
      </c>
      <c r="F626" s="186" t="s">
        <v>3179</v>
      </c>
      <c r="G626" s="174"/>
      <c r="H626" s="174"/>
      <c r="I626" s="174"/>
      <c r="J626" s="180" t="s">
        <v>3722</v>
      </c>
      <c r="K626" s="181" t="s">
        <v>4833</v>
      </c>
      <c r="L626" s="181" t="s">
        <v>39</v>
      </c>
      <c r="M626" s="181" t="s">
        <v>231</v>
      </c>
      <c r="N626" s="182" t="s">
        <v>231</v>
      </c>
    </row>
    <row r="627" spans="1:14" ht="19.5">
      <c r="A627" s="197" t="s">
        <v>3182</v>
      </c>
      <c r="B627" s="188" t="s">
        <v>188</v>
      </c>
      <c r="C627" s="174" t="s">
        <v>4833</v>
      </c>
      <c r="D627" s="174" t="s">
        <v>39</v>
      </c>
      <c r="E627" s="174">
        <v>0</v>
      </c>
      <c r="F627" s="186" t="s">
        <v>3183</v>
      </c>
      <c r="G627" s="174"/>
      <c r="H627" s="174"/>
      <c r="I627" s="174"/>
      <c r="J627" s="180" t="s">
        <v>2674</v>
      </c>
      <c r="K627" s="181" t="s">
        <v>4833</v>
      </c>
      <c r="L627" s="181" t="s">
        <v>39</v>
      </c>
      <c r="M627" s="181" t="s">
        <v>231</v>
      </c>
      <c r="N627" s="182" t="s">
        <v>231</v>
      </c>
    </row>
    <row r="628" spans="1:14" ht="19.5">
      <c r="A628" s="197" t="s">
        <v>3187</v>
      </c>
      <c r="B628" s="188" t="s">
        <v>188</v>
      </c>
      <c r="C628" s="174" t="s">
        <v>4833</v>
      </c>
      <c r="D628" s="174" t="s">
        <v>39</v>
      </c>
      <c r="E628" s="174">
        <v>0</v>
      </c>
      <c r="F628" s="186" t="s">
        <v>3188</v>
      </c>
      <c r="G628" s="174"/>
      <c r="H628" s="174"/>
      <c r="I628" s="174"/>
      <c r="J628" s="180" t="s">
        <v>2678</v>
      </c>
      <c r="K628" s="181" t="s">
        <v>4833</v>
      </c>
      <c r="L628" s="181" t="s">
        <v>39</v>
      </c>
      <c r="M628" s="181" t="s">
        <v>231</v>
      </c>
      <c r="N628" s="182" t="s">
        <v>231</v>
      </c>
    </row>
    <row r="629" spans="1:14" ht="19.5">
      <c r="A629" s="197" t="s">
        <v>3198</v>
      </c>
      <c r="B629" s="188" t="s">
        <v>188</v>
      </c>
      <c r="C629" s="174" t="s">
        <v>4833</v>
      </c>
      <c r="D629" s="174" t="s">
        <v>39</v>
      </c>
      <c r="E629" s="174">
        <v>0</v>
      </c>
      <c r="F629" s="186" t="s">
        <v>3199</v>
      </c>
      <c r="G629" s="174"/>
      <c r="H629" s="174"/>
      <c r="I629" s="174"/>
      <c r="J629" s="180" t="s">
        <v>2683</v>
      </c>
      <c r="K629" s="181" t="s">
        <v>4833</v>
      </c>
      <c r="L629" s="181" t="s">
        <v>39</v>
      </c>
      <c r="M629" s="181" t="s">
        <v>231</v>
      </c>
      <c r="N629" s="182" t="s">
        <v>231</v>
      </c>
    </row>
    <row r="630" spans="1:14" ht="19.5">
      <c r="A630" s="197" t="s">
        <v>3203</v>
      </c>
      <c r="B630" s="188" t="s">
        <v>188</v>
      </c>
      <c r="C630" s="174" t="s">
        <v>4833</v>
      </c>
      <c r="D630" s="174" t="s">
        <v>39</v>
      </c>
      <c r="E630" s="174">
        <v>0</v>
      </c>
      <c r="F630" s="186" t="s">
        <v>3204</v>
      </c>
      <c r="G630" s="174"/>
      <c r="H630" s="174"/>
      <c r="I630" s="174"/>
      <c r="J630" s="180" t="s">
        <v>2687</v>
      </c>
      <c r="K630" s="181" t="s">
        <v>4833</v>
      </c>
      <c r="L630" s="181" t="s">
        <v>39</v>
      </c>
      <c r="M630" s="181" t="s">
        <v>231</v>
      </c>
      <c r="N630" s="182" t="s">
        <v>231</v>
      </c>
    </row>
    <row r="631" spans="1:14" ht="19.5">
      <c r="A631" s="197" t="s">
        <v>3207</v>
      </c>
      <c r="B631" s="188" t="s">
        <v>188</v>
      </c>
      <c r="C631" s="174" t="s">
        <v>4833</v>
      </c>
      <c r="D631" s="174" t="s">
        <v>39</v>
      </c>
      <c r="E631" s="174">
        <v>0</v>
      </c>
      <c r="F631" s="186" t="s">
        <v>3208</v>
      </c>
      <c r="G631" s="174"/>
      <c r="H631" s="174"/>
      <c r="I631" s="174"/>
      <c r="J631" s="205" t="s">
        <v>1838</v>
      </c>
      <c r="K631" s="181" t="s">
        <v>4833</v>
      </c>
      <c r="L631" s="181" t="s">
        <v>39</v>
      </c>
      <c r="M631" s="206"/>
      <c r="N631" s="207" t="s">
        <v>231</v>
      </c>
    </row>
    <row r="632" spans="1:14" ht="19.5">
      <c r="A632" s="197" t="s">
        <v>4650</v>
      </c>
      <c r="B632" s="188" t="s">
        <v>188</v>
      </c>
      <c r="C632" s="174" t="s">
        <v>4833</v>
      </c>
      <c r="D632" s="174" t="s">
        <v>39</v>
      </c>
      <c r="E632" s="174">
        <v>0</v>
      </c>
      <c r="F632" s="186" t="s">
        <v>4651</v>
      </c>
      <c r="G632" s="174"/>
      <c r="H632" s="174"/>
      <c r="I632" s="174"/>
      <c r="J632" s="180" t="s">
        <v>3582</v>
      </c>
      <c r="K632" s="181" t="s">
        <v>3894</v>
      </c>
      <c r="L632" s="181" t="s">
        <v>3</v>
      </c>
      <c r="M632" s="181" t="s">
        <v>3585</v>
      </c>
      <c r="N632" s="182" t="s">
        <v>3</v>
      </c>
    </row>
    <row r="633" spans="1:14" ht="19.5">
      <c r="A633" s="197" t="s">
        <v>3212</v>
      </c>
      <c r="B633" s="188" t="s">
        <v>188</v>
      </c>
      <c r="C633" s="174" t="s">
        <v>4833</v>
      </c>
      <c r="D633" s="174" t="s">
        <v>39</v>
      </c>
      <c r="E633" s="174">
        <v>0</v>
      </c>
      <c r="F633" s="186" t="s">
        <v>3213</v>
      </c>
      <c r="G633" s="174"/>
      <c r="H633" s="174"/>
      <c r="I633" s="174"/>
      <c r="J633" s="180" t="s">
        <v>3717</v>
      </c>
      <c r="K633" s="181" t="s">
        <v>4833</v>
      </c>
      <c r="L633" s="181" t="s">
        <v>39</v>
      </c>
      <c r="M633" s="181" t="s">
        <v>231</v>
      </c>
      <c r="N633" s="182" t="s">
        <v>231</v>
      </c>
    </row>
    <row r="634" spans="1:14" ht="19.5">
      <c r="A634" s="197" t="s">
        <v>3216</v>
      </c>
      <c r="B634" s="188" t="s">
        <v>188</v>
      </c>
      <c r="C634" s="174" t="s">
        <v>4833</v>
      </c>
      <c r="D634" s="174" t="s">
        <v>39</v>
      </c>
      <c r="E634" s="174">
        <v>0</v>
      </c>
      <c r="F634" s="186" t="s">
        <v>3217</v>
      </c>
      <c r="G634" s="174"/>
      <c r="H634" s="174"/>
      <c r="I634" s="174"/>
      <c r="J634" s="180" t="s">
        <v>3588</v>
      </c>
      <c r="K634" s="181" t="s">
        <v>4833</v>
      </c>
      <c r="L634" s="181" t="s">
        <v>39</v>
      </c>
      <c r="M634" s="181" t="s">
        <v>231</v>
      </c>
      <c r="N634" s="182" t="s">
        <v>231</v>
      </c>
    </row>
    <row r="635" spans="1:14" ht="19.5">
      <c r="A635" s="197" t="s">
        <v>3220</v>
      </c>
      <c r="B635" s="188" t="s">
        <v>188</v>
      </c>
      <c r="C635" s="174" t="s">
        <v>4833</v>
      </c>
      <c r="D635" s="174" t="s">
        <v>39</v>
      </c>
      <c r="E635" s="174">
        <v>0</v>
      </c>
      <c r="F635" s="186" t="s">
        <v>3221</v>
      </c>
      <c r="G635" s="174"/>
      <c r="H635" s="174"/>
      <c r="I635" s="174"/>
      <c r="J635" s="180" t="s">
        <v>3592</v>
      </c>
      <c r="K635" s="181" t="s">
        <v>4833</v>
      </c>
      <c r="L635" s="181" t="s">
        <v>39</v>
      </c>
      <c r="M635" s="181" t="s">
        <v>231</v>
      </c>
      <c r="N635" s="182" t="s">
        <v>231</v>
      </c>
    </row>
    <row r="636" spans="1:14" ht="19.5">
      <c r="A636" s="197" t="s">
        <v>3225</v>
      </c>
      <c r="B636" s="188" t="s">
        <v>188</v>
      </c>
      <c r="C636" s="174" t="s">
        <v>4833</v>
      </c>
      <c r="D636" s="174" t="s">
        <v>39</v>
      </c>
      <c r="E636" s="174">
        <v>0</v>
      </c>
      <c r="F636" s="186" t="s">
        <v>3226</v>
      </c>
      <c r="G636" s="174"/>
      <c r="H636" s="174"/>
      <c r="I636" s="174"/>
      <c r="J636" s="180" t="s">
        <v>3597</v>
      </c>
      <c r="K636" s="181" t="s">
        <v>4833</v>
      </c>
      <c r="L636" s="181" t="s">
        <v>39</v>
      </c>
      <c r="M636" s="181" t="s">
        <v>231</v>
      </c>
      <c r="N636" s="182" t="s">
        <v>231</v>
      </c>
    </row>
    <row r="637" spans="1:14" ht="19.5">
      <c r="A637" s="197" t="s">
        <v>3230</v>
      </c>
      <c r="B637" s="188" t="s">
        <v>188</v>
      </c>
      <c r="C637" s="174" t="s">
        <v>4833</v>
      </c>
      <c r="D637" s="174" t="s">
        <v>39</v>
      </c>
      <c r="E637" s="174">
        <v>0</v>
      </c>
      <c r="F637" s="186" t="s">
        <v>3231</v>
      </c>
      <c r="G637" s="174"/>
      <c r="H637" s="174"/>
      <c r="I637" s="174"/>
      <c r="J637" s="180" t="s">
        <v>590</v>
      </c>
      <c r="K637" s="181" t="s">
        <v>4833</v>
      </c>
      <c r="L637" s="181" t="s">
        <v>39</v>
      </c>
      <c r="M637" s="181" t="s">
        <v>231</v>
      </c>
      <c r="N637" s="182" t="s">
        <v>231</v>
      </c>
    </row>
    <row r="638" spans="1:14" ht="19.5">
      <c r="A638" s="197" t="s">
        <v>3234</v>
      </c>
      <c r="B638" s="188" t="s">
        <v>188</v>
      </c>
      <c r="C638" s="174" t="s">
        <v>4833</v>
      </c>
      <c r="D638" s="174" t="s">
        <v>39</v>
      </c>
      <c r="E638" s="174">
        <v>0</v>
      </c>
      <c r="F638" s="186" t="s">
        <v>3235</v>
      </c>
      <c r="G638" s="174"/>
      <c r="H638" s="174"/>
      <c r="I638" s="174"/>
      <c r="J638" s="180" t="s">
        <v>596</v>
      </c>
      <c r="K638" s="181" t="s">
        <v>4833</v>
      </c>
      <c r="L638" s="181" t="s">
        <v>39</v>
      </c>
      <c r="M638" s="181" t="s">
        <v>231</v>
      </c>
      <c r="N638" s="182" t="s">
        <v>231</v>
      </c>
    </row>
    <row r="639" spans="1:14" ht="19.5">
      <c r="A639" s="197" t="s">
        <v>3239</v>
      </c>
      <c r="B639" s="188" t="s">
        <v>188</v>
      </c>
      <c r="C639" s="174" t="s">
        <v>4833</v>
      </c>
      <c r="D639" s="174" t="s">
        <v>39</v>
      </c>
      <c r="E639" s="174">
        <v>0</v>
      </c>
      <c r="F639" s="186" t="s">
        <v>3240</v>
      </c>
      <c r="G639" s="174"/>
      <c r="H639" s="174"/>
      <c r="I639" s="174"/>
      <c r="J639" s="180" t="s">
        <v>602</v>
      </c>
      <c r="K639" s="181" t="s">
        <v>4833</v>
      </c>
      <c r="L639" s="181" t="s">
        <v>39</v>
      </c>
      <c r="M639" s="181" t="s">
        <v>231</v>
      </c>
      <c r="N639" s="182" t="s">
        <v>231</v>
      </c>
    </row>
    <row r="640" spans="1:14" ht="19.5">
      <c r="A640" s="197" t="s">
        <v>3244</v>
      </c>
      <c r="B640" s="188" t="s">
        <v>188</v>
      </c>
      <c r="C640" s="174" t="s">
        <v>4833</v>
      </c>
      <c r="D640" s="174" t="s">
        <v>39</v>
      </c>
      <c r="E640" s="174">
        <v>0</v>
      </c>
      <c r="F640" s="186" t="s">
        <v>3245</v>
      </c>
      <c r="G640" s="174"/>
      <c r="H640" s="174"/>
      <c r="I640" s="174"/>
      <c r="J640" s="180" t="s">
        <v>4476</v>
      </c>
      <c r="K640" s="181" t="s">
        <v>4833</v>
      </c>
      <c r="L640" s="181" t="s">
        <v>39</v>
      </c>
      <c r="M640" s="181" t="s">
        <v>231</v>
      </c>
      <c r="N640" s="182" t="s">
        <v>231</v>
      </c>
    </row>
    <row r="641" spans="1:14" ht="19.5">
      <c r="A641" s="197" t="s">
        <v>3249</v>
      </c>
      <c r="B641" s="188" t="s">
        <v>188</v>
      </c>
      <c r="C641" s="174" t="s">
        <v>4833</v>
      </c>
      <c r="D641" s="174" t="s">
        <v>39</v>
      </c>
      <c r="E641" s="174">
        <v>0</v>
      </c>
      <c r="F641" s="186" t="s">
        <v>3250</v>
      </c>
      <c r="G641" s="174"/>
      <c r="H641" s="174"/>
      <c r="I641" s="174"/>
      <c r="J641" s="180" t="s">
        <v>3797</v>
      </c>
      <c r="K641" s="181" t="s">
        <v>4833</v>
      </c>
      <c r="L641" s="181" t="s">
        <v>39</v>
      </c>
      <c r="M641" s="181" t="s">
        <v>231</v>
      </c>
      <c r="N641" s="182" t="s">
        <v>231</v>
      </c>
    </row>
    <row r="642" spans="1:14" ht="19.5">
      <c r="A642" s="197" t="s">
        <v>3253</v>
      </c>
      <c r="B642" s="188" t="s">
        <v>188</v>
      </c>
      <c r="C642" s="174" t="s">
        <v>4833</v>
      </c>
      <c r="D642" s="174" t="s">
        <v>39</v>
      </c>
      <c r="E642" s="174">
        <v>0</v>
      </c>
      <c r="F642" s="186" t="s">
        <v>3254</v>
      </c>
      <c r="G642" s="174"/>
      <c r="H642" s="174"/>
      <c r="I642" s="174"/>
      <c r="J642" s="180" t="s">
        <v>743</v>
      </c>
      <c r="K642" s="181" t="s">
        <v>4833</v>
      </c>
      <c r="L642" s="181" t="s">
        <v>39</v>
      </c>
      <c r="M642" s="181" t="s">
        <v>231</v>
      </c>
      <c r="N642" s="182" t="s">
        <v>231</v>
      </c>
    </row>
    <row r="643" spans="1:14" ht="19.5">
      <c r="A643" s="197" t="s">
        <v>3258</v>
      </c>
      <c r="B643" s="188" t="s">
        <v>188</v>
      </c>
      <c r="C643" s="174" t="s">
        <v>4833</v>
      </c>
      <c r="D643" s="174" t="s">
        <v>39</v>
      </c>
      <c r="E643" s="174">
        <v>0</v>
      </c>
      <c r="F643" s="186" t="s">
        <v>3259</v>
      </c>
      <c r="G643" s="174"/>
      <c r="H643" s="174"/>
      <c r="I643" s="174"/>
      <c r="J643" s="180" t="s">
        <v>717</v>
      </c>
      <c r="K643" s="181" t="s">
        <v>4833</v>
      </c>
      <c r="L643" s="181" t="s">
        <v>39</v>
      </c>
      <c r="M643" s="181" t="s">
        <v>231</v>
      </c>
      <c r="N643" s="182" t="s">
        <v>231</v>
      </c>
    </row>
    <row r="644" spans="1:14" ht="18.75">
      <c r="A644" s="197" t="s">
        <v>3263</v>
      </c>
      <c r="B644" s="188" t="s">
        <v>188</v>
      </c>
      <c r="C644" s="174" t="s">
        <v>4833</v>
      </c>
      <c r="D644" s="174" t="s">
        <v>39</v>
      </c>
      <c r="E644" s="174">
        <v>0</v>
      </c>
      <c r="F644" s="186" t="s">
        <v>3264</v>
      </c>
      <c r="G644" s="174"/>
      <c r="H644" s="174"/>
      <c r="I644" s="174"/>
      <c r="J644" s="208" t="s">
        <v>2691</v>
      </c>
      <c r="K644" s="181" t="s">
        <v>4833</v>
      </c>
      <c r="L644" s="181" t="s">
        <v>39</v>
      </c>
      <c r="M644" s="181" t="s">
        <v>231</v>
      </c>
      <c r="N644" s="209" t="s">
        <v>231</v>
      </c>
    </row>
    <row r="645" spans="1:14" ht="18.75">
      <c r="A645" s="197" t="s">
        <v>3269</v>
      </c>
      <c r="B645" s="188" t="s">
        <v>188</v>
      </c>
      <c r="C645" s="174" t="s">
        <v>4833</v>
      </c>
      <c r="D645" s="174" t="s">
        <v>39</v>
      </c>
      <c r="E645" s="174">
        <v>0</v>
      </c>
      <c r="F645" s="186" t="s">
        <v>3270</v>
      </c>
      <c r="G645" s="174"/>
      <c r="H645" s="174"/>
      <c r="I645" s="174"/>
      <c r="J645" s="208" t="s">
        <v>4575</v>
      </c>
      <c r="K645" s="181" t="s">
        <v>4833</v>
      </c>
      <c r="L645" s="181" t="s">
        <v>39</v>
      </c>
      <c r="M645" s="181" t="s">
        <v>231</v>
      </c>
      <c r="N645" s="209" t="s">
        <v>231</v>
      </c>
    </row>
    <row r="646" spans="1:14" ht="18.75">
      <c r="A646" s="197" t="s">
        <v>3273</v>
      </c>
      <c r="B646" s="188" t="s">
        <v>188</v>
      </c>
      <c r="C646" s="174" t="s">
        <v>4833</v>
      </c>
      <c r="D646" s="174" t="s">
        <v>39</v>
      </c>
      <c r="E646" s="174">
        <v>0</v>
      </c>
      <c r="F646" s="186" t="s">
        <v>3274</v>
      </c>
      <c r="G646" s="174"/>
      <c r="H646" s="174"/>
      <c r="I646" s="174"/>
      <c r="J646" s="208" t="s">
        <v>2695</v>
      </c>
      <c r="K646" s="181" t="s">
        <v>4833</v>
      </c>
      <c r="L646" s="181" t="s">
        <v>39</v>
      </c>
      <c r="M646" s="181" t="s">
        <v>231</v>
      </c>
      <c r="N646" s="209" t="s">
        <v>231</v>
      </c>
    </row>
    <row r="647" spans="1:14" ht="19.5">
      <c r="A647" s="197" t="s">
        <v>3277</v>
      </c>
      <c r="B647" s="188" t="s">
        <v>188</v>
      </c>
      <c r="C647" s="174" t="s">
        <v>4833</v>
      </c>
      <c r="D647" s="174" t="s">
        <v>39</v>
      </c>
      <c r="E647" s="174">
        <v>0</v>
      </c>
      <c r="F647" s="186" t="s">
        <v>3278</v>
      </c>
      <c r="G647" s="174"/>
      <c r="H647" s="174"/>
      <c r="I647" s="174"/>
      <c r="J647" s="180" t="s">
        <v>2699</v>
      </c>
      <c r="K647" s="181" t="s">
        <v>3894</v>
      </c>
      <c r="L647" s="181" t="s">
        <v>5346</v>
      </c>
      <c r="M647" s="181" t="s">
        <v>146</v>
      </c>
      <c r="N647" s="182" t="s">
        <v>5347</v>
      </c>
    </row>
    <row r="648" spans="1:14" ht="19.5">
      <c r="A648" s="197" t="s">
        <v>3281</v>
      </c>
      <c r="B648" s="188" t="s">
        <v>188</v>
      </c>
      <c r="C648" s="174" t="s">
        <v>4833</v>
      </c>
      <c r="D648" s="174" t="s">
        <v>39</v>
      </c>
      <c r="E648" s="174">
        <v>0</v>
      </c>
      <c r="F648" s="186" t="s">
        <v>3282</v>
      </c>
      <c r="G648" s="174"/>
      <c r="H648" s="174"/>
      <c r="I648" s="174"/>
      <c r="J648" s="180" t="s">
        <v>2703</v>
      </c>
      <c r="K648" s="181" t="s">
        <v>4833</v>
      </c>
      <c r="L648" s="181" t="s">
        <v>39</v>
      </c>
      <c r="M648" s="181" t="s">
        <v>231</v>
      </c>
      <c r="N648" s="182" t="s">
        <v>231</v>
      </c>
    </row>
    <row r="649" spans="1:14" ht="19.5">
      <c r="A649" s="197" t="s">
        <v>3286</v>
      </c>
      <c r="B649" s="188" t="s">
        <v>188</v>
      </c>
      <c r="C649" s="174" t="s">
        <v>4833</v>
      </c>
      <c r="D649" s="174" t="s">
        <v>39</v>
      </c>
      <c r="E649" s="174">
        <v>0</v>
      </c>
      <c r="F649" s="186" t="s">
        <v>3287</v>
      </c>
      <c r="G649" s="174"/>
      <c r="H649" s="174"/>
      <c r="I649" s="174"/>
      <c r="J649" s="180" t="s">
        <v>2707</v>
      </c>
      <c r="K649" s="181" t="s">
        <v>4833</v>
      </c>
      <c r="L649" s="181" t="s">
        <v>39</v>
      </c>
      <c r="M649" s="181" t="s">
        <v>231</v>
      </c>
      <c r="N649" s="182" t="s">
        <v>3</v>
      </c>
    </row>
    <row r="650" spans="1:14" ht="19.5">
      <c r="A650" s="197" t="s">
        <v>3292</v>
      </c>
      <c r="B650" s="188" t="s">
        <v>188</v>
      </c>
      <c r="C650" s="174" t="s">
        <v>4833</v>
      </c>
      <c r="D650" s="174" t="s">
        <v>39</v>
      </c>
      <c r="E650" s="174">
        <v>0</v>
      </c>
      <c r="F650" s="186" t="s">
        <v>3293</v>
      </c>
      <c r="G650" s="174"/>
      <c r="H650" s="174"/>
      <c r="I650" s="174"/>
      <c r="J650" s="180" t="s">
        <v>2714</v>
      </c>
      <c r="K650" s="181" t="s">
        <v>4833</v>
      </c>
      <c r="L650" s="181" t="s">
        <v>39</v>
      </c>
      <c r="M650" s="181" t="s">
        <v>231</v>
      </c>
      <c r="N650" s="182" t="s">
        <v>4</v>
      </c>
    </row>
    <row r="651" spans="1:14" ht="19.5">
      <c r="A651" s="197" t="s">
        <v>3296</v>
      </c>
      <c r="B651" s="188" t="s">
        <v>188</v>
      </c>
      <c r="C651" s="174" t="s">
        <v>4833</v>
      </c>
      <c r="D651" s="174" t="s">
        <v>39</v>
      </c>
      <c r="E651" s="174">
        <v>0</v>
      </c>
      <c r="F651" s="186" t="s">
        <v>3297</v>
      </c>
      <c r="G651" s="174"/>
      <c r="H651" s="174"/>
      <c r="I651" s="174"/>
      <c r="J651" s="180" t="s">
        <v>2718</v>
      </c>
      <c r="K651" s="181" t="s">
        <v>3894</v>
      </c>
      <c r="L651" s="181" t="s">
        <v>3</v>
      </c>
      <c r="M651" s="181" t="s">
        <v>5362</v>
      </c>
      <c r="N651" s="182" t="s">
        <v>231</v>
      </c>
    </row>
    <row r="652" spans="1:14" ht="19.5">
      <c r="A652" s="197" t="s">
        <v>3301</v>
      </c>
      <c r="B652" s="188" t="s">
        <v>188</v>
      </c>
      <c r="C652" s="174" t="s">
        <v>4833</v>
      </c>
      <c r="D652" s="174" t="s">
        <v>39</v>
      </c>
      <c r="E652" s="174">
        <v>0</v>
      </c>
      <c r="F652" s="186" t="s">
        <v>3302</v>
      </c>
      <c r="G652" s="174"/>
      <c r="H652" s="174"/>
      <c r="I652" s="174"/>
      <c r="J652" s="180" t="s">
        <v>2724</v>
      </c>
      <c r="K652" s="181" t="s">
        <v>4833</v>
      </c>
      <c r="L652" s="181" t="s">
        <v>39</v>
      </c>
      <c r="M652" s="181" t="s">
        <v>231</v>
      </c>
      <c r="N652" s="182" t="s">
        <v>231</v>
      </c>
    </row>
    <row r="653" spans="1:14" ht="19.5">
      <c r="A653" s="197" t="s">
        <v>3306</v>
      </c>
      <c r="B653" s="188" t="s">
        <v>188</v>
      </c>
      <c r="C653" s="174" t="s">
        <v>4833</v>
      </c>
      <c r="D653" s="174" t="s">
        <v>39</v>
      </c>
      <c r="E653" s="174">
        <v>0</v>
      </c>
      <c r="F653" s="186" t="s">
        <v>3307</v>
      </c>
      <c r="G653" s="174"/>
      <c r="H653" s="174"/>
      <c r="I653" s="174"/>
      <c r="J653" s="180" t="s">
        <v>2729</v>
      </c>
      <c r="K653" s="181" t="s">
        <v>4833</v>
      </c>
      <c r="L653" s="181" t="s">
        <v>39</v>
      </c>
      <c r="M653" s="181" t="s">
        <v>231</v>
      </c>
      <c r="N653" s="182" t="s">
        <v>231</v>
      </c>
    </row>
    <row r="654" spans="1:14" ht="19.5">
      <c r="A654" s="197" t="s">
        <v>3311</v>
      </c>
      <c r="B654" s="188" t="s">
        <v>188</v>
      </c>
      <c r="C654" s="174" t="s">
        <v>4833</v>
      </c>
      <c r="D654" s="174" t="s">
        <v>39</v>
      </c>
      <c r="E654" s="174">
        <v>0</v>
      </c>
      <c r="F654" s="186" t="s">
        <v>3312</v>
      </c>
      <c r="G654" s="174"/>
      <c r="H654" s="174"/>
      <c r="I654" s="174"/>
      <c r="J654" s="180" t="s">
        <v>2734</v>
      </c>
      <c r="K654" s="181" t="s">
        <v>3894</v>
      </c>
      <c r="L654" s="181" t="s">
        <v>5</v>
      </c>
      <c r="M654" s="181" t="s">
        <v>2737</v>
      </c>
      <c r="N654" s="182" t="s">
        <v>5</v>
      </c>
    </row>
    <row r="655" spans="1:14" ht="19.5">
      <c r="A655" s="197" t="s">
        <v>3316</v>
      </c>
      <c r="B655" s="188" t="s">
        <v>188</v>
      </c>
      <c r="C655" s="174" t="s">
        <v>4833</v>
      </c>
      <c r="D655" s="174" t="s">
        <v>39</v>
      </c>
      <c r="E655" s="174">
        <v>0</v>
      </c>
      <c r="F655" s="186" t="s">
        <v>3317</v>
      </c>
      <c r="G655" s="174"/>
      <c r="H655" s="174"/>
      <c r="I655" s="174"/>
      <c r="J655" s="180" t="s">
        <v>2739</v>
      </c>
      <c r="K655" s="181" t="s">
        <v>4833</v>
      </c>
      <c r="L655" s="181" t="s">
        <v>39</v>
      </c>
      <c r="M655" s="181" t="s">
        <v>231</v>
      </c>
      <c r="N655" s="182" t="s">
        <v>231</v>
      </c>
    </row>
    <row r="656" spans="1:14" ht="19.5">
      <c r="A656" s="197" t="s">
        <v>3322</v>
      </c>
      <c r="B656" s="188" t="s">
        <v>188</v>
      </c>
      <c r="C656" s="174" t="s">
        <v>4833</v>
      </c>
      <c r="D656" s="174" t="s">
        <v>39</v>
      </c>
      <c r="E656" s="174">
        <v>0</v>
      </c>
      <c r="F656" s="186" t="s">
        <v>3323</v>
      </c>
      <c r="G656" s="174"/>
      <c r="H656" s="174"/>
      <c r="I656" s="174"/>
      <c r="J656" s="180" t="s">
        <v>2744</v>
      </c>
      <c r="K656" s="181" t="s">
        <v>4833</v>
      </c>
      <c r="L656" s="181" t="s">
        <v>39</v>
      </c>
      <c r="M656" s="181" t="s">
        <v>231</v>
      </c>
      <c r="N656" s="182" t="s">
        <v>231</v>
      </c>
    </row>
    <row r="657" spans="1:14" ht="19.5">
      <c r="A657" s="197" t="s">
        <v>3326</v>
      </c>
      <c r="B657" s="188" t="s">
        <v>188</v>
      </c>
      <c r="C657" s="174" t="s">
        <v>4833</v>
      </c>
      <c r="D657" s="174" t="s">
        <v>39</v>
      </c>
      <c r="E657" s="174">
        <v>0</v>
      </c>
      <c r="F657" s="186" t="s">
        <v>3327</v>
      </c>
      <c r="G657" s="174"/>
      <c r="H657" s="174"/>
      <c r="I657" s="174"/>
      <c r="J657" s="180" t="s">
        <v>2748</v>
      </c>
      <c r="K657" s="181" t="s">
        <v>4833</v>
      </c>
      <c r="L657" s="181" t="s">
        <v>39</v>
      </c>
      <c r="M657" s="181" t="s">
        <v>231</v>
      </c>
      <c r="N657" s="182" t="s">
        <v>231</v>
      </c>
    </row>
    <row r="658" spans="1:14" ht="19.5">
      <c r="A658" s="197" t="s">
        <v>3330</v>
      </c>
      <c r="B658" s="188" t="s">
        <v>188</v>
      </c>
      <c r="C658" s="174" t="s">
        <v>4833</v>
      </c>
      <c r="D658" s="174" t="s">
        <v>39</v>
      </c>
      <c r="E658" s="174">
        <v>0</v>
      </c>
      <c r="F658" s="186" t="s">
        <v>3331</v>
      </c>
      <c r="G658" s="174"/>
      <c r="H658" s="174"/>
      <c r="I658" s="174"/>
      <c r="J658" s="180" t="s">
        <v>2752</v>
      </c>
      <c r="K658" s="181" t="s">
        <v>4833</v>
      </c>
      <c r="L658" s="181" t="s">
        <v>39</v>
      </c>
      <c r="M658" s="181" t="s">
        <v>231</v>
      </c>
      <c r="N658" s="182" t="s">
        <v>231</v>
      </c>
    </row>
    <row r="659" spans="1:14" ht="19.5">
      <c r="A659" s="197" t="s">
        <v>3334</v>
      </c>
      <c r="B659" s="188" t="s">
        <v>188</v>
      </c>
      <c r="C659" s="174" t="s">
        <v>4833</v>
      </c>
      <c r="D659" s="174" t="s">
        <v>39</v>
      </c>
      <c r="E659" s="174">
        <v>0</v>
      </c>
      <c r="F659" s="186" t="s">
        <v>3335</v>
      </c>
      <c r="G659" s="174"/>
      <c r="H659" s="174"/>
      <c r="I659" s="174"/>
      <c r="J659" s="180" t="s">
        <v>2756</v>
      </c>
      <c r="K659" s="181" t="s">
        <v>4833</v>
      </c>
      <c r="L659" s="181" t="s">
        <v>39</v>
      </c>
      <c r="M659" s="181" t="s">
        <v>231</v>
      </c>
      <c r="N659" s="182" t="s">
        <v>231</v>
      </c>
    </row>
    <row r="660" spans="1:14" ht="19.5">
      <c r="A660" s="197" t="s">
        <v>3339</v>
      </c>
      <c r="B660" s="188" t="s">
        <v>188</v>
      </c>
      <c r="C660" s="174" t="s">
        <v>4833</v>
      </c>
      <c r="D660" s="174" t="s">
        <v>39</v>
      </c>
      <c r="E660" s="174">
        <v>0</v>
      </c>
      <c r="F660" s="186" t="s">
        <v>3340</v>
      </c>
      <c r="G660" s="174"/>
      <c r="H660" s="174"/>
      <c r="I660" s="174"/>
      <c r="J660" s="180" t="s">
        <v>2760</v>
      </c>
      <c r="K660" s="181" t="s">
        <v>4833</v>
      </c>
      <c r="L660" s="181" t="s">
        <v>39</v>
      </c>
      <c r="M660" s="181" t="s">
        <v>231</v>
      </c>
      <c r="N660" s="182" t="s">
        <v>231</v>
      </c>
    </row>
    <row r="661" spans="1:14" ht="19.5">
      <c r="A661" s="197" t="s">
        <v>3344</v>
      </c>
      <c r="B661" s="188" t="s">
        <v>188</v>
      </c>
      <c r="C661" s="174" t="s">
        <v>4833</v>
      </c>
      <c r="D661" s="174" t="s">
        <v>39</v>
      </c>
      <c r="E661" s="174">
        <v>0</v>
      </c>
      <c r="F661" s="186" t="s">
        <v>3345</v>
      </c>
      <c r="G661" s="174"/>
      <c r="H661" s="174"/>
      <c r="I661" s="174"/>
      <c r="J661" s="180" t="s">
        <v>2764</v>
      </c>
      <c r="K661" s="181" t="s">
        <v>3894</v>
      </c>
      <c r="L661" s="181" t="s">
        <v>4</v>
      </c>
      <c r="M661" s="181" t="s">
        <v>231</v>
      </c>
      <c r="N661" s="182" t="s">
        <v>4</v>
      </c>
    </row>
    <row r="662" spans="1:14" ht="19.5">
      <c r="A662" s="197" t="s">
        <v>3349</v>
      </c>
      <c r="B662" s="188" t="s">
        <v>188</v>
      </c>
      <c r="C662" s="174" t="s">
        <v>4833</v>
      </c>
      <c r="D662" s="174" t="s">
        <v>39</v>
      </c>
      <c r="E662" s="174">
        <v>0</v>
      </c>
      <c r="F662" s="186" t="s">
        <v>3350</v>
      </c>
      <c r="G662" s="174"/>
      <c r="H662" s="174"/>
      <c r="I662" s="174"/>
      <c r="J662" s="180" t="s">
        <v>2769</v>
      </c>
      <c r="K662" s="181" t="s">
        <v>4833</v>
      </c>
      <c r="L662" s="181" t="s">
        <v>39</v>
      </c>
      <c r="M662" s="181" t="s">
        <v>231</v>
      </c>
      <c r="N662" s="182" t="s">
        <v>231</v>
      </c>
    </row>
    <row r="663" spans="1:14" ht="19.5">
      <c r="A663" s="197" t="s">
        <v>3354</v>
      </c>
      <c r="B663" s="188" t="s">
        <v>188</v>
      </c>
      <c r="C663" s="174" t="s">
        <v>4833</v>
      </c>
      <c r="D663" s="174" t="s">
        <v>39</v>
      </c>
      <c r="E663" s="174">
        <v>0</v>
      </c>
      <c r="F663" s="186" t="s">
        <v>3355</v>
      </c>
      <c r="G663" s="174"/>
      <c r="H663" s="174"/>
      <c r="I663" s="174"/>
      <c r="J663" s="180" t="s">
        <v>2773</v>
      </c>
      <c r="K663" s="181" t="s">
        <v>4833</v>
      </c>
      <c r="L663" s="181" t="s">
        <v>39</v>
      </c>
      <c r="M663" s="181" t="s">
        <v>231</v>
      </c>
      <c r="N663" s="182" t="s">
        <v>231</v>
      </c>
    </row>
    <row r="664" spans="1:14" ht="19.5">
      <c r="A664" s="197" t="s">
        <v>3359</v>
      </c>
      <c r="B664" s="188" t="s">
        <v>188</v>
      </c>
      <c r="C664" s="174" t="s">
        <v>4833</v>
      </c>
      <c r="D664" s="174" t="s">
        <v>39</v>
      </c>
      <c r="E664" s="174">
        <v>0</v>
      </c>
      <c r="F664" s="186" t="s">
        <v>3360</v>
      </c>
      <c r="G664" s="174"/>
      <c r="H664" s="174"/>
      <c r="I664" s="174"/>
      <c r="J664" s="180" t="s">
        <v>2776</v>
      </c>
      <c r="K664" s="181" t="s">
        <v>4833</v>
      </c>
      <c r="L664" s="181" t="s">
        <v>39</v>
      </c>
      <c r="M664" s="181" t="s">
        <v>231</v>
      </c>
      <c r="N664" s="182" t="s">
        <v>231</v>
      </c>
    </row>
    <row r="665" spans="1:14" ht="19.5">
      <c r="A665" s="197" t="s">
        <v>3363</v>
      </c>
      <c r="B665" s="188" t="s">
        <v>188</v>
      </c>
      <c r="C665" s="174" t="s">
        <v>4833</v>
      </c>
      <c r="D665" s="174" t="s">
        <v>39</v>
      </c>
      <c r="E665" s="174">
        <v>0</v>
      </c>
      <c r="F665" s="186" t="s">
        <v>3364</v>
      </c>
      <c r="G665" s="174"/>
      <c r="H665" s="174"/>
      <c r="I665" s="174"/>
      <c r="J665" s="180" t="s">
        <v>3601</v>
      </c>
      <c r="K665" s="181" t="s">
        <v>4833</v>
      </c>
      <c r="L665" s="181" t="s">
        <v>39</v>
      </c>
      <c r="M665" s="181" t="s">
        <v>231</v>
      </c>
      <c r="N665" s="182" t="s">
        <v>231</v>
      </c>
    </row>
    <row r="666" spans="1:14" ht="19.5">
      <c r="A666" s="197" t="s">
        <v>3368</v>
      </c>
      <c r="B666" s="188" t="s">
        <v>188</v>
      </c>
      <c r="C666" s="174" t="s">
        <v>4833</v>
      </c>
      <c r="D666" s="174" t="s">
        <v>39</v>
      </c>
      <c r="E666" s="174">
        <v>0</v>
      </c>
      <c r="F666" s="186" t="s">
        <v>3369</v>
      </c>
      <c r="G666" s="174"/>
      <c r="H666" s="174"/>
      <c r="I666" s="174"/>
      <c r="J666" s="180" t="s">
        <v>3605</v>
      </c>
      <c r="K666" s="181" t="s">
        <v>4833</v>
      </c>
      <c r="L666" s="181" t="s">
        <v>39</v>
      </c>
      <c r="M666" s="181" t="s">
        <v>231</v>
      </c>
      <c r="N666" s="182" t="s">
        <v>231</v>
      </c>
    </row>
    <row r="667" spans="1:14" ht="19.5">
      <c r="A667" s="197" t="s">
        <v>3372</v>
      </c>
      <c r="B667" s="188" t="s">
        <v>188</v>
      </c>
      <c r="C667" s="174" t="s">
        <v>4833</v>
      </c>
      <c r="D667" s="174" t="s">
        <v>39</v>
      </c>
      <c r="E667" s="174">
        <v>0</v>
      </c>
      <c r="F667" s="186" t="s">
        <v>3373</v>
      </c>
      <c r="G667" s="174"/>
      <c r="H667" s="174"/>
      <c r="I667" s="174"/>
      <c r="J667" s="180" t="s">
        <v>3608</v>
      </c>
      <c r="K667" s="181" t="s">
        <v>4833</v>
      </c>
      <c r="L667" s="181" t="s">
        <v>39</v>
      </c>
      <c r="M667" s="181" t="s">
        <v>231</v>
      </c>
      <c r="N667" s="182" t="s">
        <v>231</v>
      </c>
    </row>
    <row r="668" spans="1:14" ht="19.5">
      <c r="A668" s="197" t="s">
        <v>3378</v>
      </c>
      <c r="B668" s="188" t="s">
        <v>188</v>
      </c>
      <c r="C668" s="174" t="s">
        <v>4833</v>
      </c>
      <c r="D668" s="174" t="s">
        <v>39</v>
      </c>
      <c r="E668" s="174">
        <v>0</v>
      </c>
      <c r="F668" s="186" t="s">
        <v>3379</v>
      </c>
      <c r="G668" s="174"/>
      <c r="H668" s="174"/>
      <c r="I668" s="174"/>
      <c r="J668" s="180" t="s">
        <v>3611</v>
      </c>
      <c r="K668" s="181" t="s">
        <v>4833</v>
      </c>
      <c r="L668" s="181" t="s">
        <v>39</v>
      </c>
      <c r="M668" s="181" t="s">
        <v>231</v>
      </c>
      <c r="N668" s="182" t="s">
        <v>231</v>
      </c>
    </row>
    <row r="669" spans="1:14" ht="19.5">
      <c r="A669" s="197" t="s">
        <v>3383</v>
      </c>
      <c r="B669" s="188" t="s">
        <v>188</v>
      </c>
      <c r="C669" s="174" t="s">
        <v>4833</v>
      </c>
      <c r="D669" s="174" t="s">
        <v>39</v>
      </c>
      <c r="E669" s="174">
        <v>0</v>
      </c>
      <c r="F669" s="186" t="s">
        <v>3384</v>
      </c>
      <c r="G669" s="174"/>
      <c r="H669" s="174"/>
      <c r="I669" s="174"/>
      <c r="J669" s="180" t="s">
        <v>3614</v>
      </c>
      <c r="K669" s="181" t="s">
        <v>4833</v>
      </c>
      <c r="L669" s="181" t="s">
        <v>39</v>
      </c>
      <c r="M669" s="181" t="s">
        <v>231</v>
      </c>
      <c r="N669" s="182" t="s">
        <v>231</v>
      </c>
    </row>
    <row r="670" spans="1:14" ht="19.5">
      <c r="A670" s="197" t="s">
        <v>3388</v>
      </c>
      <c r="B670" s="188" t="s">
        <v>188</v>
      </c>
      <c r="C670" s="174" t="s">
        <v>4833</v>
      </c>
      <c r="D670" s="174" t="s">
        <v>39</v>
      </c>
      <c r="E670" s="174">
        <v>0</v>
      </c>
      <c r="F670" s="186" t="s">
        <v>3389</v>
      </c>
      <c r="G670" s="174"/>
      <c r="H670" s="174"/>
      <c r="I670" s="174"/>
      <c r="J670" s="180" t="s">
        <v>3617</v>
      </c>
      <c r="K670" s="181" t="s">
        <v>4833</v>
      </c>
      <c r="L670" s="181" t="s">
        <v>39</v>
      </c>
      <c r="M670" s="181" t="s">
        <v>231</v>
      </c>
      <c r="N670" s="182" t="s">
        <v>231</v>
      </c>
    </row>
    <row r="671" spans="1:14" ht="19.5">
      <c r="A671" s="197" t="s">
        <v>3392</v>
      </c>
      <c r="B671" s="188" t="s">
        <v>188</v>
      </c>
      <c r="C671" s="174" t="s">
        <v>4833</v>
      </c>
      <c r="D671" s="174" t="s">
        <v>39</v>
      </c>
      <c r="E671" s="174">
        <v>0</v>
      </c>
      <c r="F671" s="186" t="s">
        <v>3393</v>
      </c>
      <c r="G671" s="174"/>
      <c r="H671" s="174"/>
      <c r="I671" s="174"/>
      <c r="J671" s="180" t="s">
        <v>3620</v>
      </c>
      <c r="K671" s="181" t="s">
        <v>4833</v>
      </c>
      <c r="L671" s="181" t="s">
        <v>39</v>
      </c>
      <c r="M671" s="181" t="s">
        <v>231</v>
      </c>
      <c r="N671" s="182" t="s">
        <v>231</v>
      </c>
    </row>
    <row r="672" spans="1:14" ht="19.5">
      <c r="A672" s="197" t="s">
        <v>3397</v>
      </c>
      <c r="B672" s="188" t="s">
        <v>188</v>
      </c>
      <c r="C672" s="174" t="s">
        <v>4833</v>
      </c>
      <c r="D672" s="174" t="s">
        <v>39</v>
      </c>
      <c r="E672" s="174">
        <v>0</v>
      </c>
      <c r="F672" s="186" t="s">
        <v>3398</v>
      </c>
      <c r="G672" s="174"/>
      <c r="H672" s="174"/>
      <c r="I672" s="174"/>
      <c r="J672" s="180" t="s">
        <v>3624</v>
      </c>
      <c r="K672" s="181" t="s">
        <v>4833</v>
      </c>
      <c r="L672" s="181" t="s">
        <v>39</v>
      </c>
      <c r="M672" s="181" t="s">
        <v>231</v>
      </c>
      <c r="N672" s="182" t="s">
        <v>231</v>
      </c>
    </row>
    <row r="673" spans="1:14" ht="19.5">
      <c r="A673" s="197" t="s">
        <v>3401</v>
      </c>
      <c r="B673" s="188" t="s">
        <v>188</v>
      </c>
      <c r="C673" s="174" t="s">
        <v>4833</v>
      </c>
      <c r="D673" s="174" t="s">
        <v>39</v>
      </c>
      <c r="E673" s="174">
        <v>0</v>
      </c>
      <c r="F673" s="186" t="s">
        <v>3402</v>
      </c>
      <c r="G673" s="174"/>
      <c r="H673" s="174"/>
      <c r="I673" s="174"/>
      <c r="J673" s="180" t="s">
        <v>3627</v>
      </c>
      <c r="K673" s="181" t="s">
        <v>4833</v>
      </c>
      <c r="L673" s="181" t="s">
        <v>39</v>
      </c>
      <c r="M673" s="181" t="s">
        <v>231</v>
      </c>
      <c r="N673" s="182" t="s">
        <v>231</v>
      </c>
    </row>
    <row r="674" spans="1:14" ht="19.5">
      <c r="A674" s="197" t="s">
        <v>3406</v>
      </c>
      <c r="B674" s="188" t="s">
        <v>188</v>
      </c>
      <c r="C674" s="174" t="s">
        <v>4833</v>
      </c>
      <c r="D674" s="174" t="s">
        <v>39</v>
      </c>
      <c r="E674" s="174">
        <v>0</v>
      </c>
      <c r="F674" s="186" t="s">
        <v>3407</v>
      </c>
      <c r="G674" s="174"/>
      <c r="H674" s="174"/>
      <c r="I674" s="174"/>
      <c r="J674" s="180" t="s">
        <v>4577</v>
      </c>
      <c r="K674" s="181" t="s">
        <v>4833</v>
      </c>
      <c r="L674" s="181" t="s">
        <v>39</v>
      </c>
      <c r="M674" s="181" t="s">
        <v>231</v>
      </c>
      <c r="N674" s="182" t="s">
        <v>231</v>
      </c>
    </row>
    <row r="675" spans="1:14" ht="19.5">
      <c r="A675" s="197" t="s">
        <v>3411</v>
      </c>
      <c r="B675" s="188" t="s">
        <v>188</v>
      </c>
      <c r="C675" s="174" t="s">
        <v>4833</v>
      </c>
      <c r="D675" s="174" t="s">
        <v>39</v>
      </c>
      <c r="E675" s="174">
        <v>0</v>
      </c>
      <c r="F675" s="186" t="s">
        <v>3412</v>
      </c>
      <c r="G675" s="174"/>
      <c r="H675" s="174"/>
      <c r="I675" s="174"/>
      <c r="J675" s="180" t="s">
        <v>3632</v>
      </c>
      <c r="K675" s="181" t="s">
        <v>4833</v>
      </c>
      <c r="L675" s="181" t="s">
        <v>39</v>
      </c>
      <c r="M675" s="181" t="s">
        <v>231</v>
      </c>
      <c r="N675" s="182" t="s">
        <v>231</v>
      </c>
    </row>
    <row r="676" spans="1:14" ht="19.5">
      <c r="A676" s="197" t="s">
        <v>3416</v>
      </c>
      <c r="B676" s="188" t="s">
        <v>188</v>
      </c>
      <c r="C676" s="174" t="s">
        <v>4833</v>
      </c>
      <c r="D676" s="174" t="s">
        <v>39</v>
      </c>
      <c r="E676" s="174">
        <v>0</v>
      </c>
      <c r="F676" s="186" t="s">
        <v>3417</v>
      </c>
      <c r="G676" s="174"/>
      <c r="H676" s="174"/>
      <c r="I676" s="174"/>
      <c r="J676" s="180" t="s">
        <v>3637</v>
      </c>
      <c r="K676" s="181" t="s">
        <v>4833</v>
      </c>
      <c r="L676" s="181" t="s">
        <v>39</v>
      </c>
      <c r="M676" s="181" t="s">
        <v>231</v>
      </c>
      <c r="N676" s="182" t="s">
        <v>231</v>
      </c>
    </row>
    <row r="677" spans="1:14" ht="19.5">
      <c r="A677" s="197" t="s">
        <v>3421</v>
      </c>
      <c r="B677" s="188" t="s">
        <v>188</v>
      </c>
      <c r="C677" s="174" t="s">
        <v>4833</v>
      </c>
      <c r="D677" s="174" t="s">
        <v>39</v>
      </c>
      <c r="E677" s="174">
        <v>0</v>
      </c>
      <c r="F677" s="186" t="s">
        <v>3422</v>
      </c>
      <c r="G677" s="174"/>
      <c r="H677" s="174"/>
      <c r="I677" s="174"/>
      <c r="J677" s="180" t="s">
        <v>3642</v>
      </c>
      <c r="K677" s="181" t="s">
        <v>3894</v>
      </c>
      <c r="L677" s="181" t="s">
        <v>5361</v>
      </c>
      <c r="M677" s="181" t="s">
        <v>97</v>
      </c>
      <c r="N677" s="182" t="s">
        <v>5392</v>
      </c>
    </row>
    <row r="678" spans="1:14" ht="19.5">
      <c r="A678" s="197" t="s">
        <v>3426</v>
      </c>
      <c r="B678" s="188" t="s">
        <v>188</v>
      </c>
      <c r="C678" s="174" t="s">
        <v>4833</v>
      </c>
      <c r="D678" s="174" t="s">
        <v>39</v>
      </c>
      <c r="E678" s="174">
        <v>0</v>
      </c>
      <c r="F678" s="186" t="s">
        <v>3427</v>
      </c>
      <c r="G678" s="174"/>
      <c r="H678" s="174"/>
      <c r="I678" s="174"/>
      <c r="J678" s="180" t="s">
        <v>3648</v>
      </c>
      <c r="K678" s="181" t="s">
        <v>4833</v>
      </c>
      <c r="L678" s="181" t="s">
        <v>39</v>
      </c>
      <c r="M678" s="181" t="s">
        <v>231</v>
      </c>
      <c r="N678" s="182" t="s">
        <v>231</v>
      </c>
    </row>
    <row r="679" spans="1:14" ht="19.5">
      <c r="A679" s="197" t="s">
        <v>3431</v>
      </c>
      <c r="B679" s="188" t="s">
        <v>188</v>
      </c>
      <c r="C679" s="174" t="s">
        <v>4833</v>
      </c>
      <c r="D679" s="174" t="s">
        <v>39</v>
      </c>
      <c r="E679" s="174">
        <v>0</v>
      </c>
      <c r="F679" s="186" t="s">
        <v>3432</v>
      </c>
      <c r="G679" s="174"/>
      <c r="H679" s="174"/>
      <c r="I679" s="174"/>
      <c r="J679" s="180" t="s">
        <v>3652</v>
      </c>
      <c r="K679" s="181" t="s">
        <v>3894</v>
      </c>
      <c r="L679" s="181" t="s">
        <v>5394</v>
      </c>
      <c r="M679" s="181" t="s">
        <v>3655</v>
      </c>
      <c r="N679" s="182" t="s">
        <v>5392</v>
      </c>
    </row>
    <row r="680" spans="1:14" ht="19.5">
      <c r="A680" s="197" t="s">
        <v>3436</v>
      </c>
      <c r="B680" s="188" t="s">
        <v>188</v>
      </c>
      <c r="C680" s="174" t="s">
        <v>4833</v>
      </c>
      <c r="D680" s="174" t="s">
        <v>39</v>
      </c>
      <c r="E680" s="174">
        <v>0</v>
      </c>
      <c r="F680" s="186" t="s">
        <v>3437</v>
      </c>
      <c r="G680" s="174"/>
      <c r="H680" s="174"/>
      <c r="I680" s="174"/>
      <c r="J680" s="180" t="s">
        <v>3658</v>
      </c>
      <c r="K680" s="181" t="s">
        <v>4833</v>
      </c>
      <c r="L680" s="181" t="s">
        <v>39</v>
      </c>
      <c r="M680" s="181" t="s">
        <v>231</v>
      </c>
      <c r="N680" s="182" t="s">
        <v>231</v>
      </c>
    </row>
    <row r="681" spans="1:14" ht="19.5">
      <c r="A681" s="197" t="s">
        <v>3440</v>
      </c>
      <c r="B681" s="188" t="s">
        <v>188</v>
      </c>
      <c r="C681" s="174" t="s">
        <v>4833</v>
      </c>
      <c r="D681" s="174" t="s">
        <v>39</v>
      </c>
      <c r="E681" s="174">
        <v>0</v>
      </c>
      <c r="F681" s="186" t="s">
        <v>3441</v>
      </c>
      <c r="G681" s="174"/>
      <c r="H681" s="174"/>
      <c r="I681" s="174"/>
      <c r="J681" s="180" t="s">
        <v>3664</v>
      </c>
      <c r="K681" s="181" t="s">
        <v>4833</v>
      </c>
      <c r="L681" s="181" t="s">
        <v>39</v>
      </c>
      <c r="M681" s="181" t="s">
        <v>231</v>
      </c>
      <c r="N681" s="182" t="s">
        <v>231</v>
      </c>
    </row>
    <row r="682" spans="1:14" ht="19.5">
      <c r="A682" s="197" t="s">
        <v>3445</v>
      </c>
      <c r="B682" s="188" t="s">
        <v>188</v>
      </c>
      <c r="C682" s="174" t="s">
        <v>4833</v>
      </c>
      <c r="D682" s="174" t="s">
        <v>39</v>
      </c>
      <c r="E682" s="174">
        <v>0</v>
      </c>
      <c r="F682" s="186" t="s">
        <v>3446</v>
      </c>
      <c r="G682" s="174"/>
      <c r="H682" s="174"/>
      <c r="I682" s="174"/>
      <c r="J682" s="180" t="s">
        <v>3669</v>
      </c>
      <c r="K682" s="181" t="s">
        <v>4833</v>
      </c>
      <c r="L682" s="181" t="s">
        <v>39</v>
      </c>
      <c r="M682" s="181" t="s">
        <v>231</v>
      </c>
      <c r="N682" s="182" t="s">
        <v>231</v>
      </c>
    </row>
    <row r="683" spans="1:14" ht="19.5">
      <c r="A683" s="197" t="s">
        <v>3450</v>
      </c>
      <c r="B683" s="188" t="s">
        <v>188</v>
      </c>
      <c r="C683" s="174" t="s">
        <v>4833</v>
      </c>
      <c r="D683" s="174" t="s">
        <v>39</v>
      </c>
      <c r="E683" s="174">
        <v>0</v>
      </c>
      <c r="F683" s="186" t="s">
        <v>3451</v>
      </c>
      <c r="G683" s="174"/>
      <c r="H683" s="174"/>
      <c r="I683" s="174"/>
      <c r="J683" s="180" t="s">
        <v>3673</v>
      </c>
      <c r="K683" s="181" t="s">
        <v>4833</v>
      </c>
      <c r="L683" s="181" t="s">
        <v>39</v>
      </c>
      <c r="M683" s="181" t="s">
        <v>231</v>
      </c>
      <c r="N683" s="182" t="s">
        <v>231</v>
      </c>
    </row>
    <row r="684" spans="1:14" ht="19.5">
      <c r="A684" s="197" t="s">
        <v>3455</v>
      </c>
      <c r="B684" s="188" t="s">
        <v>188</v>
      </c>
      <c r="C684" s="174" t="s">
        <v>4833</v>
      </c>
      <c r="D684" s="174" t="s">
        <v>39</v>
      </c>
      <c r="E684" s="174">
        <v>0</v>
      </c>
      <c r="F684" s="186" t="s">
        <v>3456</v>
      </c>
      <c r="G684" s="174"/>
      <c r="H684" s="174"/>
      <c r="I684" s="174"/>
      <c r="J684" s="180" t="s">
        <v>3678</v>
      </c>
      <c r="K684" s="181" t="s">
        <v>4833</v>
      </c>
      <c r="L684" s="181" t="s">
        <v>39</v>
      </c>
      <c r="M684" s="181" t="s">
        <v>231</v>
      </c>
      <c r="N684" s="182" t="s">
        <v>231</v>
      </c>
    </row>
    <row r="685" spans="1:14" ht="19.5">
      <c r="A685" s="197" t="s">
        <v>3459</v>
      </c>
      <c r="B685" s="188" t="s">
        <v>188</v>
      </c>
      <c r="C685" s="174" t="s">
        <v>4833</v>
      </c>
      <c r="D685" s="174" t="s">
        <v>39</v>
      </c>
      <c r="E685" s="174">
        <v>0</v>
      </c>
      <c r="F685" s="186" t="s">
        <v>3460</v>
      </c>
      <c r="G685" s="174"/>
      <c r="H685" s="174"/>
      <c r="I685" s="174"/>
      <c r="J685" s="180" t="s">
        <v>3682</v>
      </c>
      <c r="K685" s="181" t="s">
        <v>4833</v>
      </c>
      <c r="L685" s="181" t="s">
        <v>39</v>
      </c>
      <c r="M685" s="181" t="s">
        <v>231</v>
      </c>
      <c r="N685" s="182" t="s">
        <v>231</v>
      </c>
    </row>
    <row r="686" spans="1:14" ht="19.5">
      <c r="A686" s="197" t="s">
        <v>3464</v>
      </c>
      <c r="B686" s="188" t="s">
        <v>188</v>
      </c>
      <c r="C686" s="174" t="s">
        <v>4833</v>
      </c>
      <c r="D686" s="174" t="s">
        <v>39</v>
      </c>
      <c r="E686" s="174">
        <v>0</v>
      </c>
      <c r="F686" s="186" t="s">
        <v>3465</v>
      </c>
      <c r="G686" s="174"/>
      <c r="H686" s="174"/>
      <c r="I686" s="174"/>
      <c r="J686" s="180" t="s">
        <v>2780</v>
      </c>
      <c r="K686" s="181" t="s">
        <v>4833</v>
      </c>
      <c r="L686" s="181" t="s">
        <v>39</v>
      </c>
      <c r="M686" s="181" t="s">
        <v>231</v>
      </c>
      <c r="N686" s="182" t="s">
        <v>231</v>
      </c>
    </row>
    <row r="687" spans="1:14" ht="19.5">
      <c r="A687" s="197" t="s">
        <v>3469</v>
      </c>
      <c r="B687" s="188" t="s">
        <v>188</v>
      </c>
      <c r="C687" s="174" t="s">
        <v>4833</v>
      </c>
      <c r="D687" s="174" t="s">
        <v>39</v>
      </c>
      <c r="E687" s="174">
        <v>0</v>
      </c>
      <c r="F687" s="186" t="s">
        <v>3470</v>
      </c>
      <c r="G687" s="174"/>
      <c r="H687" s="174"/>
      <c r="I687" s="174"/>
      <c r="J687" s="180" t="s">
        <v>3687</v>
      </c>
      <c r="K687" s="181" t="s">
        <v>3894</v>
      </c>
      <c r="L687" s="181" t="s">
        <v>3</v>
      </c>
      <c r="M687" s="181" t="s">
        <v>161</v>
      </c>
      <c r="N687" s="182" t="s">
        <v>3</v>
      </c>
    </row>
    <row r="688" spans="1:14" ht="19.5">
      <c r="A688" s="197" t="s">
        <v>3474</v>
      </c>
      <c r="B688" s="188" t="s">
        <v>188</v>
      </c>
      <c r="C688" s="174" t="s">
        <v>4833</v>
      </c>
      <c r="D688" s="174" t="s">
        <v>39</v>
      </c>
      <c r="E688" s="174">
        <v>0</v>
      </c>
      <c r="F688" s="186" t="s">
        <v>3475</v>
      </c>
      <c r="G688" s="174"/>
      <c r="H688" s="174"/>
      <c r="I688" s="174"/>
      <c r="J688" s="180" t="s">
        <v>3693</v>
      </c>
      <c r="K688" s="181" t="s">
        <v>3894</v>
      </c>
      <c r="L688" s="181" t="s">
        <v>3</v>
      </c>
      <c r="M688" s="181" t="s">
        <v>1038</v>
      </c>
      <c r="N688" s="182" t="s">
        <v>3</v>
      </c>
    </row>
    <row r="689" spans="1:14" ht="19.5">
      <c r="A689" s="197" t="s">
        <v>3479</v>
      </c>
      <c r="B689" s="188" t="s">
        <v>188</v>
      </c>
      <c r="C689" s="174" t="s">
        <v>4833</v>
      </c>
      <c r="D689" s="174" t="s">
        <v>39</v>
      </c>
      <c r="E689" s="174">
        <v>0</v>
      </c>
      <c r="F689" s="186" t="s">
        <v>3480</v>
      </c>
      <c r="G689" s="174"/>
      <c r="H689" s="174"/>
      <c r="I689" s="174"/>
      <c r="J689" s="180" t="s">
        <v>3698</v>
      </c>
      <c r="K689" s="181" t="s">
        <v>4833</v>
      </c>
      <c r="L689" s="181" t="s">
        <v>39</v>
      </c>
      <c r="M689" s="181" t="s">
        <v>231</v>
      </c>
      <c r="N689" s="182" t="s">
        <v>231</v>
      </c>
    </row>
    <row r="690" spans="1:14" ht="19.5">
      <c r="A690" s="197" t="s">
        <v>3484</v>
      </c>
      <c r="B690" s="188" t="s">
        <v>188</v>
      </c>
      <c r="C690" s="174" t="s">
        <v>4833</v>
      </c>
      <c r="D690" s="174" t="s">
        <v>39</v>
      </c>
      <c r="E690" s="174">
        <v>0</v>
      </c>
      <c r="F690" s="186" t="s">
        <v>3485</v>
      </c>
      <c r="G690" s="174"/>
      <c r="H690" s="174"/>
      <c r="I690" s="174"/>
      <c r="J690" s="180" t="s">
        <v>3703</v>
      </c>
      <c r="K690" s="181" t="s">
        <v>4833</v>
      </c>
      <c r="L690" s="181" t="s">
        <v>39</v>
      </c>
      <c r="M690" s="181" t="s">
        <v>231</v>
      </c>
      <c r="N690" s="182" t="s">
        <v>231</v>
      </c>
    </row>
    <row r="691" spans="1:14" ht="19.5">
      <c r="A691" s="197" t="s">
        <v>3489</v>
      </c>
      <c r="B691" s="188" t="s">
        <v>188</v>
      </c>
      <c r="C691" s="174" t="s">
        <v>4833</v>
      </c>
      <c r="D691" s="174" t="s">
        <v>39</v>
      </c>
      <c r="E691" s="174">
        <v>0</v>
      </c>
      <c r="F691" s="186" t="s">
        <v>3490</v>
      </c>
      <c r="G691" s="174"/>
      <c r="H691" s="174"/>
      <c r="I691" s="174"/>
      <c r="J691" s="180" t="s">
        <v>3707</v>
      </c>
      <c r="K691" s="181" t="s">
        <v>4833</v>
      </c>
      <c r="L691" s="181" t="s">
        <v>39</v>
      </c>
      <c r="M691" s="181" t="s">
        <v>231</v>
      </c>
      <c r="N691" s="182" t="s">
        <v>231</v>
      </c>
    </row>
    <row r="692" spans="1:14" ht="19.5">
      <c r="A692" s="197" t="s">
        <v>3493</v>
      </c>
      <c r="B692" s="188" t="s">
        <v>188</v>
      </c>
      <c r="C692" s="174" t="s">
        <v>4833</v>
      </c>
      <c r="D692" s="174" t="s">
        <v>39</v>
      </c>
      <c r="E692" s="174">
        <v>0</v>
      </c>
      <c r="F692" s="186" t="s">
        <v>3494</v>
      </c>
      <c r="G692" s="174"/>
      <c r="H692" s="174"/>
      <c r="I692" s="174"/>
      <c r="J692" s="180" t="s">
        <v>2787</v>
      </c>
      <c r="K692" s="181" t="s">
        <v>3894</v>
      </c>
      <c r="L692" s="181" t="s">
        <v>5</v>
      </c>
      <c r="M692" s="181" t="s">
        <v>4394</v>
      </c>
      <c r="N692" s="182" t="s">
        <v>5</v>
      </c>
    </row>
    <row r="693" spans="1:14" ht="15.75">
      <c r="A693" s="197" t="s">
        <v>3498</v>
      </c>
      <c r="B693" s="188" t="s">
        <v>188</v>
      </c>
      <c r="C693" s="174" t="s">
        <v>4833</v>
      </c>
      <c r="D693" s="174" t="s">
        <v>39</v>
      </c>
      <c r="E693" s="174">
        <v>0</v>
      </c>
      <c r="F693" s="186" t="s">
        <v>3499</v>
      </c>
      <c r="G693" s="174"/>
      <c r="H693" s="174"/>
      <c r="I693" s="174"/>
      <c r="J693" s="206"/>
      <c r="K693" s="206"/>
      <c r="L693" s="206"/>
      <c r="M693" s="206"/>
      <c r="N693" s="206"/>
    </row>
    <row r="694" spans="1:14" ht="15.75">
      <c r="A694" s="197" t="s">
        <v>3503</v>
      </c>
      <c r="B694" s="188" t="s">
        <v>188</v>
      </c>
      <c r="C694" s="174" t="s">
        <v>4833</v>
      </c>
      <c r="D694" s="174" t="s">
        <v>39</v>
      </c>
      <c r="E694" s="174">
        <v>0</v>
      </c>
      <c r="F694" s="186" t="s">
        <v>3504</v>
      </c>
      <c r="G694" s="174"/>
      <c r="H694" s="174"/>
      <c r="I694" s="174"/>
      <c r="J694" s="174"/>
      <c r="K694" s="174"/>
      <c r="L694" s="174"/>
      <c r="M694" s="174"/>
      <c r="N694" s="174"/>
    </row>
    <row r="695" spans="1:14" ht="15.75">
      <c r="A695" s="197" t="s">
        <v>3508</v>
      </c>
      <c r="B695" s="188" t="s">
        <v>188</v>
      </c>
      <c r="C695" s="174" t="s">
        <v>4833</v>
      </c>
      <c r="D695" s="174" t="s">
        <v>39</v>
      </c>
      <c r="E695" s="174">
        <v>0</v>
      </c>
      <c r="F695" s="186" t="s">
        <v>3509</v>
      </c>
      <c r="G695" s="174"/>
      <c r="H695" s="174"/>
      <c r="I695" s="174"/>
      <c r="J695" s="174"/>
      <c r="K695" s="174"/>
      <c r="L695" s="174"/>
      <c r="M695" s="174"/>
      <c r="N695" s="174"/>
    </row>
    <row r="696" spans="1:14" ht="15.75">
      <c r="A696" s="197" t="s">
        <v>3513</v>
      </c>
      <c r="B696" s="188" t="s">
        <v>188</v>
      </c>
      <c r="C696" s="174" t="s">
        <v>4833</v>
      </c>
      <c r="D696" s="174" t="s">
        <v>39</v>
      </c>
      <c r="E696" s="174">
        <v>0</v>
      </c>
      <c r="F696" s="186" t="s">
        <v>3514</v>
      </c>
      <c r="G696" s="174"/>
      <c r="H696" s="174"/>
      <c r="I696" s="174"/>
      <c r="J696" s="174"/>
      <c r="K696" s="174"/>
      <c r="L696" s="174"/>
      <c r="M696" s="174"/>
      <c r="N696" s="174"/>
    </row>
    <row r="697" spans="1:14" ht="15.75">
      <c r="A697" s="197" t="s">
        <v>3518</v>
      </c>
      <c r="B697" s="188" t="s">
        <v>188</v>
      </c>
      <c r="C697" s="174" t="s">
        <v>4833</v>
      </c>
      <c r="D697" s="174" t="s">
        <v>39</v>
      </c>
      <c r="E697" s="174">
        <v>0</v>
      </c>
      <c r="F697" s="186" t="s">
        <v>3519</v>
      </c>
      <c r="G697" s="174"/>
      <c r="H697" s="174"/>
      <c r="I697" s="174"/>
      <c r="J697" s="174"/>
      <c r="K697" s="174"/>
      <c r="L697" s="174"/>
      <c r="M697" s="174"/>
      <c r="N697" s="174"/>
    </row>
    <row r="698" spans="1:14" ht="15.75">
      <c r="A698" s="197" t="s">
        <v>3524</v>
      </c>
      <c r="B698" s="188" t="s">
        <v>188</v>
      </c>
      <c r="C698" s="174" t="s">
        <v>4833</v>
      </c>
      <c r="D698" s="174" t="s">
        <v>39</v>
      </c>
      <c r="E698" s="174">
        <v>0</v>
      </c>
      <c r="F698" s="186" t="s">
        <v>3525</v>
      </c>
      <c r="G698" s="174"/>
      <c r="H698" s="174"/>
      <c r="I698" s="174"/>
      <c r="J698" s="174"/>
      <c r="K698" s="174"/>
      <c r="L698" s="174"/>
      <c r="M698" s="174"/>
      <c r="N698" s="174"/>
    </row>
    <row r="699" spans="1:14" ht="15.75">
      <c r="A699" s="197" t="s">
        <v>3528</v>
      </c>
      <c r="B699" s="188" t="s">
        <v>188</v>
      </c>
      <c r="C699" s="174" t="s">
        <v>4833</v>
      </c>
      <c r="D699" s="174" t="s">
        <v>39</v>
      </c>
      <c r="E699" s="174">
        <v>0</v>
      </c>
      <c r="F699" s="186" t="s">
        <v>3529</v>
      </c>
      <c r="G699" s="174"/>
      <c r="H699" s="174"/>
      <c r="I699" s="174"/>
      <c r="J699" s="174"/>
      <c r="K699" s="174"/>
      <c r="L699" s="174"/>
      <c r="M699" s="174"/>
      <c r="N699" s="174"/>
    </row>
    <row r="700" spans="1:14" ht="15.75">
      <c r="A700" s="197" t="s">
        <v>3533</v>
      </c>
      <c r="B700" s="188" t="s">
        <v>188</v>
      </c>
      <c r="C700" s="174" t="s">
        <v>4833</v>
      </c>
      <c r="D700" s="174" t="s">
        <v>39</v>
      </c>
      <c r="E700" s="174">
        <v>0</v>
      </c>
      <c r="F700" s="186" t="s">
        <v>3534</v>
      </c>
      <c r="G700" s="174"/>
      <c r="H700" s="174"/>
      <c r="I700" s="174"/>
      <c r="J700" s="174"/>
      <c r="K700" s="174"/>
      <c r="L700" s="174"/>
      <c r="M700" s="174"/>
      <c r="N700" s="174"/>
    </row>
    <row r="701" spans="1:14" ht="15.75">
      <c r="A701" s="197" t="s">
        <v>3538</v>
      </c>
      <c r="B701" s="188" t="s">
        <v>188</v>
      </c>
      <c r="C701" s="174" t="s">
        <v>4833</v>
      </c>
      <c r="D701" s="174" t="s">
        <v>39</v>
      </c>
      <c r="E701" s="174">
        <v>0</v>
      </c>
      <c r="F701" s="186" t="s">
        <v>3539</v>
      </c>
      <c r="G701" s="174"/>
      <c r="H701" s="174"/>
      <c r="I701" s="174"/>
      <c r="J701" s="174"/>
      <c r="K701" s="174"/>
      <c r="L701" s="174"/>
      <c r="M701" s="174"/>
      <c r="N701" s="174"/>
    </row>
    <row r="702" spans="1:14" ht="15.75">
      <c r="A702" s="197" t="s">
        <v>3543</v>
      </c>
      <c r="B702" s="188" t="s">
        <v>188</v>
      </c>
      <c r="C702" s="174" t="s">
        <v>4833</v>
      </c>
      <c r="D702" s="174" t="s">
        <v>39</v>
      </c>
      <c r="E702" s="174">
        <v>0</v>
      </c>
      <c r="F702" s="186" t="s">
        <v>3544</v>
      </c>
      <c r="G702" s="174"/>
      <c r="H702" s="174"/>
      <c r="I702" s="174"/>
      <c r="J702" s="174"/>
      <c r="K702" s="174"/>
      <c r="L702" s="174"/>
      <c r="M702" s="174"/>
      <c r="N702" s="174"/>
    </row>
    <row r="703" spans="1:14" ht="15.75">
      <c r="A703" s="197" t="s">
        <v>3547</v>
      </c>
      <c r="B703" s="188" t="s">
        <v>188</v>
      </c>
      <c r="C703" s="174" t="s">
        <v>4833</v>
      </c>
      <c r="D703" s="174" t="s">
        <v>39</v>
      </c>
      <c r="E703" s="174">
        <v>0</v>
      </c>
      <c r="F703" s="186" t="s">
        <v>3548</v>
      </c>
      <c r="G703" s="174"/>
      <c r="H703" s="174"/>
      <c r="I703" s="174"/>
      <c r="J703" s="174"/>
      <c r="K703" s="174"/>
      <c r="L703" s="174"/>
      <c r="M703" s="174"/>
      <c r="N703" s="174"/>
    </row>
    <row r="704" spans="1:14" ht="15.75">
      <c r="A704" s="197" t="s">
        <v>3552</v>
      </c>
      <c r="B704" s="188" t="s">
        <v>188</v>
      </c>
      <c r="C704" s="174" t="s">
        <v>4833</v>
      </c>
      <c r="D704" s="174" t="s">
        <v>39</v>
      </c>
      <c r="E704" s="174">
        <v>0</v>
      </c>
      <c r="F704" s="186" t="s">
        <v>3553</v>
      </c>
      <c r="G704" s="174"/>
      <c r="H704" s="174"/>
      <c r="I704" s="174"/>
      <c r="J704" s="174"/>
      <c r="K704" s="174"/>
      <c r="L704" s="174"/>
      <c r="M704" s="174"/>
      <c r="N704" s="174"/>
    </row>
    <row r="705" spans="1:14" ht="15.75">
      <c r="A705" s="197" t="s">
        <v>3557</v>
      </c>
      <c r="B705" s="188" t="s">
        <v>188</v>
      </c>
      <c r="C705" s="174" t="s">
        <v>4833</v>
      </c>
      <c r="D705" s="174" t="s">
        <v>39</v>
      </c>
      <c r="E705" s="174">
        <v>0</v>
      </c>
      <c r="F705" s="186" t="s">
        <v>3558</v>
      </c>
      <c r="G705" s="174"/>
      <c r="H705" s="174"/>
      <c r="I705" s="174"/>
      <c r="J705" s="174"/>
      <c r="K705" s="174"/>
      <c r="L705" s="174"/>
      <c r="M705" s="174"/>
      <c r="N705" s="174"/>
    </row>
    <row r="706" spans="1:14" ht="15.75">
      <c r="A706" s="197" t="s">
        <v>3562</v>
      </c>
      <c r="B706" s="188" t="s">
        <v>188</v>
      </c>
      <c r="C706" s="174" t="s">
        <v>4833</v>
      </c>
      <c r="D706" s="174" t="s">
        <v>39</v>
      </c>
      <c r="E706" s="174">
        <v>0</v>
      </c>
      <c r="F706" s="186" t="s">
        <v>3563</v>
      </c>
      <c r="G706" s="174"/>
      <c r="H706" s="174"/>
      <c r="I706" s="174"/>
      <c r="J706" s="174"/>
      <c r="K706" s="174"/>
      <c r="L706" s="174"/>
      <c r="M706" s="174"/>
      <c r="N706" s="174"/>
    </row>
    <row r="707" spans="1:14" ht="15.75">
      <c r="A707" s="197" t="s">
        <v>3567</v>
      </c>
      <c r="B707" s="188" t="s">
        <v>188</v>
      </c>
      <c r="C707" s="174" t="s">
        <v>4833</v>
      </c>
      <c r="D707" s="174" t="s">
        <v>39</v>
      </c>
      <c r="E707" s="174">
        <v>0</v>
      </c>
      <c r="F707" s="186" t="s">
        <v>3568</v>
      </c>
      <c r="G707" s="174"/>
      <c r="H707" s="174"/>
      <c r="I707" s="174"/>
      <c r="J707" s="174"/>
      <c r="K707" s="174"/>
      <c r="L707" s="174"/>
      <c r="M707" s="174"/>
      <c r="N707" s="174"/>
    </row>
    <row r="708" spans="1:14" ht="15.75">
      <c r="A708" s="197" t="s">
        <v>3573</v>
      </c>
      <c r="B708" s="188" t="s">
        <v>188</v>
      </c>
      <c r="C708" s="174" t="s">
        <v>4833</v>
      </c>
      <c r="D708" s="174" t="s">
        <v>39</v>
      </c>
      <c r="E708" s="174">
        <v>0</v>
      </c>
      <c r="F708" s="186" t="s">
        <v>3574</v>
      </c>
      <c r="G708" s="174"/>
      <c r="H708" s="174"/>
      <c r="I708" s="174"/>
      <c r="J708" s="174"/>
      <c r="K708" s="174"/>
      <c r="L708" s="174"/>
      <c r="M708" s="174"/>
      <c r="N708" s="174"/>
    </row>
    <row r="709" spans="1:14" ht="15.75">
      <c r="A709" s="197" t="s">
        <v>3577</v>
      </c>
      <c r="B709" s="188" t="s">
        <v>188</v>
      </c>
      <c r="C709" s="174" t="s">
        <v>4833</v>
      </c>
      <c r="D709" s="174" t="s">
        <v>39</v>
      </c>
      <c r="E709" s="174">
        <v>0</v>
      </c>
      <c r="F709" s="186" t="s">
        <v>3578</v>
      </c>
      <c r="G709" s="174"/>
      <c r="H709" s="174"/>
      <c r="I709" s="174"/>
      <c r="J709" s="174"/>
      <c r="K709" s="174"/>
      <c r="L709" s="174"/>
      <c r="M709" s="174"/>
      <c r="N709" s="174"/>
    </row>
    <row r="710" spans="1:14" ht="15.75">
      <c r="A710" s="197" t="s">
        <v>3582</v>
      </c>
      <c r="B710" s="188" t="s">
        <v>3</v>
      </c>
      <c r="C710" s="174" t="s">
        <v>3894</v>
      </c>
      <c r="D710" s="174" t="s">
        <v>3</v>
      </c>
      <c r="E710" s="174" t="s">
        <v>3585</v>
      </c>
      <c r="F710" s="186" t="s">
        <v>3583</v>
      </c>
      <c r="G710" s="174"/>
      <c r="H710" s="174"/>
      <c r="I710" s="174"/>
      <c r="J710" s="174"/>
      <c r="K710" s="174"/>
      <c r="L710" s="174"/>
      <c r="M710" s="174"/>
      <c r="N710" s="174"/>
    </row>
    <row r="711" spans="1:14" ht="15.75">
      <c r="A711" s="197" t="s">
        <v>3588</v>
      </c>
      <c r="B711" s="188" t="s">
        <v>188</v>
      </c>
      <c r="C711" s="174" t="s">
        <v>4833</v>
      </c>
      <c r="D711" s="174" t="s">
        <v>39</v>
      </c>
      <c r="E711" s="174">
        <v>0</v>
      </c>
      <c r="F711" s="186" t="s">
        <v>3589</v>
      </c>
      <c r="G711" s="174"/>
      <c r="H711" s="174"/>
      <c r="I711" s="174"/>
      <c r="J711" s="174"/>
      <c r="K711" s="174"/>
      <c r="L711" s="174"/>
      <c r="M711" s="174"/>
      <c r="N711" s="174"/>
    </row>
    <row r="712" spans="1:14" ht="15.75">
      <c r="A712" s="197" t="s">
        <v>3592</v>
      </c>
      <c r="B712" s="188" t="s">
        <v>188</v>
      </c>
      <c r="C712" s="174" t="s">
        <v>4833</v>
      </c>
      <c r="D712" s="174" t="s">
        <v>39</v>
      </c>
      <c r="E712" s="174">
        <v>0</v>
      </c>
      <c r="F712" s="186" t="s">
        <v>3593</v>
      </c>
      <c r="G712" s="174"/>
      <c r="H712" s="174"/>
      <c r="I712" s="174"/>
      <c r="J712" s="174"/>
      <c r="K712" s="174"/>
      <c r="L712" s="174"/>
      <c r="M712" s="174"/>
      <c r="N712" s="174"/>
    </row>
    <row r="713" spans="1:14" ht="15.75">
      <c r="A713" s="197" t="s">
        <v>3597</v>
      </c>
      <c r="B713" s="188" t="s">
        <v>188</v>
      </c>
      <c r="C713" s="174" t="s">
        <v>4833</v>
      </c>
      <c r="D713" s="174" t="s">
        <v>39</v>
      </c>
      <c r="E713" s="174">
        <v>0</v>
      </c>
      <c r="F713" s="186" t="s">
        <v>3598</v>
      </c>
      <c r="G713" s="174"/>
      <c r="H713" s="174"/>
      <c r="I713" s="174"/>
      <c r="J713" s="174"/>
      <c r="K713" s="174"/>
      <c r="L713" s="174"/>
      <c r="M713" s="174"/>
      <c r="N713" s="174"/>
    </row>
    <row r="714" spans="1:14" ht="15.75">
      <c r="A714" s="197" t="s">
        <v>4616</v>
      </c>
      <c r="B714" s="188" t="s">
        <v>3</v>
      </c>
      <c r="C714" s="174" t="s">
        <v>3894</v>
      </c>
      <c r="D714" s="174" t="s">
        <v>3</v>
      </c>
      <c r="E714" s="174" t="s">
        <v>57</v>
      </c>
      <c r="F714" s="186" t="s">
        <v>4617</v>
      </c>
      <c r="G714" s="174"/>
      <c r="H714" s="174"/>
      <c r="I714" s="174"/>
      <c r="J714" s="174"/>
      <c r="K714" s="174"/>
      <c r="L714" s="174"/>
      <c r="M714" s="174"/>
      <c r="N714" s="174"/>
    </row>
    <row r="715" spans="1:14" ht="15.75">
      <c r="A715" s="197" t="s">
        <v>4622</v>
      </c>
      <c r="B715" s="188" t="s">
        <v>3</v>
      </c>
      <c r="C715" s="174" t="s">
        <v>3894</v>
      </c>
      <c r="D715" s="174" t="s">
        <v>3</v>
      </c>
      <c r="E715" s="174" t="s">
        <v>161</v>
      </c>
      <c r="F715" s="186" t="s">
        <v>4623</v>
      </c>
      <c r="G715" s="174"/>
      <c r="H715" s="174"/>
      <c r="I715" s="174"/>
      <c r="J715" s="174"/>
      <c r="K715" s="174"/>
      <c r="L715" s="174"/>
      <c r="M715" s="174"/>
      <c r="N715" s="174"/>
    </row>
    <row r="716" spans="1:14" ht="15.75">
      <c r="A716" s="197" t="s">
        <v>4626</v>
      </c>
      <c r="B716" s="188" t="s">
        <v>3</v>
      </c>
      <c r="C716" s="174" t="s">
        <v>3894</v>
      </c>
      <c r="D716" s="174" t="s">
        <v>3</v>
      </c>
      <c r="E716" s="174" t="s">
        <v>123</v>
      </c>
      <c r="F716" s="186" t="s">
        <v>4627</v>
      </c>
      <c r="G716" s="174"/>
      <c r="H716" s="174"/>
      <c r="I716" s="174"/>
      <c r="J716" s="174"/>
      <c r="K716" s="174"/>
      <c r="L716" s="174"/>
      <c r="M716" s="174"/>
      <c r="N716" s="174"/>
    </row>
    <row r="717" spans="1:14" ht="15.75">
      <c r="A717" s="197" t="s">
        <v>3601</v>
      </c>
      <c r="B717" s="188" t="s">
        <v>27</v>
      </c>
      <c r="C717" s="174" t="s">
        <v>4833</v>
      </c>
      <c r="D717" s="174" t="s">
        <v>39</v>
      </c>
      <c r="E717" s="174">
        <v>0</v>
      </c>
      <c r="F717" s="186" t="s">
        <v>3602</v>
      </c>
      <c r="G717" s="174"/>
      <c r="H717" s="174"/>
      <c r="I717" s="174"/>
      <c r="J717" s="174"/>
      <c r="K717" s="174"/>
      <c r="L717" s="174"/>
      <c r="M717" s="174"/>
      <c r="N717" s="174"/>
    </row>
    <row r="718" spans="1:14" ht="15.75">
      <c r="A718" s="197" t="s">
        <v>3605</v>
      </c>
      <c r="B718" s="188" t="s">
        <v>27</v>
      </c>
      <c r="C718" s="174" t="s">
        <v>4833</v>
      </c>
      <c r="D718" s="174" t="s">
        <v>39</v>
      </c>
      <c r="E718" s="174">
        <v>0</v>
      </c>
      <c r="F718" s="186" t="s">
        <v>3606</v>
      </c>
      <c r="G718" s="174"/>
      <c r="H718" s="174"/>
      <c r="I718" s="174"/>
      <c r="J718" s="174"/>
      <c r="K718" s="174"/>
      <c r="L718" s="174"/>
      <c r="M718" s="174"/>
      <c r="N718" s="174"/>
    </row>
    <row r="719" spans="1:14" ht="15.75">
      <c r="A719" s="197" t="s">
        <v>3608</v>
      </c>
      <c r="B719" s="188" t="s">
        <v>27</v>
      </c>
      <c r="C719" s="174" t="s">
        <v>4833</v>
      </c>
      <c r="D719" s="174" t="s">
        <v>39</v>
      </c>
      <c r="E719" s="174">
        <v>0</v>
      </c>
      <c r="F719" s="186" t="s">
        <v>3609</v>
      </c>
      <c r="G719" s="174"/>
      <c r="H719" s="174"/>
      <c r="I719" s="174"/>
      <c r="J719" s="174"/>
      <c r="K719" s="174"/>
      <c r="L719" s="174"/>
      <c r="M719" s="174"/>
      <c r="N719" s="174"/>
    </row>
    <row r="720" spans="1:14" ht="15.75">
      <c r="A720" s="197" t="s">
        <v>3611</v>
      </c>
      <c r="B720" s="188" t="s">
        <v>27</v>
      </c>
      <c r="C720" s="174" t="s">
        <v>4833</v>
      </c>
      <c r="D720" s="174" t="s">
        <v>39</v>
      </c>
      <c r="E720" s="174">
        <v>0</v>
      </c>
      <c r="F720" s="186" t="s">
        <v>3612</v>
      </c>
      <c r="G720" s="174"/>
      <c r="H720" s="174"/>
      <c r="I720" s="174"/>
      <c r="J720" s="174"/>
      <c r="K720" s="174"/>
      <c r="L720" s="174"/>
      <c r="M720" s="174"/>
      <c r="N720" s="174"/>
    </row>
    <row r="721" spans="1:14" ht="15.75">
      <c r="A721" s="197" t="s">
        <v>3614</v>
      </c>
      <c r="B721" s="188" t="s">
        <v>27</v>
      </c>
      <c r="C721" s="174" t="s">
        <v>4833</v>
      </c>
      <c r="D721" s="174" t="s">
        <v>39</v>
      </c>
      <c r="E721" s="174">
        <v>0</v>
      </c>
      <c r="F721" s="186" t="s">
        <v>3615</v>
      </c>
      <c r="G721" s="174"/>
      <c r="H721" s="174"/>
      <c r="I721" s="174"/>
      <c r="J721" s="174"/>
      <c r="K721" s="174"/>
      <c r="L721" s="174"/>
      <c r="M721" s="174"/>
      <c r="N721" s="174"/>
    </row>
    <row r="722" spans="1:14" ht="15.75">
      <c r="A722" s="197" t="s">
        <v>3617</v>
      </c>
      <c r="B722" s="188" t="s">
        <v>27</v>
      </c>
      <c r="C722" s="174" t="s">
        <v>4833</v>
      </c>
      <c r="D722" s="174" t="s">
        <v>39</v>
      </c>
      <c r="E722" s="174">
        <v>0</v>
      </c>
      <c r="F722" s="186" t="s">
        <v>3618</v>
      </c>
      <c r="G722" s="174"/>
      <c r="H722" s="174"/>
      <c r="I722" s="174"/>
      <c r="J722" s="174"/>
      <c r="K722" s="174"/>
      <c r="L722" s="174"/>
      <c r="M722" s="174"/>
      <c r="N722" s="174"/>
    </row>
    <row r="723" spans="1:14" ht="15.75">
      <c r="A723" s="197" t="s">
        <v>3620</v>
      </c>
      <c r="B723" s="188" t="s">
        <v>27</v>
      </c>
      <c r="C723" s="174" t="s">
        <v>4833</v>
      </c>
      <c r="D723" s="174" t="s">
        <v>39</v>
      </c>
      <c r="E723" s="174">
        <v>0</v>
      </c>
      <c r="F723" s="186" t="s">
        <v>3621</v>
      </c>
      <c r="G723" s="174"/>
      <c r="H723" s="174"/>
      <c r="I723" s="174"/>
      <c r="J723" s="174"/>
      <c r="K723" s="174"/>
      <c r="L723" s="174"/>
      <c r="M723" s="174"/>
      <c r="N723" s="174"/>
    </row>
    <row r="724" spans="1:14" ht="15.75">
      <c r="A724" s="197" t="s">
        <v>3624</v>
      </c>
      <c r="B724" s="188" t="s">
        <v>27</v>
      </c>
      <c r="C724" s="174" t="s">
        <v>4833</v>
      </c>
      <c r="D724" s="174" t="s">
        <v>39</v>
      </c>
      <c r="E724" s="174">
        <v>0</v>
      </c>
      <c r="F724" s="186" t="s">
        <v>3625</v>
      </c>
      <c r="G724" s="174"/>
      <c r="H724" s="174"/>
      <c r="I724" s="174"/>
      <c r="J724" s="174"/>
      <c r="K724" s="174"/>
      <c r="L724" s="174"/>
      <c r="M724" s="174"/>
      <c r="N724" s="174"/>
    </row>
    <row r="725" spans="1:14" ht="15.75">
      <c r="A725" s="197" t="s">
        <v>3627</v>
      </c>
      <c r="B725" s="188" t="s">
        <v>188</v>
      </c>
      <c r="C725" s="174" t="s">
        <v>4833</v>
      </c>
      <c r="D725" s="174" t="s">
        <v>39</v>
      </c>
      <c r="E725" s="174">
        <v>0</v>
      </c>
      <c r="F725" s="186" t="s">
        <v>3628</v>
      </c>
      <c r="G725" s="174"/>
      <c r="H725" s="174"/>
      <c r="I725" s="174"/>
      <c r="J725" s="174"/>
      <c r="K725" s="174"/>
      <c r="L725" s="174"/>
      <c r="M725" s="174"/>
      <c r="N725" s="174"/>
    </row>
    <row r="726" spans="1:14" ht="15.75">
      <c r="A726" s="197" t="s">
        <v>4577</v>
      </c>
      <c r="B726" s="188" t="s">
        <v>27</v>
      </c>
      <c r="C726" s="174" t="s">
        <v>4833</v>
      </c>
      <c r="D726" s="174" t="s">
        <v>39</v>
      </c>
      <c r="E726" s="174">
        <v>0</v>
      </c>
      <c r="F726" s="186" t="s">
        <v>3638</v>
      </c>
      <c r="G726" s="174"/>
      <c r="H726" s="174"/>
      <c r="I726" s="174"/>
      <c r="J726" s="174"/>
      <c r="K726" s="174"/>
      <c r="L726" s="174"/>
      <c r="M726" s="174"/>
      <c r="N726" s="174"/>
    </row>
    <row r="727" spans="1:14" ht="15.75">
      <c r="A727" s="197" t="s">
        <v>3632</v>
      </c>
      <c r="B727" s="188" t="s">
        <v>188</v>
      </c>
      <c r="C727" s="174" t="s">
        <v>4833</v>
      </c>
      <c r="D727" s="174" t="s">
        <v>39</v>
      </c>
      <c r="E727" s="174">
        <v>0</v>
      </c>
      <c r="F727" s="186" t="s">
        <v>3633</v>
      </c>
      <c r="G727" s="174"/>
      <c r="H727" s="174"/>
      <c r="I727" s="174"/>
      <c r="J727" s="174"/>
      <c r="K727" s="174"/>
      <c r="L727" s="174"/>
      <c r="M727" s="174"/>
      <c r="N727" s="174"/>
    </row>
    <row r="728" spans="1:14" ht="15.75">
      <c r="A728" s="197" t="s">
        <v>3637</v>
      </c>
      <c r="B728" s="188" t="s">
        <v>27</v>
      </c>
      <c r="C728" s="174" t="s">
        <v>4833</v>
      </c>
      <c r="D728" s="174" t="s">
        <v>39</v>
      </c>
      <c r="E728" s="174">
        <v>0</v>
      </c>
      <c r="F728" s="186" t="s">
        <v>3638</v>
      </c>
      <c r="G728" s="174"/>
      <c r="H728" s="174"/>
      <c r="I728" s="174"/>
      <c r="J728" s="174"/>
      <c r="K728" s="174"/>
      <c r="L728" s="174"/>
      <c r="M728" s="174"/>
      <c r="N728" s="174"/>
    </row>
    <row r="729" spans="1:14" ht="15.75">
      <c r="A729" s="197" t="s">
        <v>3642</v>
      </c>
      <c r="B729" s="188" t="s">
        <v>15</v>
      </c>
      <c r="C729" s="174" t="s">
        <v>3894</v>
      </c>
      <c r="D729" s="174" t="s">
        <v>5361</v>
      </c>
      <c r="E729" s="174" t="s">
        <v>97</v>
      </c>
      <c r="F729" s="186" t="s">
        <v>3643</v>
      </c>
      <c r="G729" s="174"/>
      <c r="H729" s="174"/>
      <c r="I729" s="174"/>
      <c r="J729" s="174"/>
      <c r="K729" s="174"/>
      <c r="L729" s="174"/>
      <c r="M729" s="174"/>
      <c r="N729" s="174"/>
    </row>
    <row r="730" spans="1:14" ht="15.75">
      <c r="A730" s="197" t="s">
        <v>3648</v>
      </c>
      <c r="B730" s="188" t="s">
        <v>27</v>
      </c>
      <c r="C730" s="174" t="s">
        <v>4833</v>
      </c>
      <c r="D730" s="174" t="s">
        <v>39</v>
      </c>
      <c r="E730" s="174">
        <v>0</v>
      </c>
      <c r="F730" s="186" t="s">
        <v>3649</v>
      </c>
      <c r="G730" s="174"/>
      <c r="H730" s="174"/>
      <c r="I730" s="174"/>
      <c r="J730" s="174"/>
      <c r="K730" s="174"/>
      <c r="L730" s="174"/>
      <c r="M730" s="174"/>
      <c r="N730" s="174"/>
    </row>
    <row r="731" spans="1:14" ht="15.75">
      <c r="A731" s="197" t="s">
        <v>3652</v>
      </c>
      <c r="B731" s="188" t="s">
        <v>15</v>
      </c>
      <c r="C731" s="174" t="s">
        <v>3894</v>
      </c>
      <c r="D731" s="174" t="s">
        <v>5394</v>
      </c>
      <c r="E731" s="174" t="s">
        <v>3655</v>
      </c>
      <c r="F731" s="186" t="s">
        <v>3653</v>
      </c>
      <c r="G731" s="174"/>
      <c r="H731" s="174"/>
      <c r="I731" s="174"/>
      <c r="J731" s="174"/>
      <c r="K731" s="174"/>
      <c r="L731" s="174"/>
      <c r="M731" s="174"/>
      <c r="N731" s="174"/>
    </row>
    <row r="732" spans="1:14" ht="15.75">
      <c r="A732" s="197" t="s">
        <v>3658</v>
      </c>
      <c r="B732" s="188" t="s">
        <v>188</v>
      </c>
      <c r="C732" s="174" t="s">
        <v>4833</v>
      </c>
      <c r="D732" s="174" t="s">
        <v>39</v>
      </c>
      <c r="E732" s="174">
        <v>0</v>
      </c>
      <c r="F732" s="186" t="s">
        <v>3659</v>
      </c>
      <c r="G732" s="174"/>
      <c r="H732" s="174"/>
      <c r="I732" s="174"/>
      <c r="J732" s="174"/>
      <c r="K732" s="174"/>
      <c r="L732" s="174"/>
      <c r="M732" s="174"/>
      <c r="N732" s="174"/>
    </row>
    <row r="733" spans="1:14" ht="15.75">
      <c r="A733" s="197" t="s">
        <v>3664</v>
      </c>
      <c r="B733" s="188" t="s">
        <v>27</v>
      </c>
      <c r="C733" s="174" t="s">
        <v>4833</v>
      </c>
      <c r="D733" s="174" t="s">
        <v>39</v>
      </c>
      <c r="E733" s="174">
        <v>0</v>
      </c>
      <c r="F733" s="186" t="s">
        <v>3665</v>
      </c>
      <c r="G733" s="174"/>
      <c r="H733" s="174"/>
      <c r="I733" s="174"/>
      <c r="J733" s="174"/>
      <c r="K733" s="174"/>
      <c r="L733" s="174"/>
      <c r="M733" s="174"/>
      <c r="N733" s="174"/>
    </row>
    <row r="734" spans="1:14" ht="15.75">
      <c r="A734" s="197" t="s">
        <v>3669</v>
      </c>
      <c r="B734" s="188" t="s">
        <v>27</v>
      </c>
      <c r="C734" s="174" t="s">
        <v>4833</v>
      </c>
      <c r="D734" s="174" t="s">
        <v>39</v>
      </c>
      <c r="E734" s="174">
        <v>0</v>
      </c>
      <c r="F734" s="186" t="s">
        <v>3670</v>
      </c>
      <c r="G734" s="174"/>
      <c r="H734" s="174"/>
      <c r="I734" s="174"/>
      <c r="J734" s="174"/>
      <c r="K734" s="174"/>
      <c r="L734" s="174"/>
      <c r="M734" s="174"/>
      <c r="N734" s="174"/>
    </row>
    <row r="735" spans="1:14" ht="15.75">
      <c r="A735" s="197" t="s">
        <v>3673</v>
      </c>
      <c r="B735" s="188" t="s">
        <v>188</v>
      </c>
      <c r="C735" s="174" t="s">
        <v>4833</v>
      </c>
      <c r="D735" s="174" t="s">
        <v>39</v>
      </c>
      <c r="E735" s="174">
        <v>0</v>
      </c>
      <c r="F735" s="186" t="s">
        <v>3674</v>
      </c>
      <c r="G735" s="174"/>
      <c r="H735" s="174"/>
      <c r="I735" s="174"/>
      <c r="J735" s="174"/>
      <c r="K735" s="174"/>
      <c r="L735" s="174"/>
      <c r="M735" s="174"/>
      <c r="N735" s="174"/>
    </row>
    <row r="736" spans="1:14" ht="15.75">
      <c r="A736" s="197" t="s">
        <v>3678</v>
      </c>
      <c r="B736" s="188" t="s">
        <v>27</v>
      </c>
      <c r="C736" s="174" t="s">
        <v>4833</v>
      </c>
      <c r="D736" s="174" t="s">
        <v>39</v>
      </c>
      <c r="E736" s="174">
        <v>0</v>
      </c>
      <c r="F736" s="186" t="s">
        <v>3679</v>
      </c>
      <c r="G736" s="174"/>
      <c r="H736" s="174"/>
      <c r="I736" s="174"/>
      <c r="J736" s="174"/>
      <c r="K736" s="174"/>
      <c r="L736" s="174"/>
      <c r="M736" s="174"/>
      <c r="N736" s="174"/>
    </row>
    <row r="737" spans="1:14" ht="15.75">
      <c r="A737" s="197" t="s">
        <v>3682</v>
      </c>
      <c r="B737" s="188" t="s">
        <v>188</v>
      </c>
      <c r="C737" s="174" t="s">
        <v>4833</v>
      </c>
      <c r="D737" s="174" t="s">
        <v>39</v>
      </c>
      <c r="E737" s="174">
        <v>0</v>
      </c>
      <c r="F737" s="186" t="s">
        <v>3683</v>
      </c>
      <c r="G737" s="174"/>
      <c r="H737" s="174"/>
      <c r="I737" s="174"/>
      <c r="J737" s="174"/>
      <c r="K737" s="174"/>
      <c r="L737" s="174"/>
      <c r="M737" s="174"/>
      <c r="N737" s="174"/>
    </row>
    <row r="738" spans="1:14" ht="15.75">
      <c r="A738" s="197" t="s">
        <v>3687</v>
      </c>
      <c r="B738" s="188" t="s">
        <v>3</v>
      </c>
      <c r="C738" s="174" t="s">
        <v>3894</v>
      </c>
      <c r="D738" s="174" t="s">
        <v>3</v>
      </c>
      <c r="E738" s="174" t="s">
        <v>161</v>
      </c>
      <c r="F738" s="186" t="s">
        <v>3688</v>
      </c>
      <c r="G738" s="174"/>
      <c r="H738" s="174"/>
      <c r="I738" s="174"/>
      <c r="J738" s="174"/>
      <c r="K738" s="174"/>
      <c r="L738" s="174"/>
      <c r="M738" s="174"/>
      <c r="N738" s="174"/>
    </row>
    <row r="739" spans="1:14" ht="15.75">
      <c r="A739" s="197" t="s">
        <v>3693</v>
      </c>
      <c r="B739" s="188" t="s">
        <v>3</v>
      </c>
      <c r="C739" s="174" t="s">
        <v>3894</v>
      </c>
      <c r="D739" s="174" t="s">
        <v>3</v>
      </c>
      <c r="E739" s="174" t="s">
        <v>1038</v>
      </c>
      <c r="F739" s="186" t="s">
        <v>3694</v>
      </c>
      <c r="G739" s="174"/>
      <c r="H739" s="174"/>
      <c r="I739" s="174"/>
      <c r="J739" s="174"/>
      <c r="K739" s="174"/>
      <c r="L739" s="174"/>
      <c r="M739" s="174"/>
      <c r="N739" s="174"/>
    </row>
    <row r="740" spans="1:14" ht="15.75">
      <c r="A740" s="197" t="s">
        <v>3703</v>
      </c>
      <c r="B740" s="188" t="s">
        <v>27</v>
      </c>
      <c r="C740" s="174" t="s">
        <v>4833</v>
      </c>
      <c r="D740" s="174" t="s">
        <v>39</v>
      </c>
      <c r="E740" s="174">
        <v>0</v>
      </c>
      <c r="F740" s="186" t="s">
        <v>3704</v>
      </c>
      <c r="G740" s="174"/>
      <c r="H740" s="174"/>
      <c r="I740" s="174"/>
      <c r="J740" s="174"/>
      <c r="K740" s="174"/>
      <c r="L740" s="174"/>
      <c r="M740" s="174"/>
      <c r="N740" s="174"/>
    </row>
    <row r="741" spans="1:14" ht="15.75">
      <c r="A741" s="197" t="s">
        <v>3707</v>
      </c>
      <c r="B741" s="188" t="s">
        <v>27</v>
      </c>
      <c r="C741" s="174" t="s">
        <v>4833</v>
      </c>
      <c r="D741" s="174" t="s">
        <v>39</v>
      </c>
      <c r="E741" s="174">
        <v>0</v>
      </c>
      <c r="F741" s="186" t="s">
        <v>3708</v>
      </c>
      <c r="G741" s="174"/>
      <c r="H741" s="174"/>
      <c r="I741" s="174"/>
      <c r="J741" s="174"/>
      <c r="K741" s="174"/>
      <c r="L741" s="174"/>
      <c r="M741" s="174"/>
      <c r="N741" s="174"/>
    </row>
    <row r="742" spans="1:14" ht="15.75">
      <c r="A742" s="197" t="s">
        <v>3712</v>
      </c>
      <c r="B742" s="210" t="s">
        <v>188</v>
      </c>
      <c r="C742" s="174" t="e">
        <v>#N/A</v>
      </c>
      <c r="D742" s="174" t="e">
        <v>#N/A</v>
      </c>
      <c r="E742" s="174" t="e">
        <v>#N/A</v>
      </c>
      <c r="F742" s="186" t="s">
        <v>3713</v>
      </c>
      <c r="G742" s="174"/>
      <c r="H742" s="174"/>
      <c r="I742" s="174"/>
      <c r="J742" s="174"/>
      <c r="K742" s="174"/>
      <c r="L742" s="174"/>
      <c r="M742" s="174"/>
      <c r="N742" s="174"/>
    </row>
    <row r="743" spans="1:14" ht="15.75">
      <c r="A743" s="197" t="s">
        <v>4582</v>
      </c>
      <c r="B743" s="211" t="s">
        <v>188</v>
      </c>
      <c r="C743" s="174" t="e">
        <v>#N/A</v>
      </c>
      <c r="D743" s="174" t="e">
        <v>#N/A</v>
      </c>
      <c r="E743" s="174" t="e">
        <v>#N/A</v>
      </c>
      <c r="F743" s="186" t="s">
        <v>3718</v>
      </c>
      <c r="G743" s="174"/>
      <c r="H743" s="174"/>
      <c r="I743" s="174"/>
      <c r="J743" s="174"/>
      <c r="K743" s="174"/>
      <c r="L743" s="174"/>
      <c r="M743" s="174"/>
      <c r="N743" s="174"/>
    </row>
    <row r="744" spans="1:14" ht="15.75">
      <c r="A744" s="197" t="s">
        <v>4585</v>
      </c>
      <c r="B744" s="188" t="s">
        <v>188</v>
      </c>
      <c r="C744" s="174" t="e">
        <v>#N/A</v>
      </c>
      <c r="D744" s="174" t="e">
        <v>#N/A</v>
      </c>
      <c r="E744" s="174" t="e">
        <v>#N/A</v>
      </c>
      <c r="F744" s="186" t="s">
        <v>3723</v>
      </c>
      <c r="G744" s="174"/>
      <c r="H744" s="174"/>
      <c r="I744" s="174"/>
      <c r="J744" s="174"/>
      <c r="K744" s="174"/>
      <c r="L744" s="174"/>
      <c r="M744" s="174"/>
      <c r="N744" s="174"/>
    </row>
    <row r="745" spans="1:14" ht="15.75">
      <c r="A745" s="197" t="s">
        <v>4588</v>
      </c>
      <c r="B745" s="188" t="s">
        <v>188</v>
      </c>
      <c r="C745" s="174" t="e">
        <v>#N/A</v>
      </c>
      <c r="D745" s="174" t="e">
        <v>#N/A</v>
      </c>
      <c r="E745" s="174" t="e">
        <v>#N/A</v>
      </c>
      <c r="F745" s="186" t="s">
        <v>3727</v>
      </c>
      <c r="G745" s="174"/>
      <c r="H745" s="174"/>
      <c r="I745" s="174"/>
      <c r="J745" s="174"/>
      <c r="K745" s="174"/>
      <c r="L745" s="174"/>
      <c r="M745" s="174"/>
      <c r="N745" s="174"/>
    </row>
    <row r="746" spans="1:14" ht="15.75">
      <c r="A746" s="197" t="s">
        <v>3729</v>
      </c>
      <c r="B746" s="188" t="s">
        <v>4</v>
      </c>
      <c r="C746" s="174" t="e">
        <v>#N/A</v>
      </c>
      <c r="D746" s="174" t="e">
        <v>#N/A</v>
      </c>
      <c r="E746" s="174" t="e">
        <v>#N/A</v>
      </c>
      <c r="F746" s="186" t="s">
        <v>3730</v>
      </c>
      <c r="G746" s="174"/>
      <c r="H746" s="174"/>
      <c r="I746" s="174"/>
      <c r="J746" s="174"/>
      <c r="K746" s="174"/>
      <c r="L746" s="174"/>
      <c r="M746" s="174"/>
      <c r="N746" s="174"/>
    </row>
    <row r="747" spans="1:14" ht="15.75">
      <c r="A747" s="197" t="s">
        <v>3735</v>
      </c>
      <c r="B747" s="188" t="s">
        <v>5</v>
      </c>
      <c r="C747" s="174" t="e">
        <v>#N/A</v>
      </c>
      <c r="D747" s="174" t="e">
        <v>#N/A</v>
      </c>
      <c r="E747" s="174" t="e">
        <v>#N/A</v>
      </c>
      <c r="F747" s="186" t="s">
        <v>3736</v>
      </c>
      <c r="G747" s="174"/>
      <c r="H747" s="174"/>
      <c r="I747" s="174"/>
      <c r="J747" s="174"/>
      <c r="K747" s="174"/>
      <c r="L747" s="174"/>
      <c r="M747" s="174"/>
      <c r="N747" s="174"/>
    </row>
    <row r="748" spans="1:14" ht="15.75">
      <c r="A748" s="197" t="s">
        <v>3746</v>
      </c>
      <c r="B748" s="188" t="s">
        <v>188</v>
      </c>
      <c r="C748" s="174" t="e">
        <v>#N/A</v>
      </c>
      <c r="D748" s="174" t="e">
        <v>#N/A</v>
      </c>
      <c r="E748" s="174" t="e">
        <v>#N/A</v>
      </c>
      <c r="F748" s="186" t="s">
        <v>3747</v>
      </c>
      <c r="G748" s="174"/>
      <c r="H748" s="174"/>
      <c r="I748" s="174"/>
      <c r="J748" s="174"/>
      <c r="K748" s="174"/>
      <c r="L748" s="174"/>
      <c r="M748" s="174"/>
      <c r="N748" s="174"/>
    </row>
    <row r="749" spans="1:14" ht="15.75">
      <c r="A749" s="197" t="s">
        <v>3750</v>
      </c>
      <c r="B749" s="188" t="s">
        <v>188</v>
      </c>
      <c r="C749" s="174" t="e">
        <v>#N/A</v>
      </c>
      <c r="D749" s="174" t="e">
        <v>#N/A</v>
      </c>
      <c r="E749" s="174" t="e">
        <v>#N/A</v>
      </c>
      <c r="F749" s="186" t="s">
        <v>3751</v>
      </c>
      <c r="G749" s="174"/>
      <c r="H749" s="174"/>
      <c r="I749" s="174"/>
      <c r="J749" s="174"/>
      <c r="K749" s="174"/>
      <c r="L749" s="174"/>
      <c r="M749" s="174"/>
      <c r="N749" s="174"/>
    </row>
    <row r="750" spans="1:14" ht="15.75">
      <c r="A750" s="197" t="s">
        <v>3754</v>
      </c>
      <c r="B750" s="188" t="s">
        <v>5</v>
      </c>
      <c r="C750" s="174" t="e">
        <v>#N/A</v>
      </c>
      <c r="D750" s="174" t="e">
        <v>#N/A</v>
      </c>
      <c r="E750" s="174" t="e">
        <v>#N/A</v>
      </c>
      <c r="F750" s="186" t="s">
        <v>3755</v>
      </c>
      <c r="G750" s="174"/>
      <c r="H750" s="174"/>
      <c r="I750" s="174"/>
      <c r="J750" s="174"/>
      <c r="K750" s="174"/>
      <c r="L750" s="174"/>
      <c r="M750" s="174"/>
      <c r="N750" s="174"/>
    </row>
    <row r="751" spans="1:14" ht="15.75">
      <c r="A751" s="197" t="s">
        <v>3759</v>
      </c>
      <c r="B751" s="188" t="s">
        <v>188</v>
      </c>
      <c r="C751" s="174" t="e">
        <v>#N/A</v>
      </c>
      <c r="D751" s="174" t="e">
        <v>#N/A</v>
      </c>
      <c r="E751" s="174" t="e">
        <v>#N/A</v>
      </c>
      <c r="F751" s="186" t="s">
        <v>3760</v>
      </c>
      <c r="G751" s="174"/>
      <c r="H751" s="174"/>
      <c r="I751" s="174"/>
      <c r="J751" s="174"/>
      <c r="K751" s="174"/>
      <c r="L751" s="174"/>
      <c r="M751" s="174"/>
      <c r="N751" s="174"/>
    </row>
    <row r="752" spans="1:14" ht="15.75">
      <c r="A752" s="197" t="s">
        <v>3763</v>
      </c>
      <c r="B752" s="188" t="s">
        <v>3</v>
      </c>
      <c r="C752" s="174" t="e">
        <v>#N/A</v>
      </c>
      <c r="D752" s="174" t="e">
        <v>#N/A</v>
      </c>
      <c r="E752" s="174" t="e">
        <v>#N/A</v>
      </c>
      <c r="F752" s="186" t="s">
        <v>3764</v>
      </c>
      <c r="G752" s="174"/>
      <c r="H752" s="174"/>
      <c r="I752" s="174"/>
      <c r="J752" s="174"/>
      <c r="K752" s="174"/>
      <c r="L752" s="174"/>
      <c r="M752" s="174"/>
      <c r="N752" s="174"/>
    </row>
    <row r="753" spans="1:14" ht="15.75">
      <c r="A753" s="197" t="s">
        <v>3770</v>
      </c>
      <c r="B753" s="188" t="s">
        <v>188</v>
      </c>
      <c r="C753" s="174" t="e">
        <v>#N/A</v>
      </c>
      <c r="D753" s="174" t="e">
        <v>#N/A</v>
      </c>
      <c r="E753" s="174" t="e">
        <v>#N/A</v>
      </c>
      <c r="F753" s="186" t="s">
        <v>3771</v>
      </c>
      <c r="G753" s="174"/>
      <c r="H753" s="174"/>
      <c r="I753" s="174"/>
      <c r="J753" s="174"/>
      <c r="K753" s="174"/>
      <c r="L753" s="174"/>
      <c r="M753" s="174"/>
      <c r="N753" s="174"/>
    </row>
    <row r="754" spans="1:14" ht="15.75">
      <c r="A754" s="197" t="s">
        <v>4654</v>
      </c>
      <c r="B754" s="188" t="s">
        <v>188</v>
      </c>
      <c r="C754" s="174" t="e">
        <v>#N/A</v>
      </c>
      <c r="D754" s="174" t="e">
        <v>#N/A</v>
      </c>
      <c r="E754" s="174" t="e">
        <v>#N/A</v>
      </c>
      <c r="F754" s="186" t="s">
        <v>4655</v>
      </c>
      <c r="G754" s="174"/>
      <c r="H754" s="174"/>
      <c r="I754" s="174"/>
      <c r="J754" s="174"/>
      <c r="K754" s="174"/>
      <c r="L754" s="174"/>
      <c r="M754" s="174"/>
      <c r="N754" s="174"/>
    </row>
    <row r="755" spans="1:14" ht="15.75">
      <c r="A755" s="197" t="s">
        <v>4658</v>
      </c>
      <c r="B755" s="188" t="s">
        <v>188</v>
      </c>
      <c r="C755" s="174" t="e">
        <v>#N/A</v>
      </c>
      <c r="D755" s="174" t="e">
        <v>#N/A</v>
      </c>
      <c r="E755" s="174" t="e">
        <v>#N/A</v>
      </c>
      <c r="F755" s="186" t="s">
        <v>4659</v>
      </c>
      <c r="G755" s="174"/>
      <c r="H755" s="174"/>
      <c r="I755" s="174"/>
      <c r="J755" s="174"/>
      <c r="K755" s="174"/>
      <c r="L755" s="174"/>
      <c r="M755" s="174"/>
      <c r="N755" s="174"/>
    </row>
    <row r="756" spans="1:14" ht="15.75">
      <c r="A756" s="197" t="s">
        <v>4662</v>
      </c>
      <c r="B756" s="188" t="s">
        <v>188</v>
      </c>
      <c r="C756" s="174" t="e">
        <v>#N/A</v>
      </c>
      <c r="D756" s="174" t="e">
        <v>#N/A</v>
      </c>
      <c r="E756" s="174" t="e">
        <v>#N/A</v>
      </c>
      <c r="F756" s="186" t="s">
        <v>4663</v>
      </c>
      <c r="G756" s="174"/>
      <c r="H756" s="174"/>
      <c r="I756" s="174"/>
      <c r="J756" s="174"/>
      <c r="K756" s="174"/>
      <c r="L756" s="174"/>
      <c r="M756" s="174"/>
      <c r="N756" s="174"/>
    </row>
    <row r="757" spans="1:14" ht="15.75">
      <c r="A757" s="197" t="s">
        <v>4666</v>
      </c>
      <c r="B757" s="188" t="s">
        <v>188</v>
      </c>
      <c r="C757" s="174" t="e">
        <v>#N/A</v>
      </c>
      <c r="D757" s="174" t="e">
        <v>#N/A</v>
      </c>
      <c r="E757" s="174" t="e">
        <v>#N/A</v>
      </c>
      <c r="F757" s="186" t="s">
        <v>4667</v>
      </c>
      <c r="G757" s="174"/>
      <c r="H757" s="174"/>
      <c r="I757" s="174"/>
      <c r="J757" s="174"/>
      <c r="K757" s="174"/>
      <c r="L757" s="174"/>
      <c r="M757" s="174"/>
      <c r="N757" s="174"/>
    </row>
    <row r="758" spans="1:14" ht="15.75">
      <c r="A758" s="197" t="s">
        <v>4670</v>
      </c>
      <c r="B758" s="188" t="s">
        <v>188</v>
      </c>
      <c r="C758" s="174" t="e">
        <v>#N/A</v>
      </c>
      <c r="D758" s="174" t="e">
        <v>#N/A</v>
      </c>
      <c r="E758" s="174" t="e">
        <v>#N/A</v>
      </c>
      <c r="F758" s="186" t="s">
        <v>4671</v>
      </c>
      <c r="G758" s="174"/>
      <c r="H758" s="174"/>
      <c r="I758" s="174"/>
      <c r="J758" s="174"/>
      <c r="K758" s="174"/>
      <c r="L758" s="174"/>
      <c r="M758" s="174"/>
      <c r="N758" s="174"/>
    </row>
    <row r="759" spans="1:14" ht="15.75">
      <c r="A759" s="197" t="s">
        <v>4674</v>
      </c>
      <c r="B759" s="188" t="s">
        <v>188</v>
      </c>
      <c r="C759" s="174" t="e">
        <v>#N/A</v>
      </c>
      <c r="D759" s="174" t="e">
        <v>#N/A</v>
      </c>
      <c r="E759" s="174" t="e">
        <v>#N/A</v>
      </c>
      <c r="F759" s="186" t="s">
        <v>4675</v>
      </c>
      <c r="G759" s="174"/>
      <c r="H759" s="174"/>
      <c r="I759" s="174"/>
      <c r="J759" s="174"/>
      <c r="K759" s="174"/>
      <c r="L759" s="174"/>
      <c r="M759" s="174"/>
      <c r="N759" s="174"/>
    </row>
    <row r="760" spans="1:14" ht="15.75">
      <c r="A760" s="197" t="s">
        <v>4678</v>
      </c>
      <c r="B760" s="188" t="s">
        <v>188</v>
      </c>
      <c r="C760" s="174" t="e">
        <v>#N/A</v>
      </c>
      <c r="D760" s="174" t="e">
        <v>#N/A</v>
      </c>
      <c r="E760" s="174" t="e">
        <v>#N/A</v>
      </c>
      <c r="F760" s="186" t="s">
        <v>4679</v>
      </c>
      <c r="G760" s="174"/>
      <c r="H760" s="174"/>
      <c r="I760" s="174"/>
      <c r="J760" s="174"/>
      <c r="K760" s="174"/>
      <c r="L760" s="174"/>
      <c r="M760" s="174"/>
      <c r="N760" s="174"/>
    </row>
    <row r="761" spans="1:14" ht="15.75">
      <c r="A761" s="197" t="s">
        <v>4682</v>
      </c>
      <c r="B761" s="188" t="s">
        <v>188</v>
      </c>
      <c r="C761" s="174" t="e">
        <v>#N/A</v>
      </c>
      <c r="D761" s="174" t="e">
        <v>#N/A</v>
      </c>
      <c r="E761" s="174" t="e">
        <v>#N/A</v>
      </c>
      <c r="F761" s="186" t="s">
        <v>4683</v>
      </c>
      <c r="G761" s="174"/>
      <c r="H761" s="174"/>
      <c r="I761" s="174"/>
      <c r="J761" s="174"/>
      <c r="K761" s="174"/>
      <c r="L761" s="174"/>
      <c r="M761" s="174"/>
      <c r="N761" s="174"/>
    </row>
    <row r="762" spans="1:14" ht="15.75">
      <c r="A762" s="197" t="s">
        <v>4686</v>
      </c>
      <c r="B762" s="188" t="s">
        <v>15</v>
      </c>
      <c r="C762" s="174" t="e">
        <v>#N/A</v>
      </c>
      <c r="D762" s="174" t="e">
        <v>#N/A</v>
      </c>
      <c r="E762" s="174" t="e">
        <v>#N/A</v>
      </c>
      <c r="F762" s="186" t="s">
        <v>4687</v>
      </c>
      <c r="G762" s="174"/>
      <c r="H762" s="174"/>
      <c r="I762" s="174"/>
      <c r="J762" s="174"/>
      <c r="K762" s="174"/>
      <c r="L762" s="174"/>
      <c r="M762" s="174"/>
      <c r="N762" s="174"/>
    </row>
    <row r="763" spans="1:14" ht="15.75">
      <c r="A763" s="197" t="s">
        <v>3774</v>
      </c>
      <c r="B763" s="188" t="s">
        <v>3</v>
      </c>
      <c r="C763" s="174" t="e">
        <v>#N/A</v>
      </c>
      <c r="D763" s="174" t="e">
        <v>#N/A</v>
      </c>
      <c r="E763" s="174" t="e">
        <v>#N/A</v>
      </c>
      <c r="F763" s="186" t="s">
        <v>3775</v>
      </c>
      <c r="G763" s="174"/>
      <c r="H763" s="174"/>
      <c r="I763" s="174"/>
      <c r="J763" s="174"/>
      <c r="K763" s="174"/>
      <c r="L763" s="174"/>
      <c r="M763" s="174"/>
      <c r="N763" s="174"/>
    </row>
    <row r="764" spans="1:14" ht="15.75">
      <c r="A764" s="197" t="s">
        <v>3780</v>
      </c>
      <c r="B764" s="188" t="s">
        <v>188</v>
      </c>
      <c r="C764" s="174" t="e">
        <v>#N/A</v>
      </c>
      <c r="D764" s="174" t="e">
        <v>#N/A</v>
      </c>
      <c r="E764" s="174" t="e">
        <v>#N/A</v>
      </c>
      <c r="F764" s="186" t="s">
        <v>3781</v>
      </c>
      <c r="G764" s="174"/>
      <c r="H764" s="174"/>
      <c r="I764" s="174"/>
      <c r="J764" s="174"/>
      <c r="K764" s="174"/>
      <c r="L764" s="174"/>
      <c r="M764" s="174"/>
      <c r="N764" s="174"/>
    </row>
    <row r="765" spans="1:14" ht="15.75">
      <c r="A765" s="197" t="s">
        <v>3784</v>
      </c>
      <c r="B765" s="188" t="s">
        <v>15</v>
      </c>
      <c r="C765" s="174" t="e">
        <v>#N/A</v>
      </c>
      <c r="D765" s="174" t="e">
        <v>#N/A</v>
      </c>
      <c r="E765" s="174" t="e">
        <v>#N/A</v>
      </c>
      <c r="F765" s="186" t="s">
        <v>3785</v>
      </c>
      <c r="G765" s="174"/>
      <c r="H765" s="174"/>
      <c r="I765" s="174"/>
      <c r="J765" s="174"/>
      <c r="K765" s="174"/>
      <c r="L765" s="174"/>
      <c r="M765" s="174"/>
      <c r="N765" s="174"/>
    </row>
    <row r="766" spans="1:14" ht="15.75">
      <c r="A766" s="197" t="s">
        <v>3789</v>
      </c>
      <c r="B766" s="188" t="s">
        <v>188</v>
      </c>
      <c r="C766" s="174" t="e">
        <v>#N/A</v>
      </c>
      <c r="D766" s="174" t="e">
        <v>#N/A</v>
      </c>
      <c r="E766" s="174" t="e">
        <v>#N/A</v>
      </c>
      <c r="F766" s="186" t="s">
        <v>3790</v>
      </c>
      <c r="G766" s="174"/>
      <c r="H766" s="174"/>
      <c r="I766" s="174"/>
      <c r="J766" s="174"/>
      <c r="K766" s="174"/>
      <c r="L766" s="174"/>
      <c r="M766" s="174"/>
      <c r="N766" s="174"/>
    </row>
    <row r="767" spans="1:14" ht="15.75">
      <c r="A767" s="186" t="s">
        <v>3793</v>
      </c>
      <c r="B767" s="212" t="s">
        <v>39</v>
      </c>
      <c r="C767" s="174" t="e">
        <v>#N/A</v>
      </c>
      <c r="D767" s="174" t="e">
        <v>#N/A</v>
      </c>
      <c r="E767" s="174" t="e">
        <v>#N/A</v>
      </c>
      <c r="F767" s="186" t="s">
        <v>3794</v>
      </c>
      <c r="G767" s="174"/>
      <c r="H767" s="174"/>
      <c r="I767" s="174"/>
      <c r="J767" s="174"/>
      <c r="K767" s="174"/>
      <c r="L767" s="174"/>
      <c r="M767" s="174"/>
      <c r="N767" s="174"/>
    </row>
    <row r="768" spans="1:14" ht="15.75">
      <c r="A768" s="213" t="s">
        <v>4591</v>
      </c>
      <c r="B768" s="212" t="s">
        <v>39</v>
      </c>
      <c r="C768" s="174" t="e">
        <v>#N/A</v>
      </c>
      <c r="D768" s="174" t="e">
        <v>#N/A</v>
      </c>
      <c r="E768" s="174" t="e">
        <v>#N/A</v>
      </c>
      <c r="F768" s="186" t="s">
        <v>3798</v>
      </c>
      <c r="G768" s="174"/>
      <c r="H768" s="174"/>
      <c r="I768" s="174"/>
      <c r="J768" s="174"/>
      <c r="K768" s="174"/>
      <c r="L768" s="174"/>
      <c r="M768" s="174"/>
      <c r="N768" s="174"/>
    </row>
    <row r="769" spans="1:14" ht="15.75">
      <c r="A769" s="213" t="s">
        <v>3802</v>
      </c>
      <c r="B769" s="212" t="s">
        <v>39</v>
      </c>
      <c r="C769" s="174" t="e">
        <v>#N/A</v>
      </c>
      <c r="D769" s="174" t="e">
        <v>#N/A</v>
      </c>
      <c r="E769" s="174" t="e">
        <v>#N/A</v>
      </c>
      <c r="F769" s="186" t="s">
        <v>3803</v>
      </c>
      <c r="G769" s="174"/>
      <c r="H769" s="174"/>
      <c r="I769" s="174"/>
      <c r="J769" s="174"/>
      <c r="K769" s="174"/>
      <c r="L769" s="174"/>
      <c r="M769" s="174"/>
      <c r="N769" s="174"/>
    </row>
    <row r="770" spans="1:14" ht="15.75">
      <c r="A770" s="213" t="s">
        <v>3807</v>
      </c>
      <c r="B770" s="212" t="s">
        <v>39</v>
      </c>
      <c r="C770" s="174" t="e">
        <v>#N/A</v>
      </c>
      <c r="D770" s="174" t="e">
        <v>#N/A</v>
      </c>
      <c r="E770" s="174" t="e">
        <v>#N/A</v>
      </c>
      <c r="F770" s="186" t="s">
        <v>3808</v>
      </c>
      <c r="G770" s="174"/>
      <c r="H770" s="174"/>
      <c r="I770" s="174"/>
      <c r="J770" s="174"/>
      <c r="K770" s="174"/>
      <c r="L770" s="174"/>
      <c r="M770" s="174"/>
      <c r="N770" s="174"/>
    </row>
    <row r="771" spans="1:14" ht="15.75">
      <c r="A771" s="213" t="s">
        <v>3811</v>
      </c>
      <c r="B771" s="212" t="s">
        <v>39</v>
      </c>
      <c r="C771" s="174" t="e">
        <v>#N/A</v>
      </c>
      <c r="D771" s="174" t="e">
        <v>#N/A</v>
      </c>
      <c r="E771" s="174" t="e">
        <v>#N/A</v>
      </c>
      <c r="F771" s="186" t="s">
        <v>3812</v>
      </c>
      <c r="G771" s="174"/>
      <c r="H771" s="174"/>
      <c r="I771" s="174"/>
      <c r="J771" s="174"/>
      <c r="K771" s="174"/>
      <c r="L771" s="174"/>
      <c r="M771" s="174"/>
      <c r="N771" s="174"/>
    </row>
    <row r="772" spans="1:14" ht="15.75">
      <c r="A772" s="213" t="s">
        <v>3814</v>
      </c>
      <c r="B772" s="212" t="s">
        <v>39</v>
      </c>
      <c r="C772" s="174" t="e">
        <v>#N/A</v>
      </c>
      <c r="D772" s="174" t="e">
        <v>#N/A</v>
      </c>
      <c r="E772" s="174" t="e">
        <v>#N/A</v>
      </c>
      <c r="F772" s="186" t="s">
        <v>3815</v>
      </c>
      <c r="G772" s="174"/>
      <c r="H772" s="174"/>
      <c r="I772" s="174"/>
      <c r="J772" s="174"/>
      <c r="K772" s="174"/>
      <c r="L772" s="174"/>
      <c r="M772" s="174"/>
      <c r="N772" s="174"/>
    </row>
    <row r="773" spans="1:14" ht="15.75">
      <c r="A773" s="213" t="s">
        <v>3818</v>
      </c>
      <c r="B773" s="212" t="s">
        <v>39</v>
      </c>
      <c r="C773" s="174" t="e">
        <v>#N/A</v>
      </c>
      <c r="D773" s="174" t="e">
        <v>#N/A</v>
      </c>
      <c r="E773" s="174" t="e">
        <v>#N/A</v>
      </c>
      <c r="F773" s="186" t="s">
        <v>3819</v>
      </c>
      <c r="G773" s="174"/>
      <c r="H773" s="174"/>
      <c r="I773" s="174"/>
      <c r="J773" s="174"/>
      <c r="K773" s="174"/>
      <c r="L773" s="174"/>
      <c r="M773" s="174"/>
      <c r="N773" s="174"/>
    </row>
    <row r="774" spans="1:14">
      <c r="A774" s="199" t="s">
        <v>3929</v>
      </c>
      <c r="B774" s="188" t="s">
        <v>188</v>
      </c>
      <c r="C774" s="174" t="e">
        <v>#N/A</v>
      </c>
      <c r="D774" s="174" t="e">
        <v>#N/A</v>
      </c>
      <c r="E774" s="174" t="e">
        <v>#N/A</v>
      </c>
      <c r="F774" s="186" t="s">
        <v>3930</v>
      </c>
      <c r="G774" s="174"/>
      <c r="H774" s="174"/>
      <c r="I774" s="174"/>
      <c r="J774" s="174"/>
      <c r="K774" s="174"/>
      <c r="L774" s="174"/>
      <c r="M774" s="174"/>
      <c r="N774" s="174"/>
    </row>
    <row r="775" spans="1:14" ht="15.75">
      <c r="A775" s="197" t="s">
        <v>3934</v>
      </c>
      <c r="B775" s="214" t="s">
        <v>188</v>
      </c>
      <c r="C775" s="174" t="e">
        <v>#N/A</v>
      </c>
      <c r="D775" s="174" t="e">
        <v>#N/A</v>
      </c>
      <c r="E775" s="174" t="e">
        <v>#N/A</v>
      </c>
      <c r="F775" s="186" t="s">
        <v>3935</v>
      </c>
      <c r="G775" s="174"/>
      <c r="H775" s="174"/>
      <c r="I775" s="174"/>
      <c r="J775" s="174"/>
      <c r="K775" s="174"/>
      <c r="L775" s="174"/>
      <c r="M775" s="174"/>
      <c r="N775" s="174"/>
    </row>
    <row r="776" spans="1:14">
      <c r="A776" s="186" t="s">
        <v>3941</v>
      </c>
      <c r="B776" s="188" t="s">
        <v>188</v>
      </c>
      <c r="C776" s="174" t="e">
        <v>#N/A</v>
      </c>
      <c r="D776" s="174" t="e">
        <v>#N/A</v>
      </c>
      <c r="E776" s="174" t="e">
        <v>#N/A</v>
      </c>
      <c r="F776" s="186" t="s">
        <v>3942</v>
      </c>
      <c r="G776" s="174"/>
      <c r="H776" s="174"/>
      <c r="I776" s="174"/>
      <c r="J776" s="174"/>
      <c r="K776" s="174"/>
      <c r="L776" s="174"/>
      <c r="M776" s="174"/>
      <c r="N776" s="174"/>
    </row>
    <row r="777" spans="1:14">
      <c r="A777" s="199" t="s">
        <v>3946</v>
      </c>
      <c r="B777" s="188" t="s">
        <v>188</v>
      </c>
      <c r="C777" s="174" t="e">
        <v>#N/A</v>
      </c>
      <c r="D777" s="174" t="e">
        <v>#N/A</v>
      </c>
      <c r="E777" s="174" t="e">
        <v>#N/A</v>
      </c>
      <c r="F777" s="186" t="s">
        <v>3947</v>
      </c>
      <c r="G777" s="174"/>
      <c r="H777" s="174"/>
      <c r="I777" s="174"/>
      <c r="J777" s="174"/>
      <c r="K777" s="174"/>
      <c r="L777" s="174"/>
      <c r="M777" s="174"/>
      <c r="N777" s="174"/>
    </row>
    <row r="778" spans="1:14">
      <c r="A778" s="199" t="s">
        <v>3951</v>
      </c>
      <c r="B778" s="188" t="s">
        <v>188</v>
      </c>
      <c r="C778" s="174" t="e">
        <v>#N/A</v>
      </c>
      <c r="D778" s="174" t="e">
        <v>#N/A</v>
      </c>
      <c r="E778" s="174" t="e">
        <v>#N/A</v>
      </c>
      <c r="F778" s="186" t="s">
        <v>3952</v>
      </c>
      <c r="G778" s="174"/>
      <c r="H778" s="174"/>
      <c r="I778" s="174"/>
      <c r="J778" s="174"/>
      <c r="K778" s="174"/>
      <c r="L778" s="174"/>
      <c r="M778" s="174"/>
      <c r="N778" s="174"/>
    </row>
    <row r="779" spans="1:14">
      <c r="A779" s="199" t="s">
        <v>3956</v>
      </c>
      <c r="B779" s="188" t="s">
        <v>188</v>
      </c>
      <c r="C779" s="174" t="e">
        <v>#N/A</v>
      </c>
      <c r="D779" s="174" t="e">
        <v>#N/A</v>
      </c>
      <c r="E779" s="174" t="e">
        <v>#N/A</v>
      </c>
      <c r="F779" s="186" t="s">
        <v>3957</v>
      </c>
      <c r="G779" s="174"/>
      <c r="H779" s="174"/>
      <c r="I779" s="174"/>
      <c r="J779" s="174"/>
      <c r="K779" s="174"/>
      <c r="L779" s="174"/>
      <c r="M779" s="174"/>
      <c r="N779" s="174"/>
    </row>
    <row r="780" spans="1:14">
      <c r="A780" s="199" t="s">
        <v>3961</v>
      </c>
      <c r="B780" s="188" t="s">
        <v>188</v>
      </c>
      <c r="C780" s="174" t="e">
        <v>#N/A</v>
      </c>
      <c r="D780" s="174" t="e">
        <v>#N/A</v>
      </c>
      <c r="E780" s="174" t="e">
        <v>#N/A</v>
      </c>
      <c r="F780" s="186" t="s">
        <v>3962</v>
      </c>
      <c r="G780" s="174"/>
      <c r="H780" s="174"/>
      <c r="I780" s="174"/>
      <c r="J780" s="174"/>
      <c r="K780" s="174"/>
      <c r="L780" s="174"/>
      <c r="M780" s="174"/>
      <c r="N780" s="174"/>
    </row>
    <row r="781" spans="1:14">
      <c r="A781" s="199" t="s">
        <v>3966</v>
      </c>
      <c r="B781" s="188" t="s">
        <v>188</v>
      </c>
      <c r="C781" s="174" t="e">
        <v>#N/A</v>
      </c>
      <c r="D781" s="174" t="e">
        <v>#N/A</v>
      </c>
      <c r="E781" s="174" t="e">
        <v>#N/A</v>
      </c>
      <c r="F781" s="186" t="s">
        <v>3967</v>
      </c>
      <c r="G781" s="174"/>
      <c r="H781" s="174"/>
      <c r="I781" s="174"/>
      <c r="J781" s="174"/>
      <c r="K781" s="174"/>
      <c r="L781" s="174"/>
      <c r="M781" s="174"/>
      <c r="N781" s="174"/>
    </row>
    <row r="782" spans="1:14">
      <c r="A782" s="199" t="s">
        <v>3971</v>
      </c>
      <c r="B782" s="188" t="s">
        <v>188</v>
      </c>
      <c r="C782" s="174" t="e">
        <v>#N/A</v>
      </c>
      <c r="D782" s="174" t="e">
        <v>#N/A</v>
      </c>
      <c r="E782" s="174" t="e">
        <v>#N/A</v>
      </c>
      <c r="F782" s="186" t="s">
        <v>3972</v>
      </c>
      <c r="G782" s="174"/>
      <c r="H782" s="174"/>
      <c r="I782" s="174"/>
      <c r="J782" s="174"/>
      <c r="K782" s="174"/>
      <c r="L782" s="174"/>
      <c r="M782" s="174"/>
      <c r="N782" s="174"/>
    </row>
    <row r="783" spans="1:14">
      <c r="A783" s="199" t="s">
        <v>3977</v>
      </c>
      <c r="B783" s="188" t="s">
        <v>188</v>
      </c>
      <c r="C783" s="174" t="e">
        <v>#N/A</v>
      </c>
      <c r="D783" s="174" t="e">
        <v>#N/A</v>
      </c>
      <c r="E783" s="174" t="e">
        <v>#N/A</v>
      </c>
      <c r="F783" s="186" t="s">
        <v>3978</v>
      </c>
      <c r="G783" s="174"/>
      <c r="H783" s="174"/>
      <c r="I783" s="174"/>
      <c r="J783" s="174"/>
      <c r="K783" s="174"/>
      <c r="L783" s="174"/>
      <c r="M783" s="174"/>
      <c r="N783" s="174"/>
    </row>
    <row r="784" spans="1:14">
      <c r="A784" s="199" t="s">
        <v>3982</v>
      </c>
      <c r="B784" s="188" t="s">
        <v>188</v>
      </c>
      <c r="C784" s="174" t="e">
        <v>#N/A</v>
      </c>
      <c r="D784" s="174" t="e">
        <v>#N/A</v>
      </c>
      <c r="E784" s="174" t="e">
        <v>#N/A</v>
      </c>
      <c r="F784" s="186" t="s">
        <v>3983</v>
      </c>
      <c r="G784" s="174"/>
      <c r="H784" s="174"/>
      <c r="I784" s="174"/>
      <c r="J784" s="174"/>
      <c r="K784" s="174"/>
      <c r="L784" s="174"/>
      <c r="M784" s="174"/>
      <c r="N784" s="174"/>
    </row>
    <row r="785" spans="1:14">
      <c r="A785" s="199" t="s">
        <v>4208</v>
      </c>
      <c r="B785" s="188" t="s">
        <v>188</v>
      </c>
      <c r="C785" s="174" t="e">
        <v>#N/A</v>
      </c>
      <c r="D785" s="174" t="e">
        <v>#N/A</v>
      </c>
      <c r="E785" s="174" t="e">
        <v>#N/A</v>
      </c>
      <c r="F785" s="186" t="s">
        <v>4209</v>
      </c>
      <c r="G785" s="174"/>
      <c r="H785" s="174"/>
      <c r="I785" s="174"/>
      <c r="J785" s="174"/>
      <c r="K785" s="174"/>
      <c r="L785" s="174"/>
      <c r="M785" s="174"/>
      <c r="N785" s="174"/>
    </row>
    <row r="786" spans="1:14">
      <c r="A786" s="199" t="s">
        <v>3987</v>
      </c>
      <c r="B786" s="188" t="s">
        <v>188</v>
      </c>
      <c r="C786" s="174" t="e">
        <v>#N/A</v>
      </c>
      <c r="D786" s="174" t="e">
        <v>#N/A</v>
      </c>
      <c r="E786" s="174" t="e">
        <v>#N/A</v>
      </c>
      <c r="F786" s="186" t="s">
        <v>3988</v>
      </c>
      <c r="G786" s="174"/>
      <c r="H786" s="174"/>
      <c r="I786" s="174"/>
      <c r="J786" s="174"/>
      <c r="K786" s="174"/>
      <c r="L786" s="174"/>
      <c r="M786" s="174"/>
      <c r="N786" s="174"/>
    </row>
    <row r="787" spans="1:14">
      <c r="A787" s="199" t="s">
        <v>3992</v>
      </c>
      <c r="B787" s="188" t="s">
        <v>5</v>
      </c>
      <c r="C787" s="174" t="e">
        <v>#N/A</v>
      </c>
      <c r="D787" s="174" t="e">
        <v>#N/A</v>
      </c>
      <c r="E787" s="174" t="e">
        <v>#N/A</v>
      </c>
      <c r="F787" s="186" t="s">
        <v>3993</v>
      </c>
      <c r="G787" s="174"/>
      <c r="H787" s="174"/>
      <c r="I787" s="174"/>
      <c r="J787" s="174"/>
      <c r="K787" s="174"/>
      <c r="L787" s="174"/>
      <c r="M787" s="174"/>
      <c r="N787" s="174"/>
    </row>
    <row r="788" spans="1:14">
      <c r="A788" s="199" t="s">
        <v>4000</v>
      </c>
      <c r="B788" s="188" t="s">
        <v>5</v>
      </c>
      <c r="C788" s="174" t="e">
        <v>#N/A</v>
      </c>
      <c r="D788" s="174" t="e">
        <v>#N/A</v>
      </c>
      <c r="E788" s="174" t="e">
        <v>#N/A</v>
      </c>
      <c r="F788" s="186" t="s">
        <v>4001</v>
      </c>
      <c r="G788" s="174"/>
      <c r="H788" s="174"/>
      <c r="I788" s="174"/>
      <c r="J788" s="174"/>
      <c r="K788" s="174"/>
      <c r="L788" s="174"/>
      <c r="M788" s="174"/>
      <c r="N788" s="174"/>
    </row>
    <row r="789" spans="1:14">
      <c r="A789" s="199" t="s">
        <v>4008</v>
      </c>
      <c r="B789" s="188" t="s">
        <v>188</v>
      </c>
      <c r="C789" s="174" t="e">
        <v>#N/A</v>
      </c>
      <c r="D789" s="174" t="e">
        <v>#N/A</v>
      </c>
      <c r="E789" s="174" t="e">
        <v>#N/A</v>
      </c>
      <c r="F789" s="186" t="s">
        <v>4009</v>
      </c>
      <c r="G789" s="174"/>
      <c r="H789" s="174"/>
      <c r="I789" s="174"/>
      <c r="J789" s="174"/>
      <c r="K789" s="174"/>
      <c r="L789" s="174"/>
      <c r="M789" s="174"/>
      <c r="N789" s="174"/>
    </row>
    <row r="790" spans="1:14" ht="15.75">
      <c r="A790" s="197" t="s">
        <v>4012</v>
      </c>
      <c r="B790" s="188" t="s">
        <v>5</v>
      </c>
      <c r="C790" s="174" t="e">
        <v>#N/A</v>
      </c>
      <c r="D790" s="174" t="e">
        <v>#N/A</v>
      </c>
      <c r="E790" s="174" t="e">
        <v>#N/A</v>
      </c>
      <c r="F790" s="186" t="s">
        <v>4013</v>
      </c>
      <c r="G790" s="174"/>
      <c r="H790" s="174"/>
      <c r="I790" s="174"/>
      <c r="J790" s="174"/>
      <c r="K790" s="174"/>
      <c r="L790" s="174"/>
      <c r="M790" s="174"/>
      <c r="N790" s="174"/>
    </row>
    <row r="791" spans="1:14">
      <c r="A791" s="199" t="s">
        <v>4020</v>
      </c>
      <c r="B791" s="188" t="s">
        <v>188</v>
      </c>
      <c r="C791" s="174" t="e">
        <v>#N/A</v>
      </c>
      <c r="D791" s="174" t="e">
        <v>#N/A</v>
      </c>
      <c r="E791" s="174" t="e">
        <v>#N/A</v>
      </c>
      <c r="F791" s="186" t="s">
        <v>4021</v>
      </c>
      <c r="G791" s="174"/>
      <c r="H791" s="174"/>
      <c r="I791" s="174"/>
      <c r="J791" s="174"/>
      <c r="K791" s="174"/>
      <c r="L791" s="174"/>
      <c r="M791" s="174"/>
      <c r="N791" s="174"/>
    </row>
    <row r="792" spans="1:14">
      <c r="A792" s="199" t="s">
        <v>4025</v>
      </c>
      <c r="B792" s="188" t="s">
        <v>188</v>
      </c>
      <c r="C792" s="174" t="e">
        <v>#N/A</v>
      </c>
      <c r="D792" s="174" t="e">
        <v>#N/A</v>
      </c>
      <c r="E792" s="174" t="e">
        <v>#N/A</v>
      </c>
      <c r="F792" s="186" t="s">
        <v>4026</v>
      </c>
      <c r="G792" s="174"/>
      <c r="H792" s="174"/>
      <c r="I792" s="174"/>
      <c r="J792" s="174"/>
      <c r="K792" s="174"/>
      <c r="L792" s="174"/>
      <c r="M792" s="174"/>
      <c r="N792" s="174"/>
    </row>
    <row r="793" spans="1:14">
      <c r="A793" s="199" t="s">
        <v>4030</v>
      </c>
      <c r="B793" s="188" t="s">
        <v>188</v>
      </c>
      <c r="C793" s="174" t="e">
        <v>#N/A</v>
      </c>
      <c r="D793" s="174" t="e">
        <v>#N/A</v>
      </c>
      <c r="E793" s="174" t="e">
        <v>#N/A</v>
      </c>
      <c r="F793" s="186" t="s">
        <v>4031</v>
      </c>
      <c r="G793" s="174"/>
      <c r="H793" s="174"/>
      <c r="I793" s="174"/>
      <c r="J793" s="174"/>
      <c r="K793" s="174"/>
      <c r="L793" s="174"/>
      <c r="M793" s="174"/>
      <c r="N793" s="174"/>
    </row>
    <row r="794" spans="1:14">
      <c r="A794" s="199" t="s">
        <v>4035</v>
      </c>
      <c r="B794" s="210" t="s">
        <v>188</v>
      </c>
      <c r="C794" s="174" t="e">
        <v>#N/A</v>
      </c>
      <c r="D794" s="174" t="e">
        <v>#N/A</v>
      </c>
      <c r="E794" s="174" t="e">
        <v>#N/A</v>
      </c>
      <c r="F794" s="186" t="s">
        <v>4036</v>
      </c>
      <c r="G794" s="174"/>
      <c r="H794" s="174"/>
      <c r="I794" s="174"/>
      <c r="J794" s="174"/>
      <c r="K794" s="174"/>
      <c r="L794" s="174"/>
      <c r="M794" s="174"/>
      <c r="N794" s="174"/>
    </row>
    <row r="795" spans="1:14">
      <c r="A795" s="188" t="s">
        <v>4042</v>
      </c>
      <c r="B795" s="211" t="s">
        <v>5</v>
      </c>
      <c r="C795" s="174" t="e">
        <v>#N/A</v>
      </c>
      <c r="D795" s="174" t="e">
        <v>#N/A</v>
      </c>
      <c r="E795" s="174" t="e">
        <v>#N/A</v>
      </c>
      <c r="F795" s="186" t="s">
        <v>4043</v>
      </c>
      <c r="G795" s="174"/>
      <c r="H795" s="174"/>
      <c r="I795" s="174"/>
      <c r="J795" s="174"/>
      <c r="K795" s="174"/>
      <c r="L795" s="174"/>
      <c r="M795" s="174"/>
      <c r="N795" s="174"/>
    </row>
    <row r="796" spans="1:14" ht="15.75">
      <c r="A796" s="215" t="s">
        <v>4049</v>
      </c>
      <c r="B796" s="188" t="s">
        <v>5</v>
      </c>
      <c r="C796" s="174" t="e">
        <v>#N/A</v>
      </c>
      <c r="D796" s="174" t="e">
        <v>#N/A</v>
      </c>
      <c r="E796" s="174" t="e">
        <v>#N/A</v>
      </c>
      <c r="F796" s="186" t="s">
        <v>4050</v>
      </c>
      <c r="G796" s="174"/>
      <c r="H796" s="174"/>
      <c r="I796" s="174"/>
      <c r="J796" s="174"/>
      <c r="K796" s="174"/>
      <c r="L796" s="174"/>
      <c r="M796" s="174"/>
      <c r="N796" s="174"/>
    </row>
    <row r="797" spans="1:14" ht="15.75">
      <c r="A797" s="215" t="s">
        <v>4055</v>
      </c>
      <c r="B797" s="188" t="s">
        <v>27</v>
      </c>
      <c r="C797" s="174" t="e">
        <v>#N/A</v>
      </c>
      <c r="D797" s="174" t="e">
        <v>#N/A</v>
      </c>
      <c r="E797" s="174" t="e">
        <v>#N/A</v>
      </c>
      <c r="F797" s="186" t="s">
        <v>4056</v>
      </c>
      <c r="G797" s="174"/>
      <c r="H797" s="174"/>
      <c r="I797" s="174"/>
      <c r="J797" s="174"/>
      <c r="K797" s="174"/>
      <c r="L797" s="174"/>
      <c r="M797" s="174"/>
      <c r="N797" s="174"/>
    </row>
    <row r="798" spans="1:14">
      <c r="A798" s="188" t="s">
        <v>5395</v>
      </c>
      <c r="B798" s="188" t="s">
        <v>188</v>
      </c>
      <c r="C798" s="174" t="e">
        <v>#N/A</v>
      </c>
      <c r="D798" s="174" t="e">
        <v>#N/A</v>
      </c>
      <c r="E798" s="174" t="e">
        <v>#N/A</v>
      </c>
      <c r="F798" s="186" t="s">
        <v>3847</v>
      </c>
      <c r="G798" s="174"/>
      <c r="H798" s="174"/>
      <c r="I798" s="174"/>
      <c r="J798" s="174"/>
      <c r="K798" s="174"/>
      <c r="L798" s="174"/>
      <c r="M798" s="174"/>
      <c r="N798" s="174"/>
    </row>
    <row r="799" spans="1:14">
      <c r="A799" s="188" t="s">
        <v>5386</v>
      </c>
      <c r="B799" s="188" t="s">
        <v>188</v>
      </c>
      <c r="C799" s="174" t="s">
        <v>4833</v>
      </c>
      <c r="D799" s="174" t="s">
        <v>39</v>
      </c>
      <c r="E799" s="174">
        <v>0</v>
      </c>
      <c r="F799" s="186" t="s">
        <v>3851</v>
      </c>
      <c r="G799" s="174"/>
      <c r="H799" s="174"/>
      <c r="I799" s="174"/>
      <c r="J799" s="174"/>
      <c r="K799" s="174"/>
      <c r="L799" s="174"/>
      <c r="M799" s="174"/>
      <c r="N799" s="174"/>
    </row>
    <row r="800" spans="1:14">
      <c r="A800" s="188" t="s">
        <v>5387</v>
      </c>
      <c r="B800" s="188" t="s">
        <v>188</v>
      </c>
      <c r="C800" s="174" t="s">
        <v>4833</v>
      </c>
      <c r="D800" s="174" t="s">
        <v>39</v>
      </c>
      <c r="E800" s="174">
        <v>0</v>
      </c>
      <c r="F800" s="186" t="s">
        <v>3855</v>
      </c>
      <c r="G800" s="174"/>
      <c r="H800" s="174"/>
      <c r="I800" s="174"/>
      <c r="J800" s="174"/>
      <c r="K800" s="174"/>
      <c r="L800" s="174"/>
      <c r="M800" s="174"/>
      <c r="N800" s="174"/>
    </row>
    <row r="801" spans="1:14">
      <c r="A801" s="188" t="s">
        <v>5388</v>
      </c>
      <c r="B801" s="188" t="s">
        <v>188</v>
      </c>
      <c r="C801" s="174" t="s">
        <v>4833</v>
      </c>
      <c r="D801" s="174" t="s">
        <v>39</v>
      </c>
      <c r="E801" s="174">
        <v>0</v>
      </c>
      <c r="F801" s="186" t="s">
        <v>3859</v>
      </c>
      <c r="G801" s="174"/>
      <c r="H801" s="174"/>
      <c r="I801" s="174"/>
      <c r="J801" s="174"/>
      <c r="K801" s="174"/>
      <c r="L801" s="174"/>
      <c r="M801" s="174"/>
      <c r="N801" s="174"/>
    </row>
    <row r="802" spans="1:14">
      <c r="A802" s="188" t="s">
        <v>5396</v>
      </c>
      <c r="B802" s="188" t="s">
        <v>188</v>
      </c>
      <c r="C802" s="174" t="e">
        <v>#N/A</v>
      </c>
      <c r="D802" s="174" t="e">
        <v>#N/A</v>
      </c>
      <c r="E802" s="174" t="e">
        <v>#N/A</v>
      </c>
      <c r="F802" s="186" t="s">
        <v>3863</v>
      </c>
      <c r="G802" s="174"/>
      <c r="H802" s="174"/>
      <c r="I802" s="174"/>
      <c r="J802" s="174"/>
      <c r="K802" s="174"/>
      <c r="L802" s="174"/>
      <c r="M802" s="174"/>
      <c r="N802" s="174"/>
    </row>
    <row r="803" spans="1:14">
      <c r="A803" s="188" t="s">
        <v>5389</v>
      </c>
      <c r="B803" s="188" t="s">
        <v>188</v>
      </c>
      <c r="C803" s="174" t="s">
        <v>4833</v>
      </c>
      <c r="D803" s="174" t="s">
        <v>39</v>
      </c>
      <c r="E803" s="174">
        <v>0</v>
      </c>
      <c r="F803" s="186" t="s">
        <v>3867</v>
      </c>
      <c r="G803" s="174"/>
      <c r="H803" s="174"/>
      <c r="I803" s="174"/>
      <c r="J803" s="174"/>
      <c r="K803" s="174"/>
      <c r="L803" s="174"/>
      <c r="M803" s="174"/>
      <c r="N803" s="174"/>
    </row>
    <row r="804" spans="1:14">
      <c r="A804" s="188" t="s">
        <v>5391</v>
      </c>
      <c r="B804" s="188" t="s">
        <v>188</v>
      </c>
      <c r="C804" s="174" t="s">
        <v>4833</v>
      </c>
      <c r="D804" s="174" t="s">
        <v>39</v>
      </c>
      <c r="E804" s="174">
        <v>0</v>
      </c>
      <c r="F804" s="186" t="s">
        <v>3877</v>
      </c>
      <c r="G804" s="174"/>
      <c r="H804" s="174"/>
      <c r="I804" s="174"/>
      <c r="J804" s="174"/>
      <c r="K804" s="174"/>
      <c r="L804" s="174"/>
      <c r="M804" s="174"/>
      <c r="N804" s="174"/>
    </row>
    <row r="805" spans="1:14">
      <c r="A805" s="188" t="s">
        <v>4061</v>
      </c>
      <c r="B805" s="188" t="s">
        <v>188</v>
      </c>
      <c r="C805" s="174" t="s">
        <v>4833</v>
      </c>
      <c r="D805" s="174" t="s">
        <v>39</v>
      </c>
      <c r="E805" s="174">
        <v>0</v>
      </c>
      <c r="F805" s="186" t="s">
        <v>4062</v>
      </c>
      <c r="G805" s="174"/>
      <c r="H805" s="174"/>
      <c r="I805" s="174"/>
      <c r="J805" s="174"/>
      <c r="K805" s="174"/>
      <c r="L805" s="174"/>
      <c r="M805" s="174"/>
      <c r="N805" s="174"/>
    </row>
    <row r="806" spans="1:14">
      <c r="A806" s="188" t="s">
        <v>4064</v>
      </c>
      <c r="B806" s="188" t="s">
        <v>188</v>
      </c>
      <c r="C806" s="174" t="s">
        <v>4833</v>
      </c>
      <c r="D806" s="174" t="s">
        <v>39</v>
      </c>
      <c r="E806" s="174">
        <v>0</v>
      </c>
      <c r="F806" s="186" t="s">
        <v>4065</v>
      </c>
      <c r="G806" s="174"/>
      <c r="H806" s="174"/>
      <c r="I806" s="174"/>
      <c r="J806" s="174"/>
      <c r="K806" s="174"/>
      <c r="L806" s="174"/>
      <c r="M806" s="174"/>
      <c r="N806" s="174"/>
    </row>
    <row r="807" spans="1:14">
      <c r="A807" s="188" t="s">
        <v>601</v>
      </c>
      <c r="B807" s="188" t="s">
        <v>188</v>
      </c>
      <c r="C807" s="174" t="e">
        <v>#N/A</v>
      </c>
      <c r="D807" s="174" t="e">
        <v>#N/A</v>
      </c>
      <c r="E807" s="174" t="e">
        <v>#N/A</v>
      </c>
      <c r="F807" s="186" t="s">
        <v>4437</v>
      </c>
      <c r="G807" s="174"/>
      <c r="H807" s="174"/>
      <c r="I807" s="174"/>
      <c r="J807" s="174"/>
      <c r="K807" s="174"/>
      <c r="L807" s="174"/>
      <c r="M807" s="174"/>
      <c r="N807" s="174"/>
    </row>
    <row r="808" spans="1:14">
      <c r="A808" s="188" t="s">
        <v>4067</v>
      </c>
      <c r="B808" s="188" t="s">
        <v>3</v>
      </c>
      <c r="C808" s="174" t="s">
        <v>3894</v>
      </c>
      <c r="D808" s="174" t="s">
        <v>3</v>
      </c>
      <c r="E808" s="174" t="s">
        <v>123</v>
      </c>
      <c r="F808" s="186" t="s">
        <v>4068</v>
      </c>
      <c r="G808" s="174"/>
      <c r="H808" s="174"/>
      <c r="I808" s="174"/>
      <c r="J808" s="174"/>
      <c r="K808" s="174"/>
      <c r="L808" s="174"/>
      <c r="M808" s="174"/>
      <c r="N808" s="174"/>
    </row>
    <row r="809" spans="1:14">
      <c r="A809" s="188" t="s">
        <v>5390</v>
      </c>
      <c r="B809" s="188" t="s">
        <v>3</v>
      </c>
      <c r="C809" s="174" t="s">
        <v>3894</v>
      </c>
      <c r="D809" s="174" t="s">
        <v>3</v>
      </c>
      <c r="E809" s="174" t="s">
        <v>1038</v>
      </c>
      <c r="F809" s="186" t="s">
        <v>3871</v>
      </c>
      <c r="G809" s="174"/>
      <c r="H809" s="174"/>
      <c r="I809" s="174"/>
      <c r="J809" s="174"/>
      <c r="K809" s="174"/>
      <c r="L809" s="174"/>
      <c r="M809" s="174"/>
      <c r="N809" s="174"/>
    </row>
    <row r="810" spans="1:14">
      <c r="A810" s="188" t="s">
        <v>4072</v>
      </c>
      <c r="B810" s="188" t="s">
        <v>188</v>
      </c>
      <c r="C810" s="174" t="s">
        <v>4833</v>
      </c>
      <c r="D810" s="174" t="s">
        <v>39</v>
      </c>
      <c r="E810" s="174">
        <v>0</v>
      </c>
      <c r="F810" s="186" t="s">
        <v>4073</v>
      </c>
      <c r="G810" s="174"/>
      <c r="H810" s="174"/>
      <c r="I810" s="174"/>
      <c r="J810" s="174"/>
      <c r="K810" s="174"/>
      <c r="L810" s="174"/>
      <c r="M810" s="174"/>
      <c r="N810" s="174"/>
    </row>
    <row r="811" spans="1:14">
      <c r="A811" s="188" t="s">
        <v>4691</v>
      </c>
      <c r="B811" s="188" t="s">
        <v>188</v>
      </c>
      <c r="C811" s="174" t="s">
        <v>4833</v>
      </c>
      <c r="D811" s="174" t="s">
        <v>39</v>
      </c>
      <c r="E811" s="174">
        <v>0</v>
      </c>
      <c r="F811" s="186" t="s">
        <v>4692</v>
      </c>
      <c r="G811" s="174"/>
      <c r="H811" s="174"/>
      <c r="I811" s="174"/>
      <c r="J811" s="174"/>
      <c r="K811" s="174"/>
      <c r="L811" s="174"/>
      <c r="M811" s="174"/>
      <c r="N811" s="174"/>
    </row>
    <row r="812" spans="1:14">
      <c r="A812" s="188" t="s">
        <v>4080</v>
      </c>
      <c r="B812" s="188" t="s">
        <v>188</v>
      </c>
      <c r="C812" s="174" t="s">
        <v>4833</v>
      </c>
      <c r="D812" s="174" t="s">
        <v>39</v>
      </c>
      <c r="E812" s="174">
        <v>0</v>
      </c>
      <c r="F812" s="186" t="s">
        <v>4081</v>
      </c>
      <c r="G812" s="174"/>
      <c r="H812" s="174"/>
      <c r="I812" s="174"/>
      <c r="J812" s="174"/>
      <c r="K812" s="174"/>
      <c r="L812" s="174"/>
      <c r="M812" s="174"/>
      <c r="N812" s="174"/>
    </row>
    <row r="813" spans="1:14">
      <c r="A813" s="188" t="s">
        <v>4085</v>
      </c>
      <c r="B813" s="188" t="s">
        <v>188</v>
      </c>
      <c r="C813" s="174" t="s">
        <v>4833</v>
      </c>
      <c r="D813" s="174" t="s">
        <v>39</v>
      </c>
      <c r="E813" s="174">
        <v>0</v>
      </c>
      <c r="F813" s="186" t="s">
        <v>4086</v>
      </c>
      <c r="G813" s="174"/>
      <c r="H813" s="174"/>
      <c r="I813" s="174"/>
      <c r="J813" s="174"/>
      <c r="K813" s="174"/>
      <c r="L813" s="174"/>
      <c r="M813" s="174"/>
      <c r="N813" s="174"/>
    </row>
    <row r="814" spans="1:14">
      <c r="A814" s="188" t="s">
        <v>4088</v>
      </c>
      <c r="B814" s="188" t="s">
        <v>188</v>
      </c>
      <c r="C814" s="174" t="s">
        <v>4833</v>
      </c>
      <c r="D814" s="174" t="s">
        <v>39</v>
      </c>
      <c r="E814" s="174">
        <v>0</v>
      </c>
      <c r="F814" s="186" t="s">
        <v>4089</v>
      </c>
      <c r="G814" s="174"/>
      <c r="H814" s="174"/>
      <c r="I814" s="174"/>
      <c r="J814" s="174"/>
      <c r="K814" s="174"/>
      <c r="L814" s="174"/>
      <c r="M814" s="174"/>
      <c r="N814" s="174"/>
    </row>
    <row r="815" spans="1:14">
      <c r="A815" s="188" t="s">
        <v>4091</v>
      </c>
      <c r="B815" s="188" t="s">
        <v>188</v>
      </c>
      <c r="C815" s="174" t="s">
        <v>4833</v>
      </c>
      <c r="D815" s="174" t="s">
        <v>39</v>
      </c>
      <c r="E815" s="174">
        <v>0</v>
      </c>
      <c r="F815" s="186" t="s">
        <v>4092</v>
      </c>
      <c r="G815" s="174"/>
      <c r="H815" s="174"/>
      <c r="I815" s="174"/>
      <c r="J815" s="174"/>
      <c r="K815" s="174"/>
      <c r="L815" s="174"/>
      <c r="M815" s="174"/>
      <c r="N815" s="174"/>
    </row>
    <row r="816" spans="1:14">
      <c r="A816" s="188" t="s">
        <v>4094</v>
      </c>
      <c r="B816" s="188" t="s">
        <v>188</v>
      </c>
      <c r="C816" s="174" t="s">
        <v>4833</v>
      </c>
      <c r="D816" s="174" t="s">
        <v>39</v>
      </c>
      <c r="E816" s="174">
        <v>0</v>
      </c>
      <c r="F816" s="186" t="s">
        <v>4095</v>
      </c>
      <c r="G816" s="174"/>
      <c r="H816" s="174"/>
      <c r="I816" s="174"/>
      <c r="J816" s="174"/>
      <c r="K816" s="174"/>
      <c r="L816" s="174"/>
      <c r="M816" s="174"/>
      <c r="N816" s="174"/>
    </row>
    <row r="817" spans="1:14">
      <c r="A817" s="188" t="s">
        <v>4097</v>
      </c>
      <c r="B817" s="188" t="s">
        <v>188</v>
      </c>
      <c r="C817" s="174" t="s">
        <v>4833</v>
      </c>
      <c r="D817" s="174" t="s">
        <v>39</v>
      </c>
      <c r="E817" s="174">
        <v>0</v>
      </c>
      <c r="F817" s="186" t="s">
        <v>4098</v>
      </c>
      <c r="G817" s="174"/>
      <c r="H817" s="174"/>
      <c r="I817" s="174"/>
      <c r="J817" s="174"/>
      <c r="K817" s="174"/>
      <c r="L817" s="174"/>
      <c r="M817" s="174"/>
      <c r="N817" s="174"/>
    </row>
    <row r="818" spans="1:14">
      <c r="A818" s="188" t="s">
        <v>4100</v>
      </c>
      <c r="B818" s="188" t="s">
        <v>188</v>
      </c>
      <c r="C818" s="174" t="s">
        <v>4833</v>
      </c>
      <c r="D818" s="174" t="s">
        <v>39</v>
      </c>
      <c r="E818" s="174">
        <v>0</v>
      </c>
      <c r="F818" s="186" t="s">
        <v>4101</v>
      </c>
      <c r="G818" s="174"/>
      <c r="H818" s="174"/>
      <c r="I818" s="174"/>
      <c r="J818" s="174"/>
      <c r="K818" s="174"/>
      <c r="L818" s="174"/>
      <c r="M818" s="174"/>
      <c r="N818" s="174"/>
    </row>
    <row r="819" spans="1:14">
      <c r="A819" s="188" t="s">
        <v>4103</v>
      </c>
      <c r="B819" s="188" t="s">
        <v>188</v>
      </c>
      <c r="C819" s="174" t="s">
        <v>4833</v>
      </c>
      <c r="D819" s="174" t="s">
        <v>39</v>
      </c>
      <c r="E819" s="174">
        <v>0</v>
      </c>
      <c r="F819" s="186" t="s">
        <v>4104</v>
      </c>
      <c r="G819" s="174"/>
      <c r="H819" s="174"/>
      <c r="I819" s="174"/>
      <c r="J819" s="174"/>
      <c r="K819" s="174"/>
      <c r="L819" s="174"/>
      <c r="M819" s="174"/>
      <c r="N819" s="174"/>
    </row>
    <row r="820" spans="1:14">
      <c r="A820" s="188" t="s">
        <v>4106</v>
      </c>
      <c r="B820" s="188" t="s">
        <v>188</v>
      </c>
      <c r="C820" s="174" t="s">
        <v>4833</v>
      </c>
      <c r="D820" s="174" t="s">
        <v>39</v>
      </c>
      <c r="E820" s="174">
        <v>0</v>
      </c>
      <c r="F820" s="186" t="s">
        <v>4107</v>
      </c>
      <c r="G820" s="174"/>
      <c r="H820" s="174"/>
      <c r="I820" s="174"/>
      <c r="J820" s="174"/>
      <c r="K820" s="174"/>
      <c r="L820" s="174"/>
      <c r="M820" s="174"/>
      <c r="N820" s="174"/>
    </row>
    <row r="821" spans="1:14">
      <c r="A821" s="188" t="s">
        <v>4109</v>
      </c>
      <c r="B821" s="188" t="s">
        <v>188</v>
      </c>
      <c r="C821" s="174" t="s">
        <v>4833</v>
      </c>
      <c r="D821" s="174" t="s">
        <v>39</v>
      </c>
      <c r="E821" s="174">
        <v>0</v>
      </c>
      <c r="F821" s="186" t="s">
        <v>4110</v>
      </c>
      <c r="G821" s="174"/>
      <c r="H821" s="174"/>
      <c r="I821" s="174"/>
      <c r="J821" s="174"/>
      <c r="K821" s="174"/>
      <c r="L821" s="174"/>
      <c r="M821" s="174"/>
      <c r="N821" s="174"/>
    </row>
    <row r="822" spans="1:14">
      <c r="A822" s="188" t="s">
        <v>4112</v>
      </c>
      <c r="B822" s="188" t="s">
        <v>188</v>
      </c>
      <c r="C822" s="174" t="s">
        <v>4833</v>
      </c>
      <c r="D822" s="174" t="s">
        <v>39</v>
      </c>
      <c r="E822" s="174">
        <v>0</v>
      </c>
      <c r="F822" s="186" t="s">
        <v>4113</v>
      </c>
      <c r="G822" s="174"/>
      <c r="H822" s="174"/>
      <c r="I822" s="174"/>
      <c r="J822" s="174"/>
      <c r="K822" s="174"/>
      <c r="L822" s="174"/>
      <c r="M822" s="174"/>
      <c r="N822" s="174"/>
    </row>
    <row r="823" spans="1:14">
      <c r="A823" s="188" t="s">
        <v>4115</v>
      </c>
      <c r="B823" s="188" t="s">
        <v>188</v>
      </c>
      <c r="C823" s="174" t="s">
        <v>4833</v>
      </c>
      <c r="D823" s="174" t="s">
        <v>39</v>
      </c>
      <c r="E823" s="174">
        <v>0</v>
      </c>
      <c r="F823" s="186" t="s">
        <v>4116</v>
      </c>
      <c r="G823" s="174"/>
      <c r="H823" s="174"/>
      <c r="I823" s="174"/>
      <c r="J823" s="174"/>
      <c r="K823" s="174"/>
      <c r="L823" s="174"/>
      <c r="M823" s="174"/>
      <c r="N823" s="174"/>
    </row>
    <row r="824" spans="1:14">
      <c r="A824" s="188" t="s">
        <v>4118</v>
      </c>
      <c r="B824" s="188" t="s">
        <v>188</v>
      </c>
      <c r="C824" s="174" t="s">
        <v>4833</v>
      </c>
      <c r="D824" s="174" t="s">
        <v>39</v>
      </c>
      <c r="E824" s="174">
        <v>0</v>
      </c>
      <c r="F824" s="186" t="s">
        <v>4119</v>
      </c>
      <c r="G824" s="174"/>
      <c r="H824" s="174"/>
      <c r="I824" s="174"/>
      <c r="J824" s="174"/>
      <c r="K824" s="174"/>
      <c r="L824" s="174"/>
      <c r="M824" s="174"/>
      <c r="N824" s="174"/>
    </row>
    <row r="825" spans="1:14">
      <c r="A825" s="188" t="s">
        <v>4121</v>
      </c>
      <c r="B825" s="188" t="s">
        <v>188</v>
      </c>
      <c r="C825" s="174" t="s">
        <v>4833</v>
      </c>
      <c r="D825" s="174" t="s">
        <v>39</v>
      </c>
      <c r="E825" s="174">
        <v>0</v>
      </c>
      <c r="F825" s="186" t="s">
        <v>4122</v>
      </c>
      <c r="G825" s="174"/>
      <c r="H825" s="174"/>
      <c r="I825" s="174"/>
      <c r="J825" s="174"/>
      <c r="K825" s="174"/>
      <c r="L825" s="174"/>
      <c r="M825" s="174"/>
      <c r="N825" s="174"/>
    </row>
    <row r="826" spans="1:14">
      <c r="A826" s="188" t="s">
        <v>4124</v>
      </c>
      <c r="B826" s="188" t="s">
        <v>188</v>
      </c>
      <c r="C826" s="174" t="s">
        <v>4833</v>
      </c>
      <c r="D826" s="174" t="s">
        <v>39</v>
      </c>
      <c r="E826" s="174">
        <v>0</v>
      </c>
      <c r="F826" s="186" t="s">
        <v>4125</v>
      </c>
      <c r="G826" s="174"/>
      <c r="H826" s="174"/>
      <c r="I826" s="174"/>
      <c r="J826" s="174"/>
      <c r="K826" s="174"/>
      <c r="L826" s="174"/>
      <c r="M826" s="174"/>
      <c r="N826" s="174"/>
    </row>
    <row r="827" spans="1:14">
      <c r="A827" s="188" t="s">
        <v>4127</v>
      </c>
      <c r="B827" s="188" t="s">
        <v>188</v>
      </c>
      <c r="C827" s="174" t="s">
        <v>4833</v>
      </c>
      <c r="D827" s="174" t="s">
        <v>39</v>
      </c>
      <c r="E827" s="174">
        <v>0</v>
      </c>
      <c r="F827" s="186" t="s">
        <v>4128</v>
      </c>
      <c r="G827" s="174"/>
      <c r="H827" s="174"/>
      <c r="I827" s="174"/>
      <c r="J827" s="174"/>
      <c r="K827" s="174"/>
      <c r="L827" s="174"/>
      <c r="M827" s="174"/>
      <c r="N827" s="174"/>
    </row>
    <row r="828" spans="1:14">
      <c r="A828" s="188" t="s">
        <v>4130</v>
      </c>
      <c r="B828" s="188" t="s">
        <v>188</v>
      </c>
      <c r="C828" s="174" t="s">
        <v>4833</v>
      </c>
      <c r="D828" s="174" t="s">
        <v>39</v>
      </c>
      <c r="E828" s="174">
        <v>0</v>
      </c>
      <c r="F828" s="186" t="s">
        <v>4131</v>
      </c>
      <c r="G828" s="174"/>
      <c r="H828" s="174"/>
      <c r="I828" s="174"/>
      <c r="J828" s="174"/>
      <c r="K828" s="174"/>
      <c r="L828" s="174"/>
      <c r="M828" s="174"/>
      <c r="N828" s="174"/>
    </row>
    <row r="829" spans="1:14">
      <c r="A829" s="188" t="s">
        <v>4133</v>
      </c>
      <c r="B829" s="188" t="s">
        <v>188</v>
      </c>
      <c r="C829" s="174" t="s">
        <v>4833</v>
      </c>
      <c r="D829" s="174" t="s">
        <v>39</v>
      </c>
      <c r="E829" s="174">
        <v>0</v>
      </c>
      <c r="F829" s="186" t="s">
        <v>4134</v>
      </c>
      <c r="G829" s="174"/>
      <c r="H829" s="174"/>
      <c r="I829" s="174"/>
      <c r="J829" s="174"/>
      <c r="K829" s="174"/>
      <c r="L829" s="174"/>
      <c r="M829" s="174"/>
      <c r="N829" s="174"/>
    </row>
    <row r="830" spans="1:14">
      <c r="A830" s="188" t="s">
        <v>4136</v>
      </c>
      <c r="B830" s="188" t="s">
        <v>188</v>
      </c>
      <c r="C830" s="174" t="s">
        <v>4833</v>
      </c>
      <c r="D830" s="174" t="s">
        <v>39</v>
      </c>
      <c r="E830" s="174">
        <v>0</v>
      </c>
      <c r="F830" s="186" t="s">
        <v>4137</v>
      </c>
      <c r="G830" s="174"/>
      <c r="H830" s="174"/>
      <c r="I830" s="174"/>
      <c r="J830" s="174"/>
      <c r="K830" s="174"/>
      <c r="L830" s="174"/>
      <c r="M830" s="174"/>
      <c r="N830" s="174"/>
    </row>
    <row r="831" spans="1:14">
      <c r="A831" s="188" t="s">
        <v>4141</v>
      </c>
      <c r="B831" s="188" t="s">
        <v>188</v>
      </c>
      <c r="C831" s="174" t="s">
        <v>4833</v>
      </c>
      <c r="D831" s="174" t="s">
        <v>39</v>
      </c>
      <c r="E831" s="174">
        <v>0</v>
      </c>
      <c r="F831" s="186" t="s">
        <v>4142</v>
      </c>
      <c r="G831" s="174"/>
      <c r="H831" s="174"/>
      <c r="I831" s="174"/>
      <c r="J831" s="174"/>
      <c r="K831" s="174"/>
      <c r="L831" s="174"/>
      <c r="M831" s="174"/>
      <c r="N831" s="174"/>
    </row>
    <row r="832" spans="1:14">
      <c r="A832" s="188" t="s">
        <v>4146</v>
      </c>
      <c r="B832" s="188" t="s">
        <v>188</v>
      </c>
      <c r="C832" s="174" t="s">
        <v>4833</v>
      </c>
      <c r="D832" s="174" t="s">
        <v>39</v>
      </c>
      <c r="E832" s="174">
        <v>0</v>
      </c>
      <c r="F832" s="186" t="s">
        <v>4147</v>
      </c>
      <c r="G832" s="174"/>
      <c r="H832" s="174"/>
      <c r="I832" s="174"/>
      <c r="J832" s="174"/>
      <c r="K832" s="174"/>
      <c r="L832" s="174"/>
      <c r="M832" s="174"/>
      <c r="N832" s="174"/>
    </row>
    <row r="833" spans="1:14">
      <c r="A833" s="188" t="s">
        <v>4151</v>
      </c>
      <c r="B833" s="188" t="s">
        <v>188</v>
      </c>
      <c r="C833" s="174" t="s">
        <v>4833</v>
      </c>
      <c r="D833" s="174" t="s">
        <v>39</v>
      </c>
      <c r="E833" s="174">
        <v>0</v>
      </c>
      <c r="F833" s="186" t="s">
        <v>4152</v>
      </c>
      <c r="G833" s="174"/>
      <c r="H833" s="174"/>
      <c r="I833" s="174"/>
      <c r="J833" s="174"/>
      <c r="K833" s="174"/>
      <c r="L833" s="174"/>
      <c r="M833" s="174"/>
      <c r="N833" s="174"/>
    </row>
    <row r="834" spans="1:14">
      <c r="A834" s="188" t="s">
        <v>4156</v>
      </c>
      <c r="B834" s="188" t="s">
        <v>188</v>
      </c>
      <c r="C834" s="174" t="s">
        <v>4833</v>
      </c>
      <c r="D834" s="174" t="s">
        <v>39</v>
      </c>
      <c r="E834" s="174">
        <v>0</v>
      </c>
      <c r="F834" s="186" t="s">
        <v>4157</v>
      </c>
      <c r="G834" s="174"/>
      <c r="H834" s="174"/>
      <c r="I834" s="174"/>
      <c r="J834" s="174"/>
      <c r="K834" s="174"/>
      <c r="L834" s="174"/>
      <c r="M834" s="174"/>
      <c r="N834" s="174"/>
    </row>
    <row r="835" spans="1:14">
      <c r="A835" s="188" t="s">
        <v>4160</v>
      </c>
      <c r="B835" s="188" t="s">
        <v>188</v>
      </c>
      <c r="C835" s="174" t="s">
        <v>4833</v>
      </c>
      <c r="D835" s="174" t="s">
        <v>39</v>
      </c>
      <c r="E835" s="174">
        <v>0</v>
      </c>
      <c r="F835" s="186" t="s">
        <v>4161</v>
      </c>
      <c r="G835" s="174"/>
      <c r="H835" s="174"/>
      <c r="I835" s="174"/>
      <c r="J835" s="174"/>
      <c r="K835" s="174"/>
      <c r="L835" s="174"/>
      <c r="M835" s="174"/>
      <c r="N835" s="174"/>
    </row>
    <row r="836" spans="1:14">
      <c r="A836" s="188" t="s">
        <v>4164</v>
      </c>
      <c r="B836" s="188" t="s">
        <v>188</v>
      </c>
      <c r="C836" s="174" t="s">
        <v>4833</v>
      </c>
      <c r="D836" s="174" t="s">
        <v>39</v>
      </c>
      <c r="E836" s="174">
        <v>0</v>
      </c>
      <c r="F836" s="186" t="s">
        <v>4165</v>
      </c>
      <c r="G836" s="174"/>
      <c r="H836" s="174"/>
      <c r="I836" s="174"/>
      <c r="J836" s="174"/>
      <c r="K836" s="174"/>
      <c r="L836" s="174"/>
      <c r="M836" s="174"/>
      <c r="N836" s="174"/>
    </row>
    <row r="837" spans="1:14">
      <c r="A837" s="188" t="s">
        <v>4169</v>
      </c>
      <c r="B837" s="188" t="s">
        <v>188</v>
      </c>
      <c r="C837" s="174" t="s">
        <v>4833</v>
      </c>
      <c r="D837" s="174" t="s">
        <v>39</v>
      </c>
      <c r="E837" s="174">
        <v>0</v>
      </c>
      <c r="F837" s="186" t="s">
        <v>4170</v>
      </c>
      <c r="G837" s="174"/>
      <c r="H837" s="174"/>
      <c r="I837" s="174"/>
      <c r="J837" s="174"/>
      <c r="K837" s="174"/>
      <c r="L837" s="174"/>
      <c r="M837" s="174"/>
      <c r="N837" s="174"/>
    </row>
    <row r="838" spans="1:14">
      <c r="A838" s="188" t="s">
        <v>4694</v>
      </c>
      <c r="B838" s="188" t="s">
        <v>188</v>
      </c>
      <c r="C838" s="174" t="s">
        <v>4833</v>
      </c>
      <c r="D838" s="174" t="s">
        <v>39</v>
      </c>
      <c r="E838" s="174">
        <v>0</v>
      </c>
      <c r="F838" s="186" t="s">
        <v>4695</v>
      </c>
      <c r="G838" s="174"/>
      <c r="H838" s="174"/>
      <c r="I838" s="174"/>
      <c r="J838" s="174"/>
      <c r="K838" s="174"/>
      <c r="L838" s="174"/>
      <c r="M838" s="174"/>
      <c r="N838" s="174"/>
    </row>
    <row r="839" spans="1:14">
      <c r="A839" s="188" t="s">
        <v>4174</v>
      </c>
      <c r="B839" s="188" t="s">
        <v>188</v>
      </c>
      <c r="C839" s="174" t="s">
        <v>4833</v>
      </c>
      <c r="D839" s="174" t="s">
        <v>39</v>
      </c>
      <c r="E839" s="174">
        <v>0</v>
      </c>
      <c r="F839" s="186" t="s">
        <v>4175</v>
      </c>
      <c r="G839" s="174"/>
      <c r="H839" s="174"/>
      <c r="I839" s="174"/>
      <c r="J839" s="174"/>
      <c r="K839" s="174"/>
      <c r="L839" s="174"/>
      <c r="M839" s="174"/>
      <c r="N839" s="174"/>
    </row>
    <row r="840" spans="1:14">
      <c r="A840" s="188" t="s">
        <v>4697</v>
      </c>
      <c r="B840" s="188" t="s">
        <v>188</v>
      </c>
      <c r="C840" s="174" t="s">
        <v>4833</v>
      </c>
      <c r="D840" s="174" t="s">
        <v>39</v>
      </c>
      <c r="E840" s="174">
        <v>0</v>
      </c>
      <c r="F840" s="186" t="s">
        <v>4698</v>
      </c>
      <c r="G840" s="174"/>
      <c r="H840" s="174"/>
      <c r="I840" s="174"/>
      <c r="J840" s="174"/>
      <c r="K840" s="174"/>
      <c r="L840" s="174"/>
      <c r="M840" s="174"/>
      <c r="N840" s="174"/>
    </row>
    <row r="841" spans="1:14">
      <c r="A841" s="188" t="s">
        <v>4179</v>
      </c>
      <c r="B841" s="188" t="s">
        <v>188</v>
      </c>
      <c r="C841" s="174" t="s">
        <v>4833</v>
      </c>
      <c r="D841" s="174" t="s">
        <v>39</v>
      </c>
      <c r="E841" s="174">
        <v>0</v>
      </c>
      <c r="F841" s="186" t="s">
        <v>4180</v>
      </c>
      <c r="G841" s="174"/>
      <c r="H841" s="174"/>
      <c r="I841" s="174"/>
      <c r="J841" s="174"/>
      <c r="K841" s="174"/>
      <c r="L841" s="174"/>
      <c r="M841" s="174"/>
      <c r="N841" s="174"/>
    </row>
    <row r="842" spans="1:14">
      <c r="A842" s="188" t="s">
        <v>4184</v>
      </c>
      <c r="B842" s="188" t="s">
        <v>188</v>
      </c>
      <c r="C842" s="174" t="s">
        <v>4833</v>
      </c>
      <c r="D842" s="174" t="s">
        <v>39</v>
      </c>
      <c r="E842" s="174">
        <v>0</v>
      </c>
      <c r="F842" s="186" t="s">
        <v>4185</v>
      </c>
      <c r="G842" s="174"/>
      <c r="H842" s="174"/>
      <c r="I842" s="174"/>
      <c r="J842" s="174"/>
      <c r="K842" s="174"/>
      <c r="L842" s="174"/>
      <c r="M842" s="174"/>
      <c r="N842" s="174"/>
    </row>
    <row r="843" spans="1:14">
      <c r="A843" s="188" t="s">
        <v>4187</v>
      </c>
      <c r="B843" s="188" t="s">
        <v>188</v>
      </c>
      <c r="C843" s="174" t="s">
        <v>4833</v>
      </c>
      <c r="D843" s="174" t="s">
        <v>39</v>
      </c>
      <c r="E843" s="174">
        <v>0</v>
      </c>
      <c r="F843" s="186" t="s">
        <v>4188</v>
      </c>
      <c r="G843" s="174"/>
      <c r="H843" s="174"/>
      <c r="I843" s="174"/>
      <c r="J843" s="174"/>
      <c r="K843" s="174"/>
      <c r="L843" s="174"/>
      <c r="M843" s="174"/>
      <c r="N843" s="174"/>
    </row>
    <row r="844" spans="1:14">
      <c r="A844" s="188" t="s">
        <v>4199</v>
      </c>
      <c r="B844" s="188" t="s">
        <v>188</v>
      </c>
      <c r="C844" s="174" t="s">
        <v>4833</v>
      </c>
      <c r="D844" s="174" t="s">
        <v>39</v>
      </c>
      <c r="E844" s="174">
        <v>0</v>
      </c>
      <c r="F844" s="186" t="s">
        <v>4200</v>
      </c>
      <c r="G844" s="174"/>
      <c r="H844" s="174"/>
      <c r="I844" s="174"/>
      <c r="J844" s="174"/>
      <c r="K844" s="174"/>
      <c r="L844" s="174"/>
      <c r="M844" s="174"/>
      <c r="N844" s="174"/>
    </row>
    <row r="845" spans="1:14">
      <c r="A845" s="188" t="s">
        <v>4202</v>
      </c>
      <c r="B845" s="188" t="s">
        <v>188</v>
      </c>
      <c r="C845" s="174" t="s">
        <v>4833</v>
      </c>
      <c r="D845" s="174" t="s">
        <v>39</v>
      </c>
      <c r="E845" s="174">
        <v>0</v>
      </c>
      <c r="F845" s="186" t="s">
        <v>4203</v>
      </c>
      <c r="G845" s="174"/>
      <c r="H845" s="174"/>
      <c r="I845" s="174"/>
      <c r="J845" s="174"/>
      <c r="K845" s="174"/>
      <c r="L845" s="174"/>
      <c r="M845" s="174"/>
      <c r="N845" s="174"/>
    </row>
    <row r="846" spans="1:14">
      <c r="A846" s="188" t="s">
        <v>4205</v>
      </c>
      <c r="B846" s="188" t="s">
        <v>188</v>
      </c>
      <c r="C846" s="174" t="s">
        <v>4833</v>
      </c>
      <c r="D846" s="174" t="s">
        <v>39</v>
      </c>
      <c r="E846" s="174">
        <v>0</v>
      </c>
      <c r="F846" s="186" t="s">
        <v>4206</v>
      </c>
      <c r="G846" s="174"/>
      <c r="H846" s="174"/>
      <c r="I846" s="174"/>
      <c r="J846" s="174"/>
      <c r="K846" s="174"/>
      <c r="L846" s="174"/>
      <c r="M846" s="174"/>
      <c r="N846" s="174"/>
    </row>
    <row r="847" spans="1:14">
      <c r="A847" s="188" t="s">
        <v>4580</v>
      </c>
      <c r="B847" s="188" t="s">
        <v>188</v>
      </c>
      <c r="C847" s="174" t="s">
        <v>4833</v>
      </c>
      <c r="D847" s="174" t="s">
        <v>39</v>
      </c>
      <c r="E847" s="174">
        <v>0</v>
      </c>
      <c r="F847" s="186" t="s">
        <v>4209</v>
      </c>
      <c r="G847" s="174"/>
      <c r="H847" s="174"/>
      <c r="I847" s="174"/>
      <c r="J847" s="174"/>
      <c r="K847" s="174"/>
      <c r="L847" s="174"/>
      <c r="M847" s="174"/>
      <c r="N847" s="174"/>
    </row>
    <row r="848" spans="1:14">
      <c r="A848" s="188" t="s">
        <v>4213</v>
      </c>
      <c r="B848" s="188" t="s">
        <v>188</v>
      </c>
      <c r="C848" s="174" t="s">
        <v>4833</v>
      </c>
      <c r="D848" s="174" t="s">
        <v>39</v>
      </c>
      <c r="E848" s="174">
        <v>0</v>
      </c>
      <c r="F848" s="186" t="s">
        <v>4214</v>
      </c>
      <c r="G848" s="174"/>
      <c r="H848" s="174"/>
      <c r="I848" s="174"/>
      <c r="J848" s="174"/>
      <c r="K848" s="174"/>
      <c r="L848" s="174"/>
      <c r="M848" s="174"/>
      <c r="N848" s="174"/>
    </row>
    <row r="849" spans="1:14">
      <c r="A849" s="188" t="s">
        <v>4216</v>
      </c>
      <c r="B849" s="188" t="s">
        <v>4</v>
      </c>
      <c r="C849" s="174" t="s">
        <v>3894</v>
      </c>
      <c r="D849" s="174" t="s">
        <v>4</v>
      </c>
      <c r="E849" s="174" t="s">
        <v>4219</v>
      </c>
      <c r="F849" s="186" t="s">
        <v>4217</v>
      </c>
      <c r="G849" s="174"/>
      <c r="H849" s="174"/>
      <c r="I849" s="174"/>
      <c r="J849" s="174"/>
      <c r="K849" s="174"/>
      <c r="L849" s="174"/>
      <c r="M849" s="174"/>
      <c r="N849" s="174"/>
    </row>
    <row r="850" spans="1:14">
      <c r="A850" s="188" t="s">
        <v>4220</v>
      </c>
      <c r="B850" s="188" t="s">
        <v>4</v>
      </c>
      <c r="C850" s="174" t="s">
        <v>3894</v>
      </c>
      <c r="D850" s="174" t="s">
        <v>4</v>
      </c>
      <c r="E850" s="174" t="s">
        <v>4223</v>
      </c>
      <c r="F850" s="186" t="s">
        <v>4221</v>
      </c>
      <c r="G850" s="174"/>
      <c r="H850" s="174"/>
      <c r="I850" s="174"/>
      <c r="J850" s="174"/>
      <c r="K850" s="174"/>
      <c r="L850" s="174"/>
      <c r="M850" s="174"/>
      <c r="N850" s="174"/>
    </row>
    <row r="851" spans="1:14">
      <c r="A851" s="188" t="s">
        <v>4224</v>
      </c>
      <c r="B851" s="188" t="s">
        <v>188</v>
      </c>
      <c r="C851" s="174" t="s">
        <v>3894</v>
      </c>
      <c r="D851" s="174" t="s">
        <v>5358</v>
      </c>
      <c r="E851" s="174">
        <v>0</v>
      </c>
      <c r="F851" s="186" t="s">
        <v>4225</v>
      </c>
      <c r="G851" s="174"/>
      <c r="H851" s="174"/>
      <c r="I851" s="174"/>
      <c r="J851" s="174"/>
      <c r="K851" s="174"/>
      <c r="L851" s="174"/>
      <c r="M851" s="174"/>
      <c r="N851" s="174"/>
    </row>
    <row r="852" spans="1:14">
      <c r="A852" s="188" t="s">
        <v>4227</v>
      </c>
      <c r="B852" s="188" t="s">
        <v>188</v>
      </c>
      <c r="C852" s="174" t="s">
        <v>3894</v>
      </c>
      <c r="D852" s="174" t="s">
        <v>5358</v>
      </c>
      <c r="E852" s="174">
        <v>0</v>
      </c>
      <c r="F852" s="186" t="s">
        <v>4228</v>
      </c>
      <c r="G852" s="174"/>
      <c r="H852" s="174"/>
      <c r="I852" s="174"/>
      <c r="J852" s="174"/>
      <c r="K852" s="174"/>
      <c r="L852" s="174"/>
      <c r="M852" s="174"/>
      <c r="N852" s="174"/>
    </row>
    <row r="853" spans="1:14">
      <c r="A853" s="188" t="s">
        <v>4233</v>
      </c>
      <c r="B853" s="188" t="s">
        <v>4</v>
      </c>
      <c r="C853" s="174" t="s">
        <v>3894</v>
      </c>
      <c r="D853" s="174" t="s">
        <v>4</v>
      </c>
      <c r="E853" s="174" t="s">
        <v>3068</v>
      </c>
      <c r="F853" s="186" t="s">
        <v>4234</v>
      </c>
      <c r="G853" s="174"/>
      <c r="H853" s="174"/>
      <c r="I853" s="174"/>
      <c r="J853" s="174"/>
      <c r="K853" s="174"/>
      <c r="L853" s="174"/>
      <c r="M853" s="174"/>
      <c r="N853" s="174"/>
    </row>
    <row r="854" spans="1:14">
      <c r="A854" s="188" t="s">
        <v>4236</v>
      </c>
      <c r="B854" s="188" t="s">
        <v>4</v>
      </c>
      <c r="C854" s="174" t="s">
        <v>3894</v>
      </c>
      <c r="D854" s="174" t="s">
        <v>4</v>
      </c>
      <c r="E854" s="174" t="s">
        <v>4239</v>
      </c>
      <c r="F854" s="186" t="s">
        <v>4237</v>
      </c>
      <c r="G854" s="174"/>
      <c r="H854" s="174"/>
      <c r="I854" s="174"/>
      <c r="J854" s="174"/>
      <c r="K854" s="174"/>
      <c r="L854" s="174"/>
      <c r="M854" s="174"/>
      <c r="N854" s="174"/>
    </row>
    <row r="855" spans="1:14">
      <c r="A855" s="188" t="s">
        <v>4240</v>
      </c>
      <c r="B855" s="188" t="s">
        <v>4</v>
      </c>
      <c r="C855" s="174" t="s">
        <v>3894</v>
      </c>
      <c r="D855" s="174" t="s">
        <v>4</v>
      </c>
      <c r="E855" s="174" t="s">
        <v>4243</v>
      </c>
      <c r="F855" s="186" t="s">
        <v>4241</v>
      </c>
      <c r="G855" s="174"/>
      <c r="H855" s="174"/>
      <c r="I855" s="174"/>
      <c r="J855" s="174"/>
      <c r="K855" s="174"/>
      <c r="L855" s="174"/>
      <c r="M855" s="174"/>
      <c r="N855" s="174"/>
    </row>
    <row r="856" spans="1:14">
      <c r="A856" s="188" t="s">
        <v>4630</v>
      </c>
      <c r="B856" s="188" t="s">
        <v>4</v>
      </c>
      <c r="C856" s="174" t="s">
        <v>3894</v>
      </c>
      <c r="D856" s="174" t="s">
        <v>5363</v>
      </c>
      <c r="E856" s="174" t="s">
        <v>4633</v>
      </c>
      <c r="F856" s="186" t="s">
        <v>4631</v>
      </c>
      <c r="G856" s="174"/>
      <c r="H856" s="174"/>
      <c r="I856" s="174"/>
      <c r="J856" s="174"/>
      <c r="K856" s="174"/>
      <c r="L856" s="174"/>
      <c r="M856" s="174"/>
      <c r="N856" s="174"/>
    </row>
    <row r="857" spans="1:14">
      <c r="A857" s="188" t="s">
        <v>4634</v>
      </c>
      <c r="B857" s="188" t="s">
        <v>3</v>
      </c>
      <c r="C857" s="174" t="s">
        <v>3894</v>
      </c>
      <c r="D857" s="174" t="s">
        <v>5356</v>
      </c>
      <c r="E857" s="174" t="s">
        <v>4637</v>
      </c>
      <c r="F857" s="186" t="s">
        <v>4635</v>
      </c>
      <c r="G857" s="174"/>
      <c r="H857" s="174"/>
      <c r="I857" s="174"/>
      <c r="J857" s="174"/>
      <c r="K857" s="174"/>
      <c r="L857" s="174"/>
      <c r="M857" s="174"/>
      <c r="N857" s="174"/>
    </row>
    <row r="858" spans="1:14">
      <c r="A858" s="188" t="s">
        <v>4244</v>
      </c>
      <c r="B858" s="188" t="s">
        <v>188</v>
      </c>
      <c r="C858" s="174" t="s">
        <v>4833</v>
      </c>
      <c r="D858" s="174" t="s">
        <v>39</v>
      </c>
      <c r="E858" s="174">
        <v>0</v>
      </c>
      <c r="F858" s="186" t="s">
        <v>4245</v>
      </c>
      <c r="G858" s="174"/>
      <c r="H858" s="174"/>
      <c r="I858" s="174"/>
      <c r="J858" s="174"/>
      <c r="K858" s="174"/>
      <c r="L858" s="174"/>
      <c r="M858" s="174"/>
      <c r="N858" s="174"/>
    </row>
    <row r="859" spans="1:14">
      <c r="A859" s="188" t="s">
        <v>4247</v>
      </c>
      <c r="B859" s="188" t="s">
        <v>188</v>
      </c>
      <c r="C859" s="174" t="s">
        <v>4833</v>
      </c>
      <c r="D859" s="174" t="s">
        <v>39</v>
      </c>
      <c r="E859" s="174">
        <v>0</v>
      </c>
      <c r="F859" s="186" t="s">
        <v>4248</v>
      </c>
      <c r="G859" s="174"/>
      <c r="H859" s="174"/>
      <c r="I859" s="174"/>
      <c r="J859" s="174"/>
      <c r="K859" s="174"/>
      <c r="L859" s="174"/>
      <c r="M859" s="174"/>
      <c r="N859" s="174"/>
    </row>
    <row r="860" spans="1:14">
      <c r="A860" s="188" t="s">
        <v>4250</v>
      </c>
      <c r="B860" s="188" t="s">
        <v>188</v>
      </c>
      <c r="C860" s="174" t="s">
        <v>4833</v>
      </c>
      <c r="D860" s="174" t="s">
        <v>39</v>
      </c>
      <c r="E860" s="174">
        <v>0</v>
      </c>
      <c r="F860" s="186" t="s">
        <v>4251</v>
      </c>
      <c r="G860" s="174"/>
      <c r="H860" s="174"/>
      <c r="I860" s="174"/>
      <c r="J860" s="174"/>
      <c r="K860" s="174"/>
      <c r="L860" s="174"/>
      <c r="M860" s="174"/>
      <c r="N860" s="174"/>
    </row>
    <row r="861" spans="1:14">
      <c r="A861" s="188" t="s">
        <v>4253</v>
      </c>
      <c r="B861" s="188" t="s">
        <v>188</v>
      </c>
      <c r="C861" s="174" t="s">
        <v>4833</v>
      </c>
      <c r="D861" s="174" t="s">
        <v>39</v>
      </c>
      <c r="E861" s="174">
        <v>0</v>
      </c>
      <c r="F861" s="186" t="s">
        <v>4254</v>
      </c>
      <c r="G861" s="174"/>
      <c r="H861" s="174"/>
      <c r="I861" s="174"/>
      <c r="J861" s="174"/>
      <c r="K861" s="174"/>
      <c r="L861" s="174"/>
      <c r="M861" s="174"/>
      <c r="N861" s="174"/>
    </row>
    <row r="862" spans="1:14">
      <c r="A862" s="188" t="s">
        <v>4700</v>
      </c>
      <c r="B862" s="188" t="s">
        <v>188</v>
      </c>
      <c r="C862" s="174" t="s">
        <v>4833</v>
      </c>
      <c r="D862" s="174" t="s">
        <v>39</v>
      </c>
      <c r="E862" s="174">
        <v>0</v>
      </c>
      <c r="F862" s="186" t="s">
        <v>4701</v>
      </c>
      <c r="G862" s="174"/>
      <c r="H862" s="174"/>
      <c r="I862" s="174"/>
      <c r="J862" s="174"/>
      <c r="K862" s="174"/>
      <c r="L862" s="174"/>
      <c r="M862" s="174"/>
      <c r="N862" s="174"/>
    </row>
    <row r="863" spans="1:14">
      <c r="A863" s="188" t="s">
        <v>4256</v>
      </c>
      <c r="B863" s="188" t="s">
        <v>188</v>
      </c>
      <c r="C863" s="174" t="e">
        <v>#N/A</v>
      </c>
      <c r="D863" s="174" t="e">
        <v>#N/A</v>
      </c>
      <c r="E863" s="174" t="e">
        <v>#N/A</v>
      </c>
      <c r="F863" s="186" t="s">
        <v>4257</v>
      </c>
      <c r="G863" s="174"/>
      <c r="H863" s="174"/>
      <c r="I863" s="174"/>
      <c r="J863" s="174"/>
      <c r="K863" s="174"/>
      <c r="L863" s="174"/>
      <c r="M863" s="174"/>
      <c r="N863" s="174"/>
    </row>
    <row r="864" spans="1:14">
      <c r="A864" s="188" t="s">
        <v>4638</v>
      </c>
      <c r="B864" s="188" t="s">
        <v>15</v>
      </c>
      <c r="C864" s="174" t="s">
        <v>3894</v>
      </c>
      <c r="D864" s="174" t="s">
        <v>15</v>
      </c>
      <c r="E864" s="174" t="s">
        <v>160</v>
      </c>
      <c r="F864" s="186" t="s">
        <v>4639</v>
      </c>
      <c r="G864" s="174"/>
      <c r="H864" s="174"/>
      <c r="I864" s="174"/>
      <c r="J864" s="174"/>
      <c r="K864" s="174"/>
      <c r="L864" s="174"/>
      <c r="M864" s="174"/>
      <c r="N864" s="174"/>
    </row>
    <row r="865" spans="1:14">
      <c r="A865" s="188" t="s">
        <v>4642</v>
      </c>
      <c r="B865" s="188" t="s">
        <v>188</v>
      </c>
      <c r="C865" s="174" t="e">
        <v>#N/A</v>
      </c>
      <c r="D865" s="174" t="e">
        <v>#N/A</v>
      </c>
      <c r="E865" s="174" t="e">
        <v>#N/A</v>
      </c>
      <c r="F865" s="186" t="s">
        <v>4643</v>
      </c>
      <c r="G865" s="174"/>
      <c r="H865" s="174"/>
      <c r="I865" s="174"/>
      <c r="J865" s="174"/>
      <c r="K865" s="174"/>
      <c r="L865" s="174"/>
      <c r="M865" s="174"/>
      <c r="N865" s="174"/>
    </row>
    <row r="866" spans="1:14">
      <c r="A866" s="188" t="s">
        <v>4259</v>
      </c>
      <c r="B866" s="188" t="s">
        <v>3</v>
      </c>
      <c r="C866" s="174" t="e">
        <v>#N/A</v>
      </c>
      <c r="D866" s="174" t="e">
        <v>#N/A</v>
      </c>
      <c r="E866" s="174" t="e">
        <v>#N/A</v>
      </c>
      <c r="F866" s="186" t="s">
        <v>4260</v>
      </c>
      <c r="G866" s="174"/>
      <c r="H866" s="174"/>
      <c r="I866" s="174"/>
      <c r="J866" s="174"/>
      <c r="K866" s="174"/>
      <c r="L866" s="174"/>
      <c r="M866" s="174"/>
      <c r="N866" s="174"/>
    </row>
    <row r="867" spans="1:14">
      <c r="A867" s="188" t="s">
        <v>4267</v>
      </c>
      <c r="B867" s="188" t="s">
        <v>3</v>
      </c>
      <c r="C867" s="174" t="e">
        <v>#N/A</v>
      </c>
      <c r="D867" s="174" t="e">
        <v>#N/A</v>
      </c>
      <c r="E867" s="174" t="e">
        <v>#N/A</v>
      </c>
      <c r="F867" s="186" t="s">
        <v>4268</v>
      </c>
      <c r="G867" s="174"/>
      <c r="H867" s="174"/>
      <c r="I867" s="174"/>
      <c r="J867" s="174"/>
      <c r="K867" s="174"/>
      <c r="L867" s="174"/>
      <c r="M867" s="174"/>
      <c r="N867" s="174"/>
    </row>
    <row r="868" spans="1:14">
      <c r="A868" s="188" t="s">
        <v>4274</v>
      </c>
      <c r="B868" s="188" t="s">
        <v>5</v>
      </c>
      <c r="C868" s="174" t="e">
        <v>#N/A</v>
      </c>
      <c r="D868" s="174" t="e">
        <v>#N/A</v>
      </c>
      <c r="E868" s="174" t="e">
        <v>#N/A</v>
      </c>
      <c r="F868" s="186" t="s">
        <v>4275</v>
      </c>
      <c r="G868" s="174"/>
      <c r="H868" s="174"/>
      <c r="I868" s="174"/>
      <c r="J868" s="174"/>
      <c r="K868" s="174"/>
      <c r="L868" s="174"/>
      <c r="M868" s="174"/>
      <c r="N868" s="174"/>
    </row>
    <row r="869" spans="1:14">
      <c r="A869" s="188" t="s">
        <v>4282</v>
      </c>
      <c r="B869" s="188" t="s">
        <v>3</v>
      </c>
      <c r="C869" s="174" t="e">
        <v>#N/A</v>
      </c>
      <c r="D869" s="174" t="e">
        <v>#N/A</v>
      </c>
      <c r="E869" s="174" t="e">
        <v>#N/A</v>
      </c>
      <c r="F869" s="186" t="s">
        <v>4283</v>
      </c>
      <c r="G869" s="174"/>
      <c r="H869" s="174"/>
      <c r="I869" s="174"/>
      <c r="J869" s="174"/>
      <c r="K869" s="174"/>
      <c r="L869" s="174"/>
      <c r="M869" s="174"/>
      <c r="N869" s="174"/>
    </row>
    <row r="870" spans="1:14">
      <c r="A870" s="188" t="s">
        <v>4289</v>
      </c>
      <c r="B870" s="188" t="s">
        <v>3</v>
      </c>
      <c r="C870" s="174" t="e">
        <v>#N/A</v>
      </c>
      <c r="D870" s="174" t="e">
        <v>#N/A</v>
      </c>
      <c r="E870" s="174" t="e">
        <v>#N/A</v>
      </c>
      <c r="F870" s="186" t="s">
        <v>4290</v>
      </c>
      <c r="G870" s="174"/>
      <c r="H870" s="174"/>
      <c r="I870" s="174"/>
      <c r="J870" s="174"/>
      <c r="K870" s="174"/>
      <c r="L870" s="174"/>
      <c r="M870" s="174"/>
      <c r="N870" s="174"/>
    </row>
    <row r="871" spans="1:14">
      <c r="A871" s="188" t="s">
        <v>4295</v>
      </c>
      <c r="B871" s="188" t="s">
        <v>3</v>
      </c>
      <c r="C871" s="174" t="e">
        <v>#N/A</v>
      </c>
      <c r="D871" s="174" t="e">
        <v>#N/A</v>
      </c>
      <c r="E871" s="174" t="e">
        <v>#N/A</v>
      </c>
      <c r="F871" s="186" t="s">
        <v>4296</v>
      </c>
      <c r="G871" s="174"/>
      <c r="H871" s="174"/>
      <c r="I871" s="174"/>
      <c r="J871" s="174"/>
      <c r="K871" s="174"/>
      <c r="L871" s="174"/>
      <c r="M871" s="174"/>
      <c r="N871" s="174"/>
    </row>
    <row r="872" spans="1:14">
      <c r="A872" s="188" t="s">
        <v>4298</v>
      </c>
      <c r="B872" s="188" t="s">
        <v>39</v>
      </c>
      <c r="C872" s="174" t="e">
        <v>#N/A</v>
      </c>
      <c r="D872" s="174" t="e">
        <v>#N/A</v>
      </c>
      <c r="E872" s="174" t="e">
        <v>#N/A</v>
      </c>
      <c r="F872" s="186" t="s">
        <v>4299</v>
      </c>
      <c r="G872" s="174"/>
      <c r="H872" s="174"/>
      <c r="I872" s="174"/>
      <c r="J872" s="174"/>
      <c r="K872" s="174"/>
      <c r="L872" s="174"/>
      <c r="M872" s="174"/>
      <c r="N872" s="174"/>
    </row>
    <row r="873" spans="1:14">
      <c r="A873" s="188" t="s">
        <v>4300</v>
      </c>
      <c r="B873" s="188" t="s">
        <v>39</v>
      </c>
      <c r="C873" s="174" t="e">
        <v>#N/A</v>
      </c>
      <c r="D873" s="174" t="e">
        <v>#N/A</v>
      </c>
      <c r="E873" s="174" t="e">
        <v>#N/A</v>
      </c>
      <c r="F873" s="186" t="s">
        <v>4301</v>
      </c>
      <c r="G873" s="174"/>
      <c r="H873" s="174"/>
      <c r="I873" s="174"/>
      <c r="J873" s="174"/>
      <c r="K873" s="174"/>
      <c r="L873" s="174"/>
      <c r="M873" s="174"/>
      <c r="N873" s="174"/>
    </row>
    <row r="874" spans="1:14">
      <c r="A874" s="188" t="s">
        <v>4302</v>
      </c>
      <c r="B874" s="188" t="s">
        <v>39</v>
      </c>
      <c r="C874" s="174" t="e">
        <v>#N/A</v>
      </c>
      <c r="D874" s="174" t="e">
        <v>#N/A</v>
      </c>
      <c r="E874" s="174" t="e">
        <v>#N/A</v>
      </c>
      <c r="F874" s="186" t="s">
        <v>4303</v>
      </c>
      <c r="G874" s="174"/>
      <c r="H874" s="174"/>
      <c r="I874" s="174"/>
      <c r="J874" s="174"/>
      <c r="K874" s="174"/>
      <c r="L874" s="174"/>
      <c r="M874" s="174"/>
      <c r="N874" s="174"/>
    </row>
    <row r="875" spans="1:14">
      <c r="A875" s="188" t="s">
        <v>4305</v>
      </c>
      <c r="B875" s="188" t="s">
        <v>39</v>
      </c>
      <c r="C875" s="174" t="e">
        <v>#N/A</v>
      </c>
      <c r="D875" s="174" t="e">
        <v>#N/A</v>
      </c>
      <c r="E875" s="174" t="e">
        <v>#N/A</v>
      </c>
      <c r="F875" s="186" t="s">
        <v>4306</v>
      </c>
      <c r="G875" s="174"/>
      <c r="H875" s="174"/>
      <c r="I875" s="174"/>
      <c r="J875" s="174"/>
      <c r="K875" s="174"/>
      <c r="L875" s="174"/>
      <c r="M875" s="174"/>
      <c r="N875" s="174"/>
    </row>
    <row r="876" spans="1:14">
      <c r="A876" s="188" t="s">
        <v>4307</v>
      </c>
      <c r="B876" s="188" t="s">
        <v>3</v>
      </c>
      <c r="C876" s="174" t="e">
        <v>#N/A</v>
      </c>
      <c r="D876" s="174" t="e">
        <v>#N/A</v>
      </c>
      <c r="E876" s="174" t="e">
        <v>#N/A</v>
      </c>
      <c r="F876" s="186" t="s">
        <v>4308</v>
      </c>
      <c r="G876" s="174"/>
      <c r="H876" s="174"/>
      <c r="I876" s="174"/>
      <c r="J876" s="174"/>
      <c r="K876" s="174"/>
      <c r="L876" s="174"/>
      <c r="M876" s="174"/>
      <c r="N876" s="174"/>
    </row>
    <row r="877" spans="1:14">
      <c r="A877" s="188" t="s">
        <v>4703</v>
      </c>
      <c r="B877" s="188" t="s">
        <v>20</v>
      </c>
      <c r="C877" s="174" t="e">
        <v>#N/A</v>
      </c>
      <c r="D877" s="174" t="e">
        <v>#N/A</v>
      </c>
      <c r="E877" s="174" t="e">
        <v>#N/A</v>
      </c>
      <c r="F877" s="186" t="s">
        <v>4704</v>
      </c>
      <c r="G877" s="174"/>
      <c r="H877" s="174"/>
      <c r="I877" s="174"/>
      <c r="J877" s="174"/>
      <c r="K877" s="174"/>
      <c r="L877" s="174"/>
      <c r="M877" s="174"/>
      <c r="N877" s="174"/>
    </row>
    <row r="878" spans="1:14">
      <c r="A878" s="188" t="s">
        <v>4312</v>
      </c>
      <c r="B878" s="188" t="s">
        <v>20</v>
      </c>
      <c r="C878" s="174" t="e">
        <v>#N/A</v>
      </c>
      <c r="D878" s="174" t="e">
        <v>#N/A</v>
      </c>
      <c r="E878" s="174" t="e">
        <v>#N/A</v>
      </c>
      <c r="F878" s="186" t="s">
        <v>4313</v>
      </c>
      <c r="G878" s="174"/>
      <c r="H878" s="174"/>
      <c r="I878" s="174"/>
      <c r="J878" s="174"/>
      <c r="K878" s="174"/>
      <c r="L878" s="174"/>
      <c r="M878" s="174"/>
      <c r="N878" s="174"/>
    </row>
    <row r="879" spans="1:14">
      <c r="A879" s="188" t="s">
        <v>4706</v>
      </c>
      <c r="B879" s="188" t="s">
        <v>20</v>
      </c>
      <c r="C879" s="174" t="e">
        <v>#N/A</v>
      </c>
      <c r="D879" s="174" t="e">
        <v>#N/A</v>
      </c>
      <c r="E879" s="174" t="e">
        <v>#N/A</v>
      </c>
      <c r="F879" s="186" t="s">
        <v>4707</v>
      </c>
      <c r="G879" s="174"/>
      <c r="H879" s="174"/>
      <c r="I879" s="174"/>
      <c r="J879" s="174"/>
      <c r="K879" s="174"/>
      <c r="L879" s="174"/>
      <c r="M879" s="174"/>
      <c r="N879" s="174"/>
    </row>
    <row r="880" spans="1:14">
      <c r="A880" s="188" t="s">
        <v>4315</v>
      </c>
      <c r="B880" s="188" t="s">
        <v>20</v>
      </c>
      <c r="C880" s="174" t="e">
        <v>#N/A</v>
      </c>
      <c r="D880" s="174" t="e">
        <v>#N/A</v>
      </c>
      <c r="E880" s="174" t="e">
        <v>#N/A</v>
      </c>
      <c r="F880" s="186" t="s">
        <v>4316</v>
      </c>
      <c r="G880" s="174"/>
      <c r="H880" s="174"/>
      <c r="I880" s="174"/>
      <c r="J880" s="174"/>
      <c r="K880" s="174"/>
      <c r="L880" s="174"/>
      <c r="M880" s="174"/>
      <c r="N880" s="174"/>
    </row>
    <row r="881" spans="1:14">
      <c r="A881" s="188" t="s">
        <v>4709</v>
      </c>
      <c r="B881" s="188" t="s">
        <v>20</v>
      </c>
      <c r="C881" s="174" t="e">
        <v>#N/A</v>
      </c>
      <c r="D881" s="174" t="e">
        <v>#N/A</v>
      </c>
      <c r="E881" s="174" t="e">
        <v>#N/A</v>
      </c>
      <c r="F881" s="186" t="s">
        <v>4710</v>
      </c>
      <c r="G881" s="174"/>
      <c r="H881" s="174"/>
      <c r="I881" s="174"/>
      <c r="J881" s="174"/>
      <c r="K881" s="174"/>
      <c r="L881" s="174"/>
      <c r="M881" s="174"/>
      <c r="N881" s="174"/>
    </row>
    <row r="882" spans="1:14">
      <c r="A882" s="188" t="s">
        <v>4318</v>
      </c>
      <c r="B882" s="188" t="s">
        <v>20</v>
      </c>
      <c r="C882" s="174" t="e">
        <v>#N/A</v>
      </c>
      <c r="D882" s="174" t="e">
        <v>#N/A</v>
      </c>
      <c r="E882" s="174" t="e">
        <v>#N/A</v>
      </c>
      <c r="F882" s="186" t="s">
        <v>4319</v>
      </c>
      <c r="G882" s="174"/>
      <c r="H882" s="174"/>
      <c r="I882" s="174"/>
      <c r="J882" s="174"/>
      <c r="K882" s="174"/>
      <c r="L882" s="174"/>
      <c r="M882" s="174"/>
      <c r="N882" s="174"/>
    </row>
    <row r="883" spans="1:14">
      <c r="A883" s="174"/>
      <c r="B883" s="174"/>
      <c r="C883" s="174"/>
      <c r="D883" s="174"/>
      <c r="E883" s="174"/>
      <c r="F883" s="174"/>
      <c r="G883" s="174"/>
      <c r="H883" s="174"/>
      <c r="I883" s="174"/>
      <c r="J883" s="174"/>
      <c r="K883" s="174"/>
      <c r="L883" s="174"/>
      <c r="M883" s="174"/>
      <c r="N883" s="17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A6C26-8B0B-4B3D-8AF1-7565ADCDBB46}">
  <dimension ref="A1:N589"/>
  <sheetViews>
    <sheetView workbookViewId="0">
      <selection activeCell="T11" sqref="T11"/>
    </sheetView>
  </sheetViews>
  <sheetFormatPr defaultRowHeight="15"/>
  <sheetData>
    <row r="1" spans="1:14">
      <c r="A1" s="367" t="s">
        <v>5397</v>
      </c>
      <c r="B1" s="367" t="s">
        <v>4873</v>
      </c>
      <c r="C1" s="368" t="s">
        <v>5398</v>
      </c>
      <c r="D1" s="369" t="s">
        <v>5399</v>
      </c>
      <c r="E1" s="368" t="s">
        <v>5398</v>
      </c>
      <c r="F1" s="370" t="s">
        <v>5400</v>
      </c>
      <c r="G1" s="368" t="s">
        <v>5398</v>
      </c>
      <c r="H1" s="71"/>
      <c r="I1" s="71"/>
      <c r="J1" s="71"/>
      <c r="K1" s="71"/>
      <c r="L1" s="71"/>
      <c r="M1" s="71"/>
      <c r="N1" s="71"/>
    </row>
    <row r="2" spans="1:14" ht="15.75">
      <c r="A2" s="78" t="s">
        <v>3797</v>
      </c>
      <c r="B2" s="9" t="s">
        <v>3799</v>
      </c>
      <c r="C2" s="603"/>
      <c r="D2" s="371" t="s">
        <v>3797</v>
      </c>
      <c r="E2" s="603"/>
      <c r="F2" s="371" t="s">
        <v>3797</v>
      </c>
      <c r="G2" s="603"/>
      <c r="H2" s="372"/>
      <c r="I2" s="604"/>
      <c r="J2" s="373"/>
      <c r="K2" s="373"/>
      <c r="L2" s="374"/>
      <c r="M2" s="71"/>
      <c r="N2" s="71"/>
    </row>
    <row r="3" spans="1:14" ht="15.75">
      <c r="A3" s="72" t="s">
        <v>743</v>
      </c>
      <c r="B3" s="9" t="s">
        <v>745</v>
      </c>
      <c r="C3" s="603"/>
      <c r="D3" s="371" t="s">
        <v>743</v>
      </c>
      <c r="E3" s="603"/>
      <c r="F3" s="371" t="s">
        <v>743</v>
      </c>
      <c r="G3" s="603"/>
      <c r="H3" s="372"/>
      <c r="I3" s="604"/>
      <c r="J3" s="373"/>
      <c r="K3" s="373"/>
      <c r="L3" s="374"/>
      <c r="M3" s="71"/>
      <c r="N3" s="71"/>
    </row>
    <row r="4" spans="1:14" ht="15.75">
      <c r="A4" s="72" t="s">
        <v>717</v>
      </c>
      <c r="B4" s="9" t="s">
        <v>719</v>
      </c>
      <c r="C4" s="603"/>
      <c r="D4" s="371" t="s">
        <v>717</v>
      </c>
      <c r="E4" s="603"/>
      <c r="F4" s="371" t="s">
        <v>717</v>
      </c>
      <c r="G4" s="603"/>
      <c r="H4" s="372"/>
      <c r="I4" s="604"/>
      <c r="J4" s="373"/>
      <c r="K4" s="373"/>
      <c r="L4" s="374"/>
      <c r="M4" s="71"/>
      <c r="N4" s="71"/>
    </row>
    <row r="5" spans="1:14" ht="15.75">
      <c r="A5" s="72" t="s">
        <v>794</v>
      </c>
      <c r="B5" s="9" t="s">
        <v>796</v>
      </c>
      <c r="C5" s="603" t="s">
        <v>797</v>
      </c>
      <c r="D5" s="371" t="s">
        <v>794</v>
      </c>
      <c r="E5" s="603"/>
      <c r="F5" s="371" t="s">
        <v>794</v>
      </c>
      <c r="G5" s="603"/>
      <c r="H5" s="375"/>
      <c r="I5" s="604"/>
      <c r="J5" s="373"/>
      <c r="K5" s="373"/>
      <c r="L5" s="374"/>
      <c r="M5" s="71"/>
      <c r="N5" s="71"/>
    </row>
    <row r="6" spans="1:14" ht="15.75">
      <c r="A6" s="72" t="s">
        <v>1838</v>
      </c>
      <c r="B6" s="9" t="s">
        <v>1840</v>
      </c>
      <c r="C6" s="603"/>
      <c r="D6" s="371" t="s">
        <v>1838</v>
      </c>
      <c r="E6" s="603"/>
      <c r="F6" s="371" t="s">
        <v>1838</v>
      </c>
      <c r="G6" s="603"/>
      <c r="H6" s="376"/>
      <c r="I6" s="604"/>
      <c r="J6" s="373"/>
      <c r="K6" s="373"/>
      <c r="L6" s="374"/>
      <c r="M6" s="71"/>
      <c r="N6" s="71"/>
    </row>
    <row r="7" spans="1:14" ht="15.75">
      <c r="A7" s="72" t="s">
        <v>676</v>
      </c>
      <c r="B7" s="9" t="s">
        <v>678</v>
      </c>
      <c r="C7" s="603"/>
      <c r="D7" s="371" t="s">
        <v>676</v>
      </c>
      <c r="E7" s="603"/>
      <c r="F7" s="371" t="s">
        <v>676</v>
      </c>
      <c r="G7" s="603"/>
      <c r="H7" s="377"/>
      <c r="I7" s="604"/>
      <c r="J7" s="373"/>
      <c r="K7" s="373"/>
      <c r="L7" s="374"/>
      <c r="M7" s="71"/>
      <c r="N7" s="71"/>
    </row>
    <row r="8" spans="1:14" ht="15.75">
      <c r="A8" s="72" t="s">
        <v>769</v>
      </c>
      <c r="B8" s="9" t="s">
        <v>771</v>
      </c>
      <c r="C8" s="603"/>
      <c r="D8" s="371" t="s">
        <v>769</v>
      </c>
      <c r="E8" s="603"/>
      <c r="F8" s="371" t="s">
        <v>769</v>
      </c>
      <c r="G8" s="603"/>
      <c r="H8" s="377"/>
      <c r="I8" s="604"/>
      <c r="J8" s="373"/>
      <c r="K8" s="373"/>
      <c r="L8" s="374"/>
      <c r="M8" s="71"/>
      <c r="N8" s="71"/>
    </row>
    <row r="9" spans="1:14" ht="15.75">
      <c r="A9" s="72" t="s">
        <v>4432</v>
      </c>
      <c r="B9" s="9" t="s">
        <v>4434</v>
      </c>
      <c r="C9" s="603"/>
      <c r="D9" s="371" t="s">
        <v>4432</v>
      </c>
      <c r="E9" s="603"/>
      <c r="F9" s="371" t="s">
        <v>4432</v>
      </c>
      <c r="G9" s="603"/>
      <c r="H9" s="377"/>
      <c r="I9" s="604"/>
      <c r="J9" s="373"/>
      <c r="K9" s="373"/>
      <c r="L9" s="374"/>
      <c r="M9" s="71"/>
      <c r="N9" s="71"/>
    </row>
    <row r="10" spans="1:14" ht="15.75">
      <c r="A10" s="72" t="s">
        <v>2253</v>
      </c>
      <c r="B10" s="9" t="s">
        <v>2255</v>
      </c>
      <c r="C10" s="603"/>
      <c r="D10" s="371" t="s">
        <v>2253</v>
      </c>
      <c r="E10" s="603"/>
      <c r="F10" s="371" t="s">
        <v>2253</v>
      </c>
      <c r="G10" s="603"/>
      <c r="H10" s="377"/>
      <c r="I10" s="604"/>
      <c r="J10" s="373"/>
      <c r="K10" s="373"/>
      <c r="L10" s="374"/>
      <c r="M10" s="71"/>
      <c r="N10" s="71"/>
    </row>
    <row r="11" spans="1:14" ht="15.75">
      <c r="A11" s="72" t="s">
        <v>2269</v>
      </c>
      <c r="B11" s="9" t="s">
        <v>2271</v>
      </c>
      <c r="C11" s="603"/>
      <c r="D11" s="371" t="s">
        <v>2269</v>
      </c>
      <c r="E11" s="603"/>
      <c r="F11" s="371" t="s">
        <v>2269</v>
      </c>
      <c r="G11" s="603"/>
      <c r="H11" s="377"/>
      <c r="I11" s="604"/>
      <c r="J11" s="373"/>
      <c r="K11" s="373"/>
      <c r="L11" s="374"/>
      <c r="M11" s="71"/>
      <c r="N11" s="71"/>
    </row>
    <row r="12" spans="1:14" ht="15.75">
      <c r="A12" s="72" t="s">
        <v>2279</v>
      </c>
      <c r="B12" s="9" t="s">
        <v>2281</v>
      </c>
      <c r="C12" s="603"/>
      <c r="D12" s="371" t="s">
        <v>2279</v>
      </c>
      <c r="E12" s="603"/>
      <c r="F12" s="371" t="s">
        <v>2279</v>
      </c>
      <c r="G12" s="603"/>
      <c r="H12" s="377"/>
      <c r="I12" s="604"/>
      <c r="J12" s="373"/>
      <c r="K12" s="373"/>
      <c r="L12" s="374"/>
      <c r="M12" s="71"/>
      <c r="N12" s="71"/>
    </row>
    <row r="13" spans="1:14" ht="15.75">
      <c r="A13" s="72" t="s">
        <v>2258</v>
      </c>
      <c r="B13" s="9" t="s">
        <v>2260</v>
      </c>
      <c r="C13" s="603"/>
      <c r="D13" s="371" t="s">
        <v>2258</v>
      </c>
      <c r="E13" s="603"/>
      <c r="F13" s="371" t="s">
        <v>2258</v>
      </c>
      <c r="G13" s="603"/>
      <c r="H13" s="377"/>
      <c r="I13" s="604"/>
      <c r="J13" s="373"/>
      <c r="K13" s="373"/>
      <c r="L13" s="374"/>
      <c r="M13" s="71"/>
      <c r="N13" s="71"/>
    </row>
    <row r="14" spans="1:14" ht="15.75">
      <c r="A14" s="72" t="s">
        <v>2247</v>
      </c>
      <c r="B14" s="9" t="s">
        <v>2249</v>
      </c>
      <c r="C14" s="603"/>
      <c r="D14" s="371" t="s">
        <v>2247</v>
      </c>
      <c r="E14" s="603"/>
      <c r="F14" s="371" t="s">
        <v>2247</v>
      </c>
      <c r="G14" s="603"/>
      <c r="H14" s="377"/>
      <c r="I14" s="604"/>
      <c r="J14" s="373"/>
      <c r="K14" s="373"/>
      <c r="L14" s="374"/>
      <c r="M14" s="71"/>
      <c r="N14" s="71"/>
    </row>
    <row r="15" spans="1:14" ht="15.75">
      <c r="A15" s="72" t="s">
        <v>2242</v>
      </c>
      <c r="B15" s="9" t="s">
        <v>2244</v>
      </c>
      <c r="C15" s="603"/>
      <c r="D15" s="371" t="s">
        <v>2242</v>
      </c>
      <c r="E15" s="603"/>
      <c r="F15" s="371" t="s">
        <v>2242</v>
      </c>
      <c r="G15" s="603"/>
      <c r="H15" s="377"/>
      <c r="I15" s="604"/>
      <c r="J15" s="373"/>
      <c r="K15" s="373"/>
      <c r="L15" s="374"/>
      <c r="M15" s="71"/>
      <c r="N15" s="71"/>
    </row>
    <row r="16" spans="1:14" ht="15.75">
      <c r="A16" s="72" t="s">
        <v>2263</v>
      </c>
      <c r="B16" s="9" t="s">
        <v>2265</v>
      </c>
      <c r="C16" s="603"/>
      <c r="D16" s="371" t="s">
        <v>2263</v>
      </c>
      <c r="E16" s="603"/>
      <c r="F16" s="371" t="s">
        <v>2263</v>
      </c>
      <c r="G16" s="603"/>
      <c r="H16" s="377"/>
      <c r="I16" s="604"/>
      <c r="J16" s="373"/>
      <c r="K16" s="373"/>
      <c r="L16" s="374"/>
      <c r="M16" s="71"/>
      <c r="N16" s="71"/>
    </row>
    <row r="17" spans="1:14" ht="15.75">
      <c r="A17" s="72" t="s">
        <v>2274</v>
      </c>
      <c r="B17" s="9" t="s">
        <v>2276</v>
      </c>
      <c r="C17" s="603"/>
      <c r="D17" s="371" t="s">
        <v>2274</v>
      </c>
      <c r="E17" s="603"/>
      <c r="F17" s="371" t="s">
        <v>2274</v>
      </c>
      <c r="G17" s="603"/>
      <c r="H17" s="377"/>
      <c r="I17" s="604"/>
      <c r="J17" s="373"/>
      <c r="K17" s="373"/>
      <c r="L17" s="374"/>
      <c r="M17" s="71"/>
      <c r="N17" s="71"/>
    </row>
    <row r="18" spans="1:14" ht="15.75">
      <c r="A18" s="72" t="s">
        <v>2056</v>
      </c>
      <c r="B18" s="9" t="s">
        <v>2058</v>
      </c>
      <c r="C18" s="603"/>
      <c r="D18" s="371" t="s">
        <v>2056</v>
      </c>
      <c r="E18" s="603"/>
      <c r="F18" s="371" t="s">
        <v>2056</v>
      </c>
      <c r="G18" s="603"/>
      <c r="H18" s="604"/>
      <c r="I18" s="604"/>
      <c r="J18" s="373"/>
      <c r="K18" s="373"/>
      <c r="L18" s="374"/>
      <c r="M18" s="71"/>
      <c r="N18" s="71"/>
    </row>
    <row r="19" spans="1:14" ht="15.75">
      <c r="A19" s="72" t="s">
        <v>2227</v>
      </c>
      <c r="B19" s="9" t="s">
        <v>2229</v>
      </c>
      <c r="C19" s="603"/>
      <c r="D19" s="371" t="s">
        <v>2227</v>
      </c>
      <c r="E19" s="603"/>
      <c r="F19" s="371" t="s">
        <v>2227</v>
      </c>
      <c r="G19" s="603"/>
      <c r="H19" s="604"/>
      <c r="I19" s="604"/>
      <c r="J19" s="373"/>
      <c r="K19" s="373"/>
      <c r="L19" s="374"/>
      <c r="M19" s="71"/>
      <c r="N19" s="71"/>
    </row>
    <row r="20" spans="1:14" ht="15.75">
      <c r="A20" s="72" t="s">
        <v>2062</v>
      </c>
      <c r="B20" s="9" t="s">
        <v>2064</v>
      </c>
      <c r="C20" s="603"/>
      <c r="D20" s="371" t="s">
        <v>2062</v>
      </c>
      <c r="E20" s="603"/>
      <c r="F20" s="371" t="s">
        <v>2062</v>
      </c>
      <c r="G20" s="603"/>
      <c r="H20" s="604"/>
      <c r="I20" s="604"/>
      <c r="J20" s="373"/>
      <c r="K20" s="373"/>
      <c r="L20" s="374"/>
      <c r="M20" s="71"/>
      <c r="N20" s="71"/>
    </row>
    <row r="21" spans="1:14" ht="15.75">
      <c r="A21" s="72" t="s">
        <v>2067</v>
      </c>
      <c r="B21" s="9" t="s">
        <v>2069</v>
      </c>
      <c r="C21" s="603"/>
      <c r="D21" s="371" t="s">
        <v>2067</v>
      </c>
      <c r="E21" s="603"/>
      <c r="F21" s="371" t="s">
        <v>2067</v>
      </c>
      <c r="G21" s="603"/>
      <c r="H21" s="604"/>
      <c r="I21" s="604"/>
      <c r="J21" s="373"/>
      <c r="K21" s="373"/>
      <c r="L21" s="374"/>
      <c r="M21" s="71"/>
      <c r="N21" s="71"/>
    </row>
    <row r="22" spans="1:14" ht="15.75">
      <c r="A22" s="72" t="s">
        <v>2073</v>
      </c>
      <c r="B22" s="9" t="s">
        <v>2075</v>
      </c>
      <c r="C22" s="603"/>
      <c r="D22" s="371" t="s">
        <v>2073</v>
      </c>
      <c r="E22" s="603"/>
      <c r="F22" s="371" t="s">
        <v>2073</v>
      </c>
      <c r="G22" s="603"/>
      <c r="H22" s="604"/>
      <c r="I22" s="604"/>
      <c r="J22" s="373"/>
      <c r="K22" s="373"/>
      <c r="L22" s="374"/>
      <c r="M22" s="71"/>
      <c r="N22" s="71"/>
    </row>
    <row r="23" spans="1:14" ht="15.75">
      <c r="A23" s="72" t="s">
        <v>2079</v>
      </c>
      <c r="B23" s="9" t="s">
        <v>2081</v>
      </c>
      <c r="C23" s="603"/>
      <c r="D23" s="371" t="s">
        <v>2079</v>
      </c>
      <c r="E23" s="603"/>
      <c r="F23" s="371" t="s">
        <v>2079</v>
      </c>
      <c r="G23" s="603"/>
      <c r="H23" s="604"/>
      <c r="I23" s="604"/>
      <c r="J23" s="373"/>
      <c r="K23" s="373"/>
      <c r="L23" s="374"/>
      <c r="M23" s="71"/>
      <c r="N23" s="71"/>
    </row>
    <row r="24" spans="1:14" ht="15.75">
      <c r="A24" s="72" t="s">
        <v>2084</v>
      </c>
      <c r="B24" s="9" t="s">
        <v>2086</v>
      </c>
      <c r="C24" s="603"/>
      <c r="D24" s="371" t="s">
        <v>2084</v>
      </c>
      <c r="E24" s="603"/>
      <c r="F24" s="371" t="s">
        <v>2084</v>
      </c>
      <c r="G24" s="603"/>
      <c r="H24" s="604"/>
      <c r="I24" s="604"/>
      <c r="J24" s="373"/>
      <c r="K24" s="373"/>
      <c r="L24" s="374"/>
      <c r="M24" s="71"/>
      <c r="N24" s="71"/>
    </row>
    <row r="25" spans="1:14" ht="15.75">
      <c r="A25" s="72" t="s">
        <v>2090</v>
      </c>
      <c r="B25" s="9" t="s">
        <v>2092</v>
      </c>
      <c r="C25" s="603"/>
      <c r="D25" s="371" t="s">
        <v>2090</v>
      </c>
      <c r="E25" s="603"/>
      <c r="F25" s="371" t="s">
        <v>2090</v>
      </c>
      <c r="G25" s="603"/>
      <c r="H25" s="604"/>
      <c r="I25" s="604"/>
      <c r="J25" s="373"/>
      <c r="K25" s="373"/>
      <c r="L25" s="374"/>
      <c r="M25" s="71"/>
      <c r="N25" s="71"/>
    </row>
    <row r="26" spans="1:14" ht="15.75">
      <c r="A26" s="72" t="s">
        <v>2232</v>
      </c>
      <c r="B26" s="9" t="s">
        <v>2234</v>
      </c>
      <c r="C26" s="603"/>
      <c r="D26" s="371" t="s">
        <v>2232</v>
      </c>
      <c r="E26" s="603"/>
      <c r="F26" s="371" t="s">
        <v>2232</v>
      </c>
      <c r="G26" s="603"/>
      <c r="H26" s="604"/>
      <c r="I26" s="604"/>
      <c r="J26" s="373"/>
      <c r="K26" s="373"/>
      <c r="L26" s="374"/>
      <c r="M26" s="71"/>
      <c r="N26" s="71"/>
    </row>
    <row r="27" spans="1:14" ht="15.75">
      <c r="A27" s="72" t="s">
        <v>2095</v>
      </c>
      <c r="B27" s="9" t="s">
        <v>2097</v>
      </c>
      <c r="C27" s="603"/>
      <c r="D27" s="371" t="s">
        <v>2095</v>
      </c>
      <c r="E27" s="603"/>
      <c r="F27" s="371" t="s">
        <v>2095</v>
      </c>
      <c r="G27" s="603"/>
      <c r="H27" s="604"/>
      <c r="I27" s="604"/>
      <c r="J27" s="373"/>
      <c r="K27" s="373"/>
      <c r="L27" s="374"/>
      <c r="M27" s="71"/>
      <c r="N27" s="71"/>
    </row>
    <row r="28" spans="1:14" ht="15.75">
      <c r="A28" s="72" t="s">
        <v>607</v>
      </c>
      <c r="B28" s="9" t="s">
        <v>609</v>
      </c>
      <c r="C28" s="603"/>
      <c r="D28" s="371" t="s">
        <v>607</v>
      </c>
      <c r="E28" s="603"/>
      <c r="F28" s="371" t="s">
        <v>607</v>
      </c>
      <c r="G28" s="603"/>
      <c r="H28" s="604"/>
      <c r="I28" s="604"/>
      <c r="J28" s="373"/>
      <c r="K28" s="373"/>
      <c r="L28" s="374"/>
      <c r="M28" s="71"/>
      <c r="N28" s="71"/>
    </row>
    <row r="29" spans="1:14" ht="15.75">
      <c r="A29" s="72" t="s">
        <v>4555</v>
      </c>
      <c r="B29" s="9" t="s">
        <v>2271</v>
      </c>
      <c r="C29" s="603"/>
      <c r="D29" s="371" t="s">
        <v>4555</v>
      </c>
      <c r="E29" s="603"/>
      <c r="F29" s="371" t="s">
        <v>4555</v>
      </c>
      <c r="G29" s="603"/>
      <c r="H29" s="604"/>
      <c r="I29" s="604"/>
      <c r="J29" s="373"/>
      <c r="K29" s="373"/>
      <c r="L29" s="374"/>
      <c r="M29" s="71"/>
      <c r="N29" s="71"/>
    </row>
    <row r="30" spans="1:14" ht="15.75">
      <c r="A30" s="72" t="s">
        <v>2100</v>
      </c>
      <c r="B30" s="9" t="s">
        <v>2102</v>
      </c>
      <c r="C30" s="603"/>
      <c r="D30" s="371" t="s">
        <v>2100</v>
      </c>
      <c r="E30" s="603"/>
      <c r="F30" s="371" t="s">
        <v>2100</v>
      </c>
      <c r="G30" s="603"/>
      <c r="H30" s="604"/>
      <c r="I30" s="604"/>
      <c r="J30" s="373"/>
      <c r="K30" s="373"/>
      <c r="L30" s="374"/>
      <c r="M30" s="71"/>
      <c r="N30" s="71"/>
    </row>
    <row r="31" spans="1:14" ht="15.75">
      <c r="A31" s="72" t="s">
        <v>655</v>
      </c>
      <c r="B31" s="9" t="s">
        <v>657</v>
      </c>
      <c r="C31" s="603"/>
      <c r="D31" s="371" t="s">
        <v>655</v>
      </c>
      <c r="E31" s="603"/>
      <c r="F31" s="371" t="s">
        <v>655</v>
      </c>
      <c r="G31" s="603"/>
      <c r="H31" s="604"/>
      <c r="I31" s="604"/>
      <c r="J31" s="373"/>
      <c r="K31" s="373"/>
      <c r="L31" s="374"/>
      <c r="M31" s="71"/>
      <c r="N31" s="71"/>
    </row>
    <row r="32" spans="1:14" ht="15.75">
      <c r="A32" s="72" t="s">
        <v>2105</v>
      </c>
      <c r="B32" s="9" t="s">
        <v>2107</v>
      </c>
      <c r="C32" s="603"/>
      <c r="D32" s="371" t="s">
        <v>2105</v>
      </c>
      <c r="E32" s="603"/>
      <c r="F32" s="371" t="s">
        <v>2105</v>
      </c>
      <c r="G32" s="603"/>
      <c r="H32" s="604"/>
      <c r="I32" s="604"/>
      <c r="J32" s="373"/>
      <c r="K32" s="373"/>
      <c r="L32" s="374"/>
      <c r="M32" s="71"/>
      <c r="N32" s="71"/>
    </row>
    <row r="33" spans="1:14" ht="15.75">
      <c r="A33" s="72" t="s">
        <v>2209</v>
      </c>
      <c r="B33" s="9" t="s">
        <v>2211</v>
      </c>
      <c r="C33" s="603"/>
      <c r="D33" s="371" t="s">
        <v>2209</v>
      </c>
      <c r="E33" s="603"/>
      <c r="F33" s="371" t="s">
        <v>2209</v>
      </c>
      <c r="G33" s="603"/>
      <c r="H33" s="604"/>
      <c r="I33" s="604"/>
      <c r="J33" s="373"/>
      <c r="K33" s="373"/>
      <c r="L33" s="374"/>
      <c r="M33" s="71"/>
      <c r="N33" s="71"/>
    </row>
    <row r="34" spans="1:14" ht="15.75">
      <c r="A34" s="72" t="s">
        <v>4560</v>
      </c>
      <c r="B34" s="9" t="s">
        <v>2260</v>
      </c>
      <c r="C34" s="603"/>
      <c r="D34" s="371" t="s">
        <v>4560</v>
      </c>
      <c r="E34" s="603"/>
      <c r="F34" s="371" t="s">
        <v>4560</v>
      </c>
      <c r="G34" s="603"/>
      <c r="H34" s="604"/>
      <c r="I34" s="604"/>
      <c r="J34" s="373"/>
      <c r="K34" s="373"/>
      <c r="L34" s="374"/>
      <c r="M34" s="71"/>
      <c r="N34" s="71"/>
    </row>
    <row r="35" spans="1:14" ht="15.75">
      <c r="A35" s="72" t="s">
        <v>2110</v>
      </c>
      <c r="B35" s="9" t="s">
        <v>2112</v>
      </c>
      <c r="C35" s="603"/>
      <c r="D35" s="371" t="s">
        <v>2110</v>
      </c>
      <c r="E35" s="603"/>
      <c r="F35" s="371" t="s">
        <v>2110</v>
      </c>
      <c r="G35" s="603"/>
      <c r="H35" s="604"/>
      <c r="I35" s="604"/>
      <c r="J35" s="373"/>
      <c r="K35" s="373"/>
      <c r="L35" s="374"/>
      <c r="M35" s="71"/>
      <c r="N35" s="71"/>
    </row>
    <row r="36" spans="1:14" ht="15.75">
      <c r="A36" s="72" t="s">
        <v>4565</v>
      </c>
      <c r="B36" s="9" t="s">
        <v>2244</v>
      </c>
      <c r="C36" s="603"/>
      <c r="D36" s="371" t="s">
        <v>4565</v>
      </c>
      <c r="E36" s="603"/>
      <c r="F36" s="371" t="s">
        <v>4565</v>
      </c>
      <c r="G36" s="603"/>
      <c r="H36" s="604"/>
      <c r="I36" s="604"/>
      <c r="J36" s="373"/>
      <c r="K36" s="373"/>
      <c r="L36" s="374"/>
      <c r="M36" s="71"/>
      <c r="N36" s="71"/>
    </row>
    <row r="37" spans="1:14" ht="15.75">
      <c r="A37" s="72" t="s">
        <v>2116</v>
      </c>
      <c r="B37" s="9" t="s">
        <v>2118</v>
      </c>
      <c r="C37" s="603"/>
      <c r="D37" s="371" t="s">
        <v>2116</v>
      </c>
      <c r="E37" s="603"/>
      <c r="F37" s="371" t="s">
        <v>2116</v>
      </c>
      <c r="G37" s="603"/>
      <c r="H37" s="604"/>
      <c r="I37" s="604"/>
      <c r="J37" s="373"/>
      <c r="K37" s="373"/>
      <c r="L37" s="374"/>
      <c r="M37" s="71"/>
      <c r="N37" s="71"/>
    </row>
    <row r="38" spans="1:14" ht="15.75">
      <c r="A38" s="72" t="s">
        <v>2121</v>
      </c>
      <c r="B38" s="9" t="s">
        <v>2123</v>
      </c>
      <c r="C38" s="603"/>
      <c r="D38" s="371" t="s">
        <v>2121</v>
      </c>
      <c r="E38" s="603"/>
      <c r="F38" s="371" t="s">
        <v>2121</v>
      </c>
      <c r="G38" s="603"/>
      <c r="H38" s="604"/>
      <c r="I38" s="604"/>
      <c r="J38" s="373"/>
      <c r="K38" s="373"/>
      <c r="L38" s="374"/>
      <c r="M38" s="71"/>
      <c r="N38" s="71"/>
    </row>
    <row r="39" spans="1:14" ht="15.75">
      <c r="A39" s="72" t="s">
        <v>2126</v>
      </c>
      <c r="B39" s="9" t="s">
        <v>2128</v>
      </c>
      <c r="C39" s="603"/>
      <c r="D39" s="371" t="s">
        <v>2126</v>
      </c>
      <c r="E39" s="603"/>
      <c r="F39" s="371" t="s">
        <v>2126</v>
      </c>
      <c r="G39" s="603"/>
      <c r="H39" s="604"/>
      <c r="I39" s="604"/>
      <c r="J39" s="373"/>
      <c r="K39" s="373"/>
      <c r="L39" s="374"/>
      <c r="M39" s="71"/>
      <c r="N39" s="71"/>
    </row>
    <row r="40" spans="1:14" ht="15.75">
      <c r="A40" s="72" t="s">
        <v>2132</v>
      </c>
      <c r="B40" s="9" t="s">
        <v>2134</v>
      </c>
      <c r="C40" s="603"/>
      <c r="D40" s="371" t="s">
        <v>2132</v>
      </c>
      <c r="E40" s="603"/>
      <c r="F40" s="371" t="s">
        <v>2132</v>
      </c>
      <c r="G40" s="603"/>
      <c r="H40" s="604"/>
      <c r="I40" s="604"/>
      <c r="J40" s="373"/>
      <c r="K40" s="373"/>
      <c r="L40" s="374"/>
      <c r="M40" s="71"/>
      <c r="N40" s="71"/>
    </row>
    <row r="41" spans="1:14" ht="15.75">
      <c r="A41" s="72" t="s">
        <v>2137</v>
      </c>
      <c r="B41" s="9" t="s">
        <v>2139</v>
      </c>
      <c r="C41" s="603"/>
      <c r="D41" s="371" t="s">
        <v>2137</v>
      </c>
      <c r="E41" s="603"/>
      <c r="F41" s="371" t="s">
        <v>2137</v>
      </c>
      <c r="G41" s="603"/>
      <c r="H41" s="604"/>
      <c r="I41" s="604"/>
      <c r="J41" s="373"/>
      <c r="K41" s="373"/>
      <c r="L41" s="374"/>
      <c r="M41" s="71"/>
      <c r="N41" s="71"/>
    </row>
    <row r="42" spans="1:14" ht="15.75">
      <c r="A42" s="72" t="s">
        <v>612</v>
      </c>
      <c r="B42" s="9" t="s">
        <v>614</v>
      </c>
      <c r="C42" s="603"/>
      <c r="D42" s="371" t="s">
        <v>612</v>
      </c>
      <c r="E42" s="603"/>
      <c r="F42" s="371" t="s">
        <v>612</v>
      </c>
      <c r="G42" s="603"/>
      <c r="H42" s="604"/>
      <c r="I42" s="604"/>
      <c r="J42" s="373"/>
      <c r="K42" s="373"/>
      <c r="L42" s="374"/>
      <c r="M42" s="71"/>
      <c r="N42" s="71"/>
    </row>
    <row r="43" spans="1:14" ht="15.75">
      <c r="A43" s="72" t="s">
        <v>2142</v>
      </c>
      <c r="B43" s="9" t="s">
        <v>2144</v>
      </c>
      <c r="C43" s="603"/>
      <c r="D43" s="371" t="s">
        <v>2142</v>
      </c>
      <c r="E43" s="603"/>
      <c r="F43" s="371" t="s">
        <v>2142</v>
      </c>
      <c r="G43" s="603"/>
      <c r="H43" s="604"/>
      <c r="I43" s="604"/>
      <c r="J43" s="373"/>
      <c r="K43" s="373"/>
      <c r="L43" s="374"/>
      <c r="M43" s="71"/>
      <c r="N43" s="71"/>
    </row>
    <row r="44" spans="1:14" ht="15.75">
      <c r="A44" s="72" t="s">
        <v>2148</v>
      </c>
      <c r="B44" s="9" t="s">
        <v>2150</v>
      </c>
      <c r="C44" s="603"/>
      <c r="D44" s="371" t="s">
        <v>2148</v>
      </c>
      <c r="E44" s="603"/>
      <c r="F44" s="371" t="s">
        <v>2148</v>
      </c>
      <c r="G44" s="603"/>
      <c r="H44" s="604"/>
      <c r="I44" s="604"/>
      <c r="J44" s="373"/>
      <c r="K44" s="373"/>
      <c r="L44" s="374"/>
      <c r="M44" s="71"/>
      <c r="N44" s="71"/>
    </row>
    <row r="45" spans="1:14" ht="15.75">
      <c r="A45" s="72" t="s">
        <v>2154</v>
      </c>
      <c r="B45" s="9" t="s">
        <v>2156</v>
      </c>
      <c r="C45" s="603"/>
      <c r="D45" s="371" t="s">
        <v>2154</v>
      </c>
      <c r="E45" s="603"/>
      <c r="F45" s="371" t="s">
        <v>2154</v>
      </c>
      <c r="G45" s="603"/>
      <c r="H45" s="604"/>
      <c r="I45" s="604"/>
      <c r="J45" s="373"/>
      <c r="K45" s="373"/>
      <c r="L45" s="374"/>
      <c r="M45" s="71"/>
      <c r="N45" s="71"/>
    </row>
    <row r="46" spans="1:14" ht="15.75">
      <c r="A46" s="72" t="s">
        <v>2160</v>
      </c>
      <c r="B46" s="9" t="s">
        <v>2162</v>
      </c>
      <c r="C46" s="603"/>
      <c r="D46" s="371" t="s">
        <v>2160</v>
      </c>
      <c r="E46" s="603"/>
      <c r="F46" s="371" t="s">
        <v>2160</v>
      </c>
      <c r="G46" s="603"/>
      <c r="H46" s="604"/>
      <c r="I46" s="604"/>
      <c r="J46" s="373"/>
      <c r="K46" s="373"/>
      <c r="L46" s="374"/>
      <c r="M46" s="71"/>
      <c r="N46" s="71"/>
    </row>
    <row r="47" spans="1:14" ht="15.75">
      <c r="A47" s="72" t="s">
        <v>2166</v>
      </c>
      <c r="B47" s="9" t="s">
        <v>2168</v>
      </c>
      <c r="C47" s="603"/>
      <c r="D47" s="371" t="s">
        <v>2166</v>
      </c>
      <c r="E47" s="603"/>
      <c r="F47" s="371" t="s">
        <v>2166</v>
      </c>
      <c r="G47" s="603"/>
      <c r="H47" s="604"/>
      <c r="I47" s="604"/>
      <c r="J47" s="373"/>
      <c r="K47" s="373"/>
      <c r="L47" s="374"/>
      <c r="M47" s="71"/>
      <c r="N47" s="71"/>
    </row>
    <row r="48" spans="1:14" ht="15.75">
      <c r="A48" s="72" t="s">
        <v>2173</v>
      </c>
      <c r="B48" s="9" t="s">
        <v>2175</v>
      </c>
      <c r="C48" s="603"/>
      <c r="D48" s="371" t="s">
        <v>2173</v>
      </c>
      <c r="E48" s="603"/>
      <c r="F48" s="371" t="s">
        <v>2173</v>
      </c>
      <c r="G48" s="603"/>
      <c r="H48" s="604"/>
      <c r="I48" s="604"/>
      <c r="J48" s="373"/>
      <c r="K48" s="373"/>
      <c r="L48" s="374"/>
      <c r="M48" s="71"/>
      <c r="N48" s="71"/>
    </row>
    <row r="49" spans="1:14" ht="15.75">
      <c r="A49" s="72" t="s">
        <v>2180</v>
      </c>
      <c r="B49" s="9" t="s">
        <v>2182</v>
      </c>
      <c r="C49" s="603"/>
      <c r="D49" s="371" t="s">
        <v>2180</v>
      </c>
      <c r="E49" s="603"/>
      <c r="F49" s="371" t="s">
        <v>2180</v>
      </c>
      <c r="G49" s="603"/>
      <c r="H49" s="604"/>
      <c r="I49" s="604"/>
      <c r="J49" s="373"/>
      <c r="K49" s="373"/>
      <c r="L49" s="374"/>
      <c r="M49" s="71"/>
      <c r="N49" s="71"/>
    </row>
    <row r="50" spans="1:14" ht="15.75">
      <c r="A50" s="72" t="s">
        <v>2186</v>
      </c>
      <c r="B50" s="9" t="s">
        <v>2188</v>
      </c>
      <c r="C50" s="603"/>
      <c r="D50" s="371" t="s">
        <v>2186</v>
      </c>
      <c r="E50" s="603"/>
      <c r="F50" s="371" t="s">
        <v>2186</v>
      </c>
      <c r="G50" s="603"/>
      <c r="H50" s="604"/>
      <c r="I50" s="604"/>
      <c r="J50" s="373"/>
      <c r="K50" s="373"/>
      <c r="L50" s="374"/>
      <c r="M50" s="71"/>
      <c r="N50" s="71"/>
    </row>
    <row r="51" spans="1:14" ht="15.75">
      <c r="A51" s="72" t="s">
        <v>2192</v>
      </c>
      <c r="B51" s="9" t="s">
        <v>2194</v>
      </c>
      <c r="C51" s="603"/>
      <c r="D51" s="371" t="s">
        <v>2192</v>
      </c>
      <c r="E51" s="603"/>
      <c r="F51" s="371" t="s">
        <v>2192</v>
      </c>
      <c r="G51" s="603"/>
      <c r="H51" s="604"/>
      <c r="I51" s="604"/>
      <c r="J51" s="373"/>
      <c r="K51" s="373"/>
      <c r="L51" s="374"/>
      <c r="M51" s="71"/>
      <c r="N51" s="71"/>
    </row>
    <row r="52" spans="1:14" ht="15.75">
      <c r="A52" s="72" t="s">
        <v>2198</v>
      </c>
      <c r="B52" s="9" t="s">
        <v>2200</v>
      </c>
      <c r="C52" s="603"/>
      <c r="D52" s="371" t="s">
        <v>2198</v>
      </c>
      <c r="E52" s="603"/>
      <c r="F52" s="371" t="s">
        <v>2198</v>
      </c>
      <c r="G52" s="603"/>
      <c r="H52" s="604"/>
      <c r="I52" s="604"/>
      <c r="J52" s="373"/>
      <c r="K52" s="373"/>
      <c r="L52" s="374"/>
      <c r="M52" s="71"/>
      <c r="N52" s="71"/>
    </row>
    <row r="53" spans="1:14" ht="15.75">
      <c r="A53" s="72" t="s">
        <v>2203</v>
      </c>
      <c r="B53" s="9" t="s">
        <v>2205</v>
      </c>
      <c r="C53" s="603"/>
      <c r="D53" s="371" t="s">
        <v>2203</v>
      </c>
      <c r="E53" s="603"/>
      <c r="F53" s="371" t="s">
        <v>2203</v>
      </c>
      <c r="G53" s="603"/>
      <c r="H53" s="604"/>
      <c r="I53" s="604"/>
      <c r="J53" s="373"/>
      <c r="K53" s="373"/>
      <c r="L53" s="374"/>
      <c r="M53" s="71"/>
      <c r="N53" s="71"/>
    </row>
    <row r="54" spans="1:14" ht="15.75">
      <c r="A54" s="72" t="s">
        <v>617</v>
      </c>
      <c r="B54" s="9" t="s">
        <v>619</v>
      </c>
      <c r="C54" s="603"/>
      <c r="D54" s="371" t="s">
        <v>617</v>
      </c>
      <c r="E54" s="603"/>
      <c r="F54" s="371" t="s">
        <v>617</v>
      </c>
      <c r="G54" s="78"/>
      <c r="H54" s="604"/>
      <c r="I54" s="604"/>
      <c r="J54" s="373"/>
      <c r="K54" s="373"/>
      <c r="L54" s="374"/>
      <c r="M54" s="71"/>
      <c r="N54" s="71"/>
    </row>
    <row r="55" spans="1:14" ht="15.75">
      <c r="A55" s="72" t="s">
        <v>1225</v>
      </c>
      <c r="B55" s="9" t="s">
        <v>1227</v>
      </c>
      <c r="C55" s="603"/>
      <c r="D55" s="371" t="s">
        <v>1225</v>
      </c>
      <c r="E55" s="603"/>
      <c r="F55" s="371" t="s">
        <v>1225</v>
      </c>
      <c r="G55" s="78"/>
      <c r="H55" s="604"/>
      <c r="I55" s="604"/>
      <c r="J55" s="373"/>
      <c r="K55" s="373"/>
      <c r="L55" s="374"/>
      <c r="M55" s="71"/>
      <c r="N55" s="71"/>
    </row>
    <row r="56" spans="1:14" ht="15.75">
      <c r="A56" s="72" t="s">
        <v>4616</v>
      </c>
      <c r="B56" s="9" t="s">
        <v>4618</v>
      </c>
      <c r="C56" s="605" t="s">
        <v>5401</v>
      </c>
      <c r="D56" s="378" t="s">
        <v>5402</v>
      </c>
      <c r="E56" s="605"/>
      <c r="F56" s="378" t="s">
        <v>5402</v>
      </c>
      <c r="G56" s="379"/>
      <c r="H56" s="604"/>
      <c r="I56" s="604"/>
      <c r="J56" s="373"/>
      <c r="K56" s="373"/>
      <c r="L56" s="374"/>
      <c r="M56" s="71"/>
      <c r="N56" s="71"/>
    </row>
    <row r="57" spans="1:14" ht="15.75">
      <c r="A57" s="72" t="s">
        <v>4638</v>
      </c>
      <c r="B57" s="9" t="s">
        <v>4640</v>
      </c>
      <c r="C57" s="605" t="s">
        <v>5401</v>
      </c>
      <c r="D57" s="378" t="s">
        <v>5402</v>
      </c>
      <c r="E57" s="605"/>
      <c r="F57" s="378" t="s">
        <v>5402</v>
      </c>
      <c r="G57" s="380"/>
      <c r="H57" s="604"/>
      <c r="I57" s="604"/>
      <c r="J57" s="373"/>
      <c r="K57" s="373"/>
      <c r="L57" s="374"/>
      <c r="M57" s="71"/>
      <c r="N57" s="71"/>
    </row>
    <row r="58" spans="1:14" ht="15.75">
      <c r="A58" s="72" t="s">
        <v>1890</v>
      </c>
      <c r="B58" s="9" t="s">
        <v>1892</v>
      </c>
      <c r="C58" s="603"/>
      <c r="D58" s="371" t="s">
        <v>1890</v>
      </c>
      <c r="E58" s="603"/>
      <c r="F58" s="371" t="s">
        <v>1890</v>
      </c>
      <c r="G58" s="78"/>
      <c r="H58" s="604"/>
      <c r="I58" s="604"/>
      <c r="J58" s="373"/>
      <c r="K58" s="373"/>
      <c r="L58" s="374"/>
      <c r="M58" s="71"/>
      <c r="N58" s="71"/>
    </row>
    <row r="59" spans="1:14" ht="15.75">
      <c r="A59" s="72" t="s">
        <v>1231</v>
      </c>
      <c r="B59" s="9" t="s">
        <v>1233</v>
      </c>
      <c r="C59" s="603"/>
      <c r="D59" s="371" t="s">
        <v>1231</v>
      </c>
      <c r="E59" s="603"/>
      <c r="F59" s="371" t="s">
        <v>1231</v>
      </c>
      <c r="G59" s="57"/>
      <c r="H59" s="604"/>
      <c r="I59" s="604"/>
      <c r="J59" s="373"/>
      <c r="K59" s="373"/>
      <c r="L59" s="374"/>
      <c r="M59" s="71"/>
      <c r="N59" s="71"/>
    </row>
    <row r="60" spans="1:14" ht="15.75">
      <c r="A60" s="72" t="s">
        <v>1236</v>
      </c>
      <c r="B60" s="9" t="s">
        <v>1238</v>
      </c>
      <c r="C60" s="603"/>
      <c r="D60" s="371" t="s">
        <v>1236</v>
      </c>
      <c r="E60" s="603"/>
      <c r="F60" s="371" t="s">
        <v>1236</v>
      </c>
      <c r="G60" s="78"/>
      <c r="H60" s="604"/>
      <c r="I60" s="604"/>
      <c r="J60" s="373"/>
      <c r="K60" s="373"/>
      <c r="L60" s="374"/>
      <c r="M60" s="71"/>
      <c r="N60" s="71"/>
    </row>
    <row r="61" spans="1:14" ht="15.75">
      <c r="A61" s="72" t="s">
        <v>4622</v>
      </c>
      <c r="B61" s="9" t="s">
        <v>4624</v>
      </c>
      <c r="C61" s="605" t="s">
        <v>5403</v>
      </c>
      <c r="D61" s="378" t="s">
        <v>5402</v>
      </c>
      <c r="E61" s="605"/>
      <c r="F61" s="378" t="s">
        <v>5402</v>
      </c>
      <c r="G61" s="380"/>
      <c r="H61" s="604"/>
      <c r="I61" s="604"/>
      <c r="J61" s="373"/>
      <c r="K61" s="373"/>
      <c r="L61" s="374"/>
      <c r="M61" s="71"/>
      <c r="N61" s="71"/>
    </row>
    <row r="62" spans="1:14" ht="45.75">
      <c r="A62" s="72" t="s">
        <v>2811</v>
      </c>
      <c r="B62" s="9" t="s">
        <v>2813</v>
      </c>
      <c r="C62" s="606" t="s">
        <v>5404</v>
      </c>
      <c r="D62" s="381" t="s">
        <v>5402</v>
      </c>
      <c r="E62" s="607"/>
      <c r="F62" s="381" t="s">
        <v>5402</v>
      </c>
      <c r="G62" s="382"/>
      <c r="H62" s="604"/>
      <c r="I62" s="604"/>
      <c r="J62" s="373"/>
      <c r="K62" s="373"/>
      <c r="L62" s="374"/>
      <c r="M62" s="71"/>
      <c r="N62" s="71"/>
    </row>
    <row r="63" spans="1:14" ht="15.75">
      <c r="A63" s="72" t="s">
        <v>4626</v>
      </c>
      <c r="B63" s="9" t="s">
        <v>4628</v>
      </c>
      <c r="C63" s="605" t="s">
        <v>5403</v>
      </c>
      <c r="D63" s="378" t="s">
        <v>5402</v>
      </c>
      <c r="E63" s="605"/>
      <c r="F63" s="378" t="s">
        <v>5402</v>
      </c>
      <c r="G63" s="380"/>
      <c r="H63" s="604"/>
      <c r="I63" s="604"/>
      <c r="J63" s="373"/>
      <c r="K63" s="373"/>
      <c r="L63" s="374"/>
      <c r="M63" s="71"/>
      <c r="N63" s="71"/>
    </row>
    <row r="64" spans="1:14" ht="15.75">
      <c r="A64" s="72" t="s">
        <v>623</v>
      </c>
      <c r="B64" s="9" t="s">
        <v>625</v>
      </c>
      <c r="C64" s="603"/>
      <c r="D64" s="371" t="s">
        <v>623</v>
      </c>
      <c r="E64" s="603"/>
      <c r="F64" s="371" t="s">
        <v>623</v>
      </c>
      <c r="G64" s="78"/>
      <c r="H64" s="604"/>
      <c r="I64" s="604"/>
      <c r="J64" s="373"/>
      <c r="K64" s="373"/>
      <c r="L64" s="374"/>
      <c r="M64" s="71"/>
      <c r="N64" s="71"/>
    </row>
    <row r="65" spans="1:14" ht="15.75">
      <c r="A65" s="72" t="s">
        <v>2214</v>
      </c>
      <c r="B65" s="9" t="s">
        <v>2216</v>
      </c>
      <c r="C65" s="603"/>
      <c r="D65" s="371" t="s">
        <v>2214</v>
      </c>
      <c r="E65" s="603"/>
      <c r="F65" s="371" t="s">
        <v>2214</v>
      </c>
      <c r="G65" s="78"/>
      <c r="H65" s="604"/>
      <c r="I65" s="604"/>
      <c r="J65" s="373"/>
      <c r="K65" s="373"/>
      <c r="L65" s="374"/>
      <c r="M65" s="71"/>
      <c r="N65" s="71"/>
    </row>
    <row r="66" spans="1:14" ht="15.75">
      <c r="A66" s="72" t="s">
        <v>628</v>
      </c>
      <c r="B66" s="9" t="s">
        <v>630</v>
      </c>
      <c r="C66" s="603"/>
      <c r="D66" s="371" t="s">
        <v>628</v>
      </c>
      <c r="E66" s="603"/>
      <c r="F66" s="371" t="s">
        <v>628</v>
      </c>
      <c r="G66" s="78"/>
      <c r="H66" s="604"/>
      <c r="I66" s="604"/>
      <c r="J66" s="373"/>
      <c r="K66" s="373"/>
      <c r="L66" s="374"/>
      <c r="M66" s="71"/>
      <c r="N66" s="71"/>
    </row>
    <row r="67" spans="1:14" ht="15.75">
      <c r="A67" s="72" t="s">
        <v>590</v>
      </c>
      <c r="B67" s="9" t="s">
        <v>592</v>
      </c>
      <c r="C67" s="603"/>
      <c r="D67" s="371" t="s">
        <v>590</v>
      </c>
      <c r="E67" s="603"/>
      <c r="F67" s="371" t="s">
        <v>590</v>
      </c>
      <c r="G67" s="78"/>
      <c r="H67" s="604"/>
      <c r="I67" s="604"/>
      <c r="J67" s="373"/>
      <c r="K67" s="373"/>
      <c r="L67" s="374"/>
      <c r="M67" s="71"/>
      <c r="N67" s="71"/>
    </row>
    <row r="68" spans="1:14" ht="15.75">
      <c r="A68" s="72" t="s">
        <v>596</v>
      </c>
      <c r="B68" s="9" t="s">
        <v>598</v>
      </c>
      <c r="C68" s="603"/>
      <c r="D68" s="371" t="s">
        <v>596</v>
      </c>
      <c r="E68" s="603"/>
      <c r="F68" s="371" t="s">
        <v>596</v>
      </c>
      <c r="G68" s="78"/>
      <c r="H68" s="604"/>
      <c r="I68" s="604"/>
      <c r="J68" s="373"/>
      <c r="K68" s="373"/>
      <c r="L68" s="374"/>
      <c r="M68" s="71"/>
      <c r="N68" s="71"/>
    </row>
    <row r="69" spans="1:14" ht="15.75">
      <c r="A69" s="72" t="s">
        <v>602</v>
      </c>
      <c r="B69" s="9" t="s">
        <v>604</v>
      </c>
      <c r="C69" s="603"/>
      <c r="D69" s="371" t="s">
        <v>602</v>
      </c>
      <c r="E69" s="603"/>
      <c r="F69" s="371" t="s">
        <v>602</v>
      </c>
      <c r="G69" s="78"/>
      <c r="H69" s="604"/>
      <c r="I69" s="604"/>
      <c r="J69" s="373"/>
      <c r="K69" s="373"/>
      <c r="L69" s="374"/>
      <c r="M69" s="71"/>
      <c r="N69" s="71"/>
    </row>
    <row r="70" spans="1:14" ht="15.75">
      <c r="A70" s="72" t="s">
        <v>4476</v>
      </c>
      <c r="B70" s="9" t="s">
        <v>2255</v>
      </c>
      <c r="C70" s="603"/>
      <c r="D70" s="371" t="s">
        <v>4476</v>
      </c>
      <c r="E70" s="603"/>
      <c r="F70" s="371" t="s">
        <v>4476</v>
      </c>
      <c r="G70" s="78"/>
      <c r="H70" s="604"/>
      <c r="I70" s="604"/>
      <c r="J70" s="373"/>
      <c r="K70" s="373"/>
      <c r="L70" s="71"/>
      <c r="M70" s="71"/>
      <c r="N70" s="71"/>
    </row>
    <row r="71" spans="1:14" ht="15.75">
      <c r="A71" s="72" t="s">
        <v>1639</v>
      </c>
      <c r="B71" s="9" t="s">
        <v>1641</v>
      </c>
      <c r="C71" s="603"/>
      <c r="D71" s="371" t="s">
        <v>1639</v>
      </c>
      <c r="E71" s="603"/>
      <c r="F71" s="371" t="s">
        <v>1639</v>
      </c>
      <c r="G71" s="78"/>
      <c r="H71" s="604"/>
      <c r="I71" s="604"/>
      <c r="J71" s="71"/>
      <c r="K71" s="383"/>
      <c r="L71" s="71"/>
      <c r="M71" s="71"/>
      <c r="N71" s="71"/>
    </row>
    <row r="72" spans="1:14" ht="15.75">
      <c r="A72" s="72" t="s">
        <v>1820</v>
      </c>
      <c r="B72" s="9" t="s">
        <v>1822</v>
      </c>
      <c r="C72" s="603"/>
      <c r="D72" s="371" t="s">
        <v>1820</v>
      </c>
      <c r="E72" s="603"/>
      <c r="F72" s="371" t="s">
        <v>1820</v>
      </c>
      <c r="G72" s="78"/>
      <c r="H72" s="604"/>
      <c r="I72" s="604"/>
      <c r="J72" s="71"/>
      <c r="K72" s="383"/>
      <c r="L72" s="71"/>
      <c r="M72" s="71"/>
      <c r="N72" s="71"/>
    </row>
    <row r="73" spans="1:14" ht="15.75">
      <c r="A73" s="72" t="s">
        <v>1263</v>
      </c>
      <c r="B73" s="9" t="s">
        <v>1265</v>
      </c>
      <c r="C73" s="603"/>
      <c r="D73" s="371" t="s">
        <v>1263</v>
      </c>
      <c r="E73" s="603"/>
      <c r="F73" s="371" t="s">
        <v>1263</v>
      </c>
      <c r="G73" s="78"/>
      <c r="H73" s="604"/>
      <c r="I73" s="604"/>
      <c r="J73" s="71"/>
      <c r="K73" s="383"/>
      <c r="L73" s="71"/>
      <c r="M73" s="71"/>
      <c r="N73" s="71"/>
    </row>
    <row r="74" spans="1:14" ht="15.75">
      <c r="A74" s="72" t="s">
        <v>1645</v>
      </c>
      <c r="B74" s="9" t="s">
        <v>1647</v>
      </c>
      <c r="C74" s="603"/>
      <c r="D74" s="371" t="s">
        <v>1645</v>
      </c>
      <c r="E74" s="603"/>
      <c r="F74" s="371" t="s">
        <v>1645</v>
      </c>
      <c r="G74" s="78"/>
      <c r="H74" s="604"/>
      <c r="I74" s="604"/>
      <c r="J74" s="71"/>
      <c r="K74" s="383"/>
      <c r="L74" s="71"/>
      <c r="M74" s="71"/>
      <c r="N74" s="71"/>
    </row>
    <row r="75" spans="1:14">
      <c r="A75" s="72" t="s">
        <v>1269</v>
      </c>
      <c r="B75" s="9" t="s">
        <v>1271</v>
      </c>
      <c r="C75" s="603"/>
      <c r="D75" s="371" t="s">
        <v>1269</v>
      </c>
      <c r="E75" s="603"/>
      <c r="F75" s="371" t="s">
        <v>1269</v>
      </c>
      <c r="G75" s="371"/>
      <c r="H75" s="604"/>
      <c r="I75" s="604"/>
      <c r="J75" s="71"/>
      <c r="K75" s="383"/>
      <c r="L75" s="71"/>
      <c r="M75" s="71"/>
      <c r="N75" s="71"/>
    </row>
    <row r="76" spans="1:14">
      <c r="A76" s="72" t="s">
        <v>1912</v>
      </c>
      <c r="B76" s="9" t="s">
        <v>295</v>
      </c>
      <c r="C76" s="603"/>
      <c r="D76" s="371" t="s">
        <v>1912</v>
      </c>
      <c r="E76" s="603"/>
      <c r="F76" s="371" t="s">
        <v>1912</v>
      </c>
      <c r="G76" s="371" t="s">
        <v>5405</v>
      </c>
      <c r="H76" s="604"/>
      <c r="I76" s="604"/>
      <c r="J76" s="384"/>
      <c r="K76" s="383"/>
      <c r="L76" s="71"/>
      <c r="M76" s="71"/>
      <c r="N76" s="71"/>
    </row>
    <row r="77" spans="1:14">
      <c r="A77" s="72" t="s">
        <v>4608</v>
      </c>
      <c r="B77" s="9" t="s">
        <v>1931</v>
      </c>
      <c r="C77" s="603"/>
      <c r="D77" s="371" t="s">
        <v>4608</v>
      </c>
      <c r="E77" s="603"/>
      <c r="F77" s="371" t="s">
        <v>4608</v>
      </c>
      <c r="G77" s="371"/>
      <c r="H77" s="604"/>
      <c r="I77" s="604"/>
      <c r="J77" s="384"/>
      <c r="K77" s="383"/>
      <c r="L77" s="71"/>
      <c r="M77" s="71"/>
      <c r="N77" s="71"/>
    </row>
    <row r="78" spans="1:14">
      <c r="A78" s="72" t="s">
        <v>1929</v>
      </c>
      <c r="B78" s="9" t="s">
        <v>1931</v>
      </c>
      <c r="C78" s="603"/>
      <c r="D78" s="371" t="s">
        <v>1929</v>
      </c>
      <c r="E78" s="603"/>
      <c r="F78" s="371" t="s">
        <v>1929</v>
      </c>
      <c r="G78" s="371"/>
      <c r="H78" s="604"/>
      <c r="I78" s="604"/>
      <c r="J78" s="384"/>
      <c r="K78" s="383"/>
      <c r="L78" s="71"/>
      <c r="M78" s="71"/>
      <c r="N78" s="71"/>
    </row>
    <row r="79" spans="1:14">
      <c r="A79" s="72" t="s">
        <v>1826</v>
      </c>
      <c r="B79" s="9" t="s">
        <v>1828</v>
      </c>
      <c r="C79" s="603"/>
      <c r="D79" s="371" t="s">
        <v>1826</v>
      </c>
      <c r="E79" s="603"/>
      <c r="F79" s="371" t="s">
        <v>1826</v>
      </c>
      <c r="G79" s="371"/>
      <c r="H79" s="604"/>
      <c r="I79" s="604"/>
      <c r="J79" s="384"/>
      <c r="K79" s="383"/>
      <c r="L79" s="71"/>
      <c r="M79" s="71"/>
      <c r="N79" s="71"/>
    </row>
    <row r="80" spans="1:14">
      <c r="A80" s="72" t="s">
        <v>1651</v>
      </c>
      <c r="B80" s="9" t="s">
        <v>295</v>
      </c>
      <c r="C80" s="603"/>
      <c r="D80" s="371" t="s">
        <v>1651</v>
      </c>
      <c r="E80" s="603"/>
      <c r="F80" s="371" t="s">
        <v>1651</v>
      </c>
      <c r="G80" s="371" t="s">
        <v>5406</v>
      </c>
      <c r="H80" s="604"/>
      <c r="I80" s="604"/>
      <c r="J80" s="71"/>
      <c r="K80" s="383"/>
      <c r="L80" s="71"/>
      <c r="M80" s="71"/>
      <c r="N80" s="71"/>
    </row>
    <row r="81" spans="1:14">
      <c r="A81" s="72" t="s">
        <v>1654</v>
      </c>
      <c r="B81" s="9" t="s">
        <v>1083</v>
      </c>
      <c r="C81" s="603"/>
      <c r="D81" s="371" t="s">
        <v>1654</v>
      </c>
      <c r="E81" s="603"/>
      <c r="F81" s="371" t="s">
        <v>1654</v>
      </c>
      <c r="G81" s="371" t="s">
        <v>5407</v>
      </c>
      <c r="H81" s="604"/>
      <c r="I81" s="604"/>
      <c r="J81" s="71"/>
      <c r="K81" s="383"/>
      <c r="L81" s="71"/>
      <c r="M81" s="71"/>
      <c r="N81" s="71"/>
    </row>
    <row r="82" spans="1:14" ht="15.75">
      <c r="A82" s="72" t="s">
        <v>2295</v>
      </c>
      <c r="B82" s="9" t="s">
        <v>2297</v>
      </c>
      <c r="C82" s="603"/>
      <c r="D82" s="78" t="s">
        <v>2295</v>
      </c>
      <c r="E82" s="371"/>
      <c r="F82" s="371" t="s">
        <v>2295</v>
      </c>
      <c r="G82" s="78"/>
      <c r="H82" s="604"/>
      <c r="I82" s="604"/>
      <c r="J82" s="71"/>
      <c r="K82" s="383"/>
      <c r="L82" s="71"/>
      <c r="M82" s="71"/>
      <c r="N82" s="71"/>
    </row>
    <row r="83" spans="1:14" ht="15.75">
      <c r="A83" s="72" t="s">
        <v>2302</v>
      </c>
      <c r="B83" s="9" t="s">
        <v>2304</v>
      </c>
      <c r="C83" s="603"/>
      <c r="D83" s="78" t="s">
        <v>2302</v>
      </c>
      <c r="E83" s="371"/>
      <c r="F83" s="371" t="s">
        <v>2302</v>
      </c>
      <c r="G83" s="78"/>
      <c r="H83" s="604"/>
      <c r="I83" s="604"/>
      <c r="J83" s="71"/>
      <c r="K83" s="383"/>
      <c r="L83" s="71"/>
      <c r="M83" s="71"/>
      <c r="N83" s="71"/>
    </row>
    <row r="84" spans="1:14" ht="15.75">
      <c r="A84" s="72" t="s">
        <v>4546</v>
      </c>
      <c r="B84" s="9" t="s">
        <v>4543</v>
      </c>
      <c r="C84" s="603"/>
      <c r="D84" s="78" t="s">
        <v>4546</v>
      </c>
      <c r="E84" s="371"/>
      <c r="F84" s="371" t="s">
        <v>4546</v>
      </c>
      <c r="G84" s="78"/>
      <c r="H84" s="385"/>
      <c r="I84" s="604"/>
      <c r="J84" s="386"/>
      <c r="K84" s="383"/>
      <c r="L84" s="71"/>
      <c r="M84" s="71"/>
      <c r="N84" s="71"/>
    </row>
    <row r="85" spans="1:14" ht="15.75">
      <c r="A85" s="72" t="s">
        <v>2561</v>
      </c>
      <c r="B85" s="9" t="s">
        <v>2563</v>
      </c>
      <c r="C85" s="603"/>
      <c r="D85" s="78" t="s">
        <v>2561</v>
      </c>
      <c r="E85" s="371"/>
      <c r="F85" s="371" t="s">
        <v>2561</v>
      </c>
      <c r="G85" s="78"/>
      <c r="H85" s="385"/>
      <c r="I85" s="604"/>
      <c r="J85" s="71"/>
      <c r="K85" s="383"/>
      <c r="L85" s="71"/>
      <c r="M85" s="71"/>
      <c r="N85" s="71"/>
    </row>
    <row r="86" spans="1:14" ht="15.75">
      <c r="A86" s="72" t="s">
        <v>2718</v>
      </c>
      <c r="B86" s="9" t="s">
        <v>2720</v>
      </c>
      <c r="C86" s="387"/>
      <c r="D86" s="371" t="s">
        <v>2718</v>
      </c>
      <c r="E86" s="603"/>
      <c r="F86" s="371" t="s">
        <v>2718</v>
      </c>
      <c r="G86" s="78"/>
      <c r="H86" s="385"/>
      <c r="I86" s="604"/>
      <c r="J86" s="71"/>
      <c r="K86" s="383"/>
      <c r="L86" s="71"/>
      <c r="M86" s="71"/>
      <c r="N86" s="71"/>
    </row>
    <row r="87" spans="1:14" ht="15.75">
      <c r="A87" s="72" t="s">
        <v>2724</v>
      </c>
      <c r="B87" s="9" t="s">
        <v>2726</v>
      </c>
      <c r="C87" s="387"/>
      <c r="D87" s="371" t="s">
        <v>2724</v>
      </c>
      <c r="E87" s="603"/>
      <c r="F87" s="371" t="s">
        <v>2724</v>
      </c>
      <c r="G87" s="78"/>
      <c r="H87" s="385"/>
      <c r="I87" s="604"/>
      <c r="J87" s="71"/>
      <c r="K87" s="383"/>
      <c r="L87" s="71"/>
      <c r="M87" s="71"/>
      <c r="N87" s="71"/>
    </row>
    <row r="88" spans="1:14" ht="15.75">
      <c r="A88" s="72" t="s">
        <v>2729</v>
      </c>
      <c r="B88" s="9" t="s">
        <v>2731</v>
      </c>
      <c r="C88" s="387"/>
      <c r="D88" s="371" t="s">
        <v>2729</v>
      </c>
      <c r="E88" s="603"/>
      <c r="F88" s="371" t="s">
        <v>2729</v>
      </c>
      <c r="G88" s="78"/>
      <c r="H88" s="385"/>
      <c r="I88" s="604"/>
      <c r="J88" s="71"/>
      <c r="K88" s="383"/>
      <c r="L88" s="71"/>
      <c r="M88" s="71"/>
      <c r="N88" s="71"/>
    </row>
    <row r="89" spans="1:14" ht="15.75">
      <c r="A89" s="72" t="s">
        <v>2739</v>
      </c>
      <c r="B89" s="9" t="s">
        <v>2741</v>
      </c>
      <c r="C89" s="387"/>
      <c r="D89" s="371" t="s">
        <v>2739</v>
      </c>
      <c r="E89" s="603"/>
      <c r="F89" s="371" t="s">
        <v>2739</v>
      </c>
      <c r="G89" s="78"/>
      <c r="H89" s="385"/>
      <c r="I89" s="604"/>
      <c r="J89" s="71"/>
      <c r="K89" s="383"/>
      <c r="L89" s="71"/>
      <c r="M89" s="71"/>
      <c r="N89" s="71"/>
    </row>
    <row r="90" spans="1:14" ht="15.75">
      <c r="A90" s="72" t="s">
        <v>4256</v>
      </c>
      <c r="B90" s="9" t="s">
        <v>4258</v>
      </c>
      <c r="C90" s="603"/>
      <c r="D90" s="371" t="s">
        <v>5408</v>
      </c>
      <c r="E90" s="371"/>
      <c r="F90" s="371" t="s">
        <v>5408</v>
      </c>
      <c r="G90" s="603"/>
      <c r="H90" s="385"/>
      <c r="I90" s="604"/>
      <c r="J90" s="71"/>
      <c r="K90" s="383"/>
      <c r="L90" s="71"/>
      <c r="M90" s="71"/>
      <c r="N90" s="71"/>
    </row>
    <row r="91" spans="1:14" ht="15.75">
      <c r="A91" s="72" t="s">
        <v>3726</v>
      </c>
      <c r="B91" s="9" t="s">
        <v>812</v>
      </c>
      <c r="C91" s="603"/>
      <c r="D91" s="603" t="s">
        <v>3726</v>
      </c>
      <c r="E91" s="371"/>
      <c r="F91" s="371" t="s">
        <v>3726</v>
      </c>
      <c r="G91" s="603"/>
      <c r="H91" s="385"/>
      <c r="I91" s="604"/>
      <c r="J91" s="71"/>
      <c r="K91" s="383"/>
      <c r="L91" s="71"/>
      <c r="M91" s="71"/>
      <c r="N91" s="71"/>
    </row>
    <row r="92" spans="1:14" ht="15.75">
      <c r="A92" s="72" t="s">
        <v>2432</v>
      </c>
      <c r="B92" s="9" t="s">
        <v>2434</v>
      </c>
      <c r="C92" s="603"/>
      <c r="D92" s="603" t="s">
        <v>2432</v>
      </c>
      <c r="E92" s="371"/>
      <c r="F92" s="371" t="s">
        <v>2432</v>
      </c>
      <c r="G92" s="603"/>
      <c r="H92" s="385"/>
      <c r="I92" s="604"/>
      <c r="J92" s="71"/>
      <c r="K92" s="383"/>
      <c r="L92" s="71"/>
      <c r="M92" s="71"/>
      <c r="N92" s="71"/>
    </row>
    <row r="93" spans="1:14" ht="15.75">
      <c r="A93" s="72" t="s">
        <v>2437</v>
      </c>
      <c r="B93" s="9" t="s">
        <v>2439</v>
      </c>
      <c r="C93" s="603"/>
      <c r="D93" s="603" t="s">
        <v>2437</v>
      </c>
      <c r="E93" s="371"/>
      <c r="F93" s="371" t="s">
        <v>2437</v>
      </c>
      <c r="G93" s="603"/>
      <c r="H93" s="385"/>
      <c r="I93" s="604"/>
      <c r="J93" s="71"/>
      <c r="K93" s="383"/>
      <c r="L93" s="71"/>
      <c r="M93" s="71"/>
      <c r="N93" s="71"/>
    </row>
    <row r="94" spans="1:14" ht="15.75">
      <c r="A94" s="72" t="s">
        <v>2442</v>
      </c>
      <c r="B94" s="9" t="s">
        <v>2444</v>
      </c>
      <c r="C94" s="603"/>
      <c r="D94" s="603" t="s">
        <v>2442</v>
      </c>
      <c r="E94" s="371"/>
      <c r="F94" s="371" t="s">
        <v>2442</v>
      </c>
      <c r="G94" s="603"/>
      <c r="H94" s="385"/>
      <c r="I94" s="604"/>
      <c r="J94" s="71"/>
      <c r="K94" s="383"/>
      <c r="L94" s="71"/>
      <c r="M94" s="71"/>
      <c r="N94" s="71"/>
    </row>
    <row r="95" spans="1:14" ht="15.75">
      <c r="A95" s="72" t="s">
        <v>2447</v>
      </c>
      <c r="B95" s="9" t="s">
        <v>2449</v>
      </c>
      <c r="C95" s="603"/>
      <c r="D95" s="603" t="s">
        <v>2447</v>
      </c>
      <c r="E95" s="371"/>
      <c r="F95" s="371" t="s">
        <v>2447</v>
      </c>
      <c r="G95" s="603"/>
      <c r="H95" s="385"/>
      <c r="I95" s="604"/>
      <c r="J95" s="71"/>
      <c r="K95" s="383"/>
      <c r="L95" s="71"/>
      <c r="M95" s="71"/>
      <c r="N95" s="71"/>
    </row>
    <row r="96" spans="1:14" ht="15.75">
      <c r="A96" s="72" t="s">
        <v>2453</v>
      </c>
      <c r="B96" s="9" t="s">
        <v>2455</v>
      </c>
      <c r="C96" s="603"/>
      <c r="D96" s="603" t="s">
        <v>2453</v>
      </c>
      <c r="E96" s="371"/>
      <c r="F96" s="371" t="s">
        <v>2453</v>
      </c>
      <c r="G96" s="603"/>
      <c r="H96" s="385"/>
      <c r="I96" s="604"/>
      <c r="J96" s="71"/>
      <c r="K96" s="383"/>
      <c r="L96" s="71"/>
      <c r="M96" s="71"/>
      <c r="N96" s="71"/>
    </row>
    <row r="97" spans="1:14" ht="15.75">
      <c r="A97" s="72" t="s">
        <v>2458</v>
      </c>
      <c r="B97" s="9" t="s">
        <v>2460</v>
      </c>
      <c r="C97" s="603"/>
      <c r="D97" s="603" t="s">
        <v>2458</v>
      </c>
      <c r="E97" s="371"/>
      <c r="F97" s="371" t="s">
        <v>2458</v>
      </c>
      <c r="G97" s="603"/>
      <c r="H97" s="385"/>
      <c r="I97" s="604"/>
      <c r="J97" s="71"/>
      <c r="K97" s="383"/>
      <c r="L97" s="71"/>
      <c r="M97" s="71"/>
      <c r="N97" s="71"/>
    </row>
    <row r="98" spans="1:14" ht="15.75">
      <c r="A98" s="72" t="s">
        <v>2463</v>
      </c>
      <c r="B98" s="9" t="s">
        <v>2465</v>
      </c>
      <c r="C98" s="603"/>
      <c r="D98" s="603" t="s">
        <v>2463</v>
      </c>
      <c r="E98" s="371"/>
      <c r="F98" s="371" t="s">
        <v>2463</v>
      </c>
      <c r="G98" s="603"/>
      <c r="H98" s="385"/>
      <c r="I98" s="604"/>
      <c r="J98" s="71"/>
      <c r="K98" s="383"/>
      <c r="L98" s="71"/>
      <c r="M98" s="71"/>
      <c r="N98" s="71"/>
    </row>
    <row r="99" spans="1:14" ht="15.75">
      <c r="A99" s="72" t="s">
        <v>4570</v>
      </c>
      <c r="B99" s="9" t="s">
        <v>2693</v>
      </c>
      <c r="C99" s="603"/>
      <c r="D99" s="603" t="s">
        <v>4570</v>
      </c>
      <c r="E99" s="371"/>
      <c r="F99" s="371" t="s">
        <v>4570</v>
      </c>
      <c r="G99" s="603"/>
      <c r="H99" s="385"/>
      <c r="I99" s="604"/>
      <c r="J99" s="71"/>
      <c r="K99" s="383"/>
      <c r="L99" s="71"/>
      <c r="M99" s="71"/>
      <c r="N99" s="71"/>
    </row>
    <row r="100" spans="1:14" ht="15.75">
      <c r="A100" s="72" t="s">
        <v>2468</v>
      </c>
      <c r="B100" s="9" t="s">
        <v>2470</v>
      </c>
      <c r="C100" s="603"/>
      <c r="D100" s="603" t="s">
        <v>2468</v>
      </c>
      <c r="E100" s="371"/>
      <c r="F100" s="371" t="s">
        <v>2468</v>
      </c>
      <c r="G100" s="603"/>
      <c r="H100" s="385"/>
      <c r="I100" s="604"/>
      <c r="J100" s="71"/>
      <c r="K100" s="383"/>
      <c r="L100" s="71"/>
      <c r="M100" s="71"/>
      <c r="N100" s="71"/>
    </row>
    <row r="101" spans="1:14" ht="15.75">
      <c r="A101" s="72" t="s">
        <v>2780</v>
      </c>
      <c r="B101" s="9" t="s">
        <v>2782</v>
      </c>
      <c r="C101" s="603"/>
      <c r="D101" s="78" t="s">
        <v>2780</v>
      </c>
      <c r="E101" s="603"/>
      <c r="F101" s="371" t="s">
        <v>2780</v>
      </c>
      <c r="G101" s="603"/>
      <c r="H101" s="608" t="s">
        <v>5409</v>
      </c>
      <c r="I101" s="604"/>
      <c r="J101" s="71"/>
      <c r="K101" s="383"/>
      <c r="L101" s="71"/>
      <c r="M101" s="71"/>
      <c r="N101" s="71"/>
    </row>
    <row r="102" spans="1:14" ht="15.75">
      <c r="A102" s="72" t="s">
        <v>3023</v>
      </c>
      <c r="B102" s="9" t="s">
        <v>3025</v>
      </c>
      <c r="C102" s="603"/>
      <c r="D102" s="371" t="s">
        <v>3023</v>
      </c>
      <c r="E102" s="603"/>
      <c r="F102" s="371" t="s">
        <v>3023</v>
      </c>
      <c r="G102" s="603"/>
      <c r="H102" s="388"/>
      <c r="I102" s="389"/>
      <c r="J102" s="390"/>
      <c r="K102" s="383"/>
      <c r="L102" s="71"/>
      <c r="M102" s="389"/>
      <c r="N102" s="71"/>
    </row>
    <row r="103" spans="1:14" ht="15.75">
      <c r="A103" s="72" t="s">
        <v>4630</v>
      </c>
      <c r="B103" s="9" t="s">
        <v>4632</v>
      </c>
      <c r="C103" s="605" t="s">
        <v>5410</v>
      </c>
      <c r="D103" s="378"/>
      <c r="E103" s="605"/>
      <c r="F103" s="378"/>
      <c r="G103" s="605"/>
      <c r="H103" s="388"/>
      <c r="I103" s="389"/>
      <c r="J103" s="390"/>
      <c r="K103" s="383"/>
      <c r="L103" s="71"/>
      <c r="M103" s="389"/>
      <c r="N103" s="71"/>
    </row>
    <row r="104" spans="1:14" ht="15.75">
      <c r="A104" s="72" t="s">
        <v>3030</v>
      </c>
      <c r="B104" s="9" t="s">
        <v>3032</v>
      </c>
      <c r="C104" s="603"/>
      <c r="D104" s="371" t="s">
        <v>3030</v>
      </c>
      <c r="E104" s="603"/>
      <c r="F104" s="371" t="s">
        <v>3030</v>
      </c>
      <c r="G104" s="603"/>
      <c r="H104" s="388"/>
      <c r="I104" s="389"/>
      <c r="J104" s="390"/>
      <c r="K104" s="383"/>
      <c r="L104" s="71"/>
      <c r="M104" s="389"/>
      <c r="N104" s="71"/>
    </row>
    <row r="105" spans="1:14" ht="15.75">
      <c r="A105" s="72" t="s">
        <v>3036</v>
      </c>
      <c r="B105" s="9" t="s">
        <v>3038</v>
      </c>
      <c r="C105" s="603"/>
      <c r="D105" s="371" t="s">
        <v>3036</v>
      </c>
      <c r="E105" s="603"/>
      <c r="F105" s="371" t="s">
        <v>3036</v>
      </c>
      <c r="G105" s="603"/>
      <c r="H105" s="388"/>
      <c r="I105" s="389"/>
      <c r="J105" s="390"/>
      <c r="K105" s="383"/>
      <c r="L105" s="71"/>
      <c r="M105" s="389"/>
      <c r="N105" s="71"/>
    </row>
    <row r="106" spans="1:14" ht="15.75">
      <c r="A106" s="72" t="s">
        <v>3042</v>
      </c>
      <c r="B106" s="9" t="s">
        <v>3044</v>
      </c>
      <c r="C106" s="603"/>
      <c r="D106" s="371" t="s">
        <v>3042</v>
      </c>
      <c r="E106" s="603"/>
      <c r="F106" s="371" t="s">
        <v>3042</v>
      </c>
      <c r="G106" s="603"/>
      <c r="H106" s="388"/>
      <c r="I106" s="389"/>
      <c r="J106" s="390"/>
      <c r="K106" s="383"/>
      <c r="L106" s="71"/>
      <c r="M106" s="389"/>
      <c r="N106" s="71"/>
    </row>
    <row r="107" spans="1:14" ht="15.75">
      <c r="A107" s="72" t="s">
        <v>3048</v>
      </c>
      <c r="B107" s="9" t="s">
        <v>3050</v>
      </c>
      <c r="C107" s="603"/>
      <c r="D107" s="371" t="s">
        <v>3048</v>
      </c>
      <c r="E107" s="603"/>
      <c r="F107" s="371" t="s">
        <v>3048</v>
      </c>
      <c r="G107" s="603"/>
      <c r="H107" s="388"/>
      <c r="I107" s="389"/>
      <c r="J107" s="390"/>
      <c r="K107" s="383"/>
      <c r="L107" s="71"/>
      <c r="M107" s="389"/>
      <c r="N107" s="71"/>
    </row>
    <row r="108" spans="1:14" ht="15.75">
      <c r="A108" s="72" t="s">
        <v>3053</v>
      </c>
      <c r="B108" s="9" t="s">
        <v>3055</v>
      </c>
      <c r="C108" s="603"/>
      <c r="D108" s="371" t="s">
        <v>3053</v>
      </c>
      <c r="E108" s="603"/>
      <c r="F108" s="371" t="s">
        <v>3053</v>
      </c>
      <c r="G108" s="603"/>
      <c r="H108" s="388"/>
      <c r="I108" s="389"/>
      <c r="J108" s="390"/>
      <c r="K108" s="383"/>
      <c r="L108" s="71"/>
      <c r="M108" s="389"/>
      <c r="N108" s="71"/>
    </row>
    <row r="109" spans="1:14" ht="15.75">
      <c r="A109" s="72" t="s">
        <v>3059</v>
      </c>
      <c r="B109" s="9" t="s">
        <v>3061</v>
      </c>
      <c r="C109" s="603"/>
      <c r="D109" s="371" t="s">
        <v>3059</v>
      </c>
      <c r="E109" s="603"/>
      <c r="F109" s="371" t="s">
        <v>3059</v>
      </c>
      <c r="G109" s="603"/>
      <c r="H109" s="388"/>
      <c r="I109" s="389"/>
      <c r="J109" s="390"/>
      <c r="K109" s="383"/>
      <c r="L109" s="71"/>
      <c r="M109" s="389"/>
      <c r="N109" s="71"/>
    </row>
    <row r="110" spans="1:14" ht="15.75">
      <c r="A110" s="72" t="s">
        <v>4634</v>
      </c>
      <c r="B110" s="9" t="s">
        <v>4636</v>
      </c>
      <c r="C110" s="605" t="s">
        <v>5401</v>
      </c>
      <c r="D110" s="378"/>
      <c r="E110" s="605"/>
      <c r="F110" s="378"/>
      <c r="G110" s="605"/>
      <c r="H110" s="388"/>
      <c r="I110" s="389"/>
      <c r="J110" s="390"/>
      <c r="K110" s="383"/>
      <c r="L110" s="71"/>
      <c r="M110" s="389"/>
      <c r="N110" s="71"/>
    </row>
    <row r="111" spans="1:14" ht="15.75">
      <c r="A111" s="72" t="s">
        <v>3065</v>
      </c>
      <c r="B111" s="9" t="s">
        <v>3067</v>
      </c>
      <c r="C111" s="603"/>
      <c r="D111" s="371" t="s">
        <v>3065</v>
      </c>
      <c r="E111" s="603"/>
      <c r="F111" s="371" t="s">
        <v>3065</v>
      </c>
      <c r="G111" s="603"/>
      <c r="H111" s="388"/>
      <c r="I111" s="389"/>
      <c r="J111" s="390"/>
      <c r="K111" s="383"/>
      <c r="L111" s="71"/>
      <c r="M111" s="389"/>
      <c r="N111" s="71"/>
    </row>
    <row r="112" spans="1:14" ht="15.75">
      <c r="A112" s="72" t="s">
        <v>3071</v>
      </c>
      <c r="B112" s="9" t="s">
        <v>3073</v>
      </c>
      <c r="C112" s="603"/>
      <c r="D112" s="371" t="s">
        <v>3071</v>
      </c>
      <c r="E112" s="603"/>
      <c r="F112" s="371" t="s">
        <v>3071</v>
      </c>
      <c r="G112" s="603"/>
      <c r="H112" s="388"/>
      <c r="I112" s="389"/>
      <c r="J112" s="390"/>
      <c r="K112" s="383"/>
      <c r="L112" s="71"/>
      <c r="M112" s="389"/>
      <c r="N112" s="71"/>
    </row>
    <row r="113" spans="1:14" ht="15.75">
      <c r="A113" s="72" t="s">
        <v>3076</v>
      </c>
      <c r="B113" s="9" t="s">
        <v>3078</v>
      </c>
      <c r="C113" s="603"/>
      <c r="D113" s="371" t="s">
        <v>3076</v>
      </c>
      <c r="E113" s="603"/>
      <c r="F113" s="371" t="s">
        <v>3076</v>
      </c>
      <c r="G113" s="603"/>
      <c r="H113" s="388"/>
      <c r="I113" s="389"/>
      <c r="J113" s="390"/>
      <c r="K113" s="383"/>
      <c r="L113" s="71"/>
      <c r="M113" s="389"/>
      <c r="N113" s="71"/>
    </row>
    <row r="114" spans="1:14" ht="15.75">
      <c r="A114" s="72" t="s">
        <v>3082</v>
      </c>
      <c r="B114" s="9" t="s">
        <v>3084</v>
      </c>
      <c r="C114" s="603"/>
      <c r="D114" s="371" t="s">
        <v>3082</v>
      </c>
      <c r="E114" s="603"/>
      <c r="F114" s="371" t="s">
        <v>3082</v>
      </c>
      <c r="G114" s="603"/>
      <c r="H114" s="388"/>
      <c r="I114" s="389"/>
      <c r="J114" s="390"/>
      <c r="K114" s="383"/>
      <c r="L114" s="71"/>
      <c r="M114" s="389"/>
      <c r="N114" s="71"/>
    </row>
    <row r="115" spans="1:14" ht="15.75">
      <c r="A115" s="72" t="s">
        <v>2793</v>
      </c>
      <c r="B115" s="9" t="s">
        <v>2795</v>
      </c>
      <c r="C115" s="603"/>
      <c r="D115" s="371" t="s">
        <v>2793</v>
      </c>
      <c r="E115" s="603"/>
      <c r="F115" s="371" t="s">
        <v>2793</v>
      </c>
      <c r="G115" s="371"/>
      <c r="H115" s="388"/>
      <c r="I115" s="389"/>
      <c r="J115" s="390"/>
      <c r="K115" s="383"/>
      <c r="L115" s="71"/>
      <c r="M115" s="389"/>
      <c r="N115" s="71"/>
    </row>
    <row r="116" spans="1:14" ht="15.75">
      <c r="A116" s="72" t="s">
        <v>2797</v>
      </c>
      <c r="B116" s="9" t="s">
        <v>2799</v>
      </c>
      <c r="C116" s="603"/>
      <c r="D116" s="371" t="s">
        <v>2797</v>
      </c>
      <c r="E116" s="603"/>
      <c r="F116" s="371" t="s">
        <v>2797</v>
      </c>
      <c r="G116" s="371"/>
      <c r="H116" s="388"/>
      <c r="I116" s="389"/>
      <c r="J116" s="390"/>
      <c r="K116" s="383"/>
      <c r="L116" s="71"/>
      <c r="M116" s="389"/>
      <c r="N116" s="71"/>
    </row>
    <row r="117" spans="1:14" ht="15.75">
      <c r="A117" s="72" t="s">
        <v>2802</v>
      </c>
      <c r="B117" s="9" t="s">
        <v>2804</v>
      </c>
      <c r="C117" s="603"/>
      <c r="D117" s="371" t="s">
        <v>2802</v>
      </c>
      <c r="E117" s="603"/>
      <c r="F117" s="371" t="s">
        <v>2802</v>
      </c>
      <c r="G117" s="371"/>
      <c r="H117" s="388"/>
      <c r="I117" s="389"/>
      <c r="J117" s="390"/>
      <c r="K117" s="383"/>
      <c r="L117" s="71"/>
      <c r="M117" s="389"/>
      <c r="N117" s="71"/>
    </row>
    <row r="118" spans="1:14" ht="15.75">
      <c r="A118" s="72" t="s">
        <v>2806</v>
      </c>
      <c r="B118" s="9" t="s">
        <v>2808</v>
      </c>
      <c r="C118" s="603"/>
      <c r="D118" s="371" t="s">
        <v>2806</v>
      </c>
      <c r="E118" s="603"/>
      <c r="F118" s="371" t="s">
        <v>2806</v>
      </c>
      <c r="G118" s="371"/>
      <c r="H118" s="388"/>
      <c r="I118" s="389"/>
      <c r="J118" s="390"/>
      <c r="K118" s="383"/>
      <c r="L118" s="71"/>
      <c r="M118" s="389"/>
      <c r="N118" s="71"/>
    </row>
    <row r="119" spans="1:14" ht="15.75">
      <c r="A119" s="72" t="s">
        <v>1606</v>
      </c>
      <c r="B119" s="9" t="s">
        <v>1609</v>
      </c>
      <c r="C119" s="603"/>
      <c r="D119" s="371" t="s">
        <v>1606</v>
      </c>
      <c r="E119" s="603"/>
      <c r="F119" s="371" t="s">
        <v>1606</v>
      </c>
      <c r="G119" s="78"/>
      <c r="H119" s="71"/>
      <c r="I119" s="389"/>
      <c r="J119" s="390"/>
      <c r="K119" s="383"/>
      <c r="L119" s="71"/>
      <c r="M119" s="389"/>
      <c r="N119" s="71"/>
    </row>
    <row r="120" spans="1:14" ht="15.75">
      <c r="A120" s="72" t="s">
        <v>1612</v>
      </c>
      <c r="B120" s="9" t="s">
        <v>1614</v>
      </c>
      <c r="C120" s="603"/>
      <c r="D120" s="371" t="s">
        <v>1612</v>
      </c>
      <c r="E120" s="603"/>
      <c r="F120" s="371" t="s">
        <v>1612</v>
      </c>
      <c r="G120" s="78"/>
      <c r="H120" s="71"/>
      <c r="I120" s="389"/>
      <c r="J120" s="390"/>
      <c r="K120" s="383"/>
      <c r="L120" s="71"/>
      <c r="M120" s="389"/>
      <c r="N120" s="71"/>
    </row>
    <row r="121" spans="1:14" ht="15.75">
      <c r="A121" s="72" t="s">
        <v>1815</v>
      </c>
      <c r="B121" s="9" t="s">
        <v>1817</v>
      </c>
      <c r="C121" s="603"/>
      <c r="D121" s="371" t="s">
        <v>1815</v>
      </c>
      <c r="E121" s="603"/>
      <c r="F121" s="371" t="s">
        <v>1815</v>
      </c>
      <c r="G121" s="78"/>
      <c r="H121" s="71"/>
      <c r="I121" s="389"/>
      <c r="J121" s="390"/>
      <c r="K121" s="383"/>
      <c r="L121" s="71"/>
      <c r="M121" s="389"/>
      <c r="N121" s="71"/>
    </row>
    <row r="122" spans="1:14" ht="15.75">
      <c r="A122" s="72" t="s">
        <v>1617</v>
      </c>
      <c r="B122" s="9" t="s">
        <v>1619</v>
      </c>
      <c r="C122" s="603"/>
      <c r="D122" s="371" t="s">
        <v>1617</v>
      </c>
      <c r="E122" s="603"/>
      <c r="F122" s="371" t="s">
        <v>1617</v>
      </c>
      <c r="G122" s="78"/>
      <c r="H122" s="71"/>
      <c r="I122" s="389"/>
      <c r="J122" s="390"/>
      <c r="K122" s="383"/>
      <c r="L122" s="71"/>
      <c r="M122" s="389"/>
      <c r="N122" s="71"/>
    </row>
    <row r="123" spans="1:14" ht="15.75">
      <c r="A123" s="72" t="s">
        <v>1623</v>
      </c>
      <c r="B123" s="9" t="s">
        <v>1625</v>
      </c>
      <c r="C123" s="603"/>
      <c r="D123" s="371" t="s">
        <v>1623</v>
      </c>
      <c r="E123" s="603"/>
      <c r="F123" s="371" t="s">
        <v>1623</v>
      </c>
      <c r="G123" s="78"/>
      <c r="H123" s="71"/>
      <c r="I123" s="389"/>
      <c r="J123" s="390"/>
      <c r="K123" s="383"/>
      <c r="L123" s="71"/>
      <c r="M123" s="389"/>
      <c r="N123" s="71"/>
    </row>
    <row r="124" spans="1:14" ht="15.75">
      <c r="A124" s="72" t="s">
        <v>1629</v>
      </c>
      <c r="B124" s="9" t="s">
        <v>1631</v>
      </c>
      <c r="C124" s="603"/>
      <c r="D124" s="371" t="s">
        <v>1629</v>
      </c>
      <c r="E124" s="603"/>
      <c r="F124" s="371" t="s">
        <v>1629</v>
      </c>
      <c r="G124" s="78"/>
      <c r="H124" s="71"/>
      <c r="I124" s="389"/>
      <c r="J124" s="390"/>
      <c r="K124" s="383"/>
      <c r="L124" s="71"/>
      <c r="M124" s="389"/>
      <c r="N124" s="71"/>
    </row>
    <row r="125" spans="1:14" ht="15.75">
      <c r="A125" s="72" t="s">
        <v>1242</v>
      </c>
      <c r="B125" s="9" t="s">
        <v>1244</v>
      </c>
      <c r="C125" s="603"/>
      <c r="D125" s="371" t="s">
        <v>1242</v>
      </c>
      <c r="E125" s="603"/>
      <c r="F125" s="371" t="s">
        <v>1242</v>
      </c>
      <c r="G125" s="78"/>
      <c r="H125" s="71"/>
      <c r="I125" s="389"/>
      <c r="J125" s="390"/>
      <c r="K125" s="383"/>
      <c r="L125" s="71"/>
      <c r="M125" s="389"/>
      <c r="N125" s="71"/>
    </row>
    <row r="126" spans="1:14" ht="15.75">
      <c r="A126" s="72" t="s">
        <v>1634</v>
      </c>
      <c r="B126" s="9" t="s">
        <v>1636</v>
      </c>
      <c r="C126" s="603"/>
      <c r="D126" s="371" t="s">
        <v>1634</v>
      </c>
      <c r="E126" s="603"/>
      <c r="F126" s="371" t="s">
        <v>1634</v>
      </c>
      <c r="G126" s="78"/>
      <c r="H126" s="71"/>
      <c r="I126" s="389"/>
      <c r="J126" s="390"/>
      <c r="K126" s="383"/>
      <c r="L126" s="71"/>
      <c r="M126" s="389"/>
      <c r="N126" s="71"/>
    </row>
    <row r="127" spans="1:14" ht="15.75">
      <c r="A127" s="72" t="s">
        <v>1248</v>
      </c>
      <c r="B127" s="9" t="s">
        <v>1250</v>
      </c>
      <c r="C127" s="603"/>
      <c r="D127" s="371" t="s">
        <v>1248</v>
      </c>
      <c r="E127" s="603"/>
      <c r="F127" s="371" t="s">
        <v>1248</v>
      </c>
      <c r="G127" s="78"/>
      <c r="H127" s="71"/>
      <c r="I127" s="389"/>
      <c r="J127" s="390"/>
      <c r="K127" s="383"/>
      <c r="L127" s="71"/>
      <c r="M127" s="389"/>
      <c r="N127" s="71"/>
    </row>
    <row r="128" spans="1:14" ht="15.75">
      <c r="A128" s="72" t="s">
        <v>1253</v>
      </c>
      <c r="B128" s="9" t="s">
        <v>1255</v>
      </c>
      <c r="C128" s="603"/>
      <c r="D128" s="371" t="s">
        <v>1253</v>
      </c>
      <c r="E128" s="603"/>
      <c r="F128" s="371" t="s">
        <v>1253</v>
      </c>
      <c r="G128" s="78"/>
      <c r="H128" s="71"/>
      <c r="I128" s="389"/>
      <c r="J128" s="390"/>
      <c r="K128" s="383"/>
      <c r="L128" s="71"/>
      <c r="M128" s="389"/>
      <c r="N128" s="71"/>
    </row>
    <row r="129" spans="1:14" ht="15.75">
      <c r="A129" s="72" t="s">
        <v>1258</v>
      </c>
      <c r="B129" s="9" t="s">
        <v>1260</v>
      </c>
      <c r="C129" s="603"/>
      <c r="D129" s="371" t="s">
        <v>1258</v>
      </c>
      <c r="E129" s="603"/>
      <c r="F129" s="371" t="s">
        <v>1258</v>
      </c>
      <c r="G129" s="78"/>
      <c r="H129" s="71"/>
      <c r="I129" s="389"/>
      <c r="J129" s="390"/>
      <c r="K129" s="383"/>
      <c r="L129" s="71"/>
      <c r="M129" s="389"/>
      <c r="N129" s="71"/>
    </row>
    <row r="130" spans="1:14" ht="15.75">
      <c r="A130" s="72" t="s">
        <v>1659</v>
      </c>
      <c r="B130" s="9" t="s">
        <v>1661</v>
      </c>
      <c r="C130" s="603"/>
      <c r="D130" s="371" t="s">
        <v>1659</v>
      </c>
      <c r="E130" s="603"/>
      <c r="F130" s="371" t="s">
        <v>1659</v>
      </c>
      <c r="G130" s="371" t="s">
        <v>5411</v>
      </c>
      <c r="H130" s="71"/>
      <c r="I130" s="389"/>
      <c r="J130" s="390"/>
      <c r="K130" s="383"/>
      <c r="L130" s="71"/>
      <c r="M130" s="389"/>
      <c r="N130" s="71"/>
    </row>
    <row r="131" spans="1:14" ht="15.75">
      <c r="A131" s="72" t="s">
        <v>1274</v>
      </c>
      <c r="B131" s="9" t="s">
        <v>1276</v>
      </c>
      <c r="C131" s="603"/>
      <c r="D131" s="371" t="s">
        <v>1274</v>
      </c>
      <c r="E131" s="603"/>
      <c r="F131" s="371" t="s">
        <v>1274</v>
      </c>
      <c r="G131" s="78"/>
      <c r="H131" s="71"/>
      <c r="I131" s="389"/>
      <c r="J131" s="390"/>
      <c r="K131" s="383"/>
      <c r="L131" s="71"/>
      <c r="M131" s="389"/>
      <c r="N131" s="71"/>
    </row>
    <row r="132" spans="1:14" ht="15.75">
      <c r="A132" s="72" t="s">
        <v>5379</v>
      </c>
      <c r="B132" s="9"/>
      <c r="C132" s="380" t="s">
        <v>5412</v>
      </c>
      <c r="D132" s="378"/>
      <c r="E132" s="605"/>
      <c r="F132" s="378"/>
      <c r="G132" s="380"/>
      <c r="H132" s="71"/>
      <c r="I132" s="389"/>
      <c r="J132" s="390"/>
      <c r="K132" s="383"/>
      <c r="L132" s="71"/>
      <c r="M132" s="389"/>
      <c r="N132" s="71"/>
    </row>
    <row r="133" spans="1:14" ht="15.75">
      <c r="A133" s="72" t="s">
        <v>5381</v>
      </c>
      <c r="B133" s="9"/>
      <c r="C133" s="380" t="s">
        <v>5412</v>
      </c>
      <c r="D133" s="378"/>
      <c r="E133" s="605"/>
      <c r="F133" s="378"/>
      <c r="G133" s="380"/>
      <c r="H133" s="71"/>
      <c r="I133" s="389"/>
      <c r="J133" s="390"/>
      <c r="K133" s="383"/>
      <c r="L133" s="71"/>
      <c r="M133" s="389"/>
      <c r="N133" s="71"/>
    </row>
    <row r="134" spans="1:14" ht="15.75">
      <c r="A134" s="72" t="s">
        <v>5383</v>
      </c>
      <c r="B134" s="9"/>
      <c r="C134" s="380" t="s">
        <v>5412</v>
      </c>
      <c r="D134" s="378"/>
      <c r="E134" s="605"/>
      <c r="F134" s="378"/>
      <c r="G134" s="380"/>
      <c r="H134" s="71"/>
      <c r="I134" s="389"/>
      <c r="J134" s="390"/>
      <c r="K134" s="383"/>
      <c r="L134" s="71"/>
      <c r="M134" s="389"/>
      <c r="N134" s="71"/>
    </row>
    <row r="135" spans="1:14" ht="15.75">
      <c r="A135" s="72" t="s">
        <v>1279</v>
      </c>
      <c r="B135" s="9" t="s">
        <v>1281</v>
      </c>
      <c r="C135" s="603"/>
      <c r="D135" s="371" t="s">
        <v>1279</v>
      </c>
      <c r="E135" s="603"/>
      <c r="F135" s="371" t="s">
        <v>1279</v>
      </c>
      <c r="G135" s="78"/>
      <c r="H135" s="71"/>
      <c r="I135" s="389"/>
      <c r="J135" s="390"/>
      <c r="K135" s="71"/>
      <c r="L135" s="71"/>
      <c r="M135" s="389"/>
      <c r="N135" s="71"/>
    </row>
    <row r="136" spans="1:14" ht="15.75">
      <c r="A136" s="72" t="s">
        <v>5385</v>
      </c>
      <c r="B136" s="9"/>
      <c r="C136" s="380" t="s">
        <v>5412</v>
      </c>
      <c r="D136" s="378"/>
      <c r="E136" s="605"/>
      <c r="F136" s="378"/>
      <c r="G136" s="380"/>
      <c r="H136" s="71"/>
      <c r="I136" s="389"/>
      <c r="J136" s="390"/>
      <c r="K136" s="71"/>
      <c r="L136" s="71"/>
      <c r="M136" s="389"/>
      <c r="N136" s="71"/>
    </row>
    <row r="137" spans="1:14" ht="15.75">
      <c r="A137" s="72" t="s">
        <v>1895</v>
      </c>
      <c r="B137" s="9" t="s">
        <v>1897</v>
      </c>
      <c r="C137" s="603"/>
      <c r="D137" s="371" t="s">
        <v>1895</v>
      </c>
      <c r="E137" s="603"/>
      <c r="F137" s="371" t="s">
        <v>1895</v>
      </c>
      <c r="G137" s="78"/>
      <c r="H137" s="71"/>
      <c r="I137" s="389"/>
      <c r="J137" s="390"/>
      <c r="K137" s="71"/>
      <c r="L137" s="71"/>
      <c r="M137" s="389"/>
      <c r="N137" s="71"/>
    </row>
    <row r="138" spans="1:14" ht="15.75">
      <c r="A138" s="72" t="s">
        <v>1901</v>
      </c>
      <c r="B138" s="9" t="s">
        <v>1903</v>
      </c>
      <c r="C138" s="603"/>
      <c r="D138" s="371" t="s">
        <v>1901</v>
      </c>
      <c r="E138" s="603"/>
      <c r="F138" s="371" t="s">
        <v>1901</v>
      </c>
      <c r="G138" s="78"/>
      <c r="H138" s="71"/>
      <c r="I138" s="389"/>
      <c r="J138" s="390"/>
      <c r="K138" s="71"/>
      <c r="L138" s="71"/>
      <c r="M138" s="389"/>
      <c r="N138" s="71"/>
    </row>
    <row r="139" spans="1:14" ht="15.75">
      <c r="A139" s="72" t="s">
        <v>1906</v>
      </c>
      <c r="B139" s="9" t="s">
        <v>1908</v>
      </c>
      <c r="C139" s="603"/>
      <c r="D139" s="371" t="s">
        <v>1906</v>
      </c>
      <c r="E139" s="603"/>
      <c r="F139" s="371" t="s">
        <v>1906</v>
      </c>
      <c r="G139" s="78"/>
      <c r="H139" s="71"/>
      <c r="I139" s="389"/>
      <c r="J139" s="390"/>
      <c r="K139" s="71"/>
      <c r="L139" s="71"/>
      <c r="M139" s="389"/>
      <c r="N139" s="71"/>
    </row>
    <row r="140" spans="1:14" ht="15.75">
      <c r="A140" s="72" t="s">
        <v>687</v>
      </c>
      <c r="B140" s="9" t="s">
        <v>689</v>
      </c>
      <c r="C140" s="603"/>
      <c r="D140" s="371" t="s">
        <v>687</v>
      </c>
      <c r="E140" s="603"/>
      <c r="F140" s="371" t="s">
        <v>687</v>
      </c>
      <c r="G140" s="603"/>
      <c r="H140" s="71"/>
      <c r="I140" s="389"/>
      <c r="J140" s="390"/>
      <c r="K140" s="71"/>
      <c r="L140" s="71"/>
      <c r="M140" s="389"/>
      <c r="N140" s="71"/>
    </row>
    <row r="141" spans="1:14" ht="15.75">
      <c r="A141" s="72" t="s">
        <v>661</v>
      </c>
      <c r="B141" s="9" t="s">
        <v>663</v>
      </c>
      <c r="C141" s="603"/>
      <c r="D141" s="371" t="s">
        <v>661</v>
      </c>
      <c r="E141" s="603"/>
      <c r="F141" s="371" t="s">
        <v>661</v>
      </c>
      <c r="G141" s="603"/>
      <c r="H141" s="71"/>
      <c r="I141" s="389"/>
      <c r="J141" s="390"/>
      <c r="K141" s="71"/>
      <c r="L141" s="71"/>
      <c r="M141" s="389"/>
      <c r="N141" s="71"/>
    </row>
    <row r="142" spans="1:14" ht="15.75">
      <c r="A142" s="72" t="s">
        <v>759</v>
      </c>
      <c r="B142" s="9" t="s">
        <v>761</v>
      </c>
      <c r="C142" s="603"/>
      <c r="D142" s="371" t="s">
        <v>759</v>
      </c>
      <c r="E142" s="603"/>
      <c r="F142" s="371" t="s">
        <v>759</v>
      </c>
      <c r="G142" s="603"/>
      <c r="H142" s="71"/>
      <c r="I142" s="389"/>
      <c r="J142" s="390"/>
      <c r="K142" s="71"/>
      <c r="L142" s="71"/>
      <c r="M142" s="389"/>
      <c r="N142" s="71"/>
    </row>
    <row r="143" spans="1:14" ht="15.75">
      <c r="A143" s="72" t="s">
        <v>707</v>
      </c>
      <c r="B143" s="9" t="s">
        <v>709</v>
      </c>
      <c r="C143" s="603"/>
      <c r="D143" s="371" t="s">
        <v>707</v>
      </c>
      <c r="E143" s="603"/>
      <c r="F143" s="371" t="s">
        <v>707</v>
      </c>
      <c r="G143" s="603"/>
      <c r="H143" s="71"/>
      <c r="I143" s="389"/>
      <c r="J143" s="390"/>
      <c r="K143" s="71"/>
      <c r="L143" s="71"/>
      <c r="M143" s="389"/>
      <c r="N143" s="71"/>
    </row>
    <row r="144" spans="1:14" ht="15.75">
      <c r="A144" s="72" t="s">
        <v>702</v>
      </c>
      <c r="B144" s="9" t="s">
        <v>704</v>
      </c>
      <c r="C144" s="603"/>
      <c r="D144" s="371" t="s">
        <v>702</v>
      </c>
      <c r="E144" s="603"/>
      <c r="F144" s="371" t="s">
        <v>702</v>
      </c>
      <c r="G144" s="603"/>
      <c r="H144" s="71"/>
      <c r="I144" s="389"/>
      <c r="J144" s="390"/>
      <c r="K144" s="71"/>
      <c r="L144" s="71"/>
      <c r="M144" s="389"/>
      <c r="N144" s="71"/>
    </row>
    <row r="145" spans="1:14" ht="15.75">
      <c r="A145" s="72" t="s">
        <v>697</v>
      </c>
      <c r="B145" s="9" t="s">
        <v>699</v>
      </c>
      <c r="C145" s="603"/>
      <c r="D145" s="371" t="s">
        <v>697</v>
      </c>
      <c r="E145" s="603"/>
      <c r="F145" s="371" t="s">
        <v>697</v>
      </c>
      <c r="G145" s="603"/>
      <c r="H145" s="71"/>
      <c r="I145" s="389"/>
      <c r="J145" s="390"/>
      <c r="K145" s="71"/>
      <c r="L145" s="71"/>
      <c r="M145" s="389"/>
      <c r="N145" s="71"/>
    </row>
    <row r="146" spans="1:14" ht="15.75">
      <c r="A146" s="72" t="s">
        <v>727</v>
      </c>
      <c r="B146" s="9" t="s">
        <v>729</v>
      </c>
      <c r="C146" s="603"/>
      <c r="D146" s="371" t="s">
        <v>727</v>
      </c>
      <c r="E146" s="603"/>
      <c r="F146" s="371" t="s">
        <v>727</v>
      </c>
      <c r="G146" s="603"/>
      <c r="H146" s="71"/>
      <c r="I146" s="389"/>
      <c r="J146" s="390"/>
      <c r="K146" s="71"/>
      <c r="L146" s="71"/>
      <c r="M146" s="389"/>
      <c r="N146" s="71"/>
    </row>
    <row r="147" spans="1:14" ht="15.75">
      <c r="A147" s="72" t="s">
        <v>682</v>
      </c>
      <c r="B147" s="9" t="s">
        <v>684</v>
      </c>
      <c r="C147" s="603"/>
      <c r="D147" s="371" t="s">
        <v>682</v>
      </c>
      <c r="E147" s="603"/>
      <c r="F147" s="371" t="s">
        <v>682</v>
      </c>
      <c r="G147" s="603"/>
      <c r="H147" s="71"/>
      <c r="I147" s="389"/>
      <c r="J147" s="390"/>
      <c r="K147" s="71"/>
      <c r="L147" s="71"/>
      <c r="M147" s="389"/>
      <c r="N147" s="71"/>
    </row>
    <row r="148" spans="1:14" ht="15.75">
      <c r="A148" s="72" t="s">
        <v>754</v>
      </c>
      <c r="B148" s="9" t="s">
        <v>756</v>
      </c>
      <c r="C148" s="603"/>
      <c r="D148" s="371" t="s">
        <v>754</v>
      </c>
      <c r="E148" s="603"/>
      <c r="F148" s="371" t="s">
        <v>754</v>
      </c>
      <c r="G148" s="603"/>
      <c r="H148" s="71"/>
      <c r="I148" s="389"/>
      <c r="J148" s="390"/>
      <c r="K148" s="71"/>
      <c r="L148" s="71"/>
      <c r="M148" s="389"/>
      <c r="N148" s="71"/>
    </row>
    <row r="149" spans="1:14" ht="15.75">
      <c r="A149" s="72" t="s">
        <v>738</v>
      </c>
      <c r="B149" s="9" t="s">
        <v>740</v>
      </c>
      <c r="C149" s="603"/>
      <c r="D149" s="371" t="s">
        <v>738</v>
      </c>
      <c r="E149" s="603"/>
      <c r="F149" s="371" t="s">
        <v>738</v>
      </c>
      <c r="G149" s="603"/>
      <c r="H149" s="71"/>
      <c r="I149" s="389"/>
      <c r="J149" s="390"/>
      <c r="K149" s="71"/>
      <c r="L149" s="71"/>
      <c r="M149" s="389"/>
      <c r="N149" s="71"/>
    </row>
    <row r="150" spans="1:14" ht="15.75">
      <c r="A150" s="72" t="s">
        <v>4493</v>
      </c>
      <c r="B150" s="9" t="s">
        <v>2249</v>
      </c>
      <c r="C150" s="603"/>
      <c r="D150" s="371" t="s">
        <v>4493</v>
      </c>
      <c r="E150" s="603"/>
      <c r="F150" s="371" t="s">
        <v>4493</v>
      </c>
      <c r="G150" s="603"/>
      <c r="H150" s="71"/>
      <c r="I150" s="389"/>
      <c r="J150" s="390"/>
      <c r="K150" s="71"/>
      <c r="L150" s="71"/>
      <c r="M150" s="389"/>
      <c r="N150" s="71"/>
    </row>
    <row r="151" spans="1:14" ht="15.75">
      <c r="A151" s="72" t="s">
        <v>1831</v>
      </c>
      <c r="B151" s="9" t="s">
        <v>1833</v>
      </c>
      <c r="C151" s="603"/>
      <c r="D151" s="371" t="s">
        <v>1831</v>
      </c>
      <c r="E151" s="603"/>
      <c r="F151" s="371" t="s">
        <v>1831</v>
      </c>
      <c r="G151" s="603"/>
      <c r="H151" s="71"/>
      <c r="I151" s="389"/>
      <c r="J151" s="390"/>
      <c r="K151" s="71"/>
      <c r="L151" s="71"/>
      <c r="M151" s="389"/>
      <c r="N151" s="71"/>
    </row>
    <row r="152" spans="1:14" ht="15.75">
      <c r="A152" s="72" t="s">
        <v>1924</v>
      </c>
      <c r="B152" s="9" t="s">
        <v>1926</v>
      </c>
      <c r="C152" s="603"/>
      <c r="D152" s="371" t="s">
        <v>1924</v>
      </c>
      <c r="E152" s="603"/>
      <c r="F152" s="371" t="s">
        <v>1924</v>
      </c>
      <c r="G152" s="603"/>
      <c r="H152" s="71"/>
      <c r="I152" s="389"/>
      <c r="J152" s="390"/>
      <c r="K152" s="71"/>
      <c r="L152" s="71"/>
      <c r="M152" s="389"/>
      <c r="N152" s="71"/>
    </row>
    <row r="153" spans="1:14" ht="15.75">
      <c r="A153" s="72" t="s">
        <v>722</v>
      </c>
      <c r="B153" s="9" t="s">
        <v>724</v>
      </c>
      <c r="C153" s="603"/>
      <c r="D153" s="371" t="s">
        <v>722</v>
      </c>
      <c r="E153" s="603"/>
      <c r="F153" s="371" t="s">
        <v>722</v>
      </c>
      <c r="G153" s="603"/>
      <c r="H153" s="71"/>
      <c r="I153" s="389"/>
      <c r="J153" s="390"/>
      <c r="K153" s="71"/>
      <c r="L153" s="71"/>
      <c r="M153" s="389"/>
      <c r="N153" s="71"/>
    </row>
    <row r="154" spans="1:14" ht="15.75">
      <c r="A154" s="72" t="s">
        <v>784</v>
      </c>
      <c r="B154" s="9" t="s">
        <v>786</v>
      </c>
      <c r="C154" s="603"/>
      <c r="D154" s="371" t="s">
        <v>784</v>
      </c>
      <c r="E154" s="603"/>
      <c r="F154" s="371" t="s">
        <v>784</v>
      </c>
      <c r="G154" s="603"/>
      <c r="H154" s="71"/>
      <c r="I154" s="389"/>
      <c r="J154" s="390"/>
      <c r="K154" s="71"/>
      <c r="L154" s="71"/>
      <c r="M154" s="389"/>
      <c r="N154" s="71"/>
    </row>
    <row r="155" spans="1:14" ht="15.75">
      <c r="A155" s="72" t="s">
        <v>1858</v>
      </c>
      <c r="B155" s="9" t="s">
        <v>1855</v>
      </c>
      <c r="C155" s="603"/>
      <c r="D155" s="371" t="s">
        <v>1858</v>
      </c>
      <c r="E155" s="603"/>
      <c r="F155" s="371" t="s">
        <v>1858</v>
      </c>
      <c r="G155" s="603"/>
      <c r="H155" s="71"/>
      <c r="I155" s="389"/>
      <c r="J155" s="390"/>
      <c r="K155" s="71"/>
      <c r="L155" s="71"/>
      <c r="M155" s="389"/>
      <c r="N155" s="71"/>
    </row>
    <row r="156" spans="1:14" ht="15.75">
      <c r="A156" s="72" t="s">
        <v>4482</v>
      </c>
      <c r="B156" s="9" t="s">
        <v>719</v>
      </c>
      <c r="C156" s="603"/>
      <c r="D156" s="371" t="s">
        <v>4482</v>
      </c>
      <c r="E156" s="603"/>
      <c r="F156" s="371" t="s">
        <v>4482</v>
      </c>
      <c r="G156" s="603"/>
      <c r="H156" s="71"/>
      <c r="I156" s="389"/>
      <c r="J156" s="390"/>
      <c r="K156" s="71"/>
      <c r="L156" s="71"/>
      <c r="M156" s="389"/>
      <c r="N156" s="71"/>
    </row>
    <row r="157" spans="1:14" ht="15.75">
      <c r="A157" s="72" t="s">
        <v>805</v>
      </c>
      <c r="B157" s="9" t="s">
        <v>807</v>
      </c>
      <c r="C157" s="603"/>
      <c r="D157" s="371" t="s">
        <v>805</v>
      </c>
      <c r="E157" s="603"/>
      <c r="F157" s="371" t="s">
        <v>805</v>
      </c>
      <c r="G157" s="603"/>
      <c r="H157" s="71"/>
      <c r="I157" s="389"/>
      <c r="J157" s="390"/>
      <c r="K157" s="71"/>
      <c r="L157" s="71"/>
      <c r="M157" s="389"/>
      <c r="N157" s="71"/>
    </row>
    <row r="158" spans="1:14" ht="15.75">
      <c r="A158" s="72" t="s">
        <v>789</v>
      </c>
      <c r="B158" s="9" t="s">
        <v>791</v>
      </c>
      <c r="C158" s="603"/>
      <c r="D158" s="371" t="s">
        <v>789</v>
      </c>
      <c r="E158" s="603"/>
      <c r="F158" s="371" t="s">
        <v>789</v>
      </c>
      <c r="G158" s="603"/>
      <c r="H158" s="71"/>
      <c r="I158" s="389"/>
      <c r="J158" s="390"/>
      <c r="K158" s="71"/>
      <c r="L158" s="71"/>
      <c r="M158" s="389"/>
      <c r="N158" s="71"/>
    </row>
    <row r="159" spans="1:14" ht="15.75">
      <c r="A159" s="72" t="s">
        <v>1915</v>
      </c>
      <c r="B159" s="9" t="s">
        <v>1917</v>
      </c>
      <c r="C159" s="603"/>
      <c r="D159" s="371" t="s">
        <v>1915</v>
      </c>
      <c r="E159" s="603"/>
      <c r="F159" s="371" t="s">
        <v>1915</v>
      </c>
      <c r="G159" s="603"/>
      <c r="H159" s="71"/>
      <c r="I159" s="389"/>
      <c r="J159" s="390"/>
      <c r="K159" s="71"/>
      <c r="L159" s="71"/>
      <c r="M159" s="389"/>
      <c r="N159" s="71"/>
    </row>
    <row r="160" spans="1:14" ht="15.75">
      <c r="A160" s="72" t="s">
        <v>712</v>
      </c>
      <c r="B160" s="9" t="s">
        <v>714</v>
      </c>
      <c r="C160" s="603"/>
      <c r="D160" s="371" t="s">
        <v>712</v>
      </c>
      <c r="E160" s="603"/>
      <c r="F160" s="371" t="s">
        <v>712</v>
      </c>
      <c r="G160" s="603"/>
      <c r="H160" s="71"/>
      <c r="I160" s="389"/>
      <c r="J160" s="390"/>
      <c r="K160" s="71"/>
      <c r="L160" s="71"/>
      <c r="M160" s="389"/>
      <c r="N160" s="71"/>
    </row>
    <row r="161" spans="1:14" ht="15.75">
      <c r="A161" s="72" t="s">
        <v>764</v>
      </c>
      <c r="B161" s="9" t="s">
        <v>766</v>
      </c>
      <c r="C161" s="603"/>
      <c r="D161" s="371" t="s">
        <v>764</v>
      </c>
      <c r="E161" s="603"/>
      <c r="F161" s="371" t="s">
        <v>764</v>
      </c>
      <c r="G161" s="603"/>
      <c r="H161" s="71"/>
      <c r="I161" s="389"/>
      <c r="J161" s="390"/>
      <c r="K161" s="71"/>
      <c r="L161" s="71"/>
      <c r="M161" s="389"/>
      <c r="N161" s="71"/>
    </row>
    <row r="162" spans="1:14" ht="15.75">
      <c r="A162" s="72" t="s">
        <v>671</v>
      </c>
      <c r="B162" s="9" t="s">
        <v>673</v>
      </c>
      <c r="C162" s="603"/>
      <c r="D162" s="371" t="s">
        <v>671</v>
      </c>
      <c r="E162" s="603"/>
      <c r="F162" s="371" t="s">
        <v>671</v>
      </c>
      <c r="G162" s="603"/>
      <c r="H162" s="71"/>
      <c r="I162" s="389"/>
      <c r="J162" s="390"/>
      <c r="K162" s="71"/>
      <c r="L162" s="71"/>
      <c r="M162" s="389"/>
      <c r="N162" s="71"/>
    </row>
    <row r="163" spans="1:14" ht="15.75">
      <c r="A163" s="72" t="s">
        <v>800</v>
      </c>
      <c r="B163" s="9" t="s">
        <v>802</v>
      </c>
      <c r="C163" s="603"/>
      <c r="D163" s="371" t="s">
        <v>800</v>
      </c>
      <c r="E163" s="603"/>
      <c r="F163" s="371" t="s">
        <v>800</v>
      </c>
      <c r="G163" s="603"/>
      <c r="H163" s="71"/>
      <c r="I163" s="389"/>
      <c r="J163" s="390"/>
      <c r="K163" s="71"/>
      <c r="L163" s="71"/>
      <c r="M163" s="389"/>
      <c r="N163" s="71"/>
    </row>
    <row r="164" spans="1:14" ht="15.75">
      <c r="A164" s="72" t="s">
        <v>4489</v>
      </c>
      <c r="B164" s="9" t="s">
        <v>4090</v>
      </c>
      <c r="C164" s="603"/>
      <c r="D164" s="371" t="s">
        <v>4489</v>
      </c>
      <c r="E164" s="603"/>
      <c r="F164" s="371" t="s">
        <v>4489</v>
      </c>
      <c r="G164" s="603"/>
      <c r="H164" s="71"/>
      <c r="I164" s="389"/>
      <c r="J164" s="390"/>
      <c r="K164" s="71"/>
      <c r="L164" s="71"/>
      <c r="M164" s="389"/>
      <c r="N164" s="71"/>
    </row>
    <row r="165" spans="1:14" ht="15.75">
      <c r="A165" s="72" t="s">
        <v>4496</v>
      </c>
      <c r="B165" s="9" t="s">
        <v>2975</v>
      </c>
      <c r="C165" s="603"/>
      <c r="D165" s="371" t="s">
        <v>4496</v>
      </c>
      <c r="E165" s="603"/>
      <c r="F165" s="371" t="s">
        <v>4496</v>
      </c>
      <c r="G165" s="603"/>
      <c r="H165" s="71"/>
      <c r="I165" s="389"/>
      <c r="J165" s="390"/>
      <c r="K165" s="71"/>
      <c r="L165" s="71"/>
      <c r="M165" s="389"/>
      <c r="N165" s="71"/>
    </row>
    <row r="166" spans="1:14" ht="15.75">
      <c r="A166" s="72" t="s">
        <v>1920</v>
      </c>
      <c r="B166" s="9" t="s">
        <v>274</v>
      </c>
      <c r="C166" s="603"/>
      <c r="D166" s="371" t="s">
        <v>1920</v>
      </c>
      <c r="E166" s="603"/>
      <c r="F166" s="371" t="s">
        <v>1920</v>
      </c>
      <c r="G166" s="603"/>
      <c r="H166" s="71"/>
      <c r="I166" s="389"/>
      <c r="J166" s="71"/>
      <c r="K166" s="391"/>
      <c r="L166" s="71"/>
      <c r="M166" s="389"/>
      <c r="N166" s="71"/>
    </row>
    <row r="167" spans="1:14" ht="15.75">
      <c r="A167" s="72" t="s">
        <v>732</v>
      </c>
      <c r="B167" s="9" t="s">
        <v>734</v>
      </c>
      <c r="C167" s="603"/>
      <c r="D167" s="371" t="s">
        <v>732</v>
      </c>
      <c r="E167" s="603"/>
      <c r="F167" s="371" t="s">
        <v>732</v>
      </c>
      <c r="G167" s="603"/>
      <c r="H167" s="71"/>
      <c r="I167" s="389"/>
      <c r="J167" s="71"/>
      <c r="K167" s="391"/>
      <c r="L167" s="71"/>
      <c r="M167" s="389"/>
      <c r="N167" s="71"/>
    </row>
    <row r="168" spans="1:14" ht="15.75">
      <c r="A168" s="72" t="s">
        <v>649</v>
      </c>
      <c r="B168" s="9" t="s">
        <v>651</v>
      </c>
      <c r="C168" s="603"/>
      <c r="D168" s="371" t="s">
        <v>649</v>
      </c>
      <c r="E168" s="603"/>
      <c r="F168" s="371" t="s">
        <v>649</v>
      </c>
      <c r="G168" s="603"/>
      <c r="H168" s="71"/>
      <c r="I168" s="389"/>
      <c r="J168" s="71"/>
      <c r="K168" s="391"/>
      <c r="L168" s="71"/>
      <c r="M168" s="389"/>
      <c r="N168" s="71"/>
    </row>
    <row r="169" spans="1:14" ht="15.75">
      <c r="A169" s="72" t="s">
        <v>4485</v>
      </c>
      <c r="B169" s="9" t="s">
        <v>3848</v>
      </c>
      <c r="C169" s="603"/>
      <c r="D169" s="371" t="s">
        <v>4485</v>
      </c>
      <c r="E169" s="603"/>
      <c r="F169" s="371" t="s">
        <v>4485</v>
      </c>
      <c r="G169" s="603"/>
      <c r="H169" s="71"/>
      <c r="I169" s="392"/>
      <c r="J169" s="71"/>
      <c r="K169" s="391"/>
      <c r="L169" s="71"/>
      <c r="M169" s="392"/>
      <c r="N169" s="71"/>
    </row>
    <row r="170" spans="1:14" ht="15.75">
      <c r="A170" s="72" t="s">
        <v>748</v>
      </c>
      <c r="B170" s="9" t="s">
        <v>750</v>
      </c>
      <c r="C170" s="603"/>
      <c r="D170" s="371" t="s">
        <v>748</v>
      </c>
      <c r="E170" s="603"/>
      <c r="F170" s="371" t="s">
        <v>748</v>
      </c>
      <c r="G170" s="603"/>
      <c r="H170" s="71"/>
      <c r="I170" s="393"/>
      <c r="J170" s="71"/>
      <c r="K170" s="391"/>
      <c r="L170" s="71"/>
      <c r="M170" s="393"/>
      <c r="N170" s="71"/>
    </row>
    <row r="171" spans="1:14" ht="15.75">
      <c r="A171" s="72" t="s">
        <v>692</v>
      </c>
      <c r="B171" s="9" t="s">
        <v>694</v>
      </c>
      <c r="C171" s="603"/>
      <c r="D171" s="371" t="s">
        <v>692</v>
      </c>
      <c r="E171" s="603"/>
      <c r="F171" s="371" t="s">
        <v>692</v>
      </c>
      <c r="G171" s="603"/>
      <c r="H171" s="388"/>
      <c r="I171" s="394"/>
      <c r="J171" s="71"/>
      <c r="K171" s="391"/>
      <c r="L171" s="71"/>
      <c r="M171" s="394"/>
      <c r="N171" s="71"/>
    </row>
    <row r="172" spans="1:14" ht="15.75">
      <c r="A172" s="72" t="s">
        <v>779</v>
      </c>
      <c r="B172" s="9" t="s">
        <v>781</v>
      </c>
      <c r="C172" s="603"/>
      <c r="D172" s="371" t="s">
        <v>779</v>
      </c>
      <c r="E172" s="603"/>
      <c r="F172" s="371" t="s">
        <v>779</v>
      </c>
      <c r="G172" s="603"/>
      <c r="H172" s="388"/>
      <c r="I172" s="394"/>
      <c r="J172" s="71"/>
      <c r="K172" s="391"/>
      <c r="L172" s="71"/>
      <c r="M172" s="394"/>
      <c r="N172" s="71"/>
    </row>
    <row r="173" spans="1:14" ht="15.75">
      <c r="A173" s="72" t="s">
        <v>666</v>
      </c>
      <c r="B173" s="9" t="s">
        <v>668</v>
      </c>
      <c r="C173" s="603"/>
      <c r="D173" s="371" t="s">
        <v>666</v>
      </c>
      <c r="E173" s="603"/>
      <c r="F173" s="371" t="s">
        <v>666</v>
      </c>
      <c r="G173" s="603"/>
      <c r="H173" s="388"/>
      <c r="I173" s="394"/>
      <c r="J173" s="71"/>
      <c r="K173" s="391"/>
      <c r="L173" s="71"/>
      <c r="M173" s="394"/>
      <c r="N173" s="71"/>
    </row>
    <row r="174" spans="1:14" ht="15.75">
      <c r="A174" s="72" t="s">
        <v>774</v>
      </c>
      <c r="B174" s="9" t="s">
        <v>776</v>
      </c>
      <c r="C174" s="603"/>
      <c r="D174" s="371" t="s">
        <v>774</v>
      </c>
      <c r="E174" s="603"/>
      <c r="F174" s="371" t="s">
        <v>774</v>
      </c>
      <c r="G174" s="603"/>
      <c r="H174" s="388"/>
      <c r="I174" s="394"/>
      <c r="J174" s="71"/>
      <c r="K174" s="391"/>
      <c r="L174" s="71"/>
      <c r="M174" s="394"/>
      <c r="N174" s="71"/>
    </row>
    <row r="175" spans="1:14" ht="15.75">
      <c r="A175" s="72" t="s">
        <v>2607</v>
      </c>
      <c r="B175" s="9" t="s">
        <v>2609</v>
      </c>
      <c r="C175" s="603"/>
      <c r="D175" s="371" t="s">
        <v>2607</v>
      </c>
      <c r="E175" s="603"/>
      <c r="F175" s="371" t="s">
        <v>2607</v>
      </c>
      <c r="G175" s="78"/>
      <c r="H175" s="388"/>
      <c r="I175" s="394"/>
      <c r="J175" s="71"/>
      <c r="K175" s="391"/>
      <c r="L175" s="71"/>
      <c r="M175" s="394"/>
      <c r="N175" s="71"/>
    </row>
    <row r="176" spans="1:14" ht="15.75">
      <c r="A176" s="72" t="s">
        <v>2611</v>
      </c>
      <c r="B176" s="9" t="s">
        <v>2613</v>
      </c>
      <c r="C176" s="603"/>
      <c r="D176" s="371" t="s">
        <v>2611</v>
      </c>
      <c r="E176" s="603"/>
      <c r="F176" s="371" t="s">
        <v>2611</v>
      </c>
      <c r="G176" s="78"/>
      <c r="H176" s="388"/>
      <c r="I176" s="394"/>
      <c r="J176" s="71"/>
      <c r="K176" s="391"/>
      <c r="L176" s="71"/>
      <c r="M176" s="394"/>
      <c r="N176" s="71"/>
    </row>
    <row r="177" spans="1:14" ht="15.75">
      <c r="A177" s="72" t="s">
        <v>2615</v>
      </c>
      <c r="B177" s="9" t="s">
        <v>2617</v>
      </c>
      <c r="C177" s="603"/>
      <c r="D177" s="371" t="s">
        <v>2615</v>
      </c>
      <c r="E177" s="603"/>
      <c r="F177" s="371" t="s">
        <v>2615</v>
      </c>
      <c r="G177" s="78"/>
      <c r="H177" s="388"/>
      <c r="I177" s="394"/>
      <c r="J177" s="71"/>
      <c r="K177" s="391"/>
      <c r="L177" s="71"/>
      <c r="M177" s="394"/>
      <c r="N177" s="71"/>
    </row>
    <row r="178" spans="1:14" ht="15.75">
      <c r="A178" s="72" t="s">
        <v>2619</v>
      </c>
      <c r="B178" s="9" t="s">
        <v>2621</v>
      </c>
      <c r="C178" s="603"/>
      <c r="D178" s="371" t="s">
        <v>2619</v>
      </c>
      <c r="E178" s="603"/>
      <c r="F178" s="371" t="s">
        <v>2619</v>
      </c>
      <c r="G178" s="78"/>
      <c r="H178" s="388"/>
      <c r="I178" s="394"/>
      <c r="J178" s="71"/>
      <c r="K178" s="391"/>
      <c r="L178" s="71"/>
      <c r="M178" s="394"/>
      <c r="N178" s="71"/>
    </row>
    <row r="179" spans="1:14" ht="15.75">
      <c r="A179" s="72" t="s">
        <v>2623</v>
      </c>
      <c r="B179" s="9" t="s">
        <v>2625</v>
      </c>
      <c r="C179" s="603"/>
      <c r="D179" s="371" t="s">
        <v>2623</v>
      </c>
      <c r="E179" s="603"/>
      <c r="F179" s="371" t="s">
        <v>2623</v>
      </c>
      <c r="G179" s="78"/>
      <c r="H179" s="388"/>
      <c r="I179" s="394"/>
      <c r="J179" s="71"/>
      <c r="K179" s="391"/>
      <c r="L179" s="71"/>
      <c r="M179" s="394"/>
      <c r="N179" s="71"/>
    </row>
    <row r="180" spans="1:14" ht="15.75">
      <c r="A180" s="72" t="s">
        <v>2627</v>
      </c>
      <c r="B180" s="9" t="s">
        <v>2629</v>
      </c>
      <c r="C180" s="603"/>
      <c r="D180" s="371" t="s">
        <v>2627</v>
      </c>
      <c r="E180" s="603"/>
      <c r="F180" s="371" t="s">
        <v>2627</v>
      </c>
      <c r="G180" s="78"/>
      <c r="H180" s="388"/>
      <c r="I180" s="394"/>
      <c r="J180" s="71"/>
      <c r="K180" s="391"/>
      <c r="L180" s="71"/>
      <c r="M180" s="394"/>
      <c r="N180" s="71"/>
    </row>
    <row r="181" spans="1:14" ht="15.75">
      <c r="A181" s="72" t="s">
        <v>2631</v>
      </c>
      <c r="B181" s="9" t="s">
        <v>2633</v>
      </c>
      <c r="C181" s="603"/>
      <c r="D181" s="371" t="s">
        <v>2631</v>
      </c>
      <c r="E181" s="603"/>
      <c r="F181" s="371" t="s">
        <v>2631</v>
      </c>
      <c r="G181" s="78"/>
      <c r="H181" s="388"/>
      <c r="I181" s="394"/>
      <c r="J181" s="71"/>
      <c r="K181" s="391"/>
      <c r="L181" s="71"/>
      <c r="M181" s="394"/>
      <c r="N181" s="71"/>
    </row>
    <row r="182" spans="1:14" ht="15.75">
      <c r="A182" s="72" t="s">
        <v>2635</v>
      </c>
      <c r="B182" s="9" t="s">
        <v>2637</v>
      </c>
      <c r="C182" s="603"/>
      <c r="D182" s="371" t="s">
        <v>2635</v>
      </c>
      <c r="E182" s="603"/>
      <c r="F182" s="371" t="s">
        <v>2635</v>
      </c>
      <c r="G182" s="78"/>
      <c r="H182" s="388"/>
      <c r="I182" s="394"/>
      <c r="J182" s="390"/>
      <c r="K182" s="71"/>
      <c r="L182" s="71"/>
      <c r="M182" s="394"/>
      <c r="N182" s="71"/>
    </row>
    <row r="183" spans="1:14" ht="15.75">
      <c r="A183" s="72" t="s">
        <v>2640</v>
      </c>
      <c r="B183" s="9" t="s">
        <v>2642</v>
      </c>
      <c r="C183" s="603"/>
      <c r="D183" s="371" t="s">
        <v>2640</v>
      </c>
      <c r="E183" s="603"/>
      <c r="F183" s="371" t="s">
        <v>2640</v>
      </c>
      <c r="G183" s="78"/>
      <c r="H183" s="388"/>
      <c r="I183" s="394"/>
      <c r="J183" s="390"/>
      <c r="K183" s="71"/>
      <c r="L183" s="71"/>
      <c r="M183" s="394"/>
      <c r="N183" s="71"/>
    </row>
    <row r="184" spans="1:14" ht="15.75">
      <c r="A184" s="72" t="s">
        <v>2644</v>
      </c>
      <c r="B184" s="9" t="s">
        <v>2646</v>
      </c>
      <c r="C184" s="603"/>
      <c r="D184" s="371" t="s">
        <v>2644</v>
      </c>
      <c r="E184" s="603"/>
      <c r="F184" s="371" t="s">
        <v>2644</v>
      </c>
      <c r="G184" s="78"/>
      <c r="H184" s="388"/>
      <c r="I184" s="394"/>
      <c r="J184" s="390"/>
      <c r="K184" s="71"/>
      <c r="L184" s="71"/>
      <c r="M184" s="394"/>
      <c r="N184" s="71"/>
    </row>
    <row r="185" spans="1:14" ht="15.75">
      <c r="A185" s="72" t="s">
        <v>2648</v>
      </c>
      <c r="B185" s="9" t="s">
        <v>2650</v>
      </c>
      <c r="C185" s="603"/>
      <c r="D185" s="371" t="s">
        <v>2648</v>
      </c>
      <c r="E185" s="603"/>
      <c r="F185" s="371" t="s">
        <v>2648</v>
      </c>
      <c r="G185" s="78"/>
      <c r="H185" s="388"/>
      <c r="I185" s="394"/>
      <c r="J185" s="390"/>
      <c r="K185" s="71"/>
      <c r="L185" s="71"/>
      <c r="M185" s="394"/>
      <c r="N185" s="71"/>
    </row>
    <row r="186" spans="1:14" ht="15.75">
      <c r="A186" s="72" t="s">
        <v>2652</v>
      </c>
      <c r="B186" s="9" t="s">
        <v>2654</v>
      </c>
      <c r="C186" s="603"/>
      <c r="D186" s="371" t="s">
        <v>2652</v>
      </c>
      <c r="E186" s="603"/>
      <c r="F186" s="371" t="s">
        <v>2652</v>
      </c>
      <c r="G186" s="78"/>
      <c r="H186" s="388"/>
      <c r="I186" s="394"/>
      <c r="J186" s="390"/>
      <c r="K186" s="71"/>
      <c r="L186" s="71"/>
      <c r="M186" s="394"/>
      <c r="N186" s="71"/>
    </row>
    <row r="187" spans="1:14" ht="15.75">
      <c r="A187" s="72" t="s">
        <v>2656</v>
      </c>
      <c r="B187" s="9" t="s">
        <v>2658</v>
      </c>
      <c r="C187" s="603"/>
      <c r="D187" s="371" t="s">
        <v>2656</v>
      </c>
      <c r="E187" s="603"/>
      <c r="F187" s="371" t="s">
        <v>2656</v>
      </c>
      <c r="G187" s="78"/>
      <c r="H187" s="388"/>
      <c r="I187" s="394"/>
      <c r="J187" s="390"/>
      <c r="K187" s="71"/>
      <c r="L187" s="71"/>
      <c r="M187" s="394"/>
      <c r="N187" s="71"/>
    </row>
    <row r="188" spans="1:14" ht="15.75">
      <c r="A188" s="72" t="s">
        <v>2660</v>
      </c>
      <c r="B188" s="9" t="s">
        <v>2662</v>
      </c>
      <c r="C188" s="603"/>
      <c r="D188" s="371" t="s">
        <v>2660</v>
      </c>
      <c r="E188" s="603"/>
      <c r="F188" s="371" t="s">
        <v>2660</v>
      </c>
      <c r="G188" s="78"/>
      <c r="H188" s="388"/>
      <c r="I188" s="394"/>
      <c r="J188" s="390"/>
      <c r="K188" s="71"/>
      <c r="L188" s="71"/>
      <c r="M188" s="394"/>
      <c r="N188" s="71"/>
    </row>
    <row r="189" spans="1:14" ht="15.75">
      <c r="A189" s="72" t="s">
        <v>2664</v>
      </c>
      <c r="B189" s="9" t="s">
        <v>2666</v>
      </c>
      <c r="C189" s="603"/>
      <c r="D189" s="371" t="s">
        <v>2664</v>
      </c>
      <c r="E189" s="603"/>
      <c r="F189" s="371" t="s">
        <v>2664</v>
      </c>
      <c r="G189" s="57"/>
      <c r="H189" s="388"/>
      <c r="I189" s="394"/>
      <c r="J189" s="390"/>
      <c r="K189" s="71"/>
      <c r="L189" s="71"/>
      <c r="M189" s="394"/>
      <c r="N189" s="71"/>
    </row>
    <row r="190" spans="1:14" ht="15.75">
      <c r="A190" s="72" t="s">
        <v>2668</v>
      </c>
      <c r="B190" s="9" t="s">
        <v>2670</v>
      </c>
      <c r="C190" s="603"/>
      <c r="D190" s="371" t="s">
        <v>2668</v>
      </c>
      <c r="E190" s="603"/>
      <c r="F190" s="371" t="s">
        <v>2668</v>
      </c>
      <c r="G190" s="57"/>
      <c r="H190" s="388"/>
      <c r="I190" s="394"/>
      <c r="J190" s="390"/>
      <c r="K190" s="71"/>
      <c r="L190" s="71"/>
      <c r="M190" s="394"/>
      <c r="N190" s="71"/>
    </row>
    <row r="191" spans="1:14" ht="15.75">
      <c r="A191" s="72" t="s">
        <v>3722</v>
      </c>
      <c r="B191" s="9" t="s">
        <v>3724</v>
      </c>
      <c r="C191" s="603"/>
      <c r="D191" s="371" t="s">
        <v>3722</v>
      </c>
      <c r="E191" s="603"/>
      <c r="F191" s="371" t="s">
        <v>3722</v>
      </c>
      <c r="G191" s="57"/>
      <c r="H191" s="388"/>
      <c r="I191" s="394"/>
      <c r="J191" s="390"/>
      <c r="K191" s="71"/>
      <c r="L191" s="71"/>
      <c r="M191" s="394"/>
      <c r="N191" s="71"/>
    </row>
    <row r="192" spans="1:14" ht="15.75">
      <c r="A192" s="72" t="s">
        <v>2674</v>
      </c>
      <c r="B192" s="9" t="s">
        <v>2676</v>
      </c>
      <c r="C192" s="603"/>
      <c r="D192" s="371" t="s">
        <v>2674</v>
      </c>
      <c r="E192" s="603"/>
      <c r="F192" s="371" t="s">
        <v>2674</v>
      </c>
      <c r="G192" s="57"/>
      <c r="H192" s="388"/>
      <c r="I192" s="394"/>
      <c r="J192" s="390"/>
      <c r="K192" s="71"/>
      <c r="L192" s="71"/>
      <c r="M192" s="394"/>
      <c r="N192" s="71"/>
    </row>
    <row r="193" spans="1:14" ht="15.75">
      <c r="A193" s="72" t="s">
        <v>2678</v>
      </c>
      <c r="B193" s="9" t="s">
        <v>2680</v>
      </c>
      <c r="C193" s="603"/>
      <c r="D193" s="371" t="s">
        <v>2678</v>
      </c>
      <c r="E193" s="603"/>
      <c r="F193" s="371" t="s">
        <v>2678</v>
      </c>
      <c r="G193" s="57"/>
      <c r="H193" s="388"/>
      <c r="I193" s="394"/>
      <c r="J193" s="390"/>
      <c r="K193" s="71"/>
      <c r="L193" s="71"/>
      <c r="M193" s="394"/>
      <c r="N193" s="71"/>
    </row>
    <row r="194" spans="1:14" ht="15.75">
      <c r="A194" s="72" t="s">
        <v>2683</v>
      </c>
      <c r="B194" s="9" t="s">
        <v>2685</v>
      </c>
      <c r="C194" s="603"/>
      <c r="D194" s="371" t="s">
        <v>2683</v>
      </c>
      <c r="E194" s="603"/>
      <c r="F194" s="371" t="s">
        <v>2683</v>
      </c>
      <c r="G194" s="57"/>
      <c r="H194" s="388"/>
      <c r="I194" s="394"/>
      <c r="J194" s="390"/>
      <c r="K194" s="71"/>
      <c r="L194" s="71"/>
      <c r="M194" s="394"/>
      <c r="N194" s="71"/>
    </row>
    <row r="195" spans="1:14" ht="15.75">
      <c r="A195" s="72" t="s">
        <v>2687</v>
      </c>
      <c r="B195" s="9" t="s">
        <v>2689</v>
      </c>
      <c r="C195" s="603"/>
      <c r="D195" s="371" t="s">
        <v>2687</v>
      </c>
      <c r="E195" s="603"/>
      <c r="F195" s="371" t="s">
        <v>2687</v>
      </c>
      <c r="G195" s="57"/>
      <c r="H195" s="388"/>
      <c r="I195" s="394"/>
      <c r="J195" s="390"/>
      <c r="K195" s="71"/>
      <c r="L195" s="71"/>
      <c r="M195" s="394"/>
      <c r="N195" s="71"/>
    </row>
    <row r="196" spans="1:14" ht="15.75">
      <c r="A196" s="72" t="s">
        <v>3582</v>
      </c>
      <c r="B196" s="9" t="s">
        <v>3584</v>
      </c>
      <c r="C196" s="603"/>
      <c r="D196" s="603" t="s">
        <v>3582</v>
      </c>
      <c r="E196" s="603"/>
      <c r="F196" s="603" t="s">
        <v>3582</v>
      </c>
      <c r="G196" s="57"/>
      <c r="H196" s="388"/>
      <c r="I196" s="394"/>
      <c r="J196" s="390"/>
      <c r="K196" s="71"/>
      <c r="L196" s="71"/>
      <c r="M196" s="394"/>
      <c r="N196" s="71"/>
    </row>
    <row r="197" spans="1:14" ht="15.75">
      <c r="A197" s="72" t="s">
        <v>3717</v>
      </c>
      <c r="B197" s="9" t="s">
        <v>3719</v>
      </c>
      <c r="C197" s="603"/>
      <c r="D197" s="603" t="s">
        <v>3717</v>
      </c>
      <c r="E197" s="603"/>
      <c r="F197" s="603" t="s">
        <v>3717</v>
      </c>
      <c r="G197" s="57"/>
      <c r="H197" s="388"/>
      <c r="I197" s="394"/>
      <c r="J197" s="390"/>
      <c r="K197" s="71"/>
      <c r="L197" s="71"/>
      <c r="M197" s="394"/>
      <c r="N197" s="71"/>
    </row>
    <row r="198" spans="1:14" ht="15.75">
      <c r="A198" s="72" t="s">
        <v>3588</v>
      </c>
      <c r="B198" s="9" t="s">
        <v>3590</v>
      </c>
      <c r="C198" s="603"/>
      <c r="D198" s="603" t="s">
        <v>3588</v>
      </c>
      <c r="E198" s="603"/>
      <c r="F198" s="603" t="s">
        <v>3588</v>
      </c>
      <c r="G198" s="57"/>
      <c r="H198" s="388"/>
      <c r="I198" s="394"/>
      <c r="J198" s="390"/>
      <c r="K198" s="71"/>
      <c r="L198" s="71"/>
      <c r="M198" s="394"/>
      <c r="N198" s="71"/>
    </row>
    <row r="199" spans="1:14" ht="15.75">
      <c r="A199" s="72" t="s">
        <v>3592</v>
      </c>
      <c r="B199" s="9" t="s">
        <v>3594</v>
      </c>
      <c r="C199" s="603"/>
      <c r="D199" s="603" t="s">
        <v>3592</v>
      </c>
      <c r="E199" s="603"/>
      <c r="F199" s="603" t="s">
        <v>3592</v>
      </c>
      <c r="G199" s="57"/>
      <c r="H199" s="388"/>
      <c r="I199" s="394"/>
      <c r="J199" s="390"/>
      <c r="K199" s="71"/>
      <c r="L199" s="71"/>
      <c r="M199" s="394"/>
      <c r="N199" s="71"/>
    </row>
    <row r="200" spans="1:14" ht="15.75">
      <c r="A200" s="72" t="s">
        <v>3597</v>
      </c>
      <c r="B200" s="9" t="s">
        <v>3599</v>
      </c>
      <c r="C200" s="603"/>
      <c r="D200" s="603" t="s">
        <v>3597</v>
      </c>
      <c r="E200" s="603"/>
      <c r="F200" s="603" t="s">
        <v>3597</v>
      </c>
      <c r="G200" s="57"/>
      <c r="H200" s="388"/>
      <c r="I200" s="394"/>
      <c r="J200" s="390"/>
      <c r="K200" s="71"/>
      <c r="L200" s="71"/>
      <c r="M200" s="394"/>
      <c r="N200" s="71"/>
    </row>
    <row r="201" spans="1:14" ht="15.75">
      <c r="A201" s="72" t="s">
        <v>2699</v>
      </c>
      <c r="B201" s="9" t="s">
        <v>2701</v>
      </c>
      <c r="C201" s="387"/>
      <c r="D201" s="371" t="s">
        <v>2699</v>
      </c>
      <c r="E201" s="603"/>
      <c r="F201" s="371" t="s">
        <v>2699</v>
      </c>
      <c r="G201" s="78"/>
      <c r="H201" s="388"/>
      <c r="I201" s="394"/>
      <c r="J201" s="390"/>
      <c r="K201" s="71"/>
      <c r="L201" s="71"/>
      <c r="M201" s="394"/>
      <c r="N201" s="71"/>
    </row>
    <row r="202" spans="1:14" ht="15.75">
      <c r="A202" s="72" t="s">
        <v>2707</v>
      </c>
      <c r="B202" s="9" t="s">
        <v>2709</v>
      </c>
      <c r="C202" s="387"/>
      <c r="D202" s="371" t="s">
        <v>2707</v>
      </c>
      <c r="E202" s="603"/>
      <c r="F202" s="371" t="s">
        <v>2707</v>
      </c>
      <c r="G202" s="78"/>
      <c r="H202" s="388"/>
      <c r="I202" s="394"/>
      <c r="J202" s="390"/>
      <c r="K202" s="71"/>
      <c r="L202" s="71"/>
      <c r="M202" s="394"/>
      <c r="N202" s="71"/>
    </row>
    <row r="203" spans="1:14" ht="15.75">
      <c r="A203" s="72" t="s">
        <v>2734</v>
      </c>
      <c r="B203" s="9" t="s">
        <v>2736</v>
      </c>
      <c r="C203" s="387"/>
      <c r="D203" s="371" t="s">
        <v>2734</v>
      </c>
      <c r="E203" s="603"/>
      <c r="F203" s="371" t="s">
        <v>2734</v>
      </c>
      <c r="G203" s="78"/>
      <c r="H203" s="388"/>
      <c r="I203" s="394"/>
      <c r="J203" s="390"/>
      <c r="K203" s="71"/>
      <c r="L203" s="71"/>
      <c r="M203" s="394"/>
      <c r="N203" s="71"/>
    </row>
    <row r="204" spans="1:14" ht="15.75">
      <c r="A204" s="72" t="s">
        <v>2764</v>
      </c>
      <c r="B204" s="9" t="s">
        <v>2766</v>
      </c>
      <c r="C204" s="387"/>
      <c r="D204" s="371" t="s">
        <v>2764</v>
      </c>
      <c r="E204" s="603"/>
      <c r="F204" s="371" t="s">
        <v>2764</v>
      </c>
      <c r="G204" s="78"/>
      <c r="H204" s="388"/>
      <c r="I204" s="394"/>
      <c r="J204" s="390"/>
      <c r="K204" s="71"/>
      <c r="L204" s="71"/>
      <c r="M204" s="394"/>
      <c r="N204" s="71"/>
    </row>
    <row r="205" spans="1:14" ht="15.75">
      <c r="A205" s="72" t="s">
        <v>2566</v>
      </c>
      <c r="B205" s="9" t="s">
        <v>2568</v>
      </c>
      <c r="C205" s="387"/>
      <c r="D205" s="371" t="s">
        <v>2566</v>
      </c>
      <c r="E205" s="603"/>
      <c r="F205" s="371" t="s">
        <v>2566</v>
      </c>
      <c r="G205" s="78"/>
      <c r="H205" s="388"/>
      <c r="I205" s="394"/>
      <c r="J205" s="390"/>
      <c r="K205" s="71"/>
      <c r="L205" s="71"/>
      <c r="M205" s="394"/>
      <c r="N205" s="71"/>
    </row>
    <row r="206" spans="1:14" ht="15.75">
      <c r="A206" s="72" t="s">
        <v>2570</v>
      </c>
      <c r="B206" s="9" t="s">
        <v>2572</v>
      </c>
      <c r="C206" s="387"/>
      <c r="D206" s="371" t="s">
        <v>2570</v>
      </c>
      <c r="E206" s="603"/>
      <c r="F206" s="371" t="s">
        <v>2570</v>
      </c>
      <c r="G206" s="78"/>
      <c r="H206" s="388"/>
      <c r="I206" s="394"/>
      <c r="J206" s="390"/>
      <c r="K206" s="71"/>
      <c r="L206" s="71"/>
      <c r="M206" s="394"/>
      <c r="N206" s="71"/>
    </row>
    <row r="207" spans="1:14" ht="15.75">
      <c r="A207" s="72" t="s">
        <v>2574</v>
      </c>
      <c r="B207" s="9" t="s">
        <v>2576</v>
      </c>
      <c r="C207" s="387"/>
      <c r="D207" s="371" t="s">
        <v>2574</v>
      </c>
      <c r="E207" s="603"/>
      <c r="F207" s="371" t="s">
        <v>2574</v>
      </c>
      <c r="G207" s="78"/>
      <c r="H207" s="388"/>
      <c r="I207" s="394"/>
      <c r="J207" s="390"/>
      <c r="K207" s="71"/>
      <c r="L207" s="71"/>
      <c r="M207" s="394"/>
      <c r="N207" s="71"/>
    </row>
    <row r="208" spans="1:14" ht="15.75">
      <c r="A208" s="72" t="s">
        <v>2578</v>
      </c>
      <c r="B208" s="9" t="s">
        <v>2580</v>
      </c>
      <c r="C208" s="387"/>
      <c r="D208" s="371" t="s">
        <v>2578</v>
      </c>
      <c r="E208" s="603"/>
      <c r="F208" s="371" t="s">
        <v>2578</v>
      </c>
      <c r="G208" s="78"/>
      <c r="H208" s="388"/>
      <c r="I208" s="394"/>
      <c r="J208" s="390"/>
      <c r="K208" s="71"/>
      <c r="L208" s="71"/>
      <c r="M208" s="394"/>
      <c r="N208" s="71"/>
    </row>
    <row r="209" spans="1:14" ht="15.75">
      <c r="A209" s="72" t="s">
        <v>2582</v>
      </c>
      <c r="B209" s="9" t="s">
        <v>2584</v>
      </c>
      <c r="C209" s="387"/>
      <c r="D209" s="371" t="s">
        <v>2582</v>
      </c>
      <c r="E209" s="603"/>
      <c r="F209" s="371" t="s">
        <v>2582</v>
      </c>
      <c r="G209" s="78"/>
      <c r="H209" s="388"/>
      <c r="I209" s="394"/>
      <c r="J209" s="390"/>
      <c r="K209" s="71"/>
      <c r="L209" s="71"/>
      <c r="M209" s="394"/>
      <c r="N209" s="71"/>
    </row>
    <row r="210" spans="1:14" ht="15.75">
      <c r="A210" s="72" t="s">
        <v>2586</v>
      </c>
      <c r="B210" s="9" t="s">
        <v>2588</v>
      </c>
      <c r="C210" s="387"/>
      <c r="D210" s="371" t="s">
        <v>2586</v>
      </c>
      <c r="E210" s="603"/>
      <c r="F210" s="371" t="s">
        <v>2586</v>
      </c>
      <c r="G210" s="78"/>
      <c r="H210" s="388"/>
      <c r="I210" s="394"/>
      <c r="J210" s="390"/>
      <c r="K210" s="71"/>
      <c r="L210" s="71"/>
      <c r="M210" s="394"/>
      <c r="N210" s="71"/>
    </row>
    <row r="211" spans="1:14" ht="15.75">
      <c r="A211" s="72" t="s">
        <v>2590</v>
      </c>
      <c r="B211" s="9" t="s">
        <v>2592</v>
      </c>
      <c r="C211" s="387"/>
      <c r="D211" s="371" t="s">
        <v>2590</v>
      </c>
      <c r="E211" s="603"/>
      <c r="F211" s="371" t="s">
        <v>2590</v>
      </c>
      <c r="G211" s="78"/>
      <c r="H211" s="388"/>
      <c r="I211" s="394"/>
      <c r="J211" s="390"/>
      <c r="K211" s="71"/>
      <c r="L211" s="71"/>
      <c r="M211" s="394"/>
      <c r="N211" s="71"/>
    </row>
    <row r="212" spans="1:14" ht="15.75">
      <c r="A212" s="72" t="s">
        <v>2594</v>
      </c>
      <c r="B212" s="9" t="s">
        <v>2596</v>
      </c>
      <c r="C212" s="387"/>
      <c r="D212" s="371" t="s">
        <v>2594</v>
      </c>
      <c r="E212" s="603"/>
      <c r="F212" s="371" t="s">
        <v>2594</v>
      </c>
      <c r="G212" s="78"/>
      <c r="H212" s="388"/>
      <c r="I212" s="394"/>
      <c r="J212" s="390"/>
      <c r="K212" s="71"/>
      <c r="L212" s="71"/>
      <c r="M212" s="394"/>
      <c r="N212" s="71"/>
    </row>
    <row r="213" spans="1:14" ht="15.75">
      <c r="A213" s="72" t="s">
        <v>2599</v>
      </c>
      <c r="B213" s="9" t="s">
        <v>2601</v>
      </c>
      <c r="C213" s="387"/>
      <c r="D213" s="371" t="s">
        <v>2599</v>
      </c>
      <c r="E213" s="603"/>
      <c r="F213" s="371" t="s">
        <v>2599</v>
      </c>
      <c r="G213" s="78"/>
      <c r="H213" s="388"/>
      <c r="I213" s="394"/>
      <c r="J213" s="390"/>
      <c r="K213" s="71"/>
      <c r="L213" s="71"/>
      <c r="M213" s="394"/>
      <c r="N213" s="71"/>
    </row>
    <row r="214" spans="1:14" ht="15.75">
      <c r="A214" s="72" t="s">
        <v>2603</v>
      </c>
      <c r="B214" s="9" t="s">
        <v>2605</v>
      </c>
      <c r="C214" s="387"/>
      <c r="D214" s="371" t="s">
        <v>2603</v>
      </c>
      <c r="E214" s="603"/>
      <c r="F214" s="371" t="s">
        <v>2603</v>
      </c>
      <c r="G214" s="78"/>
      <c r="H214" s="388"/>
      <c r="I214" s="394"/>
      <c r="J214" s="390"/>
      <c r="K214" s="71"/>
      <c r="L214" s="71"/>
      <c r="M214" s="394"/>
      <c r="N214" s="71"/>
    </row>
    <row r="215" spans="1:14" ht="15.75">
      <c r="A215" s="72" t="s">
        <v>2525</v>
      </c>
      <c r="B215" s="9" t="s">
        <v>2527</v>
      </c>
      <c r="C215" s="387"/>
      <c r="D215" s="371" t="s">
        <v>2525</v>
      </c>
      <c r="E215" s="603"/>
      <c r="F215" s="371" t="s">
        <v>2525</v>
      </c>
      <c r="G215" s="78"/>
      <c r="H215" s="388"/>
      <c r="I215" s="394"/>
      <c r="J215" s="390"/>
      <c r="K215" s="71"/>
      <c r="L215" s="71"/>
      <c r="M215" s="394"/>
      <c r="N215" s="71"/>
    </row>
    <row r="216" spans="1:14" ht="15.75">
      <c r="A216" s="72" t="s">
        <v>2529</v>
      </c>
      <c r="B216" s="9" t="s">
        <v>2531</v>
      </c>
      <c r="C216" s="387"/>
      <c r="D216" s="371" t="s">
        <v>2529</v>
      </c>
      <c r="E216" s="603"/>
      <c r="F216" s="371" t="s">
        <v>2529</v>
      </c>
      <c r="G216" s="78"/>
      <c r="H216" s="388"/>
      <c r="I216" s="394"/>
      <c r="J216" s="390"/>
      <c r="K216" s="71"/>
      <c r="L216" s="71"/>
      <c r="M216" s="394"/>
      <c r="N216" s="71"/>
    </row>
    <row r="217" spans="1:14" ht="15.75">
      <c r="A217" s="72" t="s">
        <v>2533</v>
      </c>
      <c r="B217" s="9" t="s">
        <v>2535</v>
      </c>
      <c r="C217" s="387"/>
      <c r="D217" s="371" t="s">
        <v>2533</v>
      </c>
      <c r="E217" s="603"/>
      <c r="F217" s="371" t="s">
        <v>2533</v>
      </c>
      <c r="G217" s="78"/>
      <c r="H217" s="388"/>
      <c r="I217" s="394"/>
      <c r="J217" s="390"/>
      <c r="K217" s="71"/>
      <c r="L217" s="71"/>
      <c r="M217" s="394"/>
      <c r="N217" s="71"/>
    </row>
    <row r="218" spans="1:14" ht="15.75">
      <c r="A218" s="72" t="s">
        <v>2537</v>
      </c>
      <c r="B218" s="9" t="s">
        <v>2539</v>
      </c>
      <c r="C218" s="387"/>
      <c r="D218" s="371" t="s">
        <v>2537</v>
      </c>
      <c r="E218" s="603"/>
      <c r="F218" s="371" t="s">
        <v>2537</v>
      </c>
      <c r="G218" s="78"/>
      <c r="H218" s="388"/>
      <c r="I218" s="394"/>
      <c r="J218" s="390"/>
      <c r="K218" s="71"/>
      <c r="L218" s="71"/>
      <c r="M218" s="394"/>
      <c r="N218" s="71"/>
    </row>
    <row r="219" spans="1:14" ht="15.75">
      <c r="A219" s="72" t="s">
        <v>2541</v>
      </c>
      <c r="B219" s="9" t="s">
        <v>2543</v>
      </c>
      <c r="C219" s="387"/>
      <c r="D219" s="371" t="s">
        <v>2541</v>
      </c>
      <c r="E219" s="603"/>
      <c r="F219" s="371" t="s">
        <v>2541</v>
      </c>
      <c r="G219" s="78"/>
      <c r="H219" s="71"/>
      <c r="I219" s="394"/>
      <c r="J219" s="390"/>
      <c r="K219" s="71"/>
      <c r="L219" s="71"/>
      <c r="M219" s="394"/>
      <c r="N219" s="71"/>
    </row>
    <row r="220" spans="1:14" ht="15.75">
      <c r="A220" s="72" t="s">
        <v>2545</v>
      </c>
      <c r="B220" s="9" t="s">
        <v>2547</v>
      </c>
      <c r="C220" s="387"/>
      <c r="D220" s="371" t="s">
        <v>2545</v>
      </c>
      <c r="E220" s="603"/>
      <c r="F220" s="371" t="s">
        <v>2545</v>
      </c>
      <c r="G220" s="78"/>
      <c r="H220" s="604"/>
      <c r="I220" s="394"/>
      <c r="J220" s="390"/>
      <c r="K220" s="71"/>
      <c r="L220" s="71"/>
      <c r="M220" s="394"/>
      <c r="N220" s="71"/>
    </row>
    <row r="221" spans="1:14" ht="15.75">
      <c r="A221" s="72" t="s">
        <v>2549</v>
      </c>
      <c r="B221" s="9" t="s">
        <v>2551</v>
      </c>
      <c r="C221" s="387"/>
      <c r="D221" s="371" t="s">
        <v>2549</v>
      </c>
      <c r="E221" s="603"/>
      <c r="F221" s="371" t="s">
        <v>2549</v>
      </c>
      <c r="G221" s="78"/>
      <c r="H221" s="604"/>
      <c r="I221" s="394"/>
      <c r="J221" s="390"/>
      <c r="K221" s="71"/>
      <c r="L221" s="71"/>
      <c r="M221" s="394"/>
      <c r="N221" s="71"/>
    </row>
    <row r="222" spans="1:14" ht="15.75">
      <c r="A222" s="72" t="s">
        <v>2553</v>
      </c>
      <c r="B222" s="9" t="s">
        <v>2555</v>
      </c>
      <c r="C222" s="387"/>
      <c r="D222" s="371" t="s">
        <v>2553</v>
      </c>
      <c r="E222" s="603"/>
      <c r="F222" s="371" t="s">
        <v>2553</v>
      </c>
      <c r="G222" s="78"/>
      <c r="H222" s="604"/>
      <c r="I222" s="394"/>
      <c r="J222" s="390"/>
      <c r="K222" s="71"/>
      <c r="L222" s="71"/>
      <c r="M222" s="394"/>
      <c r="N222" s="71"/>
    </row>
    <row r="223" spans="1:14" ht="15.75">
      <c r="A223" s="72" t="s">
        <v>2557</v>
      </c>
      <c r="B223" s="9" t="s">
        <v>2559</v>
      </c>
      <c r="C223" s="387"/>
      <c r="D223" s="371" t="s">
        <v>2557</v>
      </c>
      <c r="E223" s="603"/>
      <c r="F223" s="371" t="s">
        <v>2557</v>
      </c>
      <c r="G223" s="78"/>
      <c r="H223" s="604"/>
      <c r="I223" s="394"/>
      <c r="J223" s="390"/>
      <c r="K223" s="71"/>
      <c r="L223" s="71"/>
      <c r="M223" s="394"/>
      <c r="N223" s="71"/>
    </row>
    <row r="224" spans="1:14" ht="15.75">
      <c r="A224" s="72" t="s">
        <v>2691</v>
      </c>
      <c r="B224" s="9" t="s">
        <v>2693</v>
      </c>
      <c r="C224" s="387"/>
      <c r="D224" s="371" t="s">
        <v>2691</v>
      </c>
      <c r="E224" s="603"/>
      <c r="F224" s="371" t="s">
        <v>2691</v>
      </c>
      <c r="G224" s="78"/>
      <c r="H224" s="604"/>
      <c r="I224" s="394"/>
      <c r="J224" s="390"/>
      <c r="K224" s="71"/>
      <c r="L224" s="71"/>
      <c r="M224" s="394"/>
      <c r="N224" s="71"/>
    </row>
    <row r="225" spans="1:14" ht="15.75">
      <c r="A225" s="72" t="s">
        <v>4575</v>
      </c>
      <c r="B225" s="9" t="s">
        <v>2952</v>
      </c>
      <c r="C225" s="387"/>
      <c r="D225" s="371" t="s">
        <v>4575</v>
      </c>
      <c r="E225" s="603"/>
      <c r="F225" s="371" t="s">
        <v>4575</v>
      </c>
      <c r="G225" s="78"/>
      <c r="H225" s="604"/>
      <c r="I225" s="394"/>
      <c r="J225" s="390"/>
      <c r="K225" s="71"/>
      <c r="L225" s="71"/>
      <c r="M225" s="394"/>
      <c r="N225" s="71"/>
    </row>
    <row r="226" spans="1:14" ht="15.75">
      <c r="A226" s="72" t="s">
        <v>2695</v>
      </c>
      <c r="B226" s="9" t="s">
        <v>2697</v>
      </c>
      <c r="C226" s="387"/>
      <c r="D226" s="371" t="s">
        <v>2695</v>
      </c>
      <c r="E226" s="603"/>
      <c r="F226" s="371" t="s">
        <v>2695</v>
      </c>
      <c r="G226" s="78"/>
      <c r="H226" s="604"/>
      <c r="I226" s="394"/>
      <c r="J226" s="390"/>
      <c r="K226" s="71"/>
      <c r="L226" s="71"/>
      <c r="M226" s="394"/>
      <c r="N226" s="71"/>
    </row>
    <row r="227" spans="1:14" ht="15.75">
      <c r="A227" s="72" t="s">
        <v>2703</v>
      </c>
      <c r="B227" s="9" t="s">
        <v>2705</v>
      </c>
      <c r="C227" s="387"/>
      <c r="D227" s="371" t="s">
        <v>2703</v>
      </c>
      <c r="E227" s="603"/>
      <c r="F227" s="371" t="s">
        <v>2703</v>
      </c>
      <c r="G227" s="78"/>
      <c r="H227" s="604"/>
      <c r="I227" s="394"/>
      <c r="J227" s="390"/>
      <c r="K227" s="71"/>
      <c r="L227" s="71"/>
      <c r="M227" s="394"/>
      <c r="N227" s="71"/>
    </row>
    <row r="228" spans="1:14" ht="15.75">
      <c r="A228" s="72" t="s">
        <v>2714</v>
      </c>
      <c r="B228" s="9" t="s">
        <v>2716</v>
      </c>
      <c r="C228" s="387"/>
      <c r="D228" s="371" t="s">
        <v>2714</v>
      </c>
      <c r="E228" s="603"/>
      <c r="F228" s="371" t="s">
        <v>2714</v>
      </c>
      <c r="G228" s="78"/>
      <c r="H228" s="604"/>
      <c r="I228" s="394"/>
      <c r="J228" s="390"/>
      <c r="K228" s="71"/>
      <c r="L228" s="71"/>
      <c r="M228" s="394"/>
      <c r="N228" s="71"/>
    </row>
    <row r="229" spans="1:14">
      <c r="A229" s="72" t="s">
        <v>2473</v>
      </c>
      <c r="B229" s="9" t="s">
        <v>2475</v>
      </c>
      <c r="C229" s="603"/>
      <c r="D229" s="603" t="s">
        <v>2473</v>
      </c>
      <c r="E229" s="603"/>
      <c r="F229" s="371" t="s">
        <v>2473</v>
      </c>
      <c r="G229" s="603"/>
      <c r="H229" s="604"/>
      <c r="I229" s="394"/>
      <c r="J229" s="390"/>
      <c r="K229" s="71"/>
      <c r="L229" s="71"/>
      <c r="M229" s="394"/>
      <c r="N229" s="71"/>
    </row>
    <row r="230" spans="1:14">
      <c r="A230" s="72" t="s">
        <v>2477</v>
      </c>
      <c r="B230" s="9" t="s">
        <v>2479</v>
      </c>
      <c r="C230" s="603"/>
      <c r="D230" s="603" t="s">
        <v>2477</v>
      </c>
      <c r="E230" s="603"/>
      <c r="F230" s="371" t="s">
        <v>2477</v>
      </c>
      <c r="G230" s="603"/>
      <c r="H230" s="604"/>
      <c r="I230" s="394"/>
      <c r="J230" s="390"/>
      <c r="K230" s="71"/>
      <c r="L230" s="71"/>
      <c r="M230" s="394"/>
      <c r="N230" s="71"/>
    </row>
    <row r="231" spans="1:14">
      <c r="A231" s="72" t="s">
        <v>2481</v>
      </c>
      <c r="B231" s="9" t="s">
        <v>2483</v>
      </c>
      <c r="C231" s="603"/>
      <c r="D231" s="603" t="s">
        <v>2481</v>
      </c>
      <c r="E231" s="603"/>
      <c r="F231" s="371" t="s">
        <v>2481</v>
      </c>
      <c r="G231" s="603"/>
      <c r="H231" s="604"/>
      <c r="I231" s="394"/>
      <c r="J231" s="390"/>
      <c r="K231" s="71"/>
      <c r="L231" s="71"/>
      <c r="M231" s="394"/>
      <c r="N231" s="71"/>
    </row>
    <row r="232" spans="1:14">
      <c r="A232" s="72" t="s">
        <v>2485</v>
      </c>
      <c r="B232" s="9" t="s">
        <v>2487</v>
      </c>
      <c r="C232" s="603"/>
      <c r="D232" s="603" t="s">
        <v>2485</v>
      </c>
      <c r="E232" s="603"/>
      <c r="F232" s="371" t="s">
        <v>2485</v>
      </c>
      <c r="G232" s="603"/>
      <c r="H232" s="604"/>
      <c r="I232" s="394"/>
      <c r="J232" s="390"/>
      <c r="K232" s="71"/>
      <c r="L232" s="71"/>
      <c r="M232" s="394"/>
      <c r="N232" s="71"/>
    </row>
    <row r="233" spans="1:14">
      <c r="A233" s="72" t="s">
        <v>2489</v>
      </c>
      <c r="B233" s="9" t="s">
        <v>2491</v>
      </c>
      <c r="C233" s="603"/>
      <c r="D233" s="603" t="s">
        <v>2489</v>
      </c>
      <c r="E233" s="603"/>
      <c r="F233" s="371" t="s">
        <v>2489</v>
      </c>
      <c r="G233" s="603"/>
      <c r="H233" s="604"/>
      <c r="I233" s="394"/>
      <c r="J233" s="390"/>
      <c r="K233" s="71"/>
      <c r="L233" s="71"/>
      <c r="M233" s="394"/>
      <c r="N233" s="71"/>
    </row>
    <row r="234" spans="1:14">
      <c r="A234" s="72" t="s">
        <v>2493</v>
      </c>
      <c r="B234" s="9" t="s">
        <v>2495</v>
      </c>
      <c r="C234" s="603"/>
      <c r="D234" s="603" t="s">
        <v>2493</v>
      </c>
      <c r="E234" s="603"/>
      <c r="F234" s="371" t="s">
        <v>2493</v>
      </c>
      <c r="G234" s="603"/>
      <c r="H234" s="604"/>
      <c r="I234" s="394"/>
      <c r="J234" s="390"/>
      <c r="K234" s="71"/>
      <c r="L234" s="71"/>
      <c r="M234" s="394"/>
      <c r="N234" s="71"/>
    </row>
    <row r="235" spans="1:14">
      <c r="A235" s="72" t="s">
        <v>2497</v>
      </c>
      <c r="B235" s="9" t="s">
        <v>2499</v>
      </c>
      <c r="C235" s="603"/>
      <c r="D235" s="603" t="s">
        <v>2497</v>
      </c>
      <c r="E235" s="603"/>
      <c r="F235" s="371" t="s">
        <v>2497</v>
      </c>
      <c r="G235" s="603"/>
      <c r="H235" s="604"/>
      <c r="I235" s="604"/>
      <c r="J235" s="71"/>
      <c r="K235" s="71"/>
      <c r="L235" s="71"/>
      <c r="M235" s="71"/>
      <c r="N235" s="71"/>
    </row>
    <row r="236" spans="1:14">
      <c r="A236" s="72" t="s">
        <v>2501</v>
      </c>
      <c r="B236" s="9" t="s">
        <v>2503</v>
      </c>
      <c r="C236" s="603"/>
      <c r="D236" s="603" t="s">
        <v>2501</v>
      </c>
      <c r="E236" s="603"/>
      <c r="F236" s="371" t="s">
        <v>2501</v>
      </c>
      <c r="G236" s="603"/>
      <c r="H236" s="604"/>
      <c r="I236" s="604"/>
      <c r="J236" s="71"/>
      <c r="K236" s="71"/>
      <c r="L236" s="71"/>
      <c r="M236" s="71"/>
      <c r="N236" s="71"/>
    </row>
    <row r="237" spans="1:14">
      <c r="A237" s="72" t="s">
        <v>2505</v>
      </c>
      <c r="B237" s="9" t="s">
        <v>2507</v>
      </c>
      <c r="C237" s="603"/>
      <c r="D237" s="603" t="s">
        <v>2505</v>
      </c>
      <c r="E237" s="603"/>
      <c r="F237" s="371" t="s">
        <v>2505</v>
      </c>
      <c r="G237" s="603"/>
      <c r="H237" s="604"/>
      <c r="I237" s="604"/>
      <c r="J237" s="71"/>
      <c r="K237" s="71"/>
      <c r="L237" s="71"/>
      <c r="M237" s="71"/>
      <c r="N237" s="71"/>
    </row>
    <row r="238" spans="1:14">
      <c r="A238" s="72" t="s">
        <v>4573</v>
      </c>
      <c r="B238" s="9" t="s">
        <v>2922</v>
      </c>
      <c r="C238" s="603"/>
      <c r="D238" s="603" t="s">
        <v>4573</v>
      </c>
      <c r="E238" s="603"/>
      <c r="F238" s="371" t="s">
        <v>4573</v>
      </c>
      <c r="G238" s="603"/>
      <c r="H238" s="604"/>
      <c r="I238" s="604"/>
      <c r="J238" s="71"/>
      <c r="K238" s="71"/>
      <c r="L238" s="71"/>
      <c r="M238" s="71"/>
      <c r="N238" s="71"/>
    </row>
    <row r="239" spans="1:14">
      <c r="A239" s="72" t="s">
        <v>2509</v>
      </c>
      <c r="B239" s="9" t="s">
        <v>2511</v>
      </c>
      <c r="C239" s="603"/>
      <c r="D239" s="603" t="s">
        <v>2509</v>
      </c>
      <c r="E239" s="603"/>
      <c r="F239" s="371" t="s">
        <v>2509</v>
      </c>
      <c r="G239" s="603"/>
      <c r="H239" s="604"/>
      <c r="I239" s="604"/>
      <c r="J239" s="71"/>
      <c r="K239" s="71"/>
      <c r="L239" s="71"/>
      <c r="M239" s="71"/>
      <c r="N239" s="71"/>
    </row>
    <row r="240" spans="1:14">
      <c r="A240" s="72" t="s">
        <v>2513</v>
      </c>
      <c r="B240" s="9" t="s">
        <v>2515</v>
      </c>
      <c r="C240" s="603"/>
      <c r="D240" s="603" t="s">
        <v>2513</v>
      </c>
      <c r="E240" s="603"/>
      <c r="F240" s="371" t="s">
        <v>2513</v>
      </c>
      <c r="G240" s="603"/>
      <c r="H240" s="604"/>
      <c r="I240" s="604"/>
      <c r="J240" s="71"/>
      <c r="K240" s="71"/>
      <c r="L240" s="71"/>
      <c r="M240" s="71"/>
      <c r="N240" s="71"/>
    </row>
    <row r="241" spans="1:14">
      <c r="A241" s="72" t="s">
        <v>2517</v>
      </c>
      <c r="B241" s="9" t="s">
        <v>2519</v>
      </c>
      <c r="C241" s="603"/>
      <c r="D241" s="603" t="s">
        <v>2517</v>
      </c>
      <c r="E241" s="603"/>
      <c r="F241" s="371" t="s">
        <v>2517</v>
      </c>
      <c r="G241" s="603"/>
      <c r="H241" s="604"/>
      <c r="I241" s="604"/>
      <c r="J241" s="71"/>
      <c r="K241" s="71"/>
      <c r="L241" s="71"/>
      <c r="M241" s="71"/>
      <c r="N241" s="71"/>
    </row>
    <row r="242" spans="1:14">
      <c r="A242" s="72" t="s">
        <v>2521</v>
      </c>
      <c r="B242" s="9" t="s">
        <v>2523</v>
      </c>
      <c r="C242" s="603"/>
      <c r="D242" s="603" t="s">
        <v>2521</v>
      </c>
      <c r="E242" s="603"/>
      <c r="F242" s="371" t="s">
        <v>2521</v>
      </c>
      <c r="G242" s="603"/>
      <c r="H242" s="604"/>
      <c r="I242" s="604"/>
      <c r="J242" s="71"/>
      <c r="K242" s="71"/>
      <c r="L242" s="71"/>
      <c r="M242" s="71"/>
      <c r="N242" s="71"/>
    </row>
    <row r="243" spans="1:14">
      <c r="A243" s="72" t="s">
        <v>2744</v>
      </c>
      <c r="B243" s="9" t="s">
        <v>2746</v>
      </c>
      <c r="C243" s="603"/>
      <c r="D243" s="603" t="s">
        <v>2744</v>
      </c>
      <c r="E243" s="603"/>
      <c r="F243" s="371" t="s">
        <v>2744</v>
      </c>
      <c r="G243" s="603"/>
      <c r="H243" s="604"/>
      <c r="I243" s="604"/>
      <c r="J243" s="71"/>
      <c r="K243" s="71"/>
      <c r="L243" s="71"/>
      <c r="M243" s="71"/>
      <c r="N243" s="71"/>
    </row>
    <row r="244" spans="1:14">
      <c r="A244" s="72" t="s">
        <v>2748</v>
      </c>
      <c r="B244" s="9" t="s">
        <v>2750</v>
      </c>
      <c r="C244" s="603"/>
      <c r="D244" s="603" t="s">
        <v>2748</v>
      </c>
      <c r="E244" s="603"/>
      <c r="F244" s="371" t="s">
        <v>2748</v>
      </c>
      <c r="G244" s="603"/>
      <c r="H244" s="604"/>
      <c r="I244" s="604"/>
      <c r="J244" s="71"/>
      <c r="K244" s="71"/>
      <c r="L244" s="71"/>
      <c r="M244" s="71"/>
      <c r="N244" s="71"/>
    </row>
    <row r="245" spans="1:14">
      <c r="A245" s="72" t="s">
        <v>2752</v>
      </c>
      <c r="B245" s="9" t="s">
        <v>2754</v>
      </c>
      <c r="C245" s="603"/>
      <c r="D245" s="603" t="s">
        <v>2752</v>
      </c>
      <c r="E245" s="603"/>
      <c r="F245" s="371" t="s">
        <v>2752</v>
      </c>
      <c r="G245" s="603"/>
      <c r="H245" s="604"/>
      <c r="I245" s="604"/>
      <c r="J245" s="71"/>
      <c r="K245" s="71"/>
      <c r="L245" s="71"/>
      <c r="M245" s="71"/>
      <c r="N245" s="71"/>
    </row>
    <row r="246" spans="1:14">
      <c r="A246" s="72" t="s">
        <v>2756</v>
      </c>
      <c r="B246" s="9" t="s">
        <v>2758</v>
      </c>
      <c r="C246" s="603"/>
      <c r="D246" s="603" t="s">
        <v>2756</v>
      </c>
      <c r="E246" s="603"/>
      <c r="F246" s="371" t="s">
        <v>2756</v>
      </c>
      <c r="G246" s="603"/>
      <c r="H246" s="604"/>
      <c r="I246" s="604"/>
      <c r="J246" s="71"/>
      <c r="K246" s="71"/>
      <c r="L246" s="71"/>
      <c r="M246" s="71"/>
      <c r="N246" s="71"/>
    </row>
    <row r="247" spans="1:14">
      <c r="A247" s="72" t="s">
        <v>2760</v>
      </c>
      <c r="B247" s="9" t="s">
        <v>2762</v>
      </c>
      <c r="C247" s="603"/>
      <c r="D247" s="603" t="s">
        <v>2760</v>
      </c>
      <c r="E247" s="603"/>
      <c r="F247" s="371" t="s">
        <v>2760</v>
      </c>
      <c r="G247" s="603"/>
      <c r="H247" s="604"/>
      <c r="I247" s="604"/>
      <c r="J247" s="71"/>
      <c r="K247" s="71"/>
      <c r="L247" s="71"/>
      <c r="M247" s="71"/>
      <c r="N247" s="71"/>
    </row>
    <row r="248" spans="1:14">
      <c r="A248" s="72" t="s">
        <v>2769</v>
      </c>
      <c r="B248" s="9" t="s">
        <v>2771</v>
      </c>
      <c r="C248" s="603"/>
      <c r="D248" s="603" t="s">
        <v>2769</v>
      </c>
      <c r="E248" s="603"/>
      <c r="F248" s="371" t="s">
        <v>2769</v>
      </c>
      <c r="G248" s="603"/>
      <c r="H248" s="604"/>
      <c r="I248" s="604"/>
      <c r="J248" s="71"/>
      <c r="K248" s="71"/>
      <c r="L248" s="71"/>
      <c r="M248" s="71"/>
      <c r="N248" s="71"/>
    </row>
    <row r="249" spans="1:14">
      <c r="A249" s="72" t="s">
        <v>2773</v>
      </c>
      <c r="B249" s="9" t="s">
        <v>2766</v>
      </c>
      <c r="C249" s="603"/>
      <c r="D249" s="603" t="s">
        <v>2773</v>
      </c>
      <c r="E249" s="603"/>
      <c r="F249" s="371" t="s">
        <v>2773</v>
      </c>
      <c r="G249" s="603"/>
      <c r="H249" s="604"/>
      <c r="I249" s="604"/>
      <c r="J249" s="71"/>
      <c r="K249" s="71"/>
      <c r="L249" s="71"/>
      <c r="M249" s="71"/>
      <c r="N249" s="71"/>
    </row>
    <row r="250" spans="1:14">
      <c r="A250" s="72" t="s">
        <v>2776</v>
      </c>
      <c r="B250" s="9" t="s">
        <v>2778</v>
      </c>
      <c r="C250" s="603"/>
      <c r="D250" s="603" t="s">
        <v>2776</v>
      </c>
      <c r="E250" s="603"/>
      <c r="F250" s="371" t="s">
        <v>2776</v>
      </c>
      <c r="G250" s="603"/>
      <c r="H250" s="604"/>
      <c r="I250" s="604"/>
      <c r="J250" s="71"/>
      <c r="K250" s="71"/>
      <c r="L250" s="71"/>
      <c r="M250" s="71"/>
      <c r="N250" s="71"/>
    </row>
    <row r="251" spans="1:14">
      <c r="A251" s="72" t="s">
        <v>2307</v>
      </c>
      <c r="B251" s="9" t="s">
        <v>2309</v>
      </c>
      <c r="C251" s="603"/>
      <c r="D251" s="603" t="s">
        <v>2307</v>
      </c>
      <c r="E251" s="603"/>
      <c r="F251" s="371" t="s">
        <v>2307</v>
      </c>
      <c r="G251" s="603"/>
      <c r="H251" s="604"/>
      <c r="I251" s="604"/>
      <c r="J251" s="71"/>
      <c r="K251" s="71"/>
      <c r="L251" s="71"/>
      <c r="M251" s="71"/>
      <c r="N251" s="71"/>
    </row>
    <row r="252" spans="1:14">
      <c r="A252" s="72" t="s">
        <v>2311</v>
      </c>
      <c r="B252" s="9" t="s">
        <v>2313</v>
      </c>
      <c r="C252" s="603"/>
      <c r="D252" s="603" t="s">
        <v>2311</v>
      </c>
      <c r="E252" s="603"/>
      <c r="F252" s="371" t="s">
        <v>2311</v>
      </c>
      <c r="G252" s="603"/>
      <c r="H252" s="604"/>
      <c r="I252" s="604"/>
      <c r="J252" s="71"/>
      <c r="K252" s="71"/>
      <c r="L252" s="71"/>
      <c r="M252" s="71"/>
      <c r="N252" s="71"/>
    </row>
    <row r="253" spans="1:14">
      <c r="A253" s="72" t="s">
        <v>2315</v>
      </c>
      <c r="B253" s="9" t="s">
        <v>2317</v>
      </c>
      <c r="C253" s="603"/>
      <c r="D253" s="603" t="s">
        <v>2315</v>
      </c>
      <c r="E253" s="603"/>
      <c r="F253" s="371" t="s">
        <v>2315</v>
      </c>
      <c r="G253" s="603"/>
      <c r="H253" s="604"/>
      <c r="I253" s="604"/>
      <c r="J253" s="71"/>
      <c r="K253" s="71"/>
      <c r="L253" s="71"/>
      <c r="M253" s="71"/>
      <c r="N253" s="71"/>
    </row>
    <row r="254" spans="1:14">
      <c r="A254" s="72" t="s">
        <v>2319</v>
      </c>
      <c r="B254" s="9" t="s">
        <v>2321</v>
      </c>
      <c r="C254" s="603"/>
      <c r="D254" s="603" t="s">
        <v>2319</v>
      </c>
      <c r="E254" s="603"/>
      <c r="F254" s="371" t="s">
        <v>2319</v>
      </c>
      <c r="G254" s="603"/>
      <c r="H254" s="604"/>
      <c r="I254" s="604"/>
      <c r="J254" s="71"/>
      <c r="K254" s="71"/>
      <c r="L254" s="71"/>
      <c r="M254" s="71"/>
      <c r="N254" s="71"/>
    </row>
    <row r="255" spans="1:14">
      <c r="A255" s="72" t="s">
        <v>2323</v>
      </c>
      <c r="B255" s="9" t="s">
        <v>2325</v>
      </c>
      <c r="C255" s="603"/>
      <c r="D255" s="603" t="s">
        <v>2323</v>
      </c>
      <c r="E255" s="603"/>
      <c r="F255" s="371" t="s">
        <v>2323</v>
      </c>
      <c r="G255" s="603"/>
      <c r="H255" s="604"/>
      <c r="I255" s="604"/>
      <c r="J255" s="71"/>
      <c r="K255" s="71"/>
      <c r="L255" s="71"/>
      <c r="M255" s="71"/>
      <c r="N255" s="71"/>
    </row>
    <row r="256" spans="1:14">
      <c r="A256" s="72" t="s">
        <v>2327</v>
      </c>
      <c r="B256" s="9" t="s">
        <v>2329</v>
      </c>
      <c r="C256" s="603"/>
      <c r="D256" s="603" t="s">
        <v>2327</v>
      </c>
      <c r="E256" s="603"/>
      <c r="F256" s="371" t="s">
        <v>2327</v>
      </c>
      <c r="G256" s="603"/>
      <c r="H256" s="604"/>
      <c r="I256" s="604"/>
      <c r="J256" s="71"/>
      <c r="K256" s="71"/>
      <c r="L256" s="71"/>
      <c r="M256" s="71"/>
      <c r="N256" s="71"/>
    </row>
    <row r="257" spans="1:14">
      <c r="A257" s="72" t="s">
        <v>2331</v>
      </c>
      <c r="B257" s="9" t="s">
        <v>2333</v>
      </c>
      <c r="C257" s="603"/>
      <c r="D257" s="603" t="s">
        <v>2331</v>
      </c>
      <c r="E257" s="603"/>
      <c r="F257" s="371" t="s">
        <v>2331</v>
      </c>
      <c r="G257" s="603"/>
      <c r="H257" s="604"/>
      <c r="I257" s="604"/>
      <c r="J257" s="71"/>
      <c r="K257" s="71"/>
      <c r="L257" s="71"/>
      <c r="M257" s="71"/>
      <c r="N257" s="71"/>
    </row>
    <row r="258" spans="1:14">
      <c r="A258" s="72" t="s">
        <v>2335</v>
      </c>
      <c r="B258" s="9" t="s">
        <v>2337</v>
      </c>
      <c r="C258" s="603"/>
      <c r="D258" s="603" t="s">
        <v>2335</v>
      </c>
      <c r="E258" s="603"/>
      <c r="F258" s="371" t="s">
        <v>2335</v>
      </c>
      <c r="G258" s="603"/>
      <c r="H258" s="604"/>
      <c r="I258" s="604"/>
      <c r="J258" s="71"/>
      <c r="K258" s="71"/>
      <c r="L258" s="71"/>
      <c r="M258" s="71"/>
      <c r="N258" s="71"/>
    </row>
    <row r="259" spans="1:14">
      <c r="A259" s="72" t="s">
        <v>2340</v>
      </c>
      <c r="B259" s="9" t="s">
        <v>2342</v>
      </c>
      <c r="C259" s="603"/>
      <c r="D259" s="603" t="s">
        <v>2340</v>
      </c>
      <c r="E259" s="603"/>
      <c r="F259" s="371" t="s">
        <v>2340</v>
      </c>
      <c r="G259" s="603"/>
      <c r="H259" s="604"/>
      <c r="I259" s="604"/>
      <c r="J259" s="71"/>
      <c r="K259" s="71"/>
      <c r="L259" s="71"/>
      <c r="M259" s="71"/>
      <c r="N259" s="71"/>
    </row>
    <row r="260" spans="1:14">
      <c r="A260" s="72" t="s">
        <v>2344</v>
      </c>
      <c r="B260" s="9" t="s">
        <v>2346</v>
      </c>
      <c r="C260" s="603"/>
      <c r="D260" s="603" t="s">
        <v>2344</v>
      </c>
      <c r="E260" s="603"/>
      <c r="F260" s="371" t="s">
        <v>2344</v>
      </c>
      <c r="G260" s="603"/>
      <c r="H260" s="604"/>
      <c r="I260" s="604"/>
      <c r="J260" s="71"/>
      <c r="K260" s="71"/>
      <c r="L260" s="71"/>
      <c r="M260" s="71"/>
      <c r="N260" s="71"/>
    </row>
    <row r="261" spans="1:14">
      <c r="A261" s="72" t="s">
        <v>2348</v>
      </c>
      <c r="B261" s="9" t="s">
        <v>2350</v>
      </c>
      <c r="C261" s="603"/>
      <c r="D261" s="603" t="s">
        <v>2348</v>
      </c>
      <c r="E261" s="603"/>
      <c r="F261" s="371" t="s">
        <v>2348</v>
      </c>
      <c r="G261" s="603"/>
      <c r="H261" s="604"/>
      <c r="I261" s="604"/>
      <c r="J261" s="71"/>
      <c r="K261" s="71"/>
      <c r="L261" s="71"/>
      <c r="M261" s="71"/>
      <c r="N261" s="71"/>
    </row>
    <row r="262" spans="1:14">
      <c r="A262" s="72" t="s">
        <v>2352</v>
      </c>
      <c r="B262" s="9" t="s">
        <v>2354</v>
      </c>
      <c r="C262" s="603"/>
      <c r="D262" s="603" t="s">
        <v>2352</v>
      </c>
      <c r="E262" s="603"/>
      <c r="F262" s="371" t="s">
        <v>2352</v>
      </c>
      <c r="G262" s="603"/>
      <c r="H262" s="604"/>
      <c r="I262" s="604"/>
      <c r="J262" s="71"/>
      <c r="K262" s="71"/>
      <c r="L262" s="71"/>
      <c r="M262" s="71"/>
      <c r="N262" s="71"/>
    </row>
    <row r="263" spans="1:14">
      <c r="A263" s="72" t="s">
        <v>2356</v>
      </c>
      <c r="B263" s="9" t="s">
        <v>2358</v>
      </c>
      <c r="C263" s="603"/>
      <c r="D263" s="603" t="s">
        <v>2356</v>
      </c>
      <c r="E263" s="603"/>
      <c r="F263" s="371" t="s">
        <v>2356</v>
      </c>
      <c r="G263" s="603"/>
      <c r="H263" s="604"/>
      <c r="I263" s="604"/>
      <c r="J263" s="71"/>
      <c r="K263" s="71"/>
      <c r="L263" s="71"/>
      <c r="M263" s="71"/>
      <c r="N263" s="71"/>
    </row>
    <row r="264" spans="1:14">
      <c r="A264" s="72" t="s">
        <v>2360</v>
      </c>
      <c r="B264" s="9" t="s">
        <v>2362</v>
      </c>
      <c r="C264" s="603"/>
      <c r="D264" s="603" t="s">
        <v>2360</v>
      </c>
      <c r="E264" s="603"/>
      <c r="F264" s="371" t="s">
        <v>2360</v>
      </c>
      <c r="G264" s="603"/>
      <c r="H264" s="604"/>
      <c r="I264" s="604"/>
      <c r="J264" s="71"/>
      <c r="K264" s="71"/>
      <c r="L264" s="71"/>
      <c r="M264" s="71"/>
      <c r="N264" s="71"/>
    </row>
    <row r="265" spans="1:14">
      <c r="A265" s="72" t="s">
        <v>2364</v>
      </c>
      <c r="B265" s="9" t="s">
        <v>2367</v>
      </c>
      <c r="C265" s="603"/>
      <c r="D265" s="603" t="s">
        <v>2364</v>
      </c>
      <c r="E265" s="603"/>
      <c r="F265" s="371" t="s">
        <v>2364</v>
      </c>
      <c r="G265" s="603"/>
      <c r="H265" s="604"/>
      <c r="I265" s="604"/>
      <c r="J265" s="71"/>
      <c r="K265" s="71"/>
      <c r="L265" s="71"/>
      <c r="M265" s="71"/>
      <c r="N265" s="71"/>
    </row>
    <row r="266" spans="1:14">
      <c r="A266" s="72" t="s">
        <v>2369</v>
      </c>
      <c r="B266" s="9" t="s">
        <v>2371</v>
      </c>
      <c r="C266" s="603"/>
      <c r="D266" s="603" t="s">
        <v>2369</v>
      </c>
      <c r="E266" s="603"/>
      <c r="F266" s="371" t="s">
        <v>2369</v>
      </c>
      <c r="G266" s="603"/>
      <c r="H266" s="604"/>
      <c r="I266" s="604"/>
      <c r="J266" s="71"/>
      <c r="K266" s="71"/>
      <c r="L266" s="71"/>
      <c r="M266" s="71"/>
      <c r="N266" s="71"/>
    </row>
    <row r="267" spans="1:14">
      <c r="A267" s="72" t="s">
        <v>2373</v>
      </c>
      <c r="B267" s="9" t="s">
        <v>2375</v>
      </c>
      <c r="C267" s="603"/>
      <c r="D267" s="603" t="s">
        <v>2373</v>
      </c>
      <c r="E267" s="603"/>
      <c r="F267" s="371" t="s">
        <v>2373</v>
      </c>
      <c r="G267" s="603"/>
      <c r="H267" s="604"/>
      <c r="I267" s="604"/>
      <c r="J267" s="71"/>
      <c r="K267" s="71"/>
      <c r="L267" s="71"/>
      <c r="M267" s="71"/>
      <c r="N267" s="71"/>
    </row>
    <row r="268" spans="1:14">
      <c r="A268" s="72" t="s">
        <v>2377</v>
      </c>
      <c r="B268" s="9" t="s">
        <v>2379</v>
      </c>
      <c r="C268" s="603"/>
      <c r="D268" s="603" t="s">
        <v>2377</v>
      </c>
      <c r="E268" s="603"/>
      <c r="F268" s="371" t="s">
        <v>2377</v>
      </c>
      <c r="G268" s="603"/>
      <c r="H268" s="604"/>
      <c r="I268" s="604"/>
      <c r="J268" s="71"/>
      <c r="K268" s="71"/>
      <c r="L268" s="71"/>
      <c r="M268" s="71"/>
      <c r="N268" s="71"/>
    </row>
    <row r="269" spans="1:14">
      <c r="A269" s="72" t="s">
        <v>2381</v>
      </c>
      <c r="B269" s="9" t="s">
        <v>2383</v>
      </c>
      <c r="C269" s="603"/>
      <c r="D269" s="603" t="s">
        <v>2381</v>
      </c>
      <c r="E269" s="603"/>
      <c r="F269" s="371" t="s">
        <v>2381</v>
      </c>
      <c r="G269" s="603"/>
      <c r="H269" s="604"/>
      <c r="I269" s="604"/>
      <c r="J269" s="71"/>
      <c r="K269" s="71"/>
      <c r="L269" s="71"/>
      <c r="M269" s="71"/>
      <c r="N269" s="71"/>
    </row>
    <row r="270" spans="1:14">
      <c r="A270" s="72" t="s">
        <v>2385</v>
      </c>
      <c r="B270" s="9" t="s">
        <v>2387</v>
      </c>
      <c r="C270" s="603"/>
      <c r="D270" s="603" t="s">
        <v>2385</v>
      </c>
      <c r="E270" s="603"/>
      <c r="F270" s="371" t="s">
        <v>2385</v>
      </c>
      <c r="G270" s="603"/>
      <c r="H270" s="604"/>
      <c r="I270" s="604"/>
      <c r="J270" s="71"/>
      <c r="K270" s="71"/>
      <c r="L270" s="71"/>
      <c r="M270" s="71"/>
      <c r="N270" s="71"/>
    </row>
    <row r="271" spans="1:14">
      <c r="A271" s="72" t="s">
        <v>2389</v>
      </c>
      <c r="B271" s="9" t="s">
        <v>2391</v>
      </c>
      <c r="C271" s="603"/>
      <c r="D271" s="603" t="s">
        <v>2389</v>
      </c>
      <c r="E271" s="603"/>
      <c r="F271" s="371" t="s">
        <v>2389</v>
      </c>
      <c r="G271" s="603"/>
      <c r="H271" s="604"/>
      <c r="I271" s="604"/>
      <c r="J271" s="71"/>
      <c r="K271" s="71"/>
      <c r="L271" s="71"/>
      <c r="M271" s="71"/>
      <c r="N271" s="71"/>
    </row>
    <row r="272" spans="1:14">
      <c r="A272" s="72" t="s">
        <v>2393</v>
      </c>
      <c r="B272" s="9" t="s">
        <v>2395</v>
      </c>
      <c r="C272" s="603"/>
      <c r="D272" s="603" t="s">
        <v>2393</v>
      </c>
      <c r="E272" s="603"/>
      <c r="F272" s="371" t="s">
        <v>2393</v>
      </c>
      <c r="G272" s="603"/>
      <c r="H272" s="604"/>
      <c r="I272" s="604"/>
      <c r="J272" s="71"/>
      <c r="K272" s="71"/>
      <c r="L272" s="71"/>
      <c r="M272" s="71"/>
      <c r="N272" s="71"/>
    </row>
    <row r="273" spans="1:14">
      <c r="A273" s="72" t="s">
        <v>2397</v>
      </c>
      <c r="B273" s="9" t="s">
        <v>2399</v>
      </c>
      <c r="C273" s="603"/>
      <c r="D273" s="603" t="s">
        <v>2397</v>
      </c>
      <c r="E273" s="603"/>
      <c r="F273" s="371" t="s">
        <v>2397</v>
      </c>
      <c r="G273" s="603"/>
      <c r="H273" s="604"/>
      <c r="I273" s="604"/>
      <c r="J273" s="71"/>
      <c r="K273" s="71"/>
      <c r="L273" s="71"/>
      <c r="M273" s="71"/>
      <c r="N273" s="71"/>
    </row>
    <row r="274" spans="1:14">
      <c r="A274" s="72" t="s">
        <v>2402</v>
      </c>
      <c r="B274" s="9" t="s">
        <v>2404</v>
      </c>
      <c r="C274" s="603"/>
      <c r="D274" s="603" t="s">
        <v>2402</v>
      </c>
      <c r="E274" s="603"/>
      <c r="F274" s="371" t="s">
        <v>2402</v>
      </c>
      <c r="G274" s="603"/>
      <c r="H274" s="604"/>
      <c r="I274" s="604"/>
      <c r="J274" s="71"/>
      <c r="K274" s="71"/>
      <c r="L274" s="71"/>
      <c r="M274" s="71"/>
      <c r="N274" s="71"/>
    </row>
    <row r="275" spans="1:14">
      <c r="A275" s="72" t="s">
        <v>2406</v>
      </c>
      <c r="B275" s="9" t="s">
        <v>2408</v>
      </c>
      <c r="C275" s="603"/>
      <c r="D275" s="603" t="s">
        <v>2406</v>
      </c>
      <c r="E275" s="603"/>
      <c r="F275" s="371" t="s">
        <v>2406</v>
      </c>
      <c r="G275" s="603"/>
      <c r="H275" s="604"/>
      <c r="I275" s="604"/>
      <c r="J275" s="71"/>
      <c r="K275" s="71"/>
      <c r="L275" s="71"/>
      <c r="M275" s="71"/>
      <c r="N275" s="71"/>
    </row>
    <row r="276" spans="1:14">
      <c r="A276" s="72" t="s">
        <v>2411</v>
      </c>
      <c r="B276" s="9" t="s">
        <v>2413</v>
      </c>
      <c r="C276" s="603"/>
      <c r="D276" s="603" t="s">
        <v>2411</v>
      </c>
      <c r="E276" s="603"/>
      <c r="F276" s="371" t="s">
        <v>2411</v>
      </c>
      <c r="G276" s="603"/>
      <c r="H276" s="604"/>
      <c r="I276" s="604"/>
      <c r="J276" s="71"/>
      <c r="K276" s="71"/>
      <c r="L276" s="71"/>
      <c r="M276" s="71"/>
      <c r="N276" s="71"/>
    </row>
    <row r="277" spans="1:14">
      <c r="A277" s="72" t="s">
        <v>2416</v>
      </c>
      <c r="B277" s="9" t="s">
        <v>2418</v>
      </c>
      <c r="C277" s="603"/>
      <c r="D277" s="603" t="s">
        <v>2416</v>
      </c>
      <c r="E277" s="603"/>
      <c r="F277" s="371" t="s">
        <v>2416</v>
      </c>
      <c r="G277" s="603"/>
      <c r="H277" s="604"/>
      <c r="I277" s="604"/>
      <c r="J277" s="71"/>
      <c r="K277" s="71"/>
      <c r="L277" s="71"/>
      <c r="M277" s="71"/>
      <c r="N277" s="71"/>
    </row>
    <row r="278" spans="1:14">
      <c r="A278" s="72" t="s">
        <v>2420</v>
      </c>
      <c r="B278" s="9" t="s">
        <v>2422</v>
      </c>
      <c r="C278" s="603"/>
      <c r="D278" s="603" t="s">
        <v>2420</v>
      </c>
      <c r="E278" s="603"/>
      <c r="F278" s="371" t="s">
        <v>2420</v>
      </c>
      <c r="G278" s="603"/>
      <c r="H278" s="604"/>
      <c r="I278" s="604"/>
      <c r="J278" s="71"/>
      <c r="K278" s="71"/>
      <c r="L278" s="71"/>
      <c r="M278" s="71"/>
      <c r="N278" s="71"/>
    </row>
    <row r="279" spans="1:14">
      <c r="A279" s="72" t="s">
        <v>2424</v>
      </c>
      <c r="B279" s="9" t="s">
        <v>2426</v>
      </c>
      <c r="C279" s="603"/>
      <c r="D279" s="603" t="s">
        <v>2424</v>
      </c>
      <c r="E279" s="603"/>
      <c r="F279" s="371" t="s">
        <v>2424</v>
      </c>
      <c r="G279" s="603"/>
      <c r="H279" s="604"/>
      <c r="I279" s="604"/>
      <c r="J279" s="71"/>
      <c r="K279" s="71"/>
      <c r="L279" s="71"/>
      <c r="M279" s="71"/>
      <c r="N279" s="71"/>
    </row>
    <row r="280" spans="1:14">
      <c r="A280" s="72" t="s">
        <v>2428</v>
      </c>
      <c r="B280" s="9" t="s">
        <v>2430</v>
      </c>
      <c r="C280" s="603"/>
      <c r="D280" s="603" t="s">
        <v>2428</v>
      </c>
      <c r="E280" s="603"/>
      <c r="F280" s="371" t="s">
        <v>2428</v>
      </c>
      <c r="G280" s="603"/>
      <c r="H280" s="604"/>
      <c r="I280" s="604"/>
      <c r="J280" s="391"/>
      <c r="K280" s="71"/>
      <c r="L280" s="71"/>
      <c r="M280" s="71"/>
      <c r="N280" s="71"/>
    </row>
    <row r="281" spans="1:14">
      <c r="A281" s="72" t="s">
        <v>2787</v>
      </c>
      <c r="B281" s="9" t="s">
        <v>2789</v>
      </c>
      <c r="C281" s="603"/>
      <c r="D281" s="371" t="s">
        <v>2787</v>
      </c>
      <c r="E281" s="603"/>
      <c r="F281" s="371" t="s">
        <v>2787</v>
      </c>
      <c r="G281" s="603"/>
      <c r="H281" s="608" t="s">
        <v>5409</v>
      </c>
      <c r="I281" s="604"/>
      <c r="J281" s="391"/>
      <c r="K281" s="71"/>
      <c r="L281" s="71"/>
      <c r="M281" s="71"/>
      <c r="N281" s="71"/>
    </row>
    <row r="282" spans="1:14">
      <c r="A282" s="72" t="s">
        <v>3573</v>
      </c>
      <c r="B282" s="9" t="s">
        <v>3575</v>
      </c>
      <c r="C282" s="603"/>
      <c r="D282" s="603" t="s">
        <v>3573</v>
      </c>
      <c r="E282" s="603"/>
      <c r="F282" s="371" t="s">
        <v>3573</v>
      </c>
      <c r="G282" s="603"/>
      <c r="H282" s="69"/>
      <c r="I282" s="391"/>
      <c r="J282" s="609"/>
      <c r="K282" s="71"/>
      <c r="L282" s="71"/>
      <c r="M282" s="71"/>
      <c r="N282" s="71"/>
    </row>
    <row r="283" spans="1:14">
      <c r="A283" s="72" t="s">
        <v>3577</v>
      </c>
      <c r="B283" s="9" t="s">
        <v>3579</v>
      </c>
      <c r="C283" s="603"/>
      <c r="D283" s="603" t="s">
        <v>3577</v>
      </c>
      <c r="E283" s="603"/>
      <c r="F283" s="371" t="s">
        <v>3577</v>
      </c>
      <c r="G283" s="603"/>
      <c r="H283" s="69"/>
      <c r="I283" s="391"/>
      <c r="J283" s="609"/>
      <c r="K283" s="71"/>
      <c r="L283" s="71"/>
      <c r="M283" s="71"/>
      <c r="N283" s="71"/>
    </row>
    <row r="284" spans="1:14">
      <c r="A284" s="72" t="s">
        <v>3508</v>
      </c>
      <c r="B284" s="9" t="s">
        <v>3510</v>
      </c>
      <c r="C284" s="603"/>
      <c r="D284" s="603" t="s">
        <v>3508</v>
      </c>
      <c r="E284" s="603"/>
      <c r="F284" s="371" t="s">
        <v>3508</v>
      </c>
      <c r="G284" s="603"/>
      <c r="H284" s="69"/>
      <c r="I284" s="391"/>
      <c r="J284" s="609"/>
      <c r="K284" s="71"/>
      <c r="L284" s="71"/>
      <c r="M284" s="71"/>
      <c r="N284" s="71"/>
    </row>
    <row r="285" spans="1:14">
      <c r="A285" s="72" t="s">
        <v>3513</v>
      </c>
      <c r="B285" s="9" t="s">
        <v>3515</v>
      </c>
      <c r="C285" s="603"/>
      <c r="D285" s="603" t="s">
        <v>3513</v>
      </c>
      <c r="E285" s="603"/>
      <c r="F285" s="371" t="s">
        <v>3513</v>
      </c>
      <c r="G285" s="603"/>
      <c r="H285" s="69"/>
      <c r="I285" s="391"/>
      <c r="J285" s="609"/>
      <c r="K285" s="71"/>
      <c r="L285" s="71"/>
      <c r="M285" s="71"/>
      <c r="N285" s="71"/>
    </row>
    <row r="286" spans="1:14">
      <c r="A286" s="72" t="s">
        <v>3518</v>
      </c>
      <c r="B286" s="9" t="s">
        <v>3520</v>
      </c>
      <c r="C286" s="603"/>
      <c r="D286" s="603" t="s">
        <v>3518</v>
      </c>
      <c r="E286" s="603"/>
      <c r="F286" s="371" t="s">
        <v>3518</v>
      </c>
      <c r="G286" s="603"/>
      <c r="H286" s="69"/>
      <c r="I286" s="391"/>
      <c r="J286" s="609"/>
      <c r="K286" s="71"/>
      <c r="L286" s="71"/>
      <c r="M286" s="71"/>
      <c r="N286" s="71"/>
    </row>
    <row r="287" spans="1:14">
      <c r="A287" s="72" t="s">
        <v>3524</v>
      </c>
      <c r="B287" s="9" t="s">
        <v>3526</v>
      </c>
      <c r="C287" s="603"/>
      <c r="D287" s="603" t="s">
        <v>3524</v>
      </c>
      <c r="E287" s="603"/>
      <c r="F287" s="371" t="s">
        <v>3524</v>
      </c>
      <c r="G287" s="603"/>
      <c r="H287" s="69"/>
      <c r="I287" s="391"/>
      <c r="J287" s="391"/>
      <c r="K287" s="71"/>
      <c r="L287" s="71"/>
      <c r="M287" s="71"/>
      <c r="N287" s="71"/>
    </row>
    <row r="288" spans="1:14">
      <c r="A288" s="72" t="s">
        <v>3528</v>
      </c>
      <c r="B288" s="9" t="s">
        <v>3530</v>
      </c>
      <c r="C288" s="603"/>
      <c r="D288" s="603" t="s">
        <v>3528</v>
      </c>
      <c r="E288" s="603"/>
      <c r="F288" s="371" t="s">
        <v>3528</v>
      </c>
      <c r="G288" s="603"/>
      <c r="H288" s="69"/>
      <c r="I288" s="391"/>
      <c r="J288" s="391"/>
      <c r="K288" s="71"/>
      <c r="L288" s="71"/>
      <c r="M288" s="71"/>
      <c r="N288" s="71"/>
    </row>
    <row r="289" spans="1:14">
      <c r="A289" s="72" t="s">
        <v>3533</v>
      </c>
      <c r="B289" s="9" t="s">
        <v>3535</v>
      </c>
      <c r="C289" s="603"/>
      <c r="D289" s="603" t="s">
        <v>3533</v>
      </c>
      <c r="E289" s="603"/>
      <c r="F289" s="371" t="s">
        <v>3533</v>
      </c>
      <c r="G289" s="603"/>
      <c r="H289" s="69"/>
      <c r="I289" s="391"/>
      <c r="J289" s="391"/>
      <c r="K289" s="71"/>
      <c r="L289" s="71"/>
      <c r="M289" s="71"/>
      <c r="N289" s="71"/>
    </row>
    <row r="290" spans="1:14">
      <c r="A290" s="72" t="s">
        <v>3538</v>
      </c>
      <c r="B290" s="9" t="s">
        <v>3540</v>
      </c>
      <c r="C290" s="603"/>
      <c r="D290" s="603" t="s">
        <v>3538</v>
      </c>
      <c r="E290" s="603"/>
      <c r="F290" s="371" t="s">
        <v>3538</v>
      </c>
      <c r="G290" s="603"/>
      <c r="H290" s="69"/>
      <c r="I290" s="391"/>
      <c r="J290" s="391"/>
      <c r="K290" s="71"/>
      <c r="L290" s="71"/>
      <c r="M290" s="71"/>
      <c r="N290" s="71"/>
    </row>
    <row r="291" spans="1:14">
      <c r="A291" s="72" t="s">
        <v>3543</v>
      </c>
      <c r="B291" s="9" t="s">
        <v>3545</v>
      </c>
      <c r="C291" s="603"/>
      <c r="D291" s="603" t="s">
        <v>3543</v>
      </c>
      <c r="E291" s="603"/>
      <c r="F291" s="371" t="s">
        <v>3543</v>
      </c>
      <c r="G291" s="603"/>
      <c r="H291" s="69"/>
      <c r="I291" s="391"/>
      <c r="J291" s="391"/>
      <c r="K291" s="71"/>
      <c r="L291" s="71"/>
      <c r="M291" s="71"/>
      <c r="N291" s="71"/>
    </row>
    <row r="292" spans="1:14">
      <c r="A292" s="72" t="s">
        <v>3547</v>
      </c>
      <c r="B292" s="9" t="s">
        <v>3549</v>
      </c>
      <c r="C292" s="603"/>
      <c r="D292" s="603" t="s">
        <v>3547</v>
      </c>
      <c r="E292" s="603"/>
      <c r="F292" s="371" t="s">
        <v>3547</v>
      </c>
      <c r="G292" s="603"/>
      <c r="H292" s="69"/>
      <c r="I292" s="391"/>
      <c r="J292" s="391"/>
      <c r="K292" s="71"/>
      <c r="L292" s="71"/>
      <c r="M292" s="71"/>
      <c r="N292" s="71"/>
    </row>
    <row r="293" spans="1:14">
      <c r="A293" s="72" t="s">
        <v>3552</v>
      </c>
      <c r="B293" s="9" t="s">
        <v>3554</v>
      </c>
      <c r="C293" s="603"/>
      <c r="D293" s="603" t="s">
        <v>3552</v>
      </c>
      <c r="E293" s="603"/>
      <c r="F293" s="371" t="s">
        <v>3552</v>
      </c>
      <c r="G293" s="603"/>
      <c r="H293" s="69"/>
      <c r="I293" s="391"/>
      <c r="J293" s="391"/>
      <c r="K293" s="71"/>
      <c r="L293" s="71"/>
      <c r="M293" s="71"/>
      <c r="N293" s="71"/>
    </row>
    <row r="294" spans="1:14">
      <c r="A294" s="72" t="s">
        <v>3557</v>
      </c>
      <c r="B294" s="9" t="s">
        <v>3559</v>
      </c>
      <c r="C294" s="603"/>
      <c r="D294" s="603" t="s">
        <v>3557</v>
      </c>
      <c r="E294" s="603"/>
      <c r="F294" s="371" t="s">
        <v>3557</v>
      </c>
      <c r="G294" s="603"/>
      <c r="H294" s="69"/>
      <c r="I294" s="391"/>
      <c r="J294" s="391"/>
      <c r="K294" s="71"/>
      <c r="L294" s="71"/>
      <c r="M294" s="71"/>
      <c r="N294" s="71"/>
    </row>
    <row r="295" spans="1:14">
      <c r="A295" s="72" t="s">
        <v>3562</v>
      </c>
      <c r="B295" s="9" t="s">
        <v>3564</v>
      </c>
      <c r="C295" s="603"/>
      <c r="D295" s="603" t="s">
        <v>3562</v>
      </c>
      <c r="E295" s="603"/>
      <c r="F295" s="371" t="s">
        <v>3562</v>
      </c>
      <c r="G295" s="603"/>
      <c r="H295" s="69"/>
      <c r="I295" s="391"/>
      <c r="J295" s="391"/>
      <c r="K295" s="71"/>
      <c r="L295" s="71"/>
      <c r="M295" s="71"/>
      <c r="N295" s="71"/>
    </row>
    <row r="296" spans="1:14">
      <c r="A296" s="72" t="s">
        <v>3567</v>
      </c>
      <c r="B296" s="9" t="s">
        <v>3569</v>
      </c>
      <c r="C296" s="603"/>
      <c r="D296" s="603" t="s">
        <v>3567</v>
      </c>
      <c r="E296" s="603"/>
      <c r="F296" s="371" t="s">
        <v>3567</v>
      </c>
      <c r="G296" s="603"/>
      <c r="H296" s="69"/>
      <c r="I296" s="391"/>
      <c r="J296" s="391"/>
      <c r="K296" s="71"/>
      <c r="L296" s="71"/>
      <c r="M296" s="71"/>
      <c r="N296" s="71"/>
    </row>
    <row r="297" spans="1:14">
      <c r="A297" s="72" t="s">
        <v>3498</v>
      </c>
      <c r="B297" s="9" t="s">
        <v>3500</v>
      </c>
      <c r="C297" s="603"/>
      <c r="D297" s="603" t="s">
        <v>3498</v>
      </c>
      <c r="E297" s="603"/>
      <c r="F297" s="371" t="s">
        <v>3498</v>
      </c>
      <c r="G297" s="603"/>
      <c r="H297" s="69"/>
      <c r="I297" s="391"/>
      <c r="J297" s="391"/>
      <c r="K297" s="71"/>
      <c r="L297" s="71"/>
      <c r="M297" s="71"/>
      <c r="N297" s="71"/>
    </row>
    <row r="298" spans="1:14">
      <c r="A298" s="72" t="s">
        <v>3503</v>
      </c>
      <c r="B298" s="9" t="s">
        <v>3505</v>
      </c>
      <c r="C298" s="603"/>
      <c r="D298" s="603" t="s">
        <v>3503</v>
      </c>
      <c r="E298" s="603"/>
      <c r="F298" s="371" t="s">
        <v>3503</v>
      </c>
      <c r="G298" s="603"/>
      <c r="H298" s="69"/>
      <c r="I298" s="391"/>
      <c r="J298" s="391"/>
      <c r="K298" s="71"/>
      <c r="L298" s="71"/>
      <c r="M298" s="71"/>
      <c r="N298" s="71"/>
    </row>
    <row r="299" spans="1:14">
      <c r="A299" s="72" t="s">
        <v>3601</v>
      </c>
      <c r="B299" s="9"/>
      <c r="C299" s="603"/>
      <c r="D299" s="603" t="s">
        <v>3601</v>
      </c>
      <c r="E299" s="603"/>
      <c r="F299" s="371" t="s">
        <v>3601</v>
      </c>
      <c r="G299" s="603"/>
      <c r="H299" s="69"/>
      <c r="I299" s="391"/>
      <c r="J299" s="391"/>
      <c r="K299" s="71"/>
      <c r="L299" s="71"/>
      <c r="M299" s="71"/>
      <c r="N299" s="71"/>
    </row>
    <row r="300" spans="1:14">
      <c r="A300" s="72" t="s">
        <v>3605</v>
      </c>
      <c r="B300" s="9"/>
      <c r="C300" s="603"/>
      <c r="D300" s="603" t="s">
        <v>3605</v>
      </c>
      <c r="E300" s="603"/>
      <c r="F300" s="371" t="s">
        <v>3605</v>
      </c>
      <c r="G300" s="603"/>
      <c r="H300" s="69"/>
      <c r="I300" s="391"/>
      <c r="J300" s="391"/>
      <c r="K300" s="71"/>
      <c r="L300" s="71"/>
      <c r="M300" s="71"/>
      <c r="N300" s="71"/>
    </row>
    <row r="301" spans="1:14">
      <c r="A301" s="72" t="s">
        <v>3608</v>
      </c>
      <c r="B301" s="9"/>
      <c r="C301" s="603"/>
      <c r="D301" s="603" t="s">
        <v>3608</v>
      </c>
      <c r="E301" s="603"/>
      <c r="F301" s="371" t="s">
        <v>3608</v>
      </c>
      <c r="G301" s="603"/>
      <c r="H301" s="69"/>
      <c r="I301" s="391"/>
      <c r="J301" s="391"/>
      <c r="K301" s="71"/>
      <c r="L301" s="71"/>
      <c r="M301" s="71"/>
      <c r="N301" s="71"/>
    </row>
    <row r="302" spans="1:14">
      <c r="A302" s="72" t="s">
        <v>3611</v>
      </c>
      <c r="B302" s="9"/>
      <c r="C302" s="603"/>
      <c r="D302" s="603" t="s">
        <v>3611</v>
      </c>
      <c r="E302" s="603"/>
      <c r="F302" s="371" t="s">
        <v>3611</v>
      </c>
      <c r="G302" s="603"/>
      <c r="H302" s="69"/>
      <c r="I302" s="391"/>
      <c r="J302" s="391"/>
      <c r="K302" s="71"/>
      <c r="L302" s="71"/>
      <c r="M302" s="71"/>
      <c r="N302" s="71"/>
    </row>
    <row r="303" spans="1:14">
      <c r="A303" s="72" t="s">
        <v>3614</v>
      </c>
      <c r="B303" s="9"/>
      <c r="C303" s="603"/>
      <c r="D303" s="603" t="s">
        <v>3614</v>
      </c>
      <c r="E303" s="603"/>
      <c r="F303" s="371" t="s">
        <v>3614</v>
      </c>
      <c r="G303" s="603"/>
      <c r="H303" s="69"/>
      <c r="I303" s="391"/>
      <c r="J303" s="391"/>
      <c r="K303" s="71"/>
      <c r="L303" s="71"/>
      <c r="M303" s="71"/>
      <c r="N303" s="71"/>
    </row>
    <row r="304" spans="1:14">
      <c r="A304" s="72" t="s">
        <v>3617</v>
      </c>
      <c r="B304" s="9"/>
      <c r="C304" s="603"/>
      <c r="D304" s="603" t="s">
        <v>3617</v>
      </c>
      <c r="E304" s="603"/>
      <c r="F304" s="371" t="s">
        <v>3617</v>
      </c>
      <c r="G304" s="603"/>
      <c r="H304" s="69"/>
      <c r="I304" s="391"/>
      <c r="J304" s="391"/>
      <c r="K304" s="71"/>
      <c r="L304" s="71"/>
      <c r="M304" s="71"/>
      <c r="N304" s="71"/>
    </row>
    <row r="305" spans="1:14">
      <c r="A305" s="72" t="s">
        <v>3620</v>
      </c>
      <c r="B305" s="9"/>
      <c r="C305" s="603"/>
      <c r="D305" s="603" t="s">
        <v>3620</v>
      </c>
      <c r="E305" s="603"/>
      <c r="F305" s="371" t="s">
        <v>3620</v>
      </c>
      <c r="G305" s="603"/>
      <c r="H305" s="69"/>
      <c r="I305" s="391"/>
      <c r="J305" s="391"/>
      <c r="K305" s="71"/>
      <c r="L305" s="71"/>
      <c r="M305" s="71"/>
      <c r="N305" s="71"/>
    </row>
    <row r="306" spans="1:14">
      <c r="A306" s="72" t="s">
        <v>3624</v>
      </c>
      <c r="B306" s="9"/>
      <c r="C306" s="603"/>
      <c r="D306" s="603" t="s">
        <v>3624</v>
      </c>
      <c r="E306" s="603"/>
      <c r="F306" s="371" t="s">
        <v>3624</v>
      </c>
      <c r="G306" s="603"/>
      <c r="H306" s="69"/>
      <c r="I306" s="391"/>
      <c r="J306" s="391"/>
      <c r="K306" s="71"/>
      <c r="L306" s="71"/>
      <c r="M306" s="71"/>
      <c r="N306" s="71"/>
    </row>
    <row r="307" spans="1:14">
      <c r="A307" s="72" t="s">
        <v>3627</v>
      </c>
      <c r="B307" s="9" t="s">
        <v>3629</v>
      </c>
      <c r="C307" s="603"/>
      <c r="D307" s="603" t="s">
        <v>3627</v>
      </c>
      <c r="E307" s="603"/>
      <c r="F307" s="371" t="s">
        <v>3627</v>
      </c>
      <c r="G307" s="603"/>
      <c r="H307" s="69"/>
      <c r="I307" s="391"/>
      <c r="J307" s="391"/>
      <c r="K307" s="71"/>
      <c r="L307" s="71"/>
      <c r="M307" s="71"/>
      <c r="N307" s="71"/>
    </row>
    <row r="308" spans="1:14" ht="15.75">
      <c r="A308" s="72" t="s">
        <v>4577</v>
      </c>
      <c r="B308" s="9" t="s">
        <v>3639</v>
      </c>
      <c r="C308" s="603"/>
      <c r="D308" s="603" t="s">
        <v>4577</v>
      </c>
      <c r="E308" s="603"/>
      <c r="F308" s="371" t="s">
        <v>4577</v>
      </c>
      <c r="G308" s="603"/>
      <c r="H308" s="69"/>
      <c r="I308" s="391"/>
      <c r="J308" s="391"/>
      <c r="K308" s="395"/>
      <c r="L308" s="69"/>
      <c r="M308" s="71"/>
      <c r="N308" s="71"/>
    </row>
    <row r="309" spans="1:14" ht="15.75">
      <c r="A309" s="72" t="s">
        <v>3632</v>
      </c>
      <c r="B309" s="9" t="s">
        <v>3634</v>
      </c>
      <c r="C309" s="603"/>
      <c r="D309" s="603" t="s">
        <v>3632</v>
      </c>
      <c r="E309" s="603"/>
      <c r="F309" s="371" t="s">
        <v>3632</v>
      </c>
      <c r="G309" s="603"/>
      <c r="H309" s="69"/>
      <c r="I309" s="391"/>
      <c r="J309" s="391"/>
      <c r="K309" s="396"/>
      <c r="L309" s="69"/>
      <c r="M309" s="71"/>
      <c r="N309" s="71"/>
    </row>
    <row r="310" spans="1:14" ht="15.75">
      <c r="A310" s="72" t="s">
        <v>3637</v>
      </c>
      <c r="B310" s="9" t="s">
        <v>3639</v>
      </c>
      <c r="C310" s="603"/>
      <c r="D310" s="603" t="s">
        <v>3637</v>
      </c>
      <c r="E310" s="603"/>
      <c r="F310" s="371" t="s">
        <v>3637</v>
      </c>
      <c r="G310" s="603"/>
      <c r="H310" s="69"/>
      <c r="I310" s="391"/>
      <c r="J310" s="391"/>
      <c r="K310" s="396"/>
      <c r="L310" s="69"/>
      <c r="M310" s="71"/>
      <c r="N310" s="71"/>
    </row>
    <row r="311" spans="1:14" ht="15.75">
      <c r="A311" s="72" t="s">
        <v>3642</v>
      </c>
      <c r="B311" s="9" t="s">
        <v>3644</v>
      </c>
      <c r="C311" s="603"/>
      <c r="D311" s="603" t="s">
        <v>3642</v>
      </c>
      <c r="E311" s="603"/>
      <c r="F311" s="371" t="s">
        <v>3642</v>
      </c>
      <c r="G311" s="603"/>
      <c r="H311" s="69"/>
      <c r="I311" s="391"/>
      <c r="J311" s="391"/>
      <c r="K311" s="396"/>
      <c r="L311" s="69"/>
      <c r="M311" s="71"/>
      <c r="N311" s="71"/>
    </row>
    <row r="312" spans="1:14" ht="15.75">
      <c r="A312" s="317" t="s">
        <v>4642</v>
      </c>
      <c r="B312" s="285" t="s">
        <v>4644</v>
      </c>
      <c r="C312" s="605" t="s">
        <v>5413</v>
      </c>
      <c r="D312" s="605"/>
      <c r="E312" s="605"/>
      <c r="F312" s="378"/>
      <c r="G312" s="605"/>
      <c r="H312" s="69"/>
      <c r="I312" s="391"/>
      <c r="J312" s="391"/>
      <c r="K312" s="396"/>
      <c r="L312" s="69"/>
      <c r="M312" s="71"/>
      <c r="N312" s="71"/>
    </row>
    <row r="313" spans="1:14" ht="15.75">
      <c r="A313" s="72" t="s">
        <v>3648</v>
      </c>
      <c r="B313" s="9" t="s">
        <v>3650</v>
      </c>
      <c r="C313" s="603"/>
      <c r="D313" s="603" t="s">
        <v>3648</v>
      </c>
      <c r="E313" s="603"/>
      <c r="F313" s="371" t="s">
        <v>3648</v>
      </c>
      <c r="G313" s="603"/>
      <c r="H313" s="69"/>
      <c r="I313" s="391"/>
      <c r="J313" s="391"/>
      <c r="K313" s="396"/>
      <c r="L313" s="69"/>
      <c r="M313" s="71"/>
      <c r="N313" s="71"/>
    </row>
    <row r="314" spans="1:14" ht="15.75">
      <c r="A314" s="72" t="s">
        <v>3652</v>
      </c>
      <c r="B314" s="9" t="s">
        <v>3654</v>
      </c>
      <c r="C314" s="603"/>
      <c r="D314" s="603" t="s">
        <v>3652</v>
      </c>
      <c r="E314" s="603"/>
      <c r="F314" s="371" t="s">
        <v>3652</v>
      </c>
      <c r="G314" s="603"/>
      <c r="H314" s="69"/>
      <c r="I314" s="391"/>
      <c r="J314" s="391"/>
      <c r="K314" s="396"/>
      <c r="L314" s="69"/>
      <c r="M314" s="71"/>
      <c r="N314" s="71"/>
    </row>
    <row r="315" spans="1:14" ht="15.75">
      <c r="A315" s="72" t="s">
        <v>3658</v>
      </c>
      <c r="B315" s="9" t="s">
        <v>3660</v>
      </c>
      <c r="C315" s="603"/>
      <c r="D315" s="603" t="s">
        <v>3658</v>
      </c>
      <c r="E315" s="603"/>
      <c r="F315" s="371" t="s">
        <v>3658</v>
      </c>
      <c r="G315" s="603"/>
      <c r="H315" s="69"/>
      <c r="I315" s="391"/>
      <c r="J315" s="391"/>
      <c r="K315" s="396"/>
      <c r="L315" s="69"/>
      <c r="M315" s="71"/>
      <c r="N315" s="71"/>
    </row>
    <row r="316" spans="1:14" ht="15.75">
      <c r="A316" s="72" t="s">
        <v>3664</v>
      </c>
      <c r="B316" s="9" t="s">
        <v>3666</v>
      </c>
      <c r="C316" s="603"/>
      <c r="D316" s="603" t="s">
        <v>3664</v>
      </c>
      <c r="E316" s="603"/>
      <c r="F316" s="371" t="s">
        <v>3664</v>
      </c>
      <c r="G316" s="603"/>
      <c r="H316" s="69"/>
      <c r="I316" s="391"/>
      <c r="J316" s="391"/>
      <c r="K316" s="396"/>
      <c r="L316" s="69"/>
      <c r="M316" s="71"/>
      <c r="N316" s="71"/>
    </row>
    <row r="317" spans="1:14" ht="15.75">
      <c r="A317" s="72" t="s">
        <v>3669</v>
      </c>
      <c r="B317" s="9" t="s">
        <v>3671</v>
      </c>
      <c r="C317" s="603"/>
      <c r="D317" s="603" t="s">
        <v>3669</v>
      </c>
      <c r="E317" s="603"/>
      <c r="F317" s="371" t="s">
        <v>3669</v>
      </c>
      <c r="G317" s="603"/>
      <c r="H317" s="69"/>
      <c r="I317" s="391"/>
      <c r="J317" s="391"/>
      <c r="K317" s="396"/>
      <c r="L317" s="69"/>
      <c r="M317" s="71"/>
      <c r="N317" s="71"/>
    </row>
    <row r="318" spans="1:14" ht="15.75">
      <c r="A318" s="72" t="s">
        <v>3673</v>
      </c>
      <c r="B318" s="9" t="s">
        <v>3675</v>
      </c>
      <c r="C318" s="603"/>
      <c r="D318" s="603" t="s">
        <v>3673</v>
      </c>
      <c r="E318" s="603"/>
      <c r="F318" s="371" t="s">
        <v>3673</v>
      </c>
      <c r="G318" s="603"/>
      <c r="H318" s="69"/>
      <c r="I318" s="391"/>
      <c r="J318" s="391"/>
      <c r="K318" s="396"/>
      <c r="L318" s="69"/>
      <c r="M318" s="71"/>
      <c r="N318" s="71"/>
    </row>
    <row r="319" spans="1:14" ht="15.75">
      <c r="A319" s="72" t="s">
        <v>3678</v>
      </c>
      <c r="B319" s="9" t="s">
        <v>3680</v>
      </c>
      <c r="C319" s="603"/>
      <c r="D319" s="603" t="s">
        <v>3678</v>
      </c>
      <c r="E319" s="603"/>
      <c r="F319" s="371" t="s">
        <v>3678</v>
      </c>
      <c r="G319" s="603"/>
      <c r="H319" s="69"/>
      <c r="I319" s="391"/>
      <c r="J319" s="391"/>
      <c r="K319" s="396"/>
      <c r="L319" s="69"/>
      <c r="M319" s="71"/>
      <c r="N319" s="71"/>
    </row>
    <row r="320" spans="1:14" ht="15.75">
      <c r="A320" s="72" t="s">
        <v>3682</v>
      </c>
      <c r="B320" s="9" t="s">
        <v>3684</v>
      </c>
      <c r="C320" s="603"/>
      <c r="D320" s="603" t="s">
        <v>3682</v>
      </c>
      <c r="E320" s="603"/>
      <c r="F320" s="371" t="s">
        <v>3682</v>
      </c>
      <c r="G320" s="603"/>
      <c r="H320" s="69"/>
      <c r="I320" s="391"/>
      <c r="J320" s="391"/>
      <c r="K320" s="396"/>
      <c r="L320" s="69"/>
      <c r="M320" s="71"/>
      <c r="N320" s="71"/>
    </row>
    <row r="321" spans="1:14" ht="15.75">
      <c r="A321" s="72" t="s">
        <v>3687</v>
      </c>
      <c r="B321" s="9" t="s">
        <v>3689</v>
      </c>
      <c r="C321" s="603"/>
      <c r="D321" s="603" t="s">
        <v>3687</v>
      </c>
      <c r="E321" s="603"/>
      <c r="F321" s="371" t="s">
        <v>3687</v>
      </c>
      <c r="G321" s="603"/>
      <c r="H321" s="69"/>
      <c r="I321" s="391"/>
      <c r="J321" s="391"/>
      <c r="K321" s="396"/>
      <c r="L321" s="69"/>
      <c r="M321" s="71"/>
      <c r="N321" s="71"/>
    </row>
    <row r="322" spans="1:14" ht="15.75">
      <c r="A322" s="72" t="s">
        <v>3693</v>
      </c>
      <c r="B322" s="9" t="s">
        <v>3695</v>
      </c>
      <c r="C322" s="603"/>
      <c r="D322" s="603" t="s">
        <v>3693</v>
      </c>
      <c r="E322" s="603"/>
      <c r="F322" s="371" t="s">
        <v>3693</v>
      </c>
      <c r="G322" s="603"/>
      <c r="H322" s="69"/>
      <c r="I322" s="391"/>
      <c r="J322" s="391"/>
      <c r="K322" s="396"/>
      <c r="L322" s="69"/>
      <c r="M322" s="71"/>
      <c r="N322" s="71"/>
    </row>
    <row r="323" spans="1:14" ht="15.75">
      <c r="A323" s="72" t="s">
        <v>3698</v>
      </c>
      <c r="B323" s="9" t="s">
        <v>3700</v>
      </c>
      <c r="C323" s="603"/>
      <c r="D323" s="603" t="s">
        <v>3698</v>
      </c>
      <c r="E323" s="603"/>
      <c r="F323" s="371" t="s">
        <v>3698</v>
      </c>
      <c r="G323" s="603"/>
      <c r="H323" s="69"/>
      <c r="I323" s="391"/>
      <c r="J323" s="391"/>
      <c r="K323" s="396"/>
      <c r="L323" s="69"/>
      <c r="M323" s="71"/>
      <c r="N323" s="71"/>
    </row>
    <row r="324" spans="1:14" ht="15.75">
      <c r="A324" s="72" t="s">
        <v>3703</v>
      </c>
      <c r="B324" s="9" t="s">
        <v>3705</v>
      </c>
      <c r="C324" s="603"/>
      <c r="D324" s="603" t="s">
        <v>3703</v>
      </c>
      <c r="E324" s="603"/>
      <c r="F324" s="371" t="s">
        <v>3703</v>
      </c>
      <c r="G324" s="603"/>
      <c r="H324" s="69"/>
      <c r="I324" s="391"/>
      <c r="J324" s="391"/>
      <c r="K324" s="396"/>
      <c r="L324" s="69"/>
      <c r="M324" s="71"/>
      <c r="N324" s="71"/>
    </row>
    <row r="325" spans="1:14" ht="15.75">
      <c r="A325" s="72" t="s">
        <v>3707</v>
      </c>
      <c r="B325" s="9" t="s">
        <v>3709</v>
      </c>
      <c r="C325" s="603"/>
      <c r="D325" s="603" t="s">
        <v>3707</v>
      </c>
      <c r="E325" s="603"/>
      <c r="F325" s="371" t="s">
        <v>3707</v>
      </c>
      <c r="G325" s="603"/>
      <c r="H325" s="69"/>
      <c r="I325" s="391"/>
      <c r="J325" s="391"/>
      <c r="K325" s="396"/>
      <c r="L325" s="69"/>
      <c r="M325" s="71"/>
      <c r="N325" s="71"/>
    </row>
    <row r="326" spans="1:14" ht="15.75">
      <c r="A326" s="72" t="s">
        <v>3431</v>
      </c>
      <c r="B326" s="9" t="s">
        <v>3433</v>
      </c>
      <c r="C326" s="603"/>
      <c r="D326" s="603" t="s">
        <v>3431</v>
      </c>
      <c r="E326" s="603"/>
      <c r="F326" s="371" t="s">
        <v>3431</v>
      </c>
      <c r="G326" s="603"/>
      <c r="H326" s="69"/>
      <c r="I326" s="391"/>
      <c r="J326" s="391"/>
      <c r="K326" s="396"/>
      <c r="L326" s="69"/>
      <c r="M326" s="71"/>
      <c r="N326" s="71"/>
    </row>
    <row r="327" spans="1:14" ht="15.75">
      <c r="A327" s="72" t="s">
        <v>3436</v>
      </c>
      <c r="B327" s="9" t="s">
        <v>3438</v>
      </c>
      <c r="C327" s="603"/>
      <c r="D327" s="603" t="s">
        <v>3436</v>
      </c>
      <c r="E327" s="603"/>
      <c r="F327" s="371" t="s">
        <v>3436</v>
      </c>
      <c r="G327" s="603"/>
      <c r="H327" s="69"/>
      <c r="I327" s="391"/>
      <c r="J327" s="391"/>
      <c r="K327" s="396"/>
      <c r="L327" s="69"/>
      <c r="M327" s="71"/>
      <c r="N327" s="71"/>
    </row>
    <row r="328" spans="1:14" ht="15.75">
      <c r="A328" s="72" t="s">
        <v>3440</v>
      </c>
      <c r="B328" s="9" t="s">
        <v>3442</v>
      </c>
      <c r="C328" s="603"/>
      <c r="D328" s="603" t="s">
        <v>3440</v>
      </c>
      <c r="E328" s="603"/>
      <c r="F328" s="371" t="s">
        <v>3440</v>
      </c>
      <c r="G328" s="603"/>
      <c r="H328" s="69"/>
      <c r="I328" s="391"/>
      <c r="J328" s="391"/>
      <c r="K328" s="396"/>
      <c r="L328" s="69"/>
      <c r="M328" s="71"/>
      <c r="N328" s="71"/>
    </row>
    <row r="329" spans="1:14" ht="15.75">
      <c r="A329" s="72" t="s">
        <v>3445</v>
      </c>
      <c r="B329" s="9" t="s">
        <v>3447</v>
      </c>
      <c r="C329" s="603"/>
      <c r="D329" s="603" t="s">
        <v>3445</v>
      </c>
      <c r="E329" s="603"/>
      <c r="F329" s="371" t="s">
        <v>3445</v>
      </c>
      <c r="G329" s="603"/>
      <c r="H329" s="69"/>
      <c r="I329" s="391"/>
      <c r="J329" s="391"/>
      <c r="K329" s="396"/>
      <c r="L329" s="69"/>
      <c r="M329" s="71"/>
      <c r="N329" s="71"/>
    </row>
    <row r="330" spans="1:14" ht="15.75">
      <c r="A330" s="72" t="s">
        <v>3450</v>
      </c>
      <c r="B330" s="9" t="s">
        <v>3452</v>
      </c>
      <c r="C330" s="603"/>
      <c r="D330" s="603" t="s">
        <v>3450</v>
      </c>
      <c r="E330" s="603"/>
      <c r="F330" s="371" t="s">
        <v>3450</v>
      </c>
      <c r="G330" s="603"/>
      <c r="H330" s="69"/>
      <c r="I330" s="391"/>
      <c r="J330" s="391"/>
      <c r="K330" s="396"/>
      <c r="L330" s="69"/>
      <c r="M330" s="71"/>
      <c r="N330" s="71"/>
    </row>
    <row r="331" spans="1:14" ht="15.75">
      <c r="A331" s="72" t="s">
        <v>3455</v>
      </c>
      <c r="B331" s="9" t="s">
        <v>3457</v>
      </c>
      <c r="C331" s="603"/>
      <c r="D331" s="603" t="s">
        <v>3455</v>
      </c>
      <c r="E331" s="603"/>
      <c r="F331" s="371" t="s">
        <v>3455</v>
      </c>
      <c r="G331" s="603"/>
      <c r="H331" s="69"/>
      <c r="I331" s="391"/>
      <c r="J331" s="391"/>
      <c r="K331" s="397"/>
      <c r="L331" s="69"/>
      <c r="M331" s="71"/>
      <c r="N331" s="71"/>
    </row>
    <row r="332" spans="1:14" ht="15.75">
      <c r="A332" s="72" t="s">
        <v>3459</v>
      </c>
      <c r="B332" s="9" t="s">
        <v>3461</v>
      </c>
      <c r="C332" s="603"/>
      <c r="D332" s="603" t="s">
        <v>3459</v>
      </c>
      <c r="E332" s="603"/>
      <c r="F332" s="371" t="s">
        <v>3459</v>
      </c>
      <c r="G332" s="603"/>
      <c r="H332" s="69"/>
      <c r="I332" s="391"/>
      <c r="J332" s="391"/>
      <c r="K332" s="397"/>
      <c r="L332" s="69"/>
      <c r="M332" s="71"/>
      <c r="N332" s="71"/>
    </row>
    <row r="333" spans="1:14" ht="15.75">
      <c r="A333" s="72" t="s">
        <v>3464</v>
      </c>
      <c r="B333" s="9" t="s">
        <v>3466</v>
      </c>
      <c r="C333" s="603"/>
      <c r="D333" s="603" t="s">
        <v>3464</v>
      </c>
      <c r="E333" s="603"/>
      <c r="F333" s="371" t="s">
        <v>3464</v>
      </c>
      <c r="G333" s="603"/>
      <c r="H333" s="69"/>
      <c r="I333" s="391"/>
      <c r="J333" s="391"/>
      <c r="K333" s="397"/>
      <c r="L333" s="69"/>
      <c r="M333" s="71"/>
      <c r="N333" s="71"/>
    </row>
    <row r="334" spans="1:14" ht="15.75">
      <c r="A334" s="72" t="s">
        <v>3469</v>
      </c>
      <c r="B334" s="9" t="s">
        <v>3471</v>
      </c>
      <c r="C334" s="603"/>
      <c r="D334" s="603" t="s">
        <v>3469</v>
      </c>
      <c r="E334" s="603"/>
      <c r="F334" s="371" t="s">
        <v>3469</v>
      </c>
      <c r="G334" s="603"/>
      <c r="H334" s="69"/>
      <c r="I334" s="391"/>
      <c r="J334" s="391"/>
      <c r="K334" s="397"/>
      <c r="L334" s="69"/>
      <c r="M334" s="71"/>
      <c r="N334" s="71"/>
    </row>
    <row r="335" spans="1:14" ht="15.75">
      <c r="A335" s="72" t="s">
        <v>3474</v>
      </c>
      <c r="B335" s="9" t="s">
        <v>3476</v>
      </c>
      <c r="C335" s="603"/>
      <c r="D335" s="603" t="s">
        <v>3474</v>
      </c>
      <c r="E335" s="603"/>
      <c r="F335" s="371" t="s">
        <v>3474</v>
      </c>
      <c r="G335" s="603"/>
      <c r="H335" s="69"/>
      <c r="I335" s="391"/>
      <c r="J335" s="391"/>
      <c r="K335" s="397"/>
      <c r="L335" s="69"/>
      <c r="M335" s="71"/>
      <c r="N335" s="71"/>
    </row>
    <row r="336" spans="1:14" ht="15.75">
      <c r="A336" s="72" t="s">
        <v>3479</v>
      </c>
      <c r="B336" s="9" t="s">
        <v>3481</v>
      </c>
      <c r="C336" s="603"/>
      <c r="D336" s="603" t="s">
        <v>3479</v>
      </c>
      <c r="E336" s="603"/>
      <c r="F336" s="371" t="s">
        <v>3479</v>
      </c>
      <c r="G336" s="603"/>
      <c r="H336" s="69"/>
      <c r="I336" s="391"/>
      <c r="J336" s="391"/>
      <c r="K336" s="397"/>
      <c r="L336" s="69"/>
      <c r="M336" s="71"/>
      <c r="N336" s="71"/>
    </row>
    <row r="337" spans="1:14" ht="15.75">
      <c r="A337" s="72" t="s">
        <v>3484</v>
      </c>
      <c r="B337" s="9" t="s">
        <v>3486</v>
      </c>
      <c r="C337" s="603"/>
      <c r="D337" s="603" t="s">
        <v>3484</v>
      </c>
      <c r="E337" s="603"/>
      <c r="F337" s="371" t="s">
        <v>3484</v>
      </c>
      <c r="G337" s="603"/>
      <c r="H337" s="69"/>
      <c r="I337" s="391"/>
      <c r="J337" s="391"/>
      <c r="K337" s="397"/>
      <c r="L337" s="69"/>
      <c r="M337" s="71"/>
      <c r="N337" s="71"/>
    </row>
    <row r="338" spans="1:14" ht="15.75">
      <c r="A338" s="72" t="s">
        <v>3489</v>
      </c>
      <c r="B338" s="9" t="s">
        <v>3491</v>
      </c>
      <c r="C338" s="603"/>
      <c r="D338" s="603" t="s">
        <v>3489</v>
      </c>
      <c r="E338" s="603"/>
      <c r="F338" s="371" t="s">
        <v>3489</v>
      </c>
      <c r="G338" s="603"/>
      <c r="H338" s="69"/>
      <c r="I338" s="391"/>
      <c r="J338" s="391"/>
      <c r="K338" s="397"/>
      <c r="L338" s="69"/>
      <c r="M338" s="71"/>
      <c r="N338" s="71"/>
    </row>
    <row r="339" spans="1:14" ht="15.75">
      <c r="A339" s="72" t="s">
        <v>3493</v>
      </c>
      <c r="B339" s="9" t="s">
        <v>3495</v>
      </c>
      <c r="C339" s="603"/>
      <c r="D339" s="603" t="s">
        <v>3493</v>
      </c>
      <c r="E339" s="603"/>
      <c r="F339" s="371" t="s">
        <v>3493</v>
      </c>
      <c r="G339" s="603"/>
      <c r="H339" s="69"/>
      <c r="I339" s="391"/>
      <c r="J339" s="391"/>
      <c r="K339" s="397"/>
      <c r="L339" s="69"/>
      <c r="M339" s="71"/>
      <c r="N339" s="71"/>
    </row>
    <row r="340" spans="1:14" ht="15.75">
      <c r="A340" s="72" t="s">
        <v>3244</v>
      </c>
      <c r="B340" s="9" t="s">
        <v>3246</v>
      </c>
      <c r="C340" s="72"/>
      <c r="D340" s="603" t="s">
        <v>3244</v>
      </c>
      <c r="E340" s="603"/>
      <c r="F340" s="371" t="s">
        <v>3244</v>
      </c>
      <c r="G340" s="398"/>
      <c r="H340" s="69"/>
      <c r="I340" s="391"/>
      <c r="J340" s="391"/>
      <c r="K340" s="397"/>
      <c r="L340" s="69"/>
      <c r="M340" s="71"/>
      <c r="N340" s="71"/>
    </row>
    <row r="341" spans="1:14" ht="15.75">
      <c r="A341" s="72" t="s">
        <v>3249</v>
      </c>
      <c r="B341" s="9" t="s">
        <v>3251</v>
      </c>
      <c r="C341" s="72"/>
      <c r="D341" s="603" t="s">
        <v>3249</v>
      </c>
      <c r="E341" s="603"/>
      <c r="F341" s="371" t="s">
        <v>3249</v>
      </c>
      <c r="G341" s="398"/>
      <c r="H341" s="69"/>
      <c r="I341" s="391"/>
      <c r="J341" s="391"/>
      <c r="K341" s="397"/>
      <c r="L341" s="69"/>
      <c r="M341" s="71"/>
      <c r="N341" s="71"/>
    </row>
    <row r="342" spans="1:14" ht="15.75">
      <c r="A342" s="317" t="s">
        <v>4712</v>
      </c>
      <c r="B342" s="285"/>
      <c r="C342" s="317" t="s">
        <v>5412</v>
      </c>
      <c r="D342" s="605"/>
      <c r="E342" s="605"/>
      <c r="F342" s="378"/>
      <c r="G342" s="317"/>
      <c r="H342" s="69"/>
      <c r="I342" s="391"/>
      <c r="J342" s="391"/>
      <c r="K342" s="397"/>
      <c r="L342" s="69"/>
      <c r="M342" s="71"/>
      <c r="N342" s="71"/>
    </row>
    <row r="343" spans="1:14" ht="15.75">
      <c r="A343" s="317" t="s">
        <v>4715</v>
      </c>
      <c r="B343" s="285"/>
      <c r="C343" s="317" t="s">
        <v>5412</v>
      </c>
      <c r="D343" s="605"/>
      <c r="E343" s="605"/>
      <c r="F343" s="378"/>
      <c r="G343" s="317"/>
      <c r="H343" s="69"/>
      <c r="I343" s="391"/>
      <c r="J343" s="391"/>
      <c r="K343" s="397"/>
      <c r="L343" s="69"/>
      <c r="M343" s="71"/>
      <c r="N343" s="71"/>
    </row>
    <row r="344" spans="1:14" ht="15.75">
      <c r="A344" s="72" t="s">
        <v>3253</v>
      </c>
      <c r="B344" s="9" t="s">
        <v>3255</v>
      </c>
      <c r="C344" s="72"/>
      <c r="D344" s="603" t="s">
        <v>3253</v>
      </c>
      <c r="E344" s="603"/>
      <c r="F344" s="371" t="s">
        <v>3253</v>
      </c>
      <c r="G344" s="398"/>
      <c r="H344" s="69"/>
      <c r="I344" s="391"/>
      <c r="J344" s="391"/>
      <c r="K344" s="397"/>
      <c r="L344" s="69"/>
      <c r="M344" s="71"/>
      <c r="N344" s="71"/>
    </row>
    <row r="345" spans="1:14" ht="15.75">
      <c r="A345" s="72" t="s">
        <v>3258</v>
      </c>
      <c r="B345" s="9" t="s">
        <v>3260</v>
      </c>
      <c r="C345" s="72"/>
      <c r="D345" s="603" t="s">
        <v>3258</v>
      </c>
      <c r="E345" s="603"/>
      <c r="F345" s="371" t="s">
        <v>3258</v>
      </c>
      <c r="G345" s="398"/>
      <c r="H345" s="69"/>
      <c r="I345" s="391"/>
      <c r="J345" s="391"/>
      <c r="K345" s="396"/>
      <c r="L345" s="69"/>
      <c r="M345" s="71"/>
      <c r="N345" s="71"/>
    </row>
    <row r="346" spans="1:14" ht="15.75">
      <c r="A346" s="72" t="s">
        <v>3263</v>
      </c>
      <c r="B346" s="9" t="s">
        <v>3265</v>
      </c>
      <c r="C346" s="72"/>
      <c r="D346" s="603" t="s">
        <v>3263</v>
      </c>
      <c r="E346" s="603"/>
      <c r="F346" s="371" t="s">
        <v>3263</v>
      </c>
      <c r="G346" s="398"/>
      <c r="H346" s="69"/>
      <c r="I346" s="391"/>
      <c r="J346" s="391"/>
      <c r="K346" s="396"/>
      <c r="L346" s="69"/>
      <c r="M346" s="71"/>
      <c r="N346" s="71"/>
    </row>
    <row r="347" spans="1:14" ht="15.75">
      <c r="A347" s="72" t="s">
        <v>3269</v>
      </c>
      <c r="B347" s="9" t="s">
        <v>3271</v>
      </c>
      <c r="C347" s="72"/>
      <c r="D347" s="603" t="s">
        <v>3269</v>
      </c>
      <c r="E347" s="603"/>
      <c r="F347" s="371" t="s">
        <v>3269</v>
      </c>
      <c r="G347" s="398"/>
      <c r="H347" s="69"/>
      <c r="I347" s="391"/>
      <c r="J347" s="391"/>
      <c r="K347" s="396"/>
      <c r="L347" s="69"/>
      <c r="M347" s="71"/>
      <c r="N347" s="71"/>
    </row>
    <row r="348" spans="1:14" ht="15.75">
      <c r="A348" s="72" t="s">
        <v>3273</v>
      </c>
      <c r="B348" s="9" t="s">
        <v>3275</v>
      </c>
      <c r="C348" s="72"/>
      <c r="D348" s="603" t="s">
        <v>3273</v>
      </c>
      <c r="E348" s="603"/>
      <c r="F348" s="371" t="s">
        <v>3273</v>
      </c>
      <c r="G348" s="398"/>
      <c r="H348" s="69"/>
      <c r="I348" s="391"/>
      <c r="J348" s="391"/>
      <c r="K348" s="396"/>
      <c r="L348" s="69"/>
      <c r="M348" s="71"/>
      <c r="N348" s="71"/>
    </row>
    <row r="349" spans="1:14" ht="15.75">
      <c r="A349" s="72" t="s">
        <v>3277</v>
      </c>
      <c r="B349" s="9" t="s">
        <v>3279</v>
      </c>
      <c r="C349" s="72"/>
      <c r="D349" s="603" t="s">
        <v>3277</v>
      </c>
      <c r="E349" s="603"/>
      <c r="F349" s="371" t="s">
        <v>3277</v>
      </c>
      <c r="G349" s="398"/>
      <c r="H349" s="69"/>
      <c r="I349" s="391"/>
      <c r="J349" s="391"/>
      <c r="K349" s="396"/>
      <c r="L349" s="69"/>
      <c r="M349" s="71"/>
      <c r="N349" s="71"/>
    </row>
    <row r="350" spans="1:14" ht="15.75">
      <c r="A350" s="72" t="s">
        <v>3281</v>
      </c>
      <c r="B350" s="9" t="s">
        <v>3283</v>
      </c>
      <c r="C350" s="72"/>
      <c r="D350" s="603" t="s">
        <v>3281</v>
      </c>
      <c r="E350" s="603"/>
      <c r="F350" s="371" t="s">
        <v>3281</v>
      </c>
      <c r="G350" s="398"/>
      <c r="H350" s="69"/>
      <c r="I350" s="391"/>
      <c r="J350" s="391"/>
      <c r="K350" s="396"/>
      <c r="L350" s="69"/>
      <c r="M350" s="71"/>
      <c r="N350" s="71"/>
    </row>
    <row r="351" spans="1:14" ht="15.75">
      <c r="A351" s="72" t="s">
        <v>3286</v>
      </c>
      <c r="B351" s="9" t="s">
        <v>3288</v>
      </c>
      <c r="C351" s="72"/>
      <c r="D351" s="603" t="s">
        <v>3286</v>
      </c>
      <c r="E351" s="603"/>
      <c r="F351" s="371" t="s">
        <v>3286</v>
      </c>
      <c r="G351" s="398"/>
      <c r="H351" s="69"/>
      <c r="I351" s="391"/>
      <c r="J351" s="391"/>
      <c r="K351" s="396"/>
      <c r="L351" s="69"/>
      <c r="M351" s="71"/>
      <c r="N351" s="71"/>
    </row>
    <row r="352" spans="1:14" ht="15.75">
      <c r="A352" s="72" t="s">
        <v>3292</v>
      </c>
      <c r="B352" s="9" t="s">
        <v>3294</v>
      </c>
      <c r="C352" s="72"/>
      <c r="D352" s="603" t="s">
        <v>3292</v>
      </c>
      <c r="E352" s="603"/>
      <c r="F352" s="371" t="s">
        <v>3292</v>
      </c>
      <c r="G352" s="398"/>
      <c r="H352" s="69"/>
      <c r="I352" s="391"/>
      <c r="J352" s="391"/>
      <c r="K352" s="396"/>
      <c r="L352" s="69"/>
      <c r="M352" s="71"/>
      <c r="N352" s="71"/>
    </row>
    <row r="353" spans="1:14" ht="15.75">
      <c r="A353" s="72" t="s">
        <v>3296</v>
      </c>
      <c r="B353" s="9" t="s">
        <v>3298</v>
      </c>
      <c r="C353" s="72"/>
      <c r="D353" s="603" t="s">
        <v>3296</v>
      </c>
      <c r="E353" s="603"/>
      <c r="F353" s="371" t="s">
        <v>3296</v>
      </c>
      <c r="G353" s="398"/>
      <c r="H353" s="69"/>
      <c r="I353" s="391"/>
      <c r="J353" s="391"/>
      <c r="K353" s="396"/>
      <c r="L353" s="69"/>
      <c r="M353" s="71"/>
      <c r="N353" s="71"/>
    </row>
    <row r="354" spans="1:14" ht="15.75">
      <c r="A354" s="72" t="s">
        <v>3301</v>
      </c>
      <c r="B354" s="9" t="s">
        <v>3303</v>
      </c>
      <c r="C354" s="72"/>
      <c r="D354" s="603" t="s">
        <v>3301</v>
      </c>
      <c r="E354" s="603"/>
      <c r="F354" s="371" t="s">
        <v>3301</v>
      </c>
      <c r="G354" s="398"/>
      <c r="H354" s="69"/>
      <c r="I354" s="391"/>
      <c r="J354" s="391"/>
      <c r="K354" s="396"/>
      <c r="L354" s="69"/>
      <c r="M354" s="71"/>
      <c r="N354" s="71"/>
    </row>
    <row r="355" spans="1:14" ht="15.75">
      <c r="A355" s="72" t="s">
        <v>3306</v>
      </c>
      <c r="B355" s="9" t="s">
        <v>3308</v>
      </c>
      <c r="C355" s="72"/>
      <c r="D355" s="603" t="s">
        <v>3306</v>
      </c>
      <c r="E355" s="603"/>
      <c r="F355" s="371" t="s">
        <v>3306</v>
      </c>
      <c r="G355" s="398"/>
      <c r="H355" s="69"/>
      <c r="I355" s="391"/>
      <c r="J355" s="391"/>
      <c r="K355" s="396"/>
      <c r="L355" s="69"/>
      <c r="M355" s="71"/>
      <c r="N355" s="71"/>
    </row>
    <row r="356" spans="1:14" ht="15.75">
      <c r="A356" s="72" t="s">
        <v>3311</v>
      </c>
      <c r="B356" s="9" t="s">
        <v>3313</v>
      </c>
      <c r="C356" s="72"/>
      <c r="D356" s="603" t="s">
        <v>3311</v>
      </c>
      <c r="E356" s="603"/>
      <c r="F356" s="371" t="s">
        <v>3311</v>
      </c>
      <c r="G356" s="398"/>
      <c r="H356" s="69"/>
      <c r="I356" s="391"/>
      <c r="J356" s="391"/>
      <c r="K356" s="396"/>
      <c r="L356" s="69"/>
      <c r="M356" s="71"/>
      <c r="N356" s="71"/>
    </row>
    <row r="357" spans="1:14" ht="15.75">
      <c r="A357" s="72" t="s">
        <v>3316</v>
      </c>
      <c r="B357" s="9" t="s">
        <v>3318</v>
      </c>
      <c r="C357" s="72"/>
      <c r="D357" s="603" t="s">
        <v>3316</v>
      </c>
      <c r="E357" s="603"/>
      <c r="F357" s="371" t="s">
        <v>3316</v>
      </c>
      <c r="G357" s="398"/>
      <c r="H357" s="69"/>
      <c r="I357" s="391"/>
      <c r="J357" s="391"/>
      <c r="K357" s="396"/>
      <c r="L357" s="69"/>
      <c r="M357" s="71"/>
      <c r="N357" s="71"/>
    </row>
    <row r="358" spans="1:14" ht="15.75">
      <c r="A358" s="72" t="s">
        <v>3322</v>
      </c>
      <c r="B358" s="9" t="s">
        <v>3324</v>
      </c>
      <c r="C358" s="72"/>
      <c r="D358" s="603" t="s">
        <v>3322</v>
      </c>
      <c r="E358" s="603"/>
      <c r="F358" s="371" t="s">
        <v>3322</v>
      </c>
      <c r="G358" s="398"/>
      <c r="H358" s="69"/>
      <c r="I358" s="391"/>
      <c r="J358" s="391"/>
      <c r="K358" s="396"/>
      <c r="L358" s="69"/>
      <c r="M358" s="71"/>
      <c r="N358" s="71"/>
    </row>
    <row r="359" spans="1:14" ht="15.75">
      <c r="A359" s="72" t="s">
        <v>3326</v>
      </c>
      <c r="B359" s="9" t="s">
        <v>3328</v>
      </c>
      <c r="C359" s="72"/>
      <c r="D359" s="603" t="s">
        <v>3326</v>
      </c>
      <c r="E359" s="603"/>
      <c r="F359" s="371" t="s">
        <v>3326</v>
      </c>
      <c r="G359" s="398"/>
      <c r="H359" s="69"/>
      <c r="I359" s="391"/>
      <c r="J359" s="391"/>
      <c r="K359" s="396"/>
      <c r="L359" s="69"/>
      <c r="M359" s="71"/>
      <c r="N359" s="71"/>
    </row>
    <row r="360" spans="1:14" ht="15.75">
      <c r="A360" s="72" t="s">
        <v>3330</v>
      </c>
      <c r="B360" s="9" t="s">
        <v>3332</v>
      </c>
      <c r="C360" s="72"/>
      <c r="D360" s="603" t="s">
        <v>3330</v>
      </c>
      <c r="E360" s="603"/>
      <c r="F360" s="371" t="s">
        <v>3330</v>
      </c>
      <c r="G360" s="398"/>
      <c r="H360" s="69"/>
      <c r="I360" s="391"/>
      <c r="J360" s="391"/>
      <c r="K360" s="396"/>
      <c r="L360" s="69"/>
      <c r="M360" s="71"/>
      <c r="N360" s="71"/>
    </row>
    <row r="361" spans="1:14" ht="15.75">
      <c r="A361" s="72" t="s">
        <v>3334</v>
      </c>
      <c r="B361" s="9" t="s">
        <v>3336</v>
      </c>
      <c r="C361" s="72"/>
      <c r="D361" s="603" t="s">
        <v>3334</v>
      </c>
      <c r="E361" s="603"/>
      <c r="F361" s="371" t="s">
        <v>3334</v>
      </c>
      <c r="G361" s="398"/>
      <c r="H361" s="69"/>
      <c r="I361" s="391"/>
      <c r="J361" s="391"/>
      <c r="K361" s="396"/>
      <c r="L361" s="69"/>
      <c r="M361" s="71"/>
      <c r="N361" s="71"/>
    </row>
    <row r="362" spans="1:14" ht="15.75">
      <c r="A362" s="72" t="s">
        <v>3339</v>
      </c>
      <c r="B362" s="9" t="s">
        <v>3341</v>
      </c>
      <c r="C362" s="72"/>
      <c r="D362" s="603" t="s">
        <v>3339</v>
      </c>
      <c r="E362" s="603"/>
      <c r="F362" s="371" t="s">
        <v>3339</v>
      </c>
      <c r="G362" s="398"/>
      <c r="H362" s="69"/>
      <c r="I362" s="391"/>
      <c r="J362" s="391"/>
      <c r="K362" s="396"/>
      <c r="L362" s="69"/>
      <c r="M362" s="71"/>
      <c r="N362" s="71"/>
    </row>
    <row r="363" spans="1:14" ht="15.75">
      <c r="A363" s="72" t="s">
        <v>3344</v>
      </c>
      <c r="B363" s="9" t="s">
        <v>3346</v>
      </c>
      <c r="C363" s="72"/>
      <c r="D363" s="603" t="s">
        <v>3344</v>
      </c>
      <c r="E363" s="603"/>
      <c r="F363" s="371" t="s">
        <v>3344</v>
      </c>
      <c r="G363" s="398"/>
      <c r="H363" s="69"/>
      <c r="I363" s="391"/>
      <c r="J363" s="391"/>
      <c r="K363" s="396"/>
      <c r="L363" s="69"/>
      <c r="M363" s="71"/>
      <c r="N363" s="71"/>
    </row>
    <row r="364" spans="1:14" ht="15.75">
      <c r="A364" s="72" t="s">
        <v>3349</v>
      </c>
      <c r="B364" s="9" t="s">
        <v>3351</v>
      </c>
      <c r="C364" s="72"/>
      <c r="D364" s="603" t="s">
        <v>3349</v>
      </c>
      <c r="E364" s="603"/>
      <c r="F364" s="371" t="s">
        <v>3349</v>
      </c>
      <c r="G364" s="398"/>
      <c r="H364" s="69"/>
      <c r="I364" s="391"/>
      <c r="J364" s="391"/>
      <c r="K364" s="396"/>
      <c r="L364" s="69"/>
      <c r="M364" s="71"/>
      <c r="N364" s="71"/>
    </row>
    <row r="365" spans="1:14" ht="15.75">
      <c r="A365" s="72" t="s">
        <v>3354</v>
      </c>
      <c r="B365" s="9" t="s">
        <v>3356</v>
      </c>
      <c r="C365" s="72"/>
      <c r="D365" s="603" t="s">
        <v>3354</v>
      </c>
      <c r="E365" s="603"/>
      <c r="F365" s="371" t="s">
        <v>3354</v>
      </c>
      <c r="G365" s="398"/>
      <c r="H365" s="69"/>
      <c r="I365" s="391"/>
      <c r="J365" s="391"/>
      <c r="K365" s="396"/>
      <c r="L365" s="69"/>
      <c r="M365" s="71"/>
      <c r="N365" s="71"/>
    </row>
    <row r="366" spans="1:14" ht="15.75">
      <c r="A366" s="72" t="s">
        <v>3359</v>
      </c>
      <c r="B366" s="9" t="s">
        <v>1108</v>
      </c>
      <c r="C366" s="72"/>
      <c r="D366" s="603" t="s">
        <v>3359</v>
      </c>
      <c r="E366" s="603"/>
      <c r="F366" s="371" t="s">
        <v>3359</v>
      </c>
      <c r="G366" s="398"/>
      <c r="H366" s="69"/>
      <c r="I366" s="391"/>
      <c r="J366" s="391"/>
      <c r="K366" s="396"/>
      <c r="L366" s="69"/>
      <c r="M366" s="71"/>
      <c r="N366" s="71"/>
    </row>
    <row r="367" spans="1:14" ht="15.75">
      <c r="A367" s="72" t="s">
        <v>3363</v>
      </c>
      <c r="B367" s="9" t="s">
        <v>3365</v>
      </c>
      <c r="C367" s="72"/>
      <c r="D367" s="603" t="s">
        <v>3363</v>
      </c>
      <c r="E367" s="603"/>
      <c r="F367" s="371" t="s">
        <v>3363</v>
      </c>
      <c r="G367" s="398"/>
      <c r="H367" s="69"/>
      <c r="I367" s="391"/>
      <c r="J367" s="391"/>
      <c r="K367" s="396"/>
      <c r="L367" s="69"/>
      <c r="M367" s="71"/>
      <c r="N367" s="71"/>
    </row>
    <row r="368" spans="1:14" ht="15.75">
      <c r="A368" s="72" t="s">
        <v>3368</v>
      </c>
      <c r="B368" s="9" t="s">
        <v>3370</v>
      </c>
      <c r="C368" s="72"/>
      <c r="D368" s="603" t="s">
        <v>3368</v>
      </c>
      <c r="E368" s="603"/>
      <c r="F368" s="371" t="s">
        <v>3368</v>
      </c>
      <c r="G368" s="398"/>
      <c r="H368" s="69"/>
      <c r="I368" s="391"/>
      <c r="J368" s="391"/>
      <c r="K368" s="396"/>
      <c r="L368" s="69"/>
      <c r="M368" s="71"/>
      <c r="N368" s="71"/>
    </row>
    <row r="369" spans="1:14">
      <c r="A369" s="72" t="s">
        <v>3372</v>
      </c>
      <c r="B369" s="9" t="s">
        <v>3374</v>
      </c>
      <c r="C369" s="72"/>
      <c r="D369" s="603" t="s">
        <v>3372</v>
      </c>
      <c r="E369" s="603"/>
      <c r="F369" s="371" t="s">
        <v>3372</v>
      </c>
      <c r="G369" s="398"/>
      <c r="H369" s="69"/>
      <c r="I369" s="391"/>
      <c r="J369" s="391"/>
      <c r="K369" s="604"/>
      <c r="L369" s="71"/>
      <c r="M369" s="71"/>
      <c r="N369" s="71"/>
    </row>
    <row r="370" spans="1:14">
      <c r="A370" s="72" t="s">
        <v>3378</v>
      </c>
      <c r="B370" s="9" t="s">
        <v>3380</v>
      </c>
      <c r="C370" s="72"/>
      <c r="D370" s="603" t="s">
        <v>3378</v>
      </c>
      <c r="E370" s="603"/>
      <c r="F370" s="371" t="s">
        <v>3378</v>
      </c>
      <c r="G370" s="398"/>
      <c r="H370" s="69"/>
      <c r="I370" s="391"/>
      <c r="J370" s="391"/>
      <c r="K370" s="604"/>
      <c r="L370" s="71"/>
      <c r="M370" s="71"/>
      <c r="N370" s="71"/>
    </row>
    <row r="371" spans="1:14">
      <c r="A371" s="72" t="s">
        <v>3383</v>
      </c>
      <c r="B371" s="9" t="s">
        <v>3385</v>
      </c>
      <c r="C371" s="72"/>
      <c r="D371" s="603" t="s">
        <v>3383</v>
      </c>
      <c r="E371" s="603"/>
      <c r="F371" s="371" t="s">
        <v>3383</v>
      </c>
      <c r="G371" s="398"/>
      <c r="H371" s="69"/>
      <c r="I371" s="391"/>
      <c r="J371" s="391"/>
      <c r="K371" s="604"/>
      <c r="L371" s="71"/>
      <c r="M371" s="71"/>
      <c r="N371" s="71"/>
    </row>
    <row r="372" spans="1:14">
      <c r="A372" s="72" t="s">
        <v>3388</v>
      </c>
      <c r="B372" s="9" t="s">
        <v>3390</v>
      </c>
      <c r="C372" s="72"/>
      <c r="D372" s="603" t="s">
        <v>3388</v>
      </c>
      <c r="E372" s="603"/>
      <c r="F372" s="371" t="s">
        <v>3388</v>
      </c>
      <c r="G372" s="398"/>
      <c r="H372" s="69"/>
      <c r="I372" s="391"/>
      <c r="J372" s="391"/>
      <c r="K372" s="604"/>
      <c r="L372" s="71"/>
      <c r="M372" s="71"/>
      <c r="N372" s="71"/>
    </row>
    <row r="373" spans="1:14">
      <c r="A373" s="72" t="s">
        <v>3392</v>
      </c>
      <c r="B373" s="9" t="s">
        <v>3394</v>
      </c>
      <c r="C373" s="72"/>
      <c r="D373" s="603" t="s">
        <v>3392</v>
      </c>
      <c r="E373" s="603"/>
      <c r="F373" s="371" t="s">
        <v>3392</v>
      </c>
      <c r="G373" s="398"/>
      <c r="H373" s="69"/>
      <c r="I373" s="391"/>
      <c r="J373" s="391"/>
      <c r="K373" s="604"/>
      <c r="L373" s="71"/>
      <c r="M373" s="71"/>
      <c r="N373" s="71"/>
    </row>
    <row r="374" spans="1:14">
      <c r="A374" s="72" t="s">
        <v>3397</v>
      </c>
      <c r="B374" s="9" t="s">
        <v>3399</v>
      </c>
      <c r="C374" s="72"/>
      <c r="D374" s="603" t="s">
        <v>3397</v>
      </c>
      <c r="E374" s="603"/>
      <c r="F374" s="371" t="s">
        <v>3397</v>
      </c>
      <c r="G374" s="398"/>
      <c r="H374" s="69"/>
      <c r="I374" s="391"/>
      <c r="J374" s="391"/>
      <c r="K374" s="604"/>
      <c r="L374" s="71"/>
      <c r="M374" s="71"/>
      <c r="N374" s="71"/>
    </row>
    <row r="375" spans="1:14">
      <c r="A375" s="72" t="s">
        <v>3401</v>
      </c>
      <c r="B375" s="9" t="s">
        <v>3403</v>
      </c>
      <c r="C375" s="72"/>
      <c r="D375" s="603" t="s">
        <v>3401</v>
      </c>
      <c r="E375" s="603"/>
      <c r="F375" s="371" t="s">
        <v>3401</v>
      </c>
      <c r="G375" s="398"/>
      <c r="H375" s="69"/>
      <c r="I375" s="391"/>
      <c r="J375" s="391"/>
      <c r="K375" s="604"/>
      <c r="L375" s="71"/>
      <c r="M375" s="71"/>
      <c r="N375" s="71"/>
    </row>
    <row r="376" spans="1:14">
      <c r="A376" s="72" t="s">
        <v>3406</v>
      </c>
      <c r="B376" s="9" t="s">
        <v>3408</v>
      </c>
      <c r="C376" s="72"/>
      <c r="D376" s="603" t="s">
        <v>3406</v>
      </c>
      <c r="E376" s="603"/>
      <c r="F376" s="371" t="s">
        <v>3406</v>
      </c>
      <c r="G376" s="398"/>
      <c r="H376" s="69"/>
      <c r="I376" s="391"/>
      <c r="J376" s="391"/>
      <c r="K376" s="604"/>
      <c r="L376" s="71"/>
      <c r="M376" s="71"/>
      <c r="N376" s="71"/>
    </row>
    <row r="377" spans="1:14">
      <c r="A377" s="72" t="s">
        <v>3411</v>
      </c>
      <c r="B377" s="9" t="s">
        <v>3413</v>
      </c>
      <c r="C377" s="72"/>
      <c r="D377" s="603" t="s">
        <v>3411</v>
      </c>
      <c r="E377" s="603"/>
      <c r="F377" s="371" t="s">
        <v>3411</v>
      </c>
      <c r="G377" s="398"/>
      <c r="H377" s="69"/>
      <c r="I377" s="391"/>
      <c r="J377" s="391"/>
      <c r="K377" s="604"/>
      <c r="L377" s="71"/>
      <c r="M377" s="71"/>
      <c r="N377" s="71"/>
    </row>
    <row r="378" spans="1:14">
      <c r="A378" s="72" t="s">
        <v>3416</v>
      </c>
      <c r="B378" s="9" t="s">
        <v>3418</v>
      </c>
      <c r="C378" s="72"/>
      <c r="D378" s="603" t="s">
        <v>3416</v>
      </c>
      <c r="E378" s="603"/>
      <c r="F378" s="371" t="s">
        <v>3416</v>
      </c>
      <c r="G378" s="398"/>
      <c r="H378" s="69"/>
      <c r="I378" s="391"/>
      <c r="J378" s="391"/>
      <c r="K378" s="604"/>
      <c r="L378" s="71"/>
      <c r="M378" s="71"/>
      <c r="N378" s="71"/>
    </row>
    <row r="379" spans="1:14">
      <c r="A379" s="72" t="s">
        <v>3421</v>
      </c>
      <c r="B379" s="9" t="s">
        <v>3423</v>
      </c>
      <c r="C379" s="72"/>
      <c r="D379" s="603" t="s">
        <v>3421</v>
      </c>
      <c r="E379" s="603"/>
      <c r="F379" s="371" t="s">
        <v>3421</v>
      </c>
      <c r="G379" s="398"/>
      <c r="H379" s="69"/>
      <c r="I379" s="391"/>
      <c r="J379" s="391"/>
      <c r="K379" s="604"/>
      <c r="L379" s="71"/>
      <c r="M379" s="71"/>
      <c r="N379" s="71"/>
    </row>
    <row r="380" spans="1:14">
      <c r="A380" s="72" t="s">
        <v>3426</v>
      </c>
      <c r="B380" s="9" t="s">
        <v>3428</v>
      </c>
      <c r="C380" s="72"/>
      <c r="D380" s="603" t="s">
        <v>3426</v>
      </c>
      <c r="E380" s="603"/>
      <c r="F380" s="371" t="s">
        <v>3426</v>
      </c>
      <c r="G380" s="398"/>
      <c r="H380" s="69"/>
      <c r="I380" s="391"/>
      <c r="J380" s="391"/>
      <c r="K380" s="604"/>
      <c r="L380" s="71"/>
      <c r="M380" s="71"/>
      <c r="N380" s="71"/>
    </row>
    <row r="381" spans="1:14">
      <c r="A381" s="72" t="s">
        <v>2844</v>
      </c>
      <c r="B381" s="9" t="s">
        <v>2846</v>
      </c>
      <c r="C381" s="72"/>
      <c r="D381" s="55" t="s">
        <v>2844</v>
      </c>
      <c r="E381" s="72"/>
      <c r="F381" s="371" t="s">
        <v>2844</v>
      </c>
      <c r="G381" s="371"/>
      <c r="H381" s="71"/>
      <c r="I381" s="391"/>
      <c r="J381" s="391"/>
      <c r="K381" s="69"/>
      <c r="L381" s="71"/>
      <c r="M381" s="391"/>
      <c r="N381" s="71"/>
    </row>
    <row r="382" spans="1:14">
      <c r="A382" s="72" t="s">
        <v>4072</v>
      </c>
      <c r="B382" s="9" t="s">
        <v>4074</v>
      </c>
      <c r="C382" s="72"/>
      <c r="D382" s="55" t="s">
        <v>4072</v>
      </c>
      <c r="E382" s="72"/>
      <c r="F382" s="371" t="s">
        <v>4072</v>
      </c>
      <c r="G382" s="371"/>
      <c r="H382" s="71"/>
      <c r="I382" s="391"/>
      <c r="J382" s="391"/>
      <c r="K382" s="69"/>
      <c r="L382" s="71"/>
      <c r="M382" s="391"/>
      <c r="N382" s="71"/>
    </row>
    <row r="383" spans="1:14">
      <c r="A383" s="317" t="s">
        <v>4691</v>
      </c>
      <c r="B383" s="285" t="s">
        <v>4693</v>
      </c>
      <c r="C383" s="399" t="s">
        <v>4648</v>
      </c>
      <c r="D383" s="317"/>
      <c r="E383" s="400"/>
      <c r="F383" s="378"/>
      <c r="G383" s="378"/>
      <c r="H383" s="71"/>
      <c r="I383" s="391"/>
      <c r="J383" s="391"/>
      <c r="K383" s="69"/>
      <c r="L383" s="71"/>
      <c r="M383" s="391"/>
      <c r="N383" s="71"/>
    </row>
    <row r="384" spans="1:14">
      <c r="A384" s="72" t="s">
        <v>4080</v>
      </c>
      <c r="B384" s="9" t="s">
        <v>4082</v>
      </c>
      <c r="C384" s="72"/>
      <c r="D384" s="55" t="s">
        <v>4080</v>
      </c>
      <c r="E384" s="72"/>
      <c r="F384" s="371" t="s">
        <v>4080</v>
      </c>
      <c r="G384" s="371"/>
      <c r="H384" s="71"/>
      <c r="I384" s="391"/>
      <c r="J384" s="391"/>
      <c r="K384" s="69"/>
      <c r="L384" s="71"/>
      <c r="M384" s="391"/>
      <c r="N384" s="71"/>
    </row>
    <row r="385" spans="1:14">
      <c r="A385" s="72" t="s">
        <v>2850</v>
      </c>
      <c r="B385" s="9" t="s">
        <v>2852</v>
      </c>
      <c r="C385" s="72"/>
      <c r="D385" s="55" t="s">
        <v>2850</v>
      </c>
      <c r="E385" s="72"/>
      <c r="F385" s="72" t="s">
        <v>2850</v>
      </c>
      <c r="G385" s="371"/>
      <c r="H385" s="71"/>
      <c r="I385" s="391"/>
      <c r="J385" s="391"/>
      <c r="K385" s="69"/>
      <c r="L385" s="71"/>
      <c r="M385" s="391"/>
      <c r="N385" s="71"/>
    </row>
    <row r="386" spans="1:14">
      <c r="A386" s="72" t="s">
        <v>4085</v>
      </c>
      <c r="B386" s="9" t="s">
        <v>4087</v>
      </c>
      <c r="C386" s="72"/>
      <c r="D386" s="55" t="s">
        <v>4085</v>
      </c>
      <c r="E386" s="72"/>
      <c r="F386" s="72" t="s">
        <v>4085</v>
      </c>
      <c r="G386" s="371"/>
      <c r="H386" s="71"/>
      <c r="I386" s="391"/>
      <c r="J386" s="391"/>
      <c r="K386" s="69"/>
      <c r="L386" s="71"/>
      <c r="M386" s="391"/>
      <c r="N386" s="71"/>
    </row>
    <row r="387" spans="1:14">
      <c r="A387" s="72" t="s">
        <v>2855</v>
      </c>
      <c r="B387" s="9" t="s">
        <v>2857</v>
      </c>
      <c r="C387" s="72"/>
      <c r="D387" s="55" t="s">
        <v>2855</v>
      </c>
      <c r="E387" s="72"/>
      <c r="F387" s="72" t="s">
        <v>2855</v>
      </c>
      <c r="G387" s="371"/>
      <c r="H387" s="71"/>
      <c r="I387" s="391"/>
      <c r="J387" s="391"/>
      <c r="K387" s="69"/>
      <c r="L387" s="71"/>
      <c r="M387" s="391"/>
      <c r="N387" s="71"/>
    </row>
    <row r="388" spans="1:14">
      <c r="A388" s="72" t="s">
        <v>2860</v>
      </c>
      <c r="B388" s="9" t="s">
        <v>2862</v>
      </c>
      <c r="C388" s="72"/>
      <c r="D388" s="55" t="s">
        <v>2860</v>
      </c>
      <c r="E388" s="72"/>
      <c r="F388" s="72" t="s">
        <v>2860</v>
      </c>
      <c r="G388" s="371"/>
      <c r="H388" s="71"/>
      <c r="I388" s="391"/>
      <c r="J388" s="391"/>
      <c r="K388" s="69"/>
      <c r="L388" s="71"/>
      <c r="M388" s="391"/>
      <c r="N388" s="71"/>
    </row>
    <row r="389" spans="1:14">
      <c r="A389" s="72" t="s">
        <v>2865</v>
      </c>
      <c r="B389" s="9" t="s">
        <v>2867</v>
      </c>
      <c r="C389" s="72"/>
      <c r="D389" s="55" t="s">
        <v>2865</v>
      </c>
      <c r="E389" s="72"/>
      <c r="F389" s="72" t="s">
        <v>2865</v>
      </c>
      <c r="G389" s="371"/>
      <c r="H389" s="71"/>
      <c r="I389" s="391"/>
      <c r="J389" s="391"/>
      <c r="K389" s="69"/>
      <c r="L389" s="71"/>
      <c r="M389" s="391"/>
      <c r="N389" s="71"/>
    </row>
    <row r="390" spans="1:14">
      <c r="A390" s="72" t="s">
        <v>2870</v>
      </c>
      <c r="B390" s="9" t="s">
        <v>2872</v>
      </c>
      <c r="C390" s="72"/>
      <c r="D390" s="55" t="s">
        <v>2870</v>
      </c>
      <c r="E390" s="72"/>
      <c r="F390" s="72" t="s">
        <v>2870</v>
      </c>
      <c r="G390" s="371"/>
      <c r="H390" s="71"/>
      <c r="I390" s="391"/>
      <c r="J390" s="391"/>
      <c r="K390" s="69"/>
      <c r="L390" s="71"/>
      <c r="M390" s="391"/>
      <c r="N390" s="71"/>
    </row>
    <row r="391" spans="1:14">
      <c r="A391" s="72" t="s">
        <v>2875</v>
      </c>
      <c r="B391" s="9" t="s">
        <v>2877</v>
      </c>
      <c r="C391" s="72"/>
      <c r="D391" s="55" t="s">
        <v>2875</v>
      </c>
      <c r="E391" s="72"/>
      <c r="F391" s="72" t="s">
        <v>2875</v>
      </c>
      <c r="G391" s="371"/>
      <c r="H391" s="71"/>
      <c r="I391" s="391"/>
      <c r="J391" s="391"/>
      <c r="K391" s="69"/>
      <c r="L391" s="71"/>
      <c r="M391" s="391"/>
      <c r="N391" s="71"/>
    </row>
    <row r="392" spans="1:14">
      <c r="A392" s="72" t="s">
        <v>4088</v>
      </c>
      <c r="B392" s="9" t="s">
        <v>4090</v>
      </c>
      <c r="C392" s="72"/>
      <c r="D392" s="55" t="s">
        <v>4088</v>
      </c>
      <c r="E392" s="72"/>
      <c r="F392" s="72" t="s">
        <v>4088</v>
      </c>
      <c r="G392" s="371"/>
      <c r="H392" s="71"/>
      <c r="I392" s="391"/>
      <c r="J392" s="391"/>
      <c r="K392" s="69"/>
      <c r="L392" s="71"/>
      <c r="M392" s="391"/>
      <c r="N392" s="71"/>
    </row>
    <row r="393" spans="1:14">
      <c r="A393" s="72" t="s">
        <v>4091</v>
      </c>
      <c r="B393" s="9" t="s">
        <v>4093</v>
      </c>
      <c r="C393" s="72"/>
      <c r="D393" s="55" t="s">
        <v>4091</v>
      </c>
      <c r="E393" s="72"/>
      <c r="F393" s="72" t="s">
        <v>4091</v>
      </c>
      <c r="G393" s="371"/>
      <c r="H393" s="71"/>
      <c r="I393" s="391"/>
      <c r="J393" s="391"/>
      <c r="K393" s="69"/>
      <c r="L393" s="71"/>
      <c r="M393" s="391"/>
      <c r="N393" s="71"/>
    </row>
    <row r="394" spans="1:14">
      <c r="A394" s="72" t="s">
        <v>4094</v>
      </c>
      <c r="B394" s="9" t="s">
        <v>4096</v>
      </c>
      <c r="C394" s="72"/>
      <c r="D394" s="55" t="s">
        <v>4094</v>
      </c>
      <c r="E394" s="72"/>
      <c r="F394" s="72" t="s">
        <v>4094</v>
      </c>
      <c r="G394" s="371"/>
      <c r="H394" s="71"/>
      <c r="I394" s="391"/>
      <c r="J394" s="391"/>
      <c r="K394" s="69"/>
      <c r="L394" s="71"/>
      <c r="M394" s="391"/>
      <c r="N394" s="71"/>
    </row>
    <row r="395" spans="1:14">
      <c r="A395" s="72" t="s">
        <v>2880</v>
      </c>
      <c r="B395" s="9" t="s">
        <v>2882</v>
      </c>
      <c r="C395" s="72"/>
      <c r="D395" s="55" t="s">
        <v>2880</v>
      </c>
      <c r="E395" s="72"/>
      <c r="F395" s="72" t="s">
        <v>2880</v>
      </c>
      <c r="G395" s="371"/>
      <c r="H395" s="71"/>
      <c r="I395" s="391"/>
      <c r="J395" s="391"/>
      <c r="K395" s="69"/>
      <c r="L395" s="71"/>
      <c r="M395" s="391"/>
      <c r="N395" s="71"/>
    </row>
    <row r="396" spans="1:14">
      <c r="A396" s="72" t="s">
        <v>4097</v>
      </c>
      <c r="B396" s="9" t="s">
        <v>4099</v>
      </c>
      <c r="C396" s="72"/>
      <c r="D396" s="55" t="s">
        <v>4097</v>
      </c>
      <c r="E396" s="72"/>
      <c r="F396" s="72" t="s">
        <v>4097</v>
      </c>
      <c r="G396" s="371"/>
      <c r="H396" s="71"/>
      <c r="I396" s="391"/>
      <c r="J396" s="391"/>
      <c r="K396" s="69"/>
      <c r="L396" s="71"/>
      <c r="M396" s="391"/>
      <c r="N396" s="71"/>
    </row>
    <row r="397" spans="1:14">
      <c r="A397" s="72" t="s">
        <v>4100</v>
      </c>
      <c r="B397" s="9" t="s">
        <v>4102</v>
      </c>
      <c r="C397" s="72"/>
      <c r="D397" s="55" t="s">
        <v>4100</v>
      </c>
      <c r="E397" s="72"/>
      <c r="F397" s="72" t="s">
        <v>4100</v>
      </c>
      <c r="G397" s="371"/>
      <c r="H397" s="71"/>
      <c r="I397" s="391"/>
      <c r="J397" s="391"/>
      <c r="K397" s="69"/>
      <c r="L397" s="71"/>
      <c r="M397" s="391"/>
      <c r="N397" s="71"/>
    </row>
    <row r="398" spans="1:14">
      <c r="A398" s="72" t="s">
        <v>4103</v>
      </c>
      <c r="B398" s="9" t="s">
        <v>4105</v>
      </c>
      <c r="C398" s="72"/>
      <c r="D398" s="55" t="s">
        <v>4103</v>
      </c>
      <c r="E398" s="72"/>
      <c r="F398" s="72" t="s">
        <v>4103</v>
      </c>
      <c r="G398" s="371"/>
      <c r="H398" s="71"/>
      <c r="I398" s="391"/>
      <c r="J398" s="391"/>
      <c r="K398" s="69"/>
      <c r="L398" s="71"/>
      <c r="M398" s="391"/>
      <c r="N398" s="71"/>
    </row>
    <row r="399" spans="1:14">
      <c r="A399" s="72" t="s">
        <v>4106</v>
      </c>
      <c r="B399" s="9" t="s">
        <v>4108</v>
      </c>
      <c r="C399" s="72"/>
      <c r="D399" s="55" t="s">
        <v>4106</v>
      </c>
      <c r="E399" s="72"/>
      <c r="F399" s="72" t="s">
        <v>4106</v>
      </c>
      <c r="G399" s="371"/>
      <c r="H399" s="71"/>
      <c r="I399" s="391"/>
      <c r="J399" s="391"/>
      <c r="K399" s="69"/>
      <c r="L399" s="71"/>
      <c r="M399" s="391"/>
      <c r="N399" s="71"/>
    </row>
    <row r="400" spans="1:14">
      <c r="A400" s="72" t="s">
        <v>4109</v>
      </c>
      <c r="B400" s="9" t="s">
        <v>4111</v>
      </c>
      <c r="C400" s="72"/>
      <c r="D400" s="55" t="s">
        <v>4109</v>
      </c>
      <c r="E400" s="72"/>
      <c r="F400" s="72" t="s">
        <v>4109</v>
      </c>
      <c r="G400" s="371"/>
      <c r="H400" s="71"/>
      <c r="I400" s="391"/>
      <c r="J400" s="391"/>
      <c r="K400" s="69"/>
      <c r="L400" s="71"/>
      <c r="M400" s="391"/>
      <c r="N400" s="71"/>
    </row>
    <row r="401" spans="1:14">
      <c r="A401" s="72" t="s">
        <v>2885</v>
      </c>
      <c r="B401" s="9" t="s">
        <v>2887</v>
      </c>
      <c r="C401" s="72"/>
      <c r="D401" s="55" t="s">
        <v>2885</v>
      </c>
      <c r="E401" s="72"/>
      <c r="F401" s="72" t="s">
        <v>2885</v>
      </c>
      <c r="G401" s="371"/>
      <c r="H401" s="71"/>
      <c r="I401" s="391"/>
      <c r="J401" s="391"/>
      <c r="K401" s="69"/>
      <c r="L401" s="71"/>
      <c r="M401" s="391"/>
      <c r="N401" s="71"/>
    </row>
    <row r="402" spans="1:14">
      <c r="A402" s="72" t="s">
        <v>2890</v>
      </c>
      <c r="B402" s="9" t="s">
        <v>2892</v>
      </c>
      <c r="C402" s="72"/>
      <c r="D402" s="55" t="s">
        <v>2890</v>
      </c>
      <c r="E402" s="72"/>
      <c r="F402" s="72" t="s">
        <v>2890</v>
      </c>
      <c r="G402" s="371"/>
      <c r="H402" s="71"/>
      <c r="I402" s="391"/>
      <c r="J402" s="391"/>
      <c r="K402" s="69"/>
      <c r="L402" s="71"/>
      <c r="M402" s="391"/>
      <c r="N402" s="71"/>
    </row>
    <row r="403" spans="1:14">
      <c r="A403" s="72" t="s">
        <v>2895</v>
      </c>
      <c r="B403" s="9" t="s">
        <v>2897</v>
      </c>
      <c r="C403" s="72"/>
      <c r="D403" s="55" t="s">
        <v>2895</v>
      </c>
      <c r="E403" s="72"/>
      <c r="F403" s="72" t="s">
        <v>2895</v>
      </c>
      <c r="G403" s="371"/>
      <c r="H403" s="71"/>
      <c r="I403" s="391"/>
      <c r="J403" s="391"/>
      <c r="K403" s="69"/>
      <c r="L403" s="71"/>
      <c r="M403" s="391"/>
      <c r="N403" s="71"/>
    </row>
    <row r="404" spans="1:14">
      <c r="A404" s="72" t="s">
        <v>2900</v>
      </c>
      <c r="B404" s="9" t="s">
        <v>2902</v>
      </c>
      <c r="C404" s="72"/>
      <c r="D404" s="55" t="s">
        <v>2900</v>
      </c>
      <c r="E404" s="72"/>
      <c r="F404" s="72" t="s">
        <v>2900</v>
      </c>
      <c r="G404" s="371"/>
      <c r="H404" s="71"/>
      <c r="I404" s="391"/>
      <c r="J404" s="391"/>
      <c r="K404" s="69"/>
      <c r="L404" s="71"/>
      <c r="M404" s="391"/>
      <c r="N404" s="71"/>
    </row>
    <row r="405" spans="1:14">
      <c r="A405" s="72" t="s">
        <v>4112</v>
      </c>
      <c r="B405" s="9" t="s">
        <v>4114</v>
      </c>
      <c r="C405" s="72"/>
      <c r="D405" s="55" t="s">
        <v>4112</v>
      </c>
      <c r="E405" s="72"/>
      <c r="F405" s="72" t="s">
        <v>4112</v>
      </c>
      <c r="G405" s="371"/>
      <c r="H405" s="71"/>
      <c r="I405" s="391"/>
      <c r="J405" s="391"/>
      <c r="K405" s="69"/>
      <c r="L405" s="71"/>
      <c r="M405" s="391"/>
      <c r="N405" s="71"/>
    </row>
    <row r="406" spans="1:14">
      <c r="A406" s="72" t="s">
        <v>4115</v>
      </c>
      <c r="B406" s="9" t="s">
        <v>4117</v>
      </c>
      <c r="C406" s="72"/>
      <c r="D406" s="55" t="s">
        <v>4115</v>
      </c>
      <c r="E406" s="72"/>
      <c r="F406" s="72" t="s">
        <v>4115</v>
      </c>
      <c r="G406" s="371"/>
      <c r="H406" s="71"/>
      <c r="I406" s="391"/>
      <c r="J406" s="391"/>
      <c r="K406" s="69"/>
      <c r="L406" s="71"/>
      <c r="M406" s="391"/>
      <c r="N406" s="71"/>
    </row>
    <row r="407" spans="1:14">
      <c r="A407" s="72" t="s">
        <v>2905</v>
      </c>
      <c r="B407" s="9" t="s">
        <v>2907</v>
      </c>
      <c r="C407" s="72"/>
      <c r="D407" s="55" t="s">
        <v>2905</v>
      </c>
      <c r="E407" s="72"/>
      <c r="F407" s="72" t="s">
        <v>2905</v>
      </c>
      <c r="G407" s="371"/>
      <c r="H407" s="71"/>
      <c r="I407" s="391"/>
      <c r="J407" s="391"/>
      <c r="K407" s="69"/>
      <c r="L407" s="71"/>
      <c r="M407" s="391"/>
      <c r="N407" s="71"/>
    </row>
    <row r="408" spans="1:14">
      <c r="A408" s="72" t="s">
        <v>2910</v>
      </c>
      <c r="B408" s="9" t="s">
        <v>2912</v>
      </c>
      <c r="C408" s="72"/>
      <c r="D408" s="55" t="s">
        <v>2910</v>
      </c>
      <c r="E408" s="72"/>
      <c r="F408" s="72" t="s">
        <v>2910</v>
      </c>
      <c r="G408" s="371"/>
      <c r="H408" s="71"/>
      <c r="I408" s="391"/>
      <c r="J408" s="391"/>
      <c r="K408" s="69"/>
      <c r="L408" s="71"/>
      <c r="M408" s="391"/>
      <c r="N408" s="71"/>
    </row>
    <row r="409" spans="1:14">
      <c r="A409" s="72" t="s">
        <v>4118</v>
      </c>
      <c r="B409" s="9" t="s">
        <v>4120</v>
      </c>
      <c r="C409" s="72"/>
      <c r="D409" s="55" t="s">
        <v>4118</v>
      </c>
      <c r="E409" s="72"/>
      <c r="F409" s="72" t="s">
        <v>4118</v>
      </c>
      <c r="G409" s="371"/>
      <c r="H409" s="71"/>
      <c r="I409" s="391"/>
      <c r="J409" s="391"/>
      <c r="K409" s="69"/>
      <c r="L409" s="71"/>
      <c r="M409" s="71"/>
      <c r="N409" s="71"/>
    </row>
    <row r="410" spans="1:14">
      <c r="A410" s="72" t="s">
        <v>4121</v>
      </c>
      <c r="B410" s="9" t="s">
        <v>4123</v>
      </c>
      <c r="C410" s="72"/>
      <c r="D410" s="55" t="s">
        <v>4121</v>
      </c>
      <c r="E410" s="72"/>
      <c r="F410" s="72" t="s">
        <v>4121</v>
      </c>
      <c r="G410" s="371"/>
      <c r="H410" s="71"/>
      <c r="I410" s="391"/>
      <c r="J410" s="391"/>
      <c r="K410" s="69"/>
      <c r="L410" s="71"/>
      <c r="M410" s="71"/>
      <c r="N410" s="71"/>
    </row>
    <row r="411" spans="1:14">
      <c r="A411" s="72" t="s">
        <v>2915</v>
      </c>
      <c r="B411" s="9" t="s">
        <v>2917</v>
      </c>
      <c r="C411" s="72"/>
      <c r="D411" s="55" t="s">
        <v>2915</v>
      </c>
      <c r="E411" s="72"/>
      <c r="F411" s="72" t="s">
        <v>2915</v>
      </c>
      <c r="G411" s="371"/>
      <c r="H411" s="71"/>
      <c r="I411" s="391"/>
      <c r="J411" s="391"/>
      <c r="K411" s="69"/>
      <c r="L411" s="71"/>
      <c r="M411" s="71"/>
      <c r="N411" s="71"/>
    </row>
    <row r="412" spans="1:14">
      <c r="A412" s="72" t="s">
        <v>4124</v>
      </c>
      <c r="B412" s="9" t="s">
        <v>4126</v>
      </c>
      <c r="C412" s="72"/>
      <c r="D412" s="55" t="s">
        <v>4124</v>
      </c>
      <c r="E412" s="72"/>
      <c r="F412" s="72" t="s">
        <v>4124</v>
      </c>
      <c r="G412" s="371"/>
      <c r="H412" s="71"/>
      <c r="I412" s="391"/>
      <c r="J412" s="391"/>
      <c r="K412" s="69"/>
      <c r="L412" s="71"/>
      <c r="M412" s="71"/>
      <c r="N412" s="71"/>
    </row>
    <row r="413" spans="1:14">
      <c r="A413" s="72" t="s">
        <v>4127</v>
      </c>
      <c r="B413" s="9" t="s">
        <v>4129</v>
      </c>
      <c r="C413" s="72"/>
      <c r="D413" s="55" t="s">
        <v>4127</v>
      </c>
      <c r="E413" s="72"/>
      <c r="F413" s="72" t="s">
        <v>4127</v>
      </c>
      <c r="G413" s="371"/>
      <c r="H413" s="71"/>
      <c r="I413" s="391"/>
      <c r="J413" s="391"/>
      <c r="K413" s="71"/>
      <c r="L413" s="71"/>
      <c r="M413" s="71"/>
      <c r="N413" s="71"/>
    </row>
    <row r="414" spans="1:14">
      <c r="A414" s="72" t="s">
        <v>4130</v>
      </c>
      <c r="B414" s="9" t="s">
        <v>4132</v>
      </c>
      <c r="C414" s="72"/>
      <c r="D414" s="55" t="s">
        <v>4130</v>
      </c>
      <c r="E414" s="72"/>
      <c r="F414" s="72" t="s">
        <v>4130</v>
      </c>
      <c r="G414" s="371"/>
      <c r="H414" s="71"/>
      <c r="I414" s="391"/>
      <c r="J414" s="391"/>
      <c r="K414" s="71"/>
      <c r="L414" s="71"/>
      <c r="M414" s="71"/>
      <c r="N414" s="71"/>
    </row>
    <row r="415" spans="1:14">
      <c r="A415" s="72" t="s">
        <v>2920</v>
      </c>
      <c r="B415" s="9" t="s">
        <v>2922</v>
      </c>
      <c r="C415" s="72"/>
      <c r="D415" s="55" t="s">
        <v>2920</v>
      </c>
      <c r="E415" s="72"/>
      <c r="F415" s="72" t="s">
        <v>2920</v>
      </c>
      <c r="G415" s="371"/>
      <c r="H415" s="71"/>
      <c r="I415" s="391"/>
      <c r="J415" s="391"/>
      <c r="K415" s="71"/>
      <c r="L415" s="71"/>
      <c r="M415" s="71"/>
      <c r="N415" s="71"/>
    </row>
    <row r="416" spans="1:14">
      <c r="A416" s="72" t="s">
        <v>4133</v>
      </c>
      <c r="B416" s="9" t="s">
        <v>4135</v>
      </c>
      <c r="C416" s="72"/>
      <c r="D416" s="55" t="s">
        <v>4133</v>
      </c>
      <c r="E416" s="72"/>
      <c r="F416" s="72" t="s">
        <v>4133</v>
      </c>
      <c r="G416" s="371"/>
      <c r="H416" s="71"/>
      <c r="I416" s="391"/>
      <c r="J416" s="391"/>
      <c r="K416" s="71"/>
      <c r="L416" s="71"/>
      <c r="M416" s="71"/>
      <c r="N416" s="71"/>
    </row>
    <row r="417" spans="1:14">
      <c r="A417" s="72" t="s">
        <v>4136</v>
      </c>
      <c r="B417" s="9" t="s">
        <v>4138</v>
      </c>
      <c r="C417" s="72"/>
      <c r="D417" s="55" t="s">
        <v>4136</v>
      </c>
      <c r="E417" s="72"/>
      <c r="F417" s="371" t="s">
        <v>4136</v>
      </c>
      <c r="G417" s="371"/>
      <c r="H417" s="71"/>
      <c r="I417" s="391"/>
      <c r="J417" s="391"/>
      <c r="K417" s="71"/>
      <c r="L417" s="71"/>
      <c r="M417" s="71"/>
      <c r="N417" s="71"/>
    </row>
    <row r="418" spans="1:14">
      <c r="A418" s="72" t="s">
        <v>4141</v>
      </c>
      <c r="B418" s="9" t="s">
        <v>4143</v>
      </c>
      <c r="C418" s="72"/>
      <c r="D418" s="55" t="s">
        <v>4141</v>
      </c>
      <c r="E418" s="72"/>
      <c r="F418" s="371" t="s">
        <v>4141</v>
      </c>
      <c r="G418" s="371"/>
      <c r="H418" s="71"/>
      <c r="I418" s="391"/>
      <c r="J418" s="391"/>
      <c r="K418" s="71"/>
      <c r="L418" s="71"/>
      <c r="M418" s="71"/>
      <c r="N418" s="71"/>
    </row>
    <row r="419" spans="1:14">
      <c r="A419" s="72" t="s">
        <v>4146</v>
      </c>
      <c r="B419" s="9" t="s">
        <v>4148</v>
      </c>
      <c r="C419" s="72"/>
      <c r="D419" s="55" t="s">
        <v>4146</v>
      </c>
      <c r="E419" s="72"/>
      <c r="F419" s="371" t="s">
        <v>4146</v>
      </c>
      <c r="G419" s="371"/>
      <c r="H419" s="71"/>
      <c r="I419" s="391"/>
      <c r="J419" s="391"/>
      <c r="K419" s="71"/>
      <c r="L419" s="71"/>
      <c r="M419" s="71"/>
      <c r="N419" s="71"/>
    </row>
    <row r="420" spans="1:14">
      <c r="A420" s="72" t="s">
        <v>4151</v>
      </c>
      <c r="B420" s="9" t="s">
        <v>4153</v>
      </c>
      <c r="C420" s="72"/>
      <c r="D420" s="55" t="s">
        <v>4151</v>
      </c>
      <c r="E420" s="72"/>
      <c r="F420" s="371" t="s">
        <v>4151</v>
      </c>
      <c r="G420" s="371"/>
      <c r="H420" s="71"/>
      <c r="I420" s="391"/>
      <c r="J420" s="391"/>
      <c r="K420" s="71"/>
      <c r="L420" s="71"/>
      <c r="M420" s="71"/>
      <c r="N420" s="71"/>
    </row>
    <row r="421" spans="1:14">
      <c r="A421" s="72" t="s">
        <v>4156</v>
      </c>
      <c r="B421" s="9" t="s">
        <v>4158</v>
      </c>
      <c r="C421" s="72"/>
      <c r="D421" s="55" t="s">
        <v>4156</v>
      </c>
      <c r="E421" s="72"/>
      <c r="F421" s="371" t="s">
        <v>4156</v>
      </c>
      <c r="G421" s="371"/>
      <c r="H421" s="71"/>
      <c r="I421" s="391"/>
      <c r="J421" s="391"/>
      <c r="K421" s="71"/>
      <c r="L421" s="71"/>
      <c r="M421" s="71"/>
      <c r="N421" s="71"/>
    </row>
    <row r="422" spans="1:14">
      <c r="A422" s="72" t="s">
        <v>4160</v>
      </c>
      <c r="B422" s="9" t="s">
        <v>2952</v>
      </c>
      <c r="C422" s="72"/>
      <c r="D422" s="55" t="s">
        <v>4160</v>
      </c>
      <c r="E422" s="72"/>
      <c r="F422" s="371" t="s">
        <v>4160</v>
      </c>
      <c r="G422" s="371"/>
      <c r="H422" s="71"/>
      <c r="I422" s="391"/>
      <c r="J422" s="391"/>
      <c r="K422" s="71"/>
      <c r="L422" s="71"/>
      <c r="M422" s="71"/>
      <c r="N422" s="71"/>
    </row>
    <row r="423" spans="1:14">
      <c r="A423" s="72" t="s">
        <v>4164</v>
      </c>
      <c r="B423" s="9" t="s">
        <v>4166</v>
      </c>
      <c r="C423" s="72"/>
      <c r="D423" s="55" t="s">
        <v>4164</v>
      </c>
      <c r="E423" s="72"/>
      <c r="F423" s="371" t="s">
        <v>4164</v>
      </c>
      <c r="G423" s="371"/>
      <c r="H423" s="71"/>
      <c r="I423" s="391"/>
      <c r="J423" s="391"/>
      <c r="K423" s="71"/>
      <c r="L423" s="71"/>
      <c r="M423" s="71"/>
      <c r="N423" s="71"/>
    </row>
    <row r="424" spans="1:14">
      <c r="A424" s="72" t="s">
        <v>2925</v>
      </c>
      <c r="B424" s="9" t="s">
        <v>2927</v>
      </c>
      <c r="C424" s="72"/>
      <c r="D424" s="55" t="s">
        <v>2925</v>
      </c>
      <c r="E424" s="72"/>
      <c r="F424" s="371" t="s">
        <v>2925</v>
      </c>
      <c r="G424" s="371"/>
      <c r="H424" s="71"/>
      <c r="I424" s="391"/>
      <c r="J424" s="391"/>
      <c r="K424" s="71"/>
      <c r="L424" s="71"/>
      <c r="M424" s="71"/>
      <c r="N424" s="71"/>
    </row>
    <row r="425" spans="1:14">
      <c r="A425" s="72" t="s">
        <v>2930</v>
      </c>
      <c r="B425" s="9" t="s">
        <v>2932</v>
      </c>
      <c r="C425" s="72"/>
      <c r="D425" s="55" t="s">
        <v>2930</v>
      </c>
      <c r="E425" s="72"/>
      <c r="F425" s="371" t="s">
        <v>2930</v>
      </c>
      <c r="G425" s="371"/>
      <c r="H425" s="71"/>
      <c r="I425" s="391"/>
      <c r="J425" s="391"/>
      <c r="K425" s="71"/>
      <c r="L425" s="71"/>
      <c r="M425" s="71"/>
      <c r="N425" s="71"/>
    </row>
    <row r="426" spans="1:14">
      <c r="A426" s="72" t="s">
        <v>2934</v>
      </c>
      <c r="B426" s="9" t="s">
        <v>2936</v>
      </c>
      <c r="C426" s="72"/>
      <c r="D426" s="72" t="s">
        <v>2934</v>
      </c>
      <c r="E426" s="55"/>
      <c r="F426" s="371" t="s">
        <v>2934</v>
      </c>
      <c r="G426" s="371"/>
      <c r="H426" s="71"/>
      <c r="I426" s="391"/>
      <c r="J426" s="391"/>
      <c r="K426" s="71"/>
      <c r="L426" s="71"/>
      <c r="M426" s="71"/>
      <c r="N426" s="71"/>
    </row>
    <row r="427" spans="1:14">
      <c r="A427" s="72" t="s">
        <v>2939</v>
      </c>
      <c r="B427" s="9" t="s">
        <v>2941</v>
      </c>
      <c r="C427" s="72"/>
      <c r="D427" s="72" t="s">
        <v>2939</v>
      </c>
      <c r="E427" s="55"/>
      <c r="F427" s="371" t="s">
        <v>2939</v>
      </c>
      <c r="G427" s="371"/>
      <c r="H427" s="71"/>
      <c r="I427" s="391"/>
      <c r="J427" s="391"/>
      <c r="K427" s="71"/>
      <c r="L427" s="71"/>
      <c r="M427" s="71"/>
      <c r="N427" s="71"/>
    </row>
    <row r="428" spans="1:14">
      <c r="A428" s="72" t="s">
        <v>2944</v>
      </c>
      <c r="B428" s="9" t="s">
        <v>2946</v>
      </c>
      <c r="C428" s="72"/>
      <c r="D428" s="72" t="s">
        <v>2944</v>
      </c>
      <c r="E428" s="55"/>
      <c r="F428" s="371" t="s">
        <v>2944</v>
      </c>
      <c r="G428" s="371"/>
      <c r="H428" s="71"/>
      <c r="I428" s="391"/>
      <c r="J428" s="391"/>
      <c r="K428" s="71"/>
      <c r="L428" s="71"/>
      <c r="M428" s="71"/>
      <c r="N428" s="71"/>
    </row>
    <row r="429" spans="1:14">
      <c r="A429" s="72" t="s">
        <v>2950</v>
      </c>
      <c r="B429" s="9" t="s">
        <v>2952</v>
      </c>
      <c r="C429" s="72"/>
      <c r="D429" s="55" t="s">
        <v>2950</v>
      </c>
      <c r="E429" s="72"/>
      <c r="F429" s="371" t="s">
        <v>2950</v>
      </c>
      <c r="G429" s="371"/>
      <c r="H429" s="71"/>
      <c r="I429" s="391"/>
      <c r="J429" s="391"/>
      <c r="K429" s="71"/>
      <c r="L429" s="71"/>
      <c r="M429" s="71"/>
      <c r="N429" s="71"/>
    </row>
    <row r="430" spans="1:14">
      <c r="A430" s="72" t="s">
        <v>2954</v>
      </c>
      <c r="B430" s="9" t="s">
        <v>2956</v>
      </c>
      <c r="C430" s="72"/>
      <c r="D430" s="72" t="s">
        <v>2954</v>
      </c>
      <c r="E430" s="55"/>
      <c r="F430" s="371" t="s">
        <v>2954</v>
      </c>
      <c r="G430" s="371"/>
      <c r="H430" s="71"/>
      <c r="I430" s="391"/>
      <c r="J430" s="391"/>
      <c r="K430" s="71"/>
      <c r="L430" s="71"/>
      <c r="M430" s="71"/>
      <c r="N430" s="71"/>
    </row>
    <row r="431" spans="1:14">
      <c r="A431" s="72" t="s">
        <v>2959</v>
      </c>
      <c r="B431" s="9" t="s">
        <v>2961</v>
      </c>
      <c r="C431" s="72"/>
      <c r="D431" s="72" t="s">
        <v>2959</v>
      </c>
      <c r="E431" s="55"/>
      <c r="F431" s="371" t="s">
        <v>2959</v>
      </c>
      <c r="G431" s="371"/>
      <c r="H431" s="71"/>
      <c r="I431" s="391"/>
      <c r="J431" s="391"/>
      <c r="K431" s="71"/>
      <c r="L431" s="71"/>
      <c r="M431" s="71"/>
      <c r="N431" s="71"/>
    </row>
    <row r="432" spans="1:14">
      <c r="A432" s="72" t="s">
        <v>4169</v>
      </c>
      <c r="B432" s="9" t="s">
        <v>4171</v>
      </c>
      <c r="C432" s="72"/>
      <c r="D432" s="55" t="s">
        <v>4169</v>
      </c>
      <c r="E432" s="72"/>
      <c r="F432" s="371" t="s">
        <v>4169</v>
      </c>
      <c r="G432" s="371"/>
      <c r="H432" s="71"/>
      <c r="I432" s="391"/>
      <c r="J432" s="391"/>
      <c r="K432" s="71"/>
      <c r="L432" s="71"/>
      <c r="M432" s="71"/>
      <c r="N432" s="71"/>
    </row>
    <row r="433" spans="1:14">
      <c r="A433" s="317" t="s">
        <v>4694</v>
      </c>
      <c r="B433" s="285" t="s">
        <v>802</v>
      </c>
      <c r="C433" s="399" t="s">
        <v>4696</v>
      </c>
      <c r="D433" s="317"/>
      <c r="E433" s="400"/>
      <c r="F433" s="378"/>
      <c r="G433" s="378"/>
      <c r="H433" s="71"/>
      <c r="I433" s="391"/>
      <c r="J433" s="391"/>
      <c r="K433" s="71"/>
      <c r="L433" s="71"/>
      <c r="M433" s="71"/>
      <c r="N433" s="71"/>
    </row>
    <row r="434" spans="1:14">
      <c r="A434" s="72" t="s">
        <v>4174</v>
      </c>
      <c r="B434" s="9" t="s">
        <v>4176</v>
      </c>
      <c r="C434" s="72"/>
      <c r="D434" s="55" t="s">
        <v>4174</v>
      </c>
      <c r="E434" s="72"/>
      <c r="F434" s="371" t="s">
        <v>4174</v>
      </c>
      <c r="G434" s="371"/>
      <c r="H434" s="71"/>
      <c r="I434" s="391"/>
      <c r="J434" s="391"/>
      <c r="K434" s="71"/>
      <c r="L434" s="71"/>
      <c r="M434" s="71"/>
      <c r="N434" s="71"/>
    </row>
    <row r="435" spans="1:14">
      <c r="A435" s="317" t="s">
        <v>4697</v>
      </c>
      <c r="B435" s="285" t="s">
        <v>4699</v>
      </c>
      <c r="C435" s="399" t="s">
        <v>4696</v>
      </c>
      <c r="D435" s="317"/>
      <c r="E435" s="400"/>
      <c r="F435" s="378"/>
      <c r="G435" s="378"/>
      <c r="H435" s="71"/>
      <c r="I435" s="391"/>
      <c r="J435" s="391"/>
      <c r="K435" s="71"/>
      <c r="L435" s="71"/>
      <c r="M435" s="71"/>
      <c r="N435" s="71"/>
    </row>
    <row r="436" spans="1:14">
      <c r="A436" s="72" t="s">
        <v>2964</v>
      </c>
      <c r="B436" s="9" t="s">
        <v>2966</v>
      </c>
      <c r="C436" s="72"/>
      <c r="D436" s="72" t="s">
        <v>2964</v>
      </c>
      <c r="E436" s="55"/>
      <c r="F436" s="371" t="s">
        <v>2964</v>
      </c>
      <c r="G436" s="371"/>
      <c r="H436" s="71"/>
      <c r="I436" s="391"/>
      <c r="J436" s="391"/>
      <c r="K436" s="71"/>
      <c r="L436" s="71"/>
      <c r="M436" s="71"/>
      <c r="N436" s="71"/>
    </row>
    <row r="437" spans="1:14">
      <c r="A437" s="72" t="s">
        <v>2969</v>
      </c>
      <c r="B437" s="9" t="s">
        <v>2971</v>
      </c>
      <c r="C437" s="72"/>
      <c r="D437" s="72" t="s">
        <v>2969</v>
      </c>
      <c r="E437" s="55"/>
      <c r="F437" s="371" t="s">
        <v>2969</v>
      </c>
      <c r="G437" s="371"/>
      <c r="H437" s="71"/>
      <c r="I437" s="391"/>
      <c r="J437" s="391"/>
      <c r="K437" s="71"/>
      <c r="L437" s="71"/>
      <c r="M437" s="71"/>
      <c r="N437" s="71"/>
    </row>
    <row r="438" spans="1:14">
      <c r="A438" s="72" t="s">
        <v>2973</v>
      </c>
      <c r="B438" s="9" t="s">
        <v>2975</v>
      </c>
      <c r="C438" s="72"/>
      <c r="D438" s="72" t="s">
        <v>2973</v>
      </c>
      <c r="E438" s="55"/>
      <c r="F438" s="371" t="s">
        <v>2973</v>
      </c>
      <c r="G438" s="371"/>
      <c r="H438" s="71"/>
      <c r="I438" s="391"/>
      <c r="J438" s="391"/>
      <c r="K438" s="71"/>
      <c r="L438" s="71"/>
      <c r="M438" s="71"/>
      <c r="N438" s="71"/>
    </row>
    <row r="439" spans="1:14">
      <c r="A439" s="72" t="s">
        <v>2978</v>
      </c>
      <c r="B439" s="9" t="s">
        <v>2980</v>
      </c>
      <c r="C439" s="72"/>
      <c r="D439" s="72" t="s">
        <v>2978</v>
      </c>
      <c r="E439" s="55"/>
      <c r="F439" s="371" t="s">
        <v>2978</v>
      </c>
      <c r="G439" s="371"/>
      <c r="H439" s="71"/>
      <c r="I439" s="391"/>
      <c r="J439" s="391"/>
      <c r="K439" s="71"/>
      <c r="L439" s="71"/>
      <c r="M439" s="71"/>
      <c r="N439" s="71"/>
    </row>
    <row r="440" spans="1:14">
      <c r="A440" s="72" t="s">
        <v>2983</v>
      </c>
      <c r="B440" s="9" t="s">
        <v>2985</v>
      </c>
      <c r="C440" s="72"/>
      <c r="D440" s="72" t="s">
        <v>2983</v>
      </c>
      <c r="E440" s="55"/>
      <c r="F440" s="371" t="s">
        <v>2983</v>
      </c>
      <c r="G440" s="371"/>
      <c r="H440" s="71"/>
      <c r="I440" s="391"/>
      <c r="J440" s="391"/>
      <c r="K440" s="71"/>
      <c r="L440" s="71"/>
      <c r="M440" s="71"/>
      <c r="N440" s="71"/>
    </row>
    <row r="441" spans="1:14">
      <c r="A441" s="72" t="s">
        <v>2989</v>
      </c>
      <c r="B441" s="9" t="s">
        <v>2991</v>
      </c>
      <c r="C441" s="72"/>
      <c r="D441" s="72" t="s">
        <v>2989</v>
      </c>
      <c r="E441" s="55"/>
      <c r="F441" s="371" t="s">
        <v>2989</v>
      </c>
      <c r="G441" s="371"/>
      <c r="H441" s="71"/>
      <c r="I441" s="391"/>
      <c r="J441" s="391"/>
      <c r="K441" s="71"/>
      <c r="L441" s="71"/>
      <c r="M441" s="71"/>
      <c r="N441" s="71"/>
    </row>
    <row r="442" spans="1:14">
      <c r="A442" s="72" t="s">
        <v>2993</v>
      </c>
      <c r="B442" s="9" t="s">
        <v>2995</v>
      </c>
      <c r="C442" s="72"/>
      <c r="D442" s="72" t="s">
        <v>2993</v>
      </c>
      <c r="E442" s="55"/>
      <c r="F442" s="371" t="s">
        <v>2993</v>
      </c>
      <c r="G442" s="371"/>
      <c r="H442" s="71"/>
      <c r="I442" s="391"/>
      <c r="J442" s="391"/>
      <c r="K442" s="71"/>
      <c r="L442" s="71"/>
      <c r="M442" s="71"/>
      <c r="N442" s="71"/>
    </row>
    <row r="443" spans="1:14">
      <c r="A443" s="72" t="s">
        <v>2998</v>
      </c>
      <c r="B443" s="9" t="s">
        <v>3000</v>
      </c>
      <c r="C443" s="72"/>
      <c r="D443" s="72" t="s">
        <v>2998</v>
      </c>
      <c r="E443" s="55"/>
      <c r="F443" s="371" t="s">
        <v>2998</v>
      </c>
      <c r="G443" s="371"/>
      <c r="H443" s="71"/>
      <c r="I443" s="391"/>
      <c r="J443" s="391"/>
      <c r="K443" s="71"/>
      <c r="L443" s="71"/>
      <c r="M443" s="71"/>
      <c r="N443" s="71"/>
    </row>
    <row r="444" spans="1:14">
      <c r="A444" s="72" t="s">
        <v>3003</v>
      </c>
      <c r="B444" s="9" t="s">
        <v>3005</v>
      </c>
      <c r="C444" s="72"/>
      <c r="D444" s="72" t="s">
        <v>3003</v>
      </c>
      <c r="E444" s="55"/>
      <c r="F444" s="371" t="s">
        <v>3003</v>
      </c>
      <c r="G444" s="371"/>
      <c r="H444" s="71"/>
      <c r="I444" s="391"/>
      <c r="J444" s="391"/>
      <c r="K444" s="71"/>
      <c r="L444" s="71"/>
      <c r="M444" s="71"/>
      <c r="N444" s="71"/>
    </row>
    <row r="445" spans="1:14">
      <c r="A445" s="72" t="s">
        <v>4179</v>
      </c>
      <c r="B445" s="9" t="s">
        <v>4181</v>
      </c>
      <c r="C445" s="72"/>
      <c r="D445" s="55" t="s">
        <v>4179</v>
      </c>
      <c r="E445" s="72"/>
      <c r="F445" s="371" t="s">
        <v>4179</v>
      </c>
      <c r="G445" s="371"/>
      <c r="H445" s="71"/>
      <c r="I445" s="391"/>
      <c r="J445" s="391"/>
      <c r="K445" s="71"/>
      <c r="L445" s="71"/>
      <c r="M445" s="71"/>
      <c r="N445" s="71"/>
    </row>
    <row r="446" spans="1:14">
      <c r="A446" s="72" t="s">
        <v>4184</v>
      </c>
      <c r="B446" s="9" t="s">
        <v>4186</v>
      </c>
      <c r="C446" s="72"/>
      <c r="D446" s="55" t="s">
        <v>4184</v>
      </c>
      <c r="E446" s="72"/>
      <c r="F446" s="371"/>
      <c r="G446" s="371"/>
      <c r="H446" s="71"/>
      <c r="I446" s="391"/>
      <c r="J446" s="391"/>
      <c r="K446" s="71"/>
      <c r="L446" s="71"/>
      <c r="M446" s="71"/>
      <c r="N446" s="71"/>
    </row>
    <row r="447" spans="1:14">
      <c r="A447" s="72" t="s">
        <v>3009</v>
      </c>
      <c r="B447" s="9" t="s">
        <v>3011</v>
      </c>
      <c r="C447" s="72"/>
      <c r="D447" s="55" t="s">
        <v>3009</v>
      </c>
      <c r="E447" s="72"/>
      <c r="F447" s="371"/>
      <c r="G447" s="371"/>
      <c r="H447" s="71"/>
      <c r="I447" s="391"/>
      <c r="J447" s="391"/>
      <c r="K447" s="71"/>
      <c r="L447" s="71"/>
      <c r="M447" s="71"/>
      <c r="N447" s="71"/>
    </row>
    <row r="448" spans="1:14">
      <c r="A448" s="72" t="s">
        <v>4187</v>
      </c>
      <c r="B448" s="9" t="s">
        <v>4189</v>
      </c>
      <c r="C448" s="72"/>
      <c r="D448" s="55" t="s">
        <v>4187</v>
      </c>
      <c r="E448" s="72"/>
      <c r="F448" s="371"/>
      <c r="G448" s="371"/>
      <c r="H448" s="71"/>
      <c r="I448" s="391"/>
      <c r="J448" s="391"/>
      <c r="K448" s="71"/>
      <c r="L448" s="71"/>
      <c r="M448" s="71"/>
      <c r="N448" s="71"/>
    </row>
    <row r="449" spans="1:14">
      <c r="A449" s="72" t="s">
        <v>4190</v>
      </c>
      <c r="B449" s="9" t="s">
        <v>4192</v>
      </c>
      <c r="C449" s="72"/>
      <c r="D449" s="371" t="s">
        <v>4190</v>
      </c>
      <c r="E449" s="55"/>
      <c r="F449" s="371"/>
      <c r="G449" s="371"/>
      <c r="H449" s="71"/>
      <c r="I449" s="391"/>
      <c r="J449" s="391"/>
      <c r="K449" s="71"/>
      <c r="L449" s="71"/>
      <c r="M449" s="71"/>
      <c r="N449" s="71"/>
    </row>
    <row r="450" spans="1:14">
      <c r="A450" s="72" t="s">
        <v>3014</v>
      </c>
      <c r="B450" s="9" t="s">
        <v>3016</v>
      </c>
      <c r="C450" s="72"/>
      <c r="D450" s="371" t="s">
        <v>3014</v>
      </c>
      <c r="E450" s="55"/>
      <c r="F450" s="371"/>
      <c r="G450" s="371"/>
      <c r="H450" s="71"/>
      <c r="I450" s="391"/>
      <c r="J450" s="391"/>
      <c r="K450" s="71"/>
      <c r="L450" s="71"/>
      <c r="M450" s="71"/>
      <c r="N450" s="71"/>
    </row>
    <row r="451" spans="1:14">
      <c r="A451" s="72" t="s">
        <v>4195</v>
      </c>
      <c r="B451" s="9" t="s">
        <v>4197</v>
      </c>
      <c r="C451" s="72"/>
      <c r="D451" s="371" t="s">
        <v>4195</v>
      </c>
      <c r="E451" s="55"/>
      <c r="F451" s="371"/>
      <c r="G451" s="371"/>
      <c r="H451" s="71"/>
      <c r="I451" s="391"/>
      <c r="J451" s="391"/>
      <c r="K451" s="71"/>
      <c r="L451" s="71"/>
      <c r="M451" s="71"/>
      <c r="N451" s="71"/>
    </row>
    <row r="452" spans="1:14">
      <c r="A452" s="72" t="s">
        <v>4199</v>
      </c>
      <c r="B452" s="9" t="s">
        <v>4201</v>
      </c>
      <c r="C452" s="72"/>
      <c r="D452" s="371" t="s">
        <v>4199</v>
      </c>
      <c r="E452" s="55"/>
      <c r="F452" s="371"/>
      <c r="G452" s="371"/>
      <c r="H452" s="71"/>
      <c r="I452" s="391"/>
      <c r="J452" s="391"/>
      <c r="K452" s="71"/>
      <c r="L452" s="71"/>
      <c r="M452" s="71"/>
      <c r="N452" s="71"/>
    </row>
    <row r="453" spans="1:14">
      <c r="A453" s="72" t="s">
        <v>4202</v>
      </c>
      <c r="B453" s="9" t="s">
        <v>4204</v>
      </c>
      <c r="C453" s="72"/>
      <c r="D453" s="371" t="s">
        <v>4202</v>
      </c>
      <c r="E453" s="55"/>
      <c r="F453" s="371"/>
      <c r="G453" s="371"/>
      <c r="H453" s="71"/>
      <c r="I453" s="391"/>
      <c r="J453" s="391"/>
      <c r="K453" s="71"/>
      <c r="L453" s="71"/>
      <c r="M453" s="71"/>
      <c r="N453" s="71"/>
    </row>
    <row r="454" spans="1:14">
      <c r="A454" s="72" t="s">
        <v>4205</v>
      </c>
      <c r="B454" s="9" t="s">
        <v>4207</v>
      </c>
      <c r="C454" s="72"/>
      <c r="D454" s="371" t="s">
        <v>4205</v>
      </c>
      <c r="E454" s="55"/>
      <c r="F454" s="371"/>
      <c r="G454" s="371"/>
      <c r="H454" s="71"/>
      <c r="I454" s="391"/>
      <c r="J454" s="391"/>
      <c r="K454" s="71"/>
      <c r="L454" s="71"/>
      <c r="M454" s="71"/>
      <c r="N454" s="71"/>
    </row>
    <row r="455" spans="1:14">
      <c r="A455" s="317" t="s">
        <v>4580</v>
      </c>
      <c r="B455" s="285" t="s">
        <v>4581</v>
      </c>
      <c r="C455" s="317" t="s">
        <v>4514</v>
      </c>
      <c r="D455" s="317"/>
      <c r="E455" s="400"/>
      <c r="F455" s="378"/>
      <c r="G455" s="378"/>
      <c r="H455" s="71"/>
      <c r="I455" s="391"/>
      <c r="J455" s="391"/>
      <c r="K455" s="71"/>
      <c r="L455" s="71"/>
      <c r="M455" s="71"/>
      <c r="N455" s="71"/>
    </row>
    <row r="456" spans="1:14">
      <c r="A456" s="317" t="s">
        <v>464</v>
      </c>
      <c r="B456" s="285" t="s">
        <v>3020</v>
      </c>
      <c r="C456" s="317" t="s">
        <v>4514</v>
      </c>
      <c r="D456" s="317"/>
      <c r="E456" s="400"/>
      <c r="F456" s="378"/>
      <c r="G456" s="378"/>
      <c r="H456" s="71"/>
      <c r="I456" s="391"/>
      <c r="J456" s="391"/>
      <c r="K456" s="71"/>
      <c r="L456" s="71"/>
      <c r="M456" s="71"/>
      <c r="N456" s="71"/>
    </row>
    <row r="457" spans="1:14" ht="15.75">
      <c r="A457" s="72" t="s">
        <v>4213</v>
      </c>
      <c r="B457" s="9" t="s">
        <v>4215</v>
      </c>
      <c r="C457" s="78">
        <v>426</v>
      </c>
      <c r="D457" s="371" t="s">
        <v>4213</v>
      </c>
      <c r="E457" s="55"/>
      <c r="F457" s="371"/>
      <c r="G457" s="371"/>
      <c r="H457" s="71"/>
      <c r="I457" s="391"/>
      <c r="J457" s="391"/>
      <c r="K457" s="71"/>
      <c r="L457" s="71"/>
      <c r="M457" s="71"/>
      <c r="N457" s="71"/>
    </row>
    <row r="458" spans="1:14" ht="15.75">
      <c r="A458" s="72" t="s">
        <v>4216</v>
      </c>
      <c r="B458" s="9" t="s">
        <v>4218</v>
      </c>
      <c r="C458" s="78">
        <v>427</v>
      </c>
      <c r="D458" s="371" t="s">
        <v>4216</v>
      </c>
      <c r="E458" s="55"/>
      <c r="F458" s="371"/>
      <c r="G458" s="371"/>
      <c r="H458" s="71"/>
      <c r="I458" s="391"/>
      <c r="J458" s="391"/>
      <c r="K458" s="71"/>
      <c r="L458" s="71"/>
      <c r="M458" s="71"/>
      <c r="N458" s="71"/>
    </row>
    <row r="459" spans="1:14" ht="15.75">
      <c r="A459" s="72" t="s">
        <v>4220</v>
      </c>
      <c r="B459" s="9" t="s">
        <v>4222</v>
      </c>
      <c r="C459" s="78">
        <v>429</v>
      </c>
      <c r="D459" s="371" t="s">
        <v>4220</v>
      </c>
      <c r="E459" s="55"/>
      <c r="F459" s="371"/>
      <c r="G459" s="371"/>
      <c r="H459" s="71"/>
      <c r="I459" s="391"/>
      <c r="J459" s="391"/>
      <c r="K459" s="71"/>
      <c r="L459" s="71"/>
      <c r="M459" s="71"/>
      <c r="N459" s="71"/>
    </row>
    <row r="460" spans="1:14" ht="15.75">
      <c r="A460" s="72" t="s">
        <v>4224</v>
      </c>
      <c r="B460" s="9" t="s">
        <v>4226</v>
      </c>
      <c r="C460" s="78">
        <v>430</v>
      </c>
      <c r="D460" s="371" t="s">
        <v>4224</v>
      </c>
      <c r="E460" s="55"/>
      <c r="F460" s="371"/>
      <c r="G460" s="371"/>
      <c r="H460" s="71"/>
      <c r="I460" s="391"/>
      <c r="J460" s="391"/>
      <c r="K460" s="71"/>
      <c r="L460" s="71"/>
      <c r="M460" s="71"/>
      <c r="N460" s="71"/>
    </row>
    <row r="461" spans="1:14" ht="15.75">
      <c r="A461" s="72" t="s">
        <v>4227</v>
      </c>
      <c r="B461" s="9" t="s">
        <v>4229</v>
      </c>
      <c r="C461" s="78">
        <v>431</v>
      </c>
      <c r="D461" s="371" t="s">
        <v>4227</v>
      </c>
      <c r="E461" s="55"/>
      <c r="F461" s="371"/>
      <c r="G461" s="371"/>
      <c r="H461" s="71"/>
      <c r="I461" s="391"/>
      <c r="J461" s="391"/>
      <c r="K461" s="71"/>
      <c r="L461" s="71"/>
      <c r="M461" s="71"/>
      <c r="N461" s="71"/>
    </row>
    <row r="462" spans="1:14" ht="15.75">
      <c r="A462" s="72" t="s">
        <v>4230</v>
      </c>
      <c r="B462" s="9" t="s">
        <v>4232</v>
      </c>
      <c r="C462" s="78">
        <v>433</v>
      </c>
      <c r="D462" s="371" t="s">
        <v>4230</v>
      </c>
      <c r="E462" s="55"/>
      <c r="F462" s="371"/>
      <c r="G462" s="371"/>
      <c r="H462" s="71"/>
      <c r="I462" s="391"/>
      <c r="J462" s="391"/>
      <c r="K462" s="71"/>
      <c r="L462" s="71"/>
      <c r="M462" s="71"/>
      <c r="N462" s="71"/>
    </row>
    <row r="463" spans="1:14" ht="15.75">
      <c r="A463" s="72" t="s">
        <v>4233</v>
      </c>
      <c r="B463" s="9" t="s">
        <v>4235</v>
      </c>
      <c r="C463" s="78">
        <v>435</v>
      </c>
      <c r="D463" s="371" t="s">
        <v>4233</v>
      </c>
      <c r="E463" s="55"/>
      <c r="F463" s="371"/>
      <c r="G463" s="371"/>
      <c r="H463" s="71"/>
      <c r="I463" s="391"/>
      <c r="J463" s="391"/>
      <c r="K463" s="71"/>
      <c r="L463" s="71"/>
      <c r="M463" s="71"/>
      <c r="N463" s="71"/>
    </row>
    <row r="464" spans="1:14" ht="15.75">
      <c r="A464" s="72" t="s">
        <v>4236</v>
      </c>
      <c r="B464" s="9" t="s">
        <v>4238</v>
      </c>
      <c r="C464" s="78">
        <v>444</v>
      </c>
      <c r="D464" s="371" t="s">
        <v>4236</v>
      </c>
      <c r="E464" s="55"/>
      <c r="F464" s="371"/>
      <c r="G464" s="371"/>
      <c r="H464" s="71"/>
      <c r="I464" s="391"/>
      <c r="J464" s="391"/>
      <c r="K464" s="71"/>
      <c r="L464" s="71"/>
      <c r="M464" s="71"/>
      <c r="N464" s="71"/>
    </row>
    <row r="465" spans="1:14" ht="15.75">
      <c r="A465" s="72" t="s">
        <v>4240</v>
      </c>
      <c r="B465" s="9" t="s">
        <v>4242</v>
      </c>
      <c r="C465" s="78">
        <v>448</v>
      </c>
      <c r="D465" s="371" t="s">
        <v>4240</v>
      </c>
      <c r="E465" s="55"/>
      <c r="F465" s="371"/>
      <c r="G465" s="371"/>
      <c r="H465" s="71"/>
      <c r="I465" s="391"/>
      <c r="J465" s="391"/>
      <c r="K465" s="71"/>
      <c r="L465" s="71"/>
      <c r="M465" s="71"/>
      <c r="N465" s="71"/>
    </row>
    <row r="466" spans="1:14" ht="15.75">
      <c r="A466" s="317" t="s">
        <v>4645</v>
      </c>
      <c r="B466" s="285" t="s">
        <v>4647</v>
      </c>
      <c r="C466" s="380">
        <v>449</v>
      </c>
      <c r="D466" s="399" t="s">
        <v>4648</v>
      </c>
      <c r="E466" s="400"/>
      <c r="F466" s="378"/>
      <c r="G466" s="378"/>
      <c r="H466" s="71"/>
      <c r="I466" s="391"/>
      <c r="J466" s="391"/>
      <c r="K466" s="71"/>
      <c r="L466" s="71"/>
      <c r="M466" s="71"/>
      <c r="N466" s="71"/>
    </row>
    <row r="467" spans="1:14" ht="15.75">
      <c r="A467" s="72" t="s">
        <v>3088</v>
      </c>
      <c r="B467" s="9" t="s">
        <v>3090</v>
      </c>
      <c r="C467" s="78">
        <v>90123513</v>
      </c>
      <c r="D467" s="371" t="s">
        <v>3088</v>
      </c>
      <c r="E467" s="55"/>
      <c r="F467" s="371"/>
      <c r="G467" s="371"/>
      <c r="H467" s="71"/>
      <c r="I467" s="391"/>
      <c r="J467" s="391"/>
      <c r="K467" s="71"/>
      <c r="L467" s="71"/>
      <c r="M467" s="71"/>
      <c r="N467" s="71"/>
    </row>
    <row r="468" spans="1:14">
      <c r="A468" s="72" t="s">
        <v>3093</v>
      </c>
      <c r="B468" s="9" t="s">
        <v>3095</v>
      </c>
      <c r="C468" s="72"/>
      <c r="D468" s="371" t="s">
        <v>3093</v>
      </c>
      <c r="E468" s="55"/>
      <c r="F468" s="371"/>
      <c r="G468" s="371"/>
      <c r="H468" s="71"/>
      <c r="I468" s="391"/>
      <c r="J468" s="391"/>
      <c r="K468" s="71"/>
      <c r="L468" s="71"/>
      <c r="M468" s="71"/>
      <c r="N468" s="71"/>
    </row>
    <row r="469" spans="1:14">
      <c r="A469" s="72" t="s">
        <v>4244</v>
      </c>
      <c r="B469" s="9" t="s">
        <v>4246</v>
      </c>
      <c r="C469" s="72"/>
      <c r="D469" s="371" t="s">
        <v>4244</v>
      </c>
      <c r="E469" s="55"/>
      <c r="F469" s="371"/>
      <c r="G469" s="371"/>
      <c r="H469" s="71"/>
      <c r="I469" s="391"/>
      <c r="J469" s="391"/>
      <c r="K469" s="71"/>
      <c r="L469" s="71"/>
      <c r="M469" s="71"/>
      <c r="N469" s="71"/>
    </row>
    <row r="470" spans="1:14">
      <c r="A470" s="72" t="s">
        <v>4247</v>
      </c>
      <c r="B470" s="9" t="s">
        <v>4249</v>
      </c>
      <c r="C470" s="72"/>
      <c r="D470" s="371" t="s">
        <v>4247</v>
      </c>
      <c r="E470" s="55"/>
      <c r="F470" s="371"/>
      <c r="G470" s="371"/>
      <c r="H470" s="71"/>
      <c r="I470" s="391"/>
      <c r="J470" s="391"/>
      <c r="K470" s="71"/>
      <c r="L470" s="71"/>
      <c r="M470" s="71"/>
      <c r="N470" s="71"/>
    </row>
    <row r="471" spans="1:14">
      <c r="A471" s="72" t="s">
        <v>4250</v>
      </c>
      <c r="B471" s="9" t="s">
        <v>4252</v>
      </c>
      <c r="C471" s="72"/>
      <c r="D471" s="371" t="s">
        <v>4250</v>
      </c>
      <c r="E471" s="55"/>
      <c r="F471" s="371"/>
      <c r="G471" s="371"/>
      <c r="H471" s="71"/>
      <c r="I471" s="391"/>
      <c r="J471" s="391"/>
      <c r="K471" s="71"/>
      <c r="L471" s="71"/>
      <c r="M471" s="71"/>
      <c r="N471" s="71"/>
    </row>
    <row r="472" spans="1:14">
      <c r="A472" s="72" t="s">
        <v>4253</v>
      </c>
      <c r="B472" s="9" t="s">
        <v>4255</v>
      </c>
      <c r="C472" s="72"/>
      <c r="D472" s="371" t="s">
        <v>4253</v>
      </c>
      <c r="E472" s="55"/>
      <c r="F472" s="371"/>
      <c r="G472" s="371"/>
      <c r="H472" s="71"/>
      <c r="I472" s="391"/>
      <c r="J472" s="391"/>
      <c r="K472" s="71"/>
      <c r="L472" s="71"/>
      <c r="M472" s="71"/>
      <c r="N472" s="71"/>
    </row>
    <row r="473" spans="1:14">
      <c r="A473" s="72" t="s">
        <v>3098</v>
      </c>
      <c r="B473" s="9" t="s">
        <v>3100</v>
      </c>
      <c r="C473" s="72"/>
      <c r="D473" s="72" t="s">
        <v>3098</v>
      </c>
      <c r="E473" s="55"/>
      <c r="F473" s="371" t="s">
        <v>3098</v>
      </c>
      <c r="G473" s="371"/>
      <c r="H473" s="71"/>
      <c r="I473" s="391"/>
      <c r="J473" s="391"/>
      <c r="K473" s="71"/>
      <c r="L473" s="71"/>
      <c r="M473" s="71"/>
      <c r="N473" s="71"/>
    </row>
    <row r="474" spans="1:14">
      <c r="A474" s="72" t="s">
        <v>3102</v>
      </c>
      <c r="B474" s="9" t="s">
        <v>3104</v>
      </c>
      <c r="C474" s="72"/>
      <c r="D474" s="72" t="s">
        <v>3102</v>
      </c>
      <c r="E474" s="55"/>
      <c r="F474" s="371" t="s">
        <v>3102</v>
      </c>
      <c r="G474" s="371"/>
      <c r="H474" s="71"/>
      <c r="I474" s="391"/>
      <c r="J474" s="391"/>
      <c r="K474" s="71"/>
      <c r="L474" s="71"/>
      <c r="M474" s="71"/>
      <c r="N474" s="71"/>
    </row>
    <row r="475" spans="1:14">
      <c r="A475" s="72" t="s">
        <v>3108</v>
      </c>
      <c r="B475" s="9" t="s">
        <v>3110</v>
      </c>
      <c r="C475" s="72"/>
      <c r="D475" s="72" t="s">
        <v>3108</v>
      </c>
      <c r="E475" s="55"/>
      <c r="F475" s="371" t="s">
        <v>3108</v>
      </c>
      <c r="G475" s="371"/>
      <c r="H475" s="71"/>
      <c r="I475" s="391"/>
      <c r="J475" s="391"/>
      <c r="K475" s="71"/>
      <c r="L475" s="71"/>
      <c r="M475" s="71"/>
      <c r="N475" s="71"/>
    </row>
    <row r="476" spans="1:14">
      <c r="A476" s="72" t="s">
        <v>3112</v>
      </c>
      <c r="B476" s="9" t="s">
        <v>3114</v>
      </c>
      <c r="C476" s="72"/>
      <c r="D476" s="72" t="s">
        <v>3112</v>
      </c>
      <c r="E476" s="55"/>
      <c r="F476" s="371" t="s">
        <v>3112</v>
      </c>
      <c r="G476" s="371"/>
      <c r="H476" s="71"/>
      <c r="I476" s="391"/>
      <c r="J476" s="391"/>
      <c r="K476" s="71"/>
      <c r="L476" s="71"/>
      <c r="M476" s="71"/>
      <c r="N476" s="71"/>
    </row>
    <row r="477" spans="1:14">
      <c r="A477" s="72" t="s">
        <v>3117</v>
      </c>
      <c r="B477" s="9" t="s">
        <v>3119</v>
      </c>
      <c r="C477" s="72"/>
      <c r="D477" s="72" t="s">
        <v>3117</v>
      </c>
      <c r="E477" s="55"/>
      <c r="F477" s="371" t="s">
        <v>3117</v>
      </c>
      <c r="G477" s="371"/>
      <c r="H477" s="71"/>
      <c r="I477" s="391"/>
      <c r="J477" s="391"/>
      <c r="K477" s="71"/>
      <c r="L477" s="71"/>
      <c r="M477" s="71"/>
      <c r="N477" s="71"/>
    </row>
    <row r="478" spans="1:14">
      <c r="A478" s="72" t="s">
        <v>3122</v>
      </c>
      <c r="B478" s="9" t="s">
        <v>3124</v>
      </c>
      <c r="C478" s="72"/>
      <c r="D478" s="72" t="s">
        <v>3122</v>
      </c>
      <c r="E478" s="55"/>
      <c r="F478" s="371" t="s">
        <v>3122</v>
      </c>
      <c r="G478" s="371"/>
      <c r="H478" s="71"/>
      <c r="I478" s="391"/>
      <c r="J478" s="391"/>
      <c r="K478" s="71"/>
      <c r="L478" s="71"/>
      <c r="M478" s="71"/>
      <c r="N478" s="71"/>
    </row>
    <row r="479" spans="1:14">
      <c r="A479" s="72" t="s">
        <v>3127</v>
      </c>
      <c r="B479" s="9" t="s">
        <v>3129</v>
      </c>
      <c r="C479" s="72"/>
      <c r="D479" s="72" t="s">
        <v>3127</v>
      </c>
      <c r="E479" s="55"/>
      <c r="F479" s="371" t="s">
        <v>3127</v>
      </c>
      <c r="G479" s="371"/>
      <c r="H479" s="71"/>
      <c r="I479" s="391"/>
      <c r="J479" s="391"/>
      <c r="K479" s="71"/>
      <c r="L479" s="71"/>
      <c r="M479" s="71"/>
      <c r="N479" s="71"/>
    </row>
    <row r="480" spans="1:14">
      <c r="A480" s="72" t="s">
        <v>3132</v>
      </c>
      <c r="B480" s="9" t="s">
        <v>3134</v>
      </c>
      <c r="C480" s="72"/>
      <c r="D480" s="72" t="s">
        <v>3132</v>
      </c>
      <c r="E480" s="55"/>
      <c r="F480" s="371" t="s">
        <v>3132</v>
      </c>
      <c r="G480" s="371"/>
      <c r="H480" s="71"/>
      <c r="I480" s="391"/>
      <c r="J480" s="391"/>
      <c r="K480" s="71"/>
      <c r="L480" s="71"/>
      <c r="M480" s="71"/>
      <c r="N480" s="71"/>
    </row>
    <row r="481" spans="1:14">
      <c r="A481" s="72" t="s">
        <v>3138</v>
      </c>
      <c r="B481" s="9" t="s">
        <v>3140</v>
      </c>
      <c r="C481" s="72"/>
      <c r="D481" s="72" t="s">
        <v>3138</v>
      </c>
      <c r="E481" s="55"/>
      <c r="F481" s="371" t="s">
        <v>3138</v>
      </c>
      <c r="G481" s="371"/>
      <c r="H481" s="71"/>
      <c r="I481" s="391"/>
      <c r="J481" s="391"/>
      <c r="K481" s="71"/>
      <c r="L481" s="71"/>
      <c r="M481" s="71"/>
      <c r="N481" s="71"/>
    </row>
    <row r="482" spans="1:14">
      <c r="A482" s="72" t="s">
        <v>3142</v>
      </c>
      <c r="B482" s="9" t="s">
        <v>3144</v>
      </c>
      <c r="C482" s="72"/>
      <c r="D482" s="72" t="s">
        <v>3142</v>
      </c>
      <c r="E482" s="55"/>
      <c r="F482" s="371" t="s">
        <v>3142</v>
      </c>
      <c r="G482" s="371"/>
      <c r="H482" s="71"/>
      <c r="I482" s="391"/>
      <c r="J482" s="391"/>
      <c r="K482" s="71"/>
      <c r="L482" s="71"/>
      <c r="M482" s="71"/>
      <c r="N482" s="71"/>
    </row>
    <row r="483" spans="1:14">
      <c r="A483" s="72" t="s">
        <v>3147</v>
      </c>
      <c r="B483" s="9" t="s">
        <v>3149</v>
      </c>
      <c r="C483" s="72"/>
      <c r="D483" s="72" t="s">
        <v>3147</v>
      </c>
      <c r="E483" s="55"/>
      <c r="F483" s="371" t="s">
        <v>3147</v>
      </c>
      <c r="G483" s="371"/>
      <c r="H483" s="71"/>
      <c r="I483" s="391"/>
      <c r="J483" s="391"/>
      <c r="K483" s="71"/>
      <c r="L483" s="71"/>
      <c r="M483" s="71"/>
      <c r="N483" s="71"/>
    </row>
    <row r="484" spans="1:14">
      <c r="A484" s="72" t="s">
        <v>3152</v>
      </c>
      <c r="B484" s="9" t="s">
        <v>3154</v>
      </c>
      <c r="C484" s="72"/>
      <c r="D484" s="72" t="s">
        <v>3152</v>
      </c>
      <c r="E484" s="55"/>
      <c r="F484" s="371" t="s">
        <v>3152</v>
      </c>
      <c r="G484" s="371"/>
      <c r="H484" s="71"/>
      <c r="I484" s="391"/>
      <c r="J484" s="391"/>
      <c r="K484" s="71"/>
      <c r="L484" s="71"/>
      <c r="M484" s="71"/>
      <c r="N484" s="71"/>
    </row>
    <row r="485" spans="1:14">
      <c r="A485" s="72" t="s">
        <v>3157</v>
      </c>
      <c r="B485" s="9" t="s">
        <v>3159</v>
      </c>
      <c r="C485" s="72"/>
      <c r="D485" s="72" t="s">
        <v>3157</v>
      </c>
      <c r="E485" s="55"/>
      <c r="F485" s="371" t="s">
        <v>3157</v>
      </c>
      <c r="G485" s="371"/>
      <c r="H485" s="71"/>
      <c r="I485" s="391"/>
      <c r="J485" s="391"/>
      <c r="K485" s="71"/>
      <c r="L485" s="71"/>
      <c r="M485" s="71"/>
      <c r="N485" s="71"/>
    </row>
    <row r="486" spans="1:14">
      <c r="A486" s="72" t="s">
        <v>3162</v>
      </c>
      <c r="B486" s="9" t="s">
        <v>3164</v>
      </c>
      <c r="C486" s="72"/>
      <c r="D486" s="72" t="s">
        <v>3162</v>
      </c>
      <c r="E486" s="55"/>
      <c r="F486" s="371" t="s">
        <v>3162</v>
      </c>
      <c r="G486" s="371"/>
      <c r="H486" s="71"/>
      <c r="I486" s="391"/>
      <c r="J486" s="391"/>
      <c r="K486" s="71"/>
      <c r="L486" s="71"/>
      <c r="M486" s="71"/>
      <c r="N486" s="71"/>
    </row>
    <row r="487" spans="1:14">
      <c r="A487" s="72" t="s">
        <v>3167</v>
      </c>
      <c r="B487" s="9" t="s">
        <v>3169</v>
      </c>
      <c r="C487" s="72"/>
      <c r="D487" s="72" t="s">
        <v>3167</v>
      </c>
      <c r="E487" s="55"/>
      <c r="F487" s="371" t="s">
        <v>3167</v>
      </c>
      <c r="G487" s="371"/>
      <c r="H487" s="71"/>
      <c r="I487" s="391"/>
      <c r="J487" s="391"/>
      <c r="K487" s="71"/>
      <c r="L487" s="71"/>
      <c r="M487" s="71"/>
      <c r="N487" s="71"/>
    </row>
    <row r="488" spans="1:14">
      <c r="A488" s="72" t="s">
        <v>3172</v>
      </c>
      <c r="B488" s="9" t="s">
        <v>3174</v>
      </c>
      <c r="C488" s="72"/>
      <c r="D488" s="72" t="s">
        <v>3172</v>
      </c>
      <c r="E488" s="55"/>
      <c r="F488" s="371" t="s">
        <v>3172</v>
      </c>
      <c r="G488" s="371"/>
      <c r="H488" s="71"/>
      <c r="I488" s="391"/>
      <c r="J488" s="391"/>
      <c r="K488" s="71"/>
      <c r="L488" s="71"/>
      <c r="M488" s="71"/>
      <c r="N488" s="71"/>
    </row>
    <row r="489" spans="1:14">
      <c r="A489" s="72" t="s">
        <v>3178</v>
      </c>
      <c r="B489" s="9" t="s">
        <v>3180</v>
      </c>
      <c r="C489" s="72"/>
      <c r="D489" s="72" t="s">
        <v>3178</v>
      </c>
      <c r="E489" s="55"/>
      <c r="F489" s="371" t="s">
        <v>3178</v>
      </c>
      <c r="G489" s="371"/>
      <c r="H489" s="71"/>
      <c r="I489" s="391"/>
      <c r="J489" s="391"/>
      <c r="K489" s="71"/>
      <c r="L489" s="71"/>
      <c r="M489" s="71"/>
      <c r="N489" s="71"/>
    </row>
    <row r="490" spans="1:14">
      <c r="A490" s="72" t="s">
        <v>3182</v>
      </c>
      <c r="B490" s="9" t="s">
        <v>3184</v>
      </c>
      <c r="C490" s="72"/>
      <c r="D490" s="72" t="s">
        <v>3182</v>
      </c>
      <c r="E490" s="55"/>
      <c r="F490" s="371" t="s">
        <v>3182</v>
      </c>
      <c r="G490" s="371"/>
      <c r="H490" s="71"/>
      <c r="I490" s="391"/>
      <c r="J490" s="391"/>
      <c r="K490" s="71"/>
      <c r="L490" s="71"/>
      <c r="M490" s="71"/>
      <c r="N490" s="71"/>
    </row>
    <row r="491" spans="1:14">
      <c r="A491" s="72" t="s">
        <v>3187</v>
      </c>
      <c r="B491" s="9" t="s">
        <v>3189</v>
      </c>
      <c r="C491" s="72"/>
      <c r="D491" s="72" t="s">
        <v>3187</v>
      </c>
      <c r="E491" s="55"/>
      <c r="F491" s="371" t="s">
        <v>3187</v>
      </c>
      <c r="G491" s="371"/>
      <c r="H491" s="71"/>
      <c r="I491" s="391"/>
      <c r="J491" s="391"/>
      <c r="K491" s="71"/>
      <c r="L491" s="71"/>
      <c r="M491" s="71"/>
      <c r="N491" s="71"/>
    </row>
    <row r="492" spans="1:14">
      <c r="A492" s="72" t="s">
        <v>3192</v>
      </c>
      <c r="B492" s="9" t="s">
        <v>3193</v>
      </c>
      <c r="C492" s="72"/>
      <c r="D492" s="72" t="s">
        <v>3192</v>
      </c>
      <c r="E492" s="55"/>
      <c r="F492" s="371" t="s">
        <v>3192</v>
      </c>
      <c r="G492" s="371"/>
      <c r="H492" s="71"/>
      <c r="I492" s="391"/>
      <c r="J492" s="391"/>
      <c r="K492" s="71"/>
      <c r="L492" s="71"/>
      <c r="M492" s="71"/>
      <c r="N492" s="71"/>
    </row>
    <row r="493" spans="1:14">
      <c r="A493" s="72" t="s">
        <v>3198</v>
      </c>
      <c r="B493" s="9" t="s">
        <v>3200</v>
      </c>
      <c r="C493" s="72"/>
      <c r="D493" s="72" t="s">
        <v>3198</v>
      </c>
      <c r="E493" s="55"/>
      <c r="F493" s="371" t="s">
        <v>3198</v>
      </c>
      <c r="G493" s="371"/>
      <c r="H493" s="71"/>
      <c r="I493" s="391"/>
      <c r="J493" s="391"/>
      <c r="K493" s="71"/>
      <c r="L493" s="71"/>
      <c r="M493" s="71"/>
      <c r="N493" s="71"/>
    </row>
    <row r="494" spans="1:14">
      <c r="A494" s="317" t="s">
        <v>4717</v>
      </c>
      <c r="B494" s="285"/>
      <c r="C494" s="399" t="s">
        <v>4714</v>
      </c>
      <c r="D494" s="317"/>
      <c r="E494" s="400"/>
      <c r="F494" s="378"/>
      <c r="G494" s="378"/>
      <c r="H494" s="71"/>
      <c r="I494" s="391"/>
      <c r="J494" s="391"/>
      <c r="K494" s="71"/>
      <c r="L494" s="71"/>
      <c r="M494" s="71"/>
      <c r="N494" s="71"/>
    </row>
    <row r="495" spans="1:14">
      <c r="A495" s="317" t="s">
        <v>4719</v>
      </c>
      <c r="B495" s="285"/>
      <c r="C495" s="399" t="s">
        <v>4714</v>
      </c>
      <c r="D495" s="317"/>
      <c r="E495" s="400"/>
      <c r="F495" s="378"/>
      <c r="G495" s="378"/>
      <c r="H495" s="71"/>
      <c r="I495" s="391"/>
      <c r="J495" s="391"/>
      <c r="K495" s="71"/>
      <c r="L495" s="71"/>
      <c r="M495" s="71"/>
      <c r="N495" s="71"/>
    </row>
    <row r="496" spans="1:14">
      <c r="A496" s="72" t="s">
        <v>3203</v>
      </c>
      <c r="B496" s="9" t="s">
        <v>3205</v>
      </c>
      <c r="C496" s="72"/>
      <c r="D496" s="72" t="s">
        <v>3203</v>
      </c>
      <c r="E496" s="55"/>
      <c r="F496" s="371" t="s">
        <v>3203</v>
      </c>
      <c r="G496" s="371"/>
      <c r="H496" s="71"/>
      <c r="I496" s="391"/>
      <c r="J496" s="391"/>
      <c r="K496" s="71"/>
      <c r="L496" s="71"/>
      <c r="M496" s="71"/>
      <c r="N496" s="71"/>
    </row>
    <row r="497" spans="1:14">
      <c r="A497" s="72" t="s">
        <v>3207</v>
      </c>
      <c r="B497" s="9" t="s">
        <v>3209</v>
      </c>
      <c r="C497" s="72"/>
      <c r="D497" s="72" t="s">
        <v>3207</v>
      </c>
      <c r="E497" s="55"/>
      <c r="F497" s="371" t="s">
        <v>3207</v>
      </c>
      <c r="G497" s="371"/>
      <c r="H497" s="71"/>
      <c r="I497" s="391"/>
      <c r="J497" s="391"/>
      <c r="K497" s="71"/>
      <c r="L497" s="71"/>
      <c r="M497" s="71"/>
      <c r="N497" s="71"/>
    </row>
    <row r="498" spans="1:14">
      <c r="A498" s="317" t="s">
        <v>4721</v>
      </c>
      <c r="B498" s="285"/>
      <c r="C498" s="399" t="s">
        <v>4714</v>
      </c>
      <c r="D498" s="317"/>
      <c r="E498" s="400"/>
      <c r="F498" s="378"/>
      <c r="G498" s="378"/>
      <c r="H498" s="71"/>
      <c r="I498" s="391"/>
      <c r="J498" s="391"/>
      <c r="K498" s="71"/>
      <c r="L498" s="71"/>
      <c r="M498" s="71"/>
      <c r="N498" s="71"/>
    </row>
    <row r="499" spans="1:14">
      <c r="A499" s="317" t="s">
        <v>4650</v>
      </c>
      <c r="B499" s="285" t="s">
        <v>4652</v>
      </c>
      <c r="C499" s="399" t="s">
        <v>4648</v>
      </c>
      <c r="D499" s="317"/>
      <c r="E499" s="400"/>
      <c r="F499" s="378"/>
      <c r="G499" s="378"/>
      <c r="H499" s="71"/>
      <c r="I499" s="391"/>
      <c r="J499" s="391"/>
      <c r="K499" s="71"/>
      <c r="L499" s="71"/>
      <c r="M499" s="71"/>
      <c r="N499" s="71"/>
    </row>
    <row r="500" spans="1:14">
      <c r="A500" s="72" t="s">
        <v>3212</v>
      </c>
      <c r="B500" s="9" t="s">
        <v>3214</v>
      </c>
      <c r="C500" s="72"/>
      <c r="D500" s="72" t="s">
        <v>3212</v>
      </c>
      <c r="E500" s="55"/>
      <c r="F500" s="371" t="s">
        <v>3212</v>
      </c>
      <c r="G500" s="371"/>
      <c r="H500" s="71"/>
      <c r="I500" s="391"/>
      <c r="J500" s="391"/>
      <c r="K500" s="71"/>
      <c r="L500" s="71"/>
      <c r="M500" s="71"/>
      <c r="N500" s="71"/>
    </row>
    <row r="501" spans="1:14">
      <c r="A501" s="72" t="s">
        <v>3216</v>
      </c>
      <c r="B501" s="9" t="s">
        <v>3218</v>
      </c>
      <c r="C501" s="72"/>
      <c r="D501" s="72" t="s">
        <v>3216</v>
      </c>
      <c r="E501" s="55"/>
      <c r="F501" s="371" t="s">
        <v>3216</v>
      </c>
      <c r="G501" s="371"/>
      <c r="H501" s="71"/>
      <c r="I501" s="391"/>
      <c r="J501" s="391"/>
      <c r="K501" s="71"/>
      <c r="L501" s="71"/>
      <c r="M501" s="71"/>
      <c r="N501" s="71"/>
    </row>
    <row r="502" spans="1:14">
      <c r="A502" s="72" t="s">
        <v>3220</v>
      </c>
      <c r="B502" s="9" t="s">
        <v>3222</v>
      </c>
      <c r="C502" s="72"/>
      <c r="D502" s="72" t="s">
        <v>3220</v>
      </c>
      <c r="E502" s="55"/>
      <c r="F502" s="371" t="s">
        <v>3220</v>
      </c>
      <c r="G502" s="371"/>
      <c r="H502" s="71"/>
      <c r="I502" s="391"/>
      <c r="J502" s="391"/>
      <c r="K502" s="71"/>
      <c r="L502" s="71"/>
      <c r="M502" s="71"/>
      <c r="N502" s="71"/>
    </row>
    <row r="503" spans="1:14">
      <c r="A503" s="72" t="s">
        <v>3225</v>
      </c>
      <c r="B503" s="9" t="s">
        <v>3227</v>
      </c>
      <c r="C503" s="72"/>
      <c r="D503" s="72" t="s">
        <v>3225</v>
      </c>
      <c r="E503" s="55"/>
      <c r="F503" s="371" t="s">
        <v>3225</v>
      </c>
      <c r="G503" s="371"/>
      <c r="H503" s="71"/>
      <c r="I503" s="391"/>
      <c r="J503" s="391"/>
      <c r="K503" s="71"/>
      <c r="L503" s="71"/>
      <c r="M503" s="71"/>
      <c r="N503" s="71"/>
    </row>
    <row r="504" spans="1:14">
      <c r="A504" s="72" t="s">
        <v>3230</v>
      </c>
      <c r="B504" s="9" t="s">
        <v>3232</v>
      </c>
      <c r="C504" s="72"/>
      <c r="D504" s="72" t="s">
        <v>3230</v>
      </c>
      <c r="E504" s="55"/>
      <c r="F504" s="371" t="s">
        <v>3230</v>
      </c>
      <c r="G504" s="371"/>
      <c r="H504" s="71"/>
      <c r="I504" s="391"/>
      <c r="J504" s="391"/>
      <c r="K504" s="71"/>
      <c r="L504" s="71"/>
      <c r="M504" s="71"/>
      <c r="N504" s="71"/>
    </row>
    <row r="505" spans="1:14">
      <c r="A505" s="317" t="s">
        <v>4700</v>
      </c>
      <c r="B505" s="285" t="s">
        <v>4702</v>
      </c>
      <c r="C505" s="399" t="s">
        <v>4648</v>
      </c>
      <c r="D505" s="317"/>
      <c r="E505" s="400"/>
      <c r="F505" s="378"/>
      <c r="G505" s="378"/>
      <c r="H505" s="71"/>
      <c r="I505" s="391"/>
      <c r="J505" s="391"/>
      <c r="K505" s="71"/>
      <c r="L505" s="71"/>
      <c r="M505" s="71"/>
      <c r="N505" s="71"/>
    </row>
    <row r="506" spans="1:14">
      <c r="A506" s="72" t="s">
        <v>3234</v>
      </c>
      <c r="B506" s="9" t="s">
        <v>3236</v>
      </c>
      <c r="C506" s="72"/>
      <c r="D506" s="72" t="s">
        <v>3234</v>
      </c>
      <c r="E506" s="55"/>
      <c r="F506" s="371" t="s">
        <v>3234</v>
      </c>
      <c r="G506" s="371"/>
      <c r="H506" s="71"/>
      <c r="I506" s="391"/>
      <c r="J506" s="391"/>
      <c r="K506" s="71"/>
      <c r="L506" s="71"/>
      <c r="M506" s="71"/>
      <c r="N506" s="71"/>
    </row>
    <row r="507" spans="1:14">
      <c r="A507" s="72" t="s">
        <v>3239</v>
      </c>
      <c r="B507" s="9" t="s">
        <v>3241</v>
      </c>
      <c r="C507" s="72"/>
      <c r="D507" s="72" t="s">
        <v>3239</v>
      </c>
      <c r="E507" s="55"/>
      <c r="F507" s="371" t="s">
        <v>3239</v>
      </c>
      <c r="G507" s="371"/>
      <c r="H507" s="71"/>
      <c r="I507" s="391"/>
      <c r="J507" s="391"/>
      <c r="K507" s="71"/>
      <c r="L507" s="71"/>
      <c r="M507" s="71"/>
      <c r="N507" s="71"/>
    </row>
    <row r="508" spans="1:14">
      <c r="A508" s="72" t="s">
        <v>4259</v>
      </c>
      <c r="B508" s="9" t="s">
        <v>4261</v>
      </c>
      <c r="C508" s="72"/>
      <c r="D508" s="55" t="s">
        <v>4259</v>
      </c>
      <c r="E508" s="72"/>
      <c r="F508" s="371" t="s">
        <v>4259</v>
      </c>
      <c r="G508" s="371"/>
      <c r="H508" s="71"/>
      <c r="I508" s="391"/>
      <c r="J508" s="391"/>
      <c r="K508" s="71"/>
      <c r="L508" s="71"/>
      <c r="M508" s="71"/>
      <c r="N508" s="71"/>
    </row>
    <row r="509" spans="1:14">
      <c r="A509" s="72" t="s">
        <v>4267</v>
      </c>
      <c r="B509" s="9" t="s">
        <v>4269</v>
      </c>
      <c r="C509" s="72"/>
      <c r="D509" s="55" t="s">
        <v>4267</v>
      </c>
      <c r="E509" s="72"/>
      <c r="F509" s="371" t="s">
        <v>4267</v>
      </c>
      <c r="G509" s="371"/>
      <c r="H509" s="71"/>
      <c r="I509" s="391"/>
      <c r="J509" s="391"/>
      <c r="K509" s="71"/>
      <c r="L509" s="71"/>
      <c r="M509" s="71"/>
      <c r="N509" s="71"/>
    </row>
    <row r="510" spans="1:14">
      <c r="A510" s="72" t="s">
        <v>4274</v>
      </c>
      <c r="B510" s="9" t="s">
        <v>4276</v>
      </c>
      <c r="C510" s="72"/>
      <c r="D510" s="55" t="s">
        <v>4274</v>
      </c>
      <c r="E510" s="72"/>
      <c r="F510" s="371" t="s">
        <v>4274</v>
      </c>
      <c r="G510" s="371"/>
      <c r="H510" s="71"/>
      <c r="I510" s="391"/>
      <c r="J510" s="391"/>
      <c r="K510" s="71"/>
      <c r="L510" s="71"/>
      <c r="M510" s="71"/>
      <c r="N510" s="71"/>
    </row>
    <row r="511" spans="1:14">
      <c r="A511" s="72" t="s">
        <v>4282</v>
      </c>
      <c r="B511" s="9" t="s">
        <v>4284</v>
      </c>
      <c r="C511" s="72"/>
      <c r="D511" s="55" t="s">
        <v>4282</v>
      </c>
      <c r="E511" s="72"/>
      <c r="F511" s="371" t="s">
        <v>4282</v>
      </c>
      <c r="G511" s="371"/>
      <c r="H511" s="71"/>
      <c r="I511" s="391"/>
      <c r="J511" s="391"/>
      <c r="K511" s="71"/>
      <c r="L511" s="71"/>
      <c r="M511" s="71"/>
      <c r="N511" s="71"/>
    </row>
    <row r="512" spans="1:14">
      <c r="A512" s="72" t="s">
        <v>4289</v>
      </c>
      <c r="B512" s="9" t="s">
        <v>4291</v>
      </c>
      <c r="C512" s="72"/>
      <c r="D512" s="55" t="s">
        <v>4289</v>
      </c>
      <c r="E512" s="72"/>
      <c r="F512" s="371" t="s">
        <v>4289</v>
      </c>
      <c r="G512" s="371"/>
      <c r="H512" s="71"/>
      <c r="I512" s="391"/>
      <c r="J512" s="391"/>
      <c r="K512" s="71"/>
      <c r="L512" s="71"/>
      <c r="M512" s="71"/>
      <c r="N512" s="71"/>
    </row>
    <row r="513" spans="1:14">
      <c r="A513" s="72" t="s">
        <v>3729</v>
      </c>
      <c r="B513" s="9" t="s">
        <v>3731</v>
      </c>
      <c r="C513" s="72"/>
      <c r="D513" s="55" t="s">
        <v>3729</v>
      </c>
      <c r="E513" s="72"/>
      <c r="F513" s="371" t="s">
        <v>3729</v>
      </c>
      <c r="G513" s="371"/>
      <c r="H513" s="71"/>
      <c r="I513" s="391"/>
      <c r="J513" s="391"/>
      <c r="K513" s="71"/>
      <c r="L513" s="71"/>
      <c r="M513" s="71"/>
      <c r="N513" s="71"/>
    </row>
    <row r="514" spans="1:14">
      <c r="A514" s="72" t="s">
        <v>3735</v>
      </c>
      <c r="B514" s="9" t="s">
        <v>3737</v>
      </c>
      <c r="C514" s="72"/>
      <c r="D514" s="55" t="s">
        <v>3735</v>
      </c>
      <c r="E514" s="72"/>
      <c r="F514" s="371" t="s">
        <v>3735</v>
      </c>
      <c r="G514" s="371"/>
      <c r="H514" s="71"/>
      <c r="I514" s="391"/>
      <c r="J514" s="391"/>
      <c r="K514" s="71"/>
      <c r="L514" s="71"/>
      <c r="M514" s="71"/>
      <c r="N514" s="71"/>
    </row>
    <row r="515" spans="1:14">
      <c r="A515" s="72" t="s">
        <v>3742</v>
      </c>
      <c r="B515" s="9"/>
      <c r="C515" s="72"/>
      <c r="D515" s="55" t="s">
        <v>3742</v>
      </c>
      <c r="E515" s="72"/>
      <c r="F515" s="371" t="s">
        <v>3742</v>
      </c>
      <c r="G515" s="371"/>
      <c r="H515" s="71"/>
      <c r="I515" s="391"/>
      <c r="J515" s="391"/>
      <c r="K515" s="71"/>
      <c r="L515" s="71"/>
      <c r="M515" s="71"/>
      <c r="N515" s="71"/>
    </row>
    <row r="516" spans="1:14">
      <c r="A516" s="72" t="s">
        <v>3754</v>
      </c>
      <c r="B516" s="9" t="s">
        <v>3756</v>
      </c>
      <c r="C516" s="72"/>
      <c r="D516" s="55" t="s">
        <v>3754</v>
      </c>
      <c r="E516" s="72"/>
      <c r="F516" s="371" t="s">
        <v>3754</v>
      </c>
      <c r="G516" s="371"/>
      <c r="H516" s="71"/>
      <c r="I516" s="391"/>
      <c r="J516" s="391"/>
      <c r="K516" s="71"/>
      <c r="L516" s="71"/>
      <c r="M516" s="71"/>
      <c r="N516" s="71"/>
    </row>
    <row r="517" spans="1:14">
      <c r="A517" s="72" t="s">
        <v>3763</v>
      </c>
      <c r="B517" s="9" t="s">
        <v>3765</v>
      </c>
      <c r="C517" s="72"/>
      <c r="D517" s="55" t="s">
        <v>3763</v>
      </c>
      <c r="E517" s="72"/>
      <c r="F517" s="371" t="s">
        <v>3763</v>
      </c>
      <c r="G517" s="371"/>
      <c r="H517" s="71"/>
      <c r="I517" s="391"/>
      <c r="J517" s="391"/>
      <c r="K517" s="71"/>
      <c r="L517" s="71"/>
      <c r="M517" s="71"/>
      <c r="N517" s="71"/>
    </row>
    <row r="518" spans="1:14">
      <c r="A518" s="317" t="s">
        <v>4686</v>
      </c>
      <c r="B518" s="285" t="s">
        <v>4688</v>
      </c>
      <c r="C518" s="317" t="s">
        <v>5414</v>
      </c>
      <c r="D518" s="317"/>
      <c r="E518" s="400"/>
      <c r="F518" s="378"/>
      <c r="G518" s="378"/>
      <c r="H518" s="71"/>
      <c r="I518" s="391"/>
      <c r="J518" s="391"/>
      <c r="K518" s="71"/>
      <c r="L518" s="71"/>
      <c r="M518" s="71"/>
      <c r="N518" s="71"/>
    </row>
    <row r="519" spans="1:14">
      <c r="A519" s="72" t="s">
        <v>3774</v>
      </c>
      <c r="B519" s="9" t="s">
        <v>3776</v>
      </c>
      <c r="C519" s="72"/>
      <c r="D519" s="55" t="s">
        <v>3774</v>
      </c>
      <c r="E519" s="72"/>
      <c r="F519" s="371" t="s">
        <v>3774</v>
      </c>
      <c r="G519" s="371"/>
      <c r="H519" s="71"/>
      <c r="I519" s="391"/>
      <c r="J519" s="391"/>
      <c r="K519" s="71"/>
      <c r="L519" s="71"/>
      <c r="M519" s="71"/>
      <c r="N519" s="71"/>
    </row>
    <row r="520" spans="1:14">
      <c r="A520" s="72" t="s">
        <v>3784</v>
      </c>
      <c r="B520" s="9" t="s">
        <v>3786</v>
      </c>
      <c r="C520" s="72"/>
      <c r="D520" s="55" t="s">
        <v>3784</v>
      </c>
      <c r="E520" s="72"/>
      <c r="F520" s="371" t="s">
        <v>3784</v>
      </c>
      <c r="G520" s="371"/>
      <c r="H520" s="71"/>
      <c r="I520" s="391"/>
      <c r="J520" s="391"/>
      <c r="K520" s="71"/>
      <c r="L520" s="71"/>
      <c r="M520" s="71"/>
      <c r="N520" s="71"/>
    </row>
    <row r="521" spans="1:14" ht="15.75">
      <c r="A521" s="72" t="s">
        <v>3746</v>
      </c>
      <c r="B521" s="9" t="s">
        <v>3748</v>
      </c>
      <c r="C521" s="72"/>
      <c r="D521" s="401" t="s">
        <v>3746</v>
      </c>
      <c r="E521" s="55"/>
      <c r="F521" s="371" t="s">
        <v>3746</v>
      </c>
      <c r="G521" s="371"/>
      <c r="H521" s="71"/>
      <c r="I521" s="391"/>
      <c r="J521" s="391"/>
      <c r="K521" s="71"/>
      <c r="L521" s="71"/>
      <c r="M521" s="71"/>
      <c r="N521" s="71"/>
    </row>
    <row r="522" spans="1:14">
      <c r="A522" s="72" t="s">
        <v>3802</v>
      </c>
      <c r="B522" s="9" t="s">
        <v>3804</v>
      </c>
      <c r="C522" s="72"/>
      <c r="D522" s="55" t="s">
        <v>3802</v>
      </c>
      <c r="E522" s="72"/>
      <c r="F522" s="371" t="s">
        <v>3802</v>
      </c>
      <c r="G522" s="371"/>
      <c r="H522" s="71"/>
      <c r="I522" s="391"/>
      <c r="J522" s="391"/>
      <c r="K522" s="71"/>
      <c r="L522" s="71"/>
      <c r="M522" s="71"/>
      <c r="N522" s="71"/>
    </row>
    <row r="523" spans="1:14">
      <c r="A523" s="72" t="s">
        <v>3807</v>
      </c>
      <c r="B523" s="9" t="s">
        <v>3809</v>
      </c>
      <c r="C523" s="72"/>
      <c r="D523" s="55" t="s">
        <v>3807</v>
      </c>
      <c r="E523" s="72"/>
      <c r="F523" s="371" t="s">
        <v>3807</v>
      </c>
      <c r="G523" s="371"/>
      <c r="H523" s="71"/>
      <c r="I523" s="391"/>
      <c r="J523" s="391"/>
      <c r="K523" s="71"/>
      <c r="L523" s="71"/>
      <c r="M523" s="71"/>
      <c r="N523" s="71"/>
    </row>
    <row r="524" spans="1:14">
      <c r="A524" s="72" t="s">
        <v>4295</v>
      </c>
      <c r="B524" s="9" t="s">
        <v>4297</v>
      </c>
      <c r="C524" s="72"/>
      <c r="D524" s="371" t="s">
        <v>4295</v>
      </c>
      <c r="E524" s="72"/>
      <c r="F524" s="72"/>
      <c r="G524" s="371"/>
      <c r="H524" s="71"/>
      <c r="I524" s="391"/>
      <c r="J524" s="391"/>
      <c r="K524" s="71"/>
      <c r="L524" s="71"/>
      <c r="M524" s="71"/>
      <c r="N524" s="71"/>
    </row>
    <row r="525" spans="1:14">
      <c r="A525" s="72" t="s">
        <v>4307</v>
      </c>
      <c r="B525" s="9" t="s">
        <v>4309</v>
      </c>
      <c r="C525" s="72"/>
      <c r="D525" s="371" t="s">
        <v>4307</v>
      </c>
      <c r="E525" s="72"/>
      <c r="F525" s="72"/>
      <c r="G525" s="371"/>
      <c r="H525" s="71"/>
      <c r="I525" s="391"/>
      <c r="J525" s="391"/>
      <c r="K525" s="71"/>
      <c r="L525" s="71"/>
      <c r="M525" s="71"/>
      <c r="N525" s="71"/>
    </row>
    <row r="526" spans="1:14">
      <c r="A526" s="72" t="s">
        <v>3811</v>
      </c>
      <c r="B526" s="9"/>
      <c r="C526" s="72"/>
      <c r="D526" s="371" t="s">
        <v>3811</v>
      </c>
      <c r="E526" s="72"/>
      <c r="F526" s="72"/>
      <c r="G526" s="371"/>
      <c r="H526" s="71"/>
      <c r="I526" s="391"/>
      <c r="J526" s="391"/>
      <c r="K526" s="71"/>
      <c r="L526" s="71"/>
      <c r="M526" s="71"/>
      <c r="N526" s="71"/>
    </row>
    <row r="527" spans="1:14">
      <c r="A527" s="72" t="s">
        <v>3814</v>
      </c>
      <c r="B527" s="9" t="s">
        <v>3816</v>
      </c>
      <c r="C527" s="72"/>
      <c r="D527" s="371" t="s">
        <v>3814</v>
      </c>
      <c r="E527" s="72"/>
      <c r="F527" s="72"/>
      <c r="G527" s="371"/>
      <c r="H527" s="71"/>
      <c r="I527" s="391"/>
      <c r="J527" s="391"/>
      <c r="K527" s="71"/>
      <c r="L527" s="71"/>
      <c r="M527" s="71"/>
      <c r="N527" s="71"/>
    </row>
    <row r="528" spans="1:14">
      <c r="A528" s="72" t="s">
        <v>3818</v>
      </c>
      <c r="B528" s="9" t="s">
        <v>3820</v>
      </c>
      <c r="C528" s="72"/>
      <c r="D528" s="371" t="s">
        <v>3818</v>
      </c>
      <c r="E528" s="72"/>
      <c r="F528" s="72"/>
      <c r="G528" s="371"/>
      <c r="H528" s="71"/>
      <c r="I528" s="391"/>
      <c r="J528" s="391"/>
      <c r="K528" s="71"/>
      <c r="L528" s="71"/>
      <c r="M528" s="71"/>
      <c r="N528" s="71"/>
    </row>
    <row r="529" spans="1:14">
      <c r="A529" s="72" t="s">
        <v>3780</v>
      </c>
      <c r="B529" s="9" t="s">
        <v>3782</v>
      </c>
      <c r="C529" s="72"/>
      <c r="D529" s="55" t="s">
        <v>3780</v>
      </c>
      <c r="E529" s="72"/>
      <c r="F529" s="72"/>
      <c r="G529" s="72"/>
      <c r="H529" s="71"/>
      <c r="I529" s="391"/>
      <c r="J529" s="391"/>
      <c r="K529" s="71"/>
      <c r="L529" s="71"/>
      <c r="M529" s="71"/>
      <c r="N529" s="71"/>
    </row>
    <row r="530" spans="1:14">
      <c r="A530" s="72" t="s">
        <v>3770</v>
      </c>
      <c r="B530" s="9" t="s">
        <v>3772</v>
      </c>
      <c r="C530" s="391"/>
      <c r="D530" s="72" t="s">
        <v>3770</v>
      </c>
      <c r="E530" s="72"/>
      <c r="F530" s="72"/>
      <c r="G530" s="72"/>
      <c r="H530" s="71"/>
      <c r="I530" s="391"/>
      <c r="J530" s="391"/>
      <c r="K530" s="71"/>
      <c r="L530" s="71"/>
      <c r="M530" s="71"/>
      <c r="N530" s="71"/>
    </row>
    <row r="531" spans="1:14">
      <c r="A531" s="317" t="s">
        <v>4654</v>
      </c>
      <c r="B531" s="285" t="s">
        <v>4656</v>
      </c>
      <c r="C531" s="399" t="s">
        <v>4648</v>
      </c>
      <c r="D531" s="317"/>
      <c r="E531" s="317"/>
      <c r="F531" s="317"/>
      <c r="G531" s="317"/>
      <c r="H531" s="71"/>
      <c r="I531" s="391"/>
      <c r="J531" s="391"/>
      <c r="K531" s="71"/>
      <c r="L531" s="71"/>
      <c r="M531" s="71"/>
      <c r="N531" s="71"/>
    </row>
    <row r="532" spans="1:14">
      <c r="A532" s="317" t="s">
        <v>4658</v>
      </c>
      <c r="B532" s="285" t="s">
        <v>4660</v>
      </c>
      <c r="C532" s="399" t="s">
        <v>4648</v>
      </c>
      <c r="D532" s="317"/>
      <c r="E532" s="317"/>
      <c r="F532" s="317"/>
      <c r="G532" s="317"/>
      <c r="H532" s="71"/>
      <c r="I532" s="391"/>
      <c r="J532" s="391"/>
      <c r="K532" s="71"/>
      <c r="L532" s="71"/>
      <c r="M532" s="71"/>
      <c r="N532" s="71"/>
    </row>
    <row r="533" spans="1:14">
      <c r="A533" s="317" t="s">
        <v>4662</v>
      </c>
      <c r="B533" s="285" t="s">
        <v>4664</v>
      </c>
      <c r="C533" s="399" t="s">
        <v>4648</v>
      </c>
      <c r="D533" s="317"/>
      <c r="E533" s="317"/>
      <c r="F533" s="317"/>
      <c r="G533" s="317"/>
      <c r="H533" s="71"/>
      <c r="I533" s="391"/>
      <c r="J533" s="391"/>
      <c r="K533" s="71"/>
      <c r="L533" s="71"/>
      <c r="M533" s="71"/>
      <c r="N533" s="71"/>
    </row>
    <row r="534" spans="1:14">
      <c r="A534" s="317" t="s">
        <v>4666</v>
      </c>
      <c r="B534" s="285" t="s">
        <v>4668</v>
      </c>
      <c r="C534" s="399" t="s">
        <v>4648</v>
      </c>
      <c r="D534" s="317"/>
      <c r="E534" s="317"/>
      <c r="F534" s="317"/>
      <c r="G534" s="317"/>
      <c r="H534" s="71"/>
      <c r="I534" s="391"/>
      <c r="J534" s="391"/>
      <c r="K534" s="71"/>
      <c r="L534" s="71"/>
      <c r="M534" s="71"/>
      <c r="N534" s="71"/>
    </row>
    <row r="535" spans="1:14">
      <c r="A535" s="317" t="s">
        <v>4670</v>
      </c>
      <c r="B535" s="285" t="s">
        <v>4672</v>
      </c>
      <c r="C535" s="399" t="s">
        <v>4648</v>
      </c>
      <c r="D535" s="317"/>
      <c r="E535" s="317"/>
      <c r="F535" s="317"/>
      <c r="G535" s="317"/>
      <c r="H535" s="71"/>
      <c r="I535" s="391"/>
      <c r="J535" s="391"/>
      <c r="K535" s="71"/>
      <c r="L535" s="71"/>
      <c r="M535" s="71"/>
      <c r="N535" s="71"/>
    </row>
    <row r="536" spans="1:14">
      <c r="A536" s="317" t="s">
        <v>4674</v>
      </c>
      <c r="B536" s="285" t="s">
        <v>4676</v>
      </c>
      <c r="C536" s="399" t="s">
        <v>4648</v>
      </c>
      <c r="D536" s="317"/>
      <c r="E536" s="317"/>
      <c r="F536" s="317"/>
      <c r="G536" s="317"/>
      <c r="H536" s="71"/>
      <c r="I536" s="391"/>
      <c r="J536" s="391"/>
      <c r="K536" s="71"/>
      <c r="L536" s="71"/>
      <c r="M536" s="71"/>
      <c r="N536" s="71"/>
    </row>
    <row r="537" spans="1:14">
      <c r="A537" s="317" t="s">
        <v>4678</v>
      </c>
      <c r="B537" s="285" t="s">
        <v>4680</v>
      </c>
      <c r="C537" s="399" t="s">
        <v>4648</v>
      </c>
      <c r="D537" s="317"/>
      <c r="E537" s="317"/>
      <c r="F537" s="317"/>
      <c r="G537" s="317"/>
      <c r="H537" s="71"/>
      <c r="I537" s="391"/>
      <c r="J537" s="391"/>
      <c r="K537" s="71"/>
      <c r="L537" s="71"/>
      <c r="M537" s="71"/>
      <c r="N537" s="71"/>
    </row>
    <row r="538" spans="1:14">
      <c r="A538" s="317" t="s">
        <v>4682</v>
      </c>
      <c r="B538" s="285" t="s">
        <v>4684</v>
      </c>
      <c r="C538" s="399" t="s">
        <v>4648</v>
      </c>
      <c r="D538" s="317"/>
      <c r="E538" s="317"/>
      <c r="F538" s="317"/>
      <c r="G538" s="317"/>
      <c r="H538" s="71"/>
      <c r="I538" s="391"/>
      <c r="J538" s="391"/>
      <c r="K538" s="71"/>
      <c r="L538" s="71"/>
      <c r="M538" s="71"/>
      <c r="N538" s="71"/>
    </row>
    <row r="539" spans="1:14">
      <c r="A539" s="72" t="s">
        <v>3750</v>
      </c>
      <c r="B539" s="9" t="s">
        <v>3752</v>
      </c>
      <c r="C539" s="391"/>
      <c r="D539" s="72" t="s">
        <v>3750</v>
      </c>
      <c r="E539" s="72"/>
      <c r="F539" s="72"/>
      <c r="G539" s="72"/>
      <c r="H539" s="71"/>
      <c r="I539" s="391"/>
      <c r="J539" s="391"/>
      <c r="K539" s="71"/>
      <c r="L539" s="71"/>
      <c r="M539" s="71"/>
      <c r="N539" s="71"/>
    </row>
    <row r="540" spans="1:14">
      <c r="A540" s="72" t="s">
        <v>3759</v>
      </c>
      <c r="B540" s="9" t="s">
        <v>3761</v>
      </c>
      <c r="C540" s="391"/>
      <c r="D540" s="72" t="s">
        <v>3759</v>
      </c>
      <c r="E540" s="72"/>
      <c r="F540" s="72"/>
      <c r="G540" s="72"/>
      <c r="H540" s="71"/>
      <c r="I540" s="391"/>
      <c r="J540" s="391"/>
      <c r="K540" s="71"/>
      <c r="L540" s="71"/>
      <c r="M540" s="71"/>
      <c r="N540" s="71"/>
    </row>
    <row r="541" spans="1:14">
      <c r="A541" s="72" t="s">
        <v>3789</v>
      </c>
      <c r="B541" s="9" t="s">
        <v>3791</v>
      </c>
      <c r="C541" s="391"/>
      <c r="D541" s="72" t="s">
        <v>3789</v>
      </c>
      <c r="E541" s="72"/>
      <c r="F541" s="72"/>
      <c r="G541" s="72"/>
      <c r="H541" s="71"/>
      <c r="I541" s="391"/>
      <c r="J541" s="391"/>
      <c r="K541" s="71"/>
      <c r="L541" s="71"/>
      <c r="M541" s="71"/>
      <c r="N541" s="71"/>
    </row>
    <row r="542" spans="1:14">
      <c r="A542" s="72" t="s">
        <v>3793</v>
      </c>
      <c r="B542" s="9" t="s">
        <v>3795</v>
      </c>
      <c r="C542" s="391"/>
      <c r="D542" s="72" t="s">
        <v>3793</v>
      </c>
      <c r="E542" s="72"/>
      <c r="F542" s="72"/>
      <c r="G542" s="72"/>
      <c r="H542" s="71"/>
      <c r="I542" s="391"/>
      <c r="J542" s="391"/>
      <c r="K542" s="71"/>
      <c r="L542" s="71"/>
      <c r="M542" s="71"/>
      <c r="N542" s="71"/>
    </row>
    <row r="543" spans="1:14">
      <c r="A543" s="317" t="s">
        <v>4591</v>
      </c>
      <c r="B543" s="285" t="s">
        <v>4592</v>
      </c>
      <c r="C543" s="317" t="s">
        <v>4514</v>
      </c>
      <c r="D543" s="317"/>
      <c r="E543" s="317"/>
      <c r="F543" s="317"/>
      <c r="G543" s="317"/>
      <c r="H543" s="71"/>
      <c r="I543" s="391"/>
      <c r="J543" s="391"/>
      <c r="K543" s="71"/>
      <c r="L543" s="71"/>
      <c r="M543" s="71"/>
      <c r="N543" s="71"/>
    </row>
    <row r="544" spans="1:14">
      <c r="A544" s="72" t="s">
        <v>4298</v>
      </c>
      <c r="B544" s="9"/>
      <c r="C544" s="391"/>
      <c r="D544" s="72" t="s">
        <v>4298</v>
      </c>
      <c r="E544" s="72"/>
      <c r="F544" s="72"/>
      <c r="G544" s="72"/>
      <c r="H544" s="71"/>
      <c r="I544" s="391"/>
      <c r="J544" s="391"/>
      <c r="K544" s="71"/>
      <c r="L544" s="71"/>
      <c r="M544" s="71"/>
      <c r="N544" s="71"/>
    </row>
    <row r="545" spans="1:14">
      <c r="A545" s="72" t="s">
        <v>4300</v>
      </c>
      <c r="B545" s="9"/>
      <c r="C545" s="391"/>
      <c r="D545" s="72" t="s">
        <v>4300</v>
      </c>
      <c r="E545" s="72"/>
      <c r="F545" s="72"/>
      <c r="G545" s="72"/>
      <c r="H545" s="71"/>
      <c r="I545" s="391"/>
      <c r="J545" s="391"/>
      <c r="K545" s="71"/>
      <c r="L545" s="71"/>
      <c r="M545" s="71"/>
      <c r="N545" s="71"/>
    </row>
    <row r="546" spans="1:14">
      <c r="A546" s="72" t="s">
        <v>4302</v>
      </c>
      <c r="B546" s="9" t="s">
        <v>4304</v>
      </c>
      <c r="C546" s="391"/>
      <c r="D546" s="72" t="s">
        <v>4302</v>
      </c>
      <c r="E546" s="72"/>
      <c r="F546" s="72"/>
      <c r="G546" s="72"/>
      <c r="H546" s="71"/>
      <c r="I546" s="391"/>
      <c r="J546" s="391"/>
      <c r="K546" s="71"/>
      <c r="L546" s="71"/>
      <c r="M546" s="71"/>
      <c r="N546" s="71"/>
    </row>
    <row r="547" spans="1:14">
      <c r="A547" s="72" t="s">
        <v>4305</v>
      </c>
      <c r="B547" s="9"/>
      <c r="C547" s="391"/>
      <c r="D547" s="72" t="s">
        <v>4305</v>
      </c>
      <c r="E547" s="72"/>
      <c r="F547" s="72"/>
      <c r="G547" s="72"/>
      <c r="H547" s="71"/>
      <c r="I547" s="391"/>
      <c r="J547" s="391"/>
      <c r="K547" s="71"/>
      <c r="L547" s="71"/>
      <c r="M547" s="71"/>
      <c r="N547" s="71"/>
    </row>
    <row r="548" spans="1:14">
      <c r="A548" s="72" t="s">
        <v>3712</v>
      </c>
      <c r="B548" s="72"/>
      <c r="C548" s="391"/>
      <c r="D548" s="72" t="s">
        <v>3712</v>
      </c>
      <c r="E548" s="72"/>
      <c r="F548" s="72"/>
      <c r="G548" s="72"/>
      <c r="H548" s="71"/>
      <c r="I548" s="391"/>
      <c r="J548" s="391"/>
      <c r="K548" s="71"/>
      <c r="L548" s="71"/>
      <c r="M548" s="71"/>
      <c r="N548" s="71"/>
    </row>
    <row r="549" spans="1:14">
      <c r="A549" s="72" t="s">
        <v>3823</v>
      </c>
      <c r="B549" s="72"/>
      <c r="C549" s="391"/>
      <c r="D549" s="72" t="s">
        <v>3823</v>
      </c>
      <c r="E549" s="72"/>
      <c r="F549" s="72"/>
      <c r="G549" s="72"/>
      <c r="H549" s="71"/>
      <c r="I549" s="391"/>
      <c r="J549" s="391"/>
      <c r="K549" s="71"/>
      <c r="L549" s="71"/>
      <c r="M549" s="71"/>
      <c r="N549" s="71"/>
    </row>
    <row r="550" spans="1:14">
      <c r="A550" s="72" t="s">
        <v>3827</v>
      </c>
      <c r="B550" s="72"/>
      <c r="C550" s="391"/>
      <c r="D550" s="72" t="s">
        <v>3827</v>
      </c>
      <c r="E550" s="72"/>
      <c r="F550" s="72"/>
      <c r="G550" s="72"/>
      <c r="H550" s="71"/>
      <c r="I550" s="391"/>
      <c r="J550" s="391"/>
      <c r="K550" s="71"/>
      <c r="L550" s="71"/>
      <c r="M550" s="71"/>
      <c r="N550" s="71"/>
    </row>
    <row r="551" spans="1:14">
      <c r="A551" s="72" t="s">
        <v>3833</v>
      </c>
      <c r="B551" s="72"/>
      <c r="C551" s="391"/>
      <c r="D551" s="72" t="s">
        <v>3833</v>
      </c>
      <c r="E551" s="72"/>
      <c r="F551" s="72"/>
      <c r="G551" s="72"/>
      <c r="H551" s="71"/>
      <c r="I551" s="391"/>
      <c r="J551" s="391"/>
      <c r="K551" s="71"/>
      <c r="L551" s="71"/>
      <c r="M551" s="71"/>
      <c r="N551" s="71"/>
    </row>
    <row r="552" spans="1:14">
      <c r="A552" s="317" t="s">
        <v>4703</v>
      </c>
      <c r="B552" s="317"/>
      <c r="C552" s="399" t="s">
        <v>4648</v>
      </c>
      <c r="D552" s="317"/>
      <c r="E552" s="317"/>
      <c r="F552" s="317"/>
      <c r="G552" s="317"/>
      <c r="H552" s="71"/>
      <c r="I552" s="391"/>
      <c r="J552" s="391"/>
      <c r="K552" s="71"/>
      <c r="L552" s="71"/>
      <c r="M552" s="71"/>
      <c r="N552" s="71"/>
    </row>
    <row r="553" spans="1:14">
      <c r="A553" s="72" t="s">
        <v>4312</v>
      </c>
      <c r="B553" s="72"/>
      <c r="C553" s="391"/>
      <c r="D553" s="72" t="s">
        <v>4312</v>
      </c>
      <c r="E553" s="72"/>
      <c r="F553" s="72"/>
      <c r="G553" s="72"/>
      <c r="H553" s="71"/>
      <c r="I553" s="391"/>
      <c r="J553" s="391"/>
      <c r="K553" s="71"/>
      <c r="L553" s="71"/>
      <c r="M553" s="71"/>
      <c r="N553" s="71"/>
    </row>
    <row r="554" spans="1:14">
      <c r="A554" s="317" t="s">
        <v>4706</v>
      </c>
      <c r="B554" s="317"/>
      <c r="C554" s="399" t="s">
        <v>4648</v>
      </c>
      <c r="D554" s="317"/>
      <c r="E554" s="317"/>
      <c r="F554" s="317"/>
      <c r="G554" s="317"/>
      <c r="H554" s="71"/>
      <c r="I554" s="391"/>
      <c r="J554" s="391"/>
      <c r="K554" s="71"/>
      <c r="L554" s="71"/>
      <c r="M554" s="71"/>
      <c r="N554" s="71"/>
    </row>
    <row r="555" spans="1:14">
      <c r="A555" s="72" t="s">
        <v>4315</v>
      </c>
      <c r="B555" s="72"/>
      <c r="C555" s="391"/>
      <c r="D555" s="72" t="s">
        <v>4315</v>
      </c>
      <c r="E555" s="72"/>
      <c r="F555" s="72"/>
      <c r="G555" s="72"/>
      <c r="H555" s="71"/>
      <c r="I555" s="391"/>
      <c r="J555" s="391"/>
      <c r="K555" s="71"/>
      <c r="L555" s="71"/>
      <c r="M555" s="71"/>
      <c r="N555" s="71"/>
    </row>
    <row r="556" spans="1:14">
      <c r="A556" s="317" t="s">
        <v>4709</v>
      </c>
      <c r="B556" s="317"/>
      <c r="C556" s="399" t="s">
        <v>4648</v>
      </c>
      <c r="D556" s="317"/>
      <c r="E556" s="317"/>
      <c r="F556" s="317"/>
      <c r="G556" s="317"/>
      <c r="H556" s="71"/>
      <c r="I556" s="391"/>
      <c r="J556" s="391"/>
      <c r="K556" s="71"/>
      <c r="L556" s="71"/>
      <c r="M556" s="71"/>
      <c r="N556" s="71"/>
    </row>
    <row r="557" spans="1:14">
      <c r="A557" s="72" t="s">
        <v>4318</v>
      </c>
      <c r="B557" s="72"/>
      <c r="C557" s="391"/>
      <c r="D557" s="72" t="s">
        <v>4318</v>
      </c>
      <c r="E557" s="72"/>
      <c r="F557" s="72"/>
      <c r="G557" s="72"/>
      <c r="H557" s="71"/>
      <c r="I557" s="391"/>
      <c r="J557" s="391"/>
      <c r="K557" s="71"/>
      <c r="L557" s="71"/>
      <c r="M557" s="71"/>
      <c r="N557" s="71"/>
    </row>
    <row r="558" spans="1:14">
      <c r="A558" s="72" t="s">
        <v>5415</v>
      </c>
      <c r="B558" s="72"/>
      <c r="C558" s="71"/>
      <c r="D558" s="72" t="s">
        <v>5415</v>
      </c>
      <c r="E558" s="72"/>
      <c r="F558" s="72" t="s">
        <v>5415</v>
      </c>
      <c r="G558" s="72"/>
      <c r="H558" s="71"/>
      <c r="I558" s="391"/>
      <c r="J558" s="391"/>
      <c r="K558" s="71"/>
      <c r="L558" s="71"/>
      <c r="M558" s="71"/>
      <c r="N558" s="71"/>
    </row>
    <row r="559" spans="1:14">
      <c r="A559" s="72" t="s">
        <v>5416</v>
      </c>
      <c r="B559" s="72"/>
      <c r="C559" s="71"/>
      <c r="D559" s="72" t="s">
        <v>5416</v>
      </c>
      <c r="E559" s="72"/>
      <c r="F559" s="72" t="s">
        <v>5416</v>
      </c>
      <c r="G559" s="72"/>
      <c r="H559" s="71"/>
      <c r="I559" s="391"/>
      <c r="J559" s="391"/>
      <c r="K559" s="71"/>
      <c r="L559" s="71"/>
      <c r="M559" s="71"/>
      <c r="N559" s="71"/>
    </row>
    <row r="560" spans="1:14">
      <c r="A560" s="72" t="s">
        <v>5417</v>
      </c>
      <c r="B560" s="72"/>
      <c r="C560" s="71"/>
      <c r="D560" s="72" t="s">
        <v>5417</v>
      </c>
      <c r="E560" s="72"/>
      <c r="F560" s="72" t="s">
        <v>5417</v>
      </c>
      <c r="G560" s="72"/>
      <c r="H560" s="71"/>
      <c r="I560" s="391"/>
      <c r="J560" s="391"/>
      <c r="K560" s="71"/>
      <c r="L560" s="71"/>
      <c r="M560" s="71"/>
      <c r="N560" s="71"/>
    </row>
    <row r="561" spans="1:14">
      <c r="A561" s="402" t="s">
        <v>5418</v>
      </c>
      <c r="B561" s="403"/>
      <c r="C561" s="404"/>
      <c r="D561" s="404"/>
      <c r="E561" s="404"/>
      <c r="F561" s="404"/>
      <c r="G561" s="404"/>
      <c r="H561" s="71"/>
      <c r="I561" s="391"/>
      <c r="J561" s="391"/>
      <c r="K561" s="71"/>
      <c r="L561" s="71"/>
      <c r="M561" s="71"/>
      <c r="N561" s="71"/>
    </row>
    <row r="562" spans="1:14">
      <c r="A562" s="72" t="s">
        <v>4321</v>
      </c>
      <c r="B562" s="9"/>
      <c r="C562" s="72"/>
      <c r="D562" s="371" t="s">
        <v>4321</v>
      </c>
      <c r="E562" s="72"/>
      <c r="F562" s="72"/>
      <c r="G562" s="371"/>
      <c r="H562" s="71"/>
      <c r="I562" s="391"/>
      <c r="J562" s="391"/>
      <c r="K562" s="71"/>
      <c r="L562" s="71"/>
      <c r="M562" s="71"/>
      <c r="N562" s="71"/>
    </row>
    <row r="563" spans="1:14">
      <c r="A563" s="72" t="s">
        <v>4327</v>
      </c>
      <c r="B563" s="9"/>
      <c r="C563" s="72"/>
      <c r="D563" s="371" t="s">
        <v>4327</v>
      </c>
      <c r="E563" s="72"/>
      <c r="F563" s="72"/>
      <c r="G563" s="371"/>
      <c r="H563" s="71"/>
      <c r="I563" s="391"/>
      <c r="J563" s="391"/>
      <c r="K563" s="71"/>
      <c r="L563" s="71"/>
      <c r="M563" s="71"/>
      <c r="N563" s="71"/>
    </row>
    <row r="564" spans="1:14">
      <c r="A564" s="72" t="s">
        <v>4330</v>
      </c>
      <c r="B564" s="9"/>
      <c r="C564" s="72"/>
      <c r="D564" s="391" t="s">
        <v>4330</v>
      </c>
      <c r="E564" s="72"/>
      <c r="F564" s="72"/>
      <c r="G564" s="72"/>
      <c r="H564" s="71"/>
      <c r="I564" s="391"/>
      <c r="J564" s="391"/>
      <c r="K564" s="71"/>
      <c r="L564" s="71"/>
      <c r="M564" s="71"/>
      <c r="N564" s="71"/>
    </row>
    <row r="565" spans="1:14">
      <c r="A565" s="72" t="s">
        <v>4333</v>
      </c>
      <c r="B565" s="9"/>
      <c r="C565" s="72"/>
      <c r="D565" s="391" t="s">
        <v>4333</v>
      </c>
      <c r="E565" s="72"/>
      <c r="F565" s="72"/>
      <c r="G565" s="72"/>
      <c r="H565" s="71"/>
      <c r="I565" s="391"/>
      <c r="J565" s="391"/>
      <c r="K565" s="71"/>
      <c r="L565" s="71"/>
      <c r="M565" s="71"/>
      <c r="N565" s="71"/>
    </row>
    <row r="566" spans="1:14">
      <c r="A566" s="72" t="s">
        <v>4336</v>
      </c>
      <c r="B566" s="9"/>
      <c r="C566" s="72"/>
      <c r="D566" s="391" t="s">
        <v>4336</v>
      </c>
      <c r="E566" s="72"/>
      <c r="F566" s="72"/>
      <c r="G566" s="72"/>
      <c r="H566" s="71"/>
      <c r="I566" s="391"/>
      <c r="J566" s="391"/>
      <c r="K566" s="71"/>
      <c r="L566" s="71"/>
      <c r="M566" s="71"/>
      <c r="N566" s="71"/>
    </row>
    <row r="567" spans="1:14">
      <c r="A567" s="72" t="s">
        <v>4339</v>
      </c>
      <c r="B567" s="9"/>
      <c r="C567" s="72"/>
      <c r="D567" s="391" t="s">
        <v>4339</v>
      </c>
      <c r="E567" s="72"/>
      <c r="F567" s="72"/>
      <c r="G567" s="72"/>
      <c r="H567" s="71"/>
      <c r="I567" s="391"/>
      <c r="J567" s="391"/>
      <c r="K567" s="71"/>
      <c r="L567" s="71"/>
      <c r="M567" s="71"/>
      <c r="N567" s="71"/>
    </row>
    <row r="568" spans="1:14">
      <c r="A568" s="72" t="s">
        <v>4342</v>
      </c>
      <c r="B568" s="9"/>
      <c r="C568" s="72"/>
      <c r="D568" s="391" t="s">
        <v>4342</v>
      </c>
      <c r="E568" s="72"/>
      <c r="F568" s="72"/>
      <c r="G568" s="72"/>
      <c r="H568" s="71"/>
      <c r="I568" s="391"/>
      <c r="J568" s="391"/>
      <c r="K568" s="71"/>
      <c r="L568" s="71"/>
      <c r="M568" s="71"/>
      <c r="N568" s="71"/>
    </row>
    <row r="569" spans="1:14">
      <c r="A569" s="72" t="s">
        <v>4345</v>
      </c>
      <c r="B569" s="9"/>
      <c r="C569" s="72" t="s">
        <v>5419</v>
      </c>
      <c r="D569" s="391" t="s">
        <v>4345</v>
      </c>
      <c r="E569" s="72"/>
      <c r="F569" s="72"/>
      <c r="G569" s="72"/>
      <c r="H569" s="71"/>
      <c r="I569" s="391"/>
      <c r="J569" s="391"/>
      <c r="K569" s="71"/>
      <c r="L569" s="71"/>
      <c r="M569" s="71"/>
      <c r="N569" s="71"/>
    </row>
    <row r="570" spans="1:14">
      <c r="A570" s="72" t="s">
        <v>4349</v>
      </c>
      <c r="B570" s="9"/>
      <c r="C570" s="72"/>
      <c r="D570" s="391" t="s">
        <v>4349</v>
      </c>
      <c r="E570" s="72"/>
      <c r="F570" s="72"/>
      <c r="G570" s="72"/>
      <c r="H570" s="71"/>
      <c r="I570" s="391"/>
      <c r="J570" s="391"/>
      <c r="K570" s="71"/>
      <c r="L570" s="71"/>
      <c r="M570" s="71"/>
      <c r="N570" s="71"/>
    </row>
    <row r="571" spans="1:14">
      <c r="A571" s="72" t="s">
        <v>4352</v>
      </c>
      <c r="B571" s="9"/>
      <c r="C571" s="72"/>
      <c r="D571" s="391" t="s">
        <v>4352</v>
      </c>
      <c r="E571" s="72"/>
      <c r="F571" s="72"/>
      <c r="G571" s="72"/>
      <c r="H571" s="71"/>
      <c r="I571" s="391"/>
      <c r="J571" s="391"/>
      <c r="K571" s="71"/>
      <c r="L571" s="71"/>
      <c r="M571" s="71"/>
      <c r="N571" s="71"/>
    </row>
    <row r="572" spans="1:14">
      <c r="A572" s="72" t="s">
        <v>4355</v>
      </c>
      <c r="B572" s="9"/>
      <c r="C572" s="72"/>
      <c r="D572" s="391" t="s">
        <v>4355</v>
      </c>
      <c r="E572" s="72"/>
      <c r="F572" s="72"/>
      <c r="G572" s="72"/>
      <c r="H572" s="71"/>
      <c r="I572" s="391"/>
      <c r="J572" s="391"/>
      <c r="K572" s="71"/>
      <c r="L572" s="71"/>
      <c r="M572" s="71"/>
      <c r="N572" s="71"/>
    </row>
    <row r="573" spans="1:14">
      <c r="A573" s="72" t="s">
        <v>4358</v>
      </c>
      <c r="B573" s="9"/>
      <c r="C573" s="72"/>
      <c r="D573" s="391" t="s">
        <v>4358</v>
      </c>
      <c r="E573" s="72"/>
      <c r="F573" s="72"/>
      <c r="G573" s="72"/>
      <c r="H573" s="71"/>
      <c r="I573" s="391"/>
      <c r="J573" s="391"/>
      <c r="K573" s="71"/>
      <c r="L573" s="71"/>
      <c r="M573" s="71"/>
      <c r="N573" s="71"/>
    </row>
    <row r="574" spans="1:14">
      <c r="A574" s="72" t="s">
        <v>4361</v>
      </c>
      <c r="B574" s="9"/>
      <c r="C574" s="72"/>
      <c r="D574" s="391" t="s">
        <v>4361</v>
      </c>
      <c r="E574" s="72"/>
      <c r="F574" s="72"/>
      <c r="G574" s="72"/>
      <c r="H574" s="71"/>
      <c r="I574" s="391"/>
      <c r="J574" s="391"/>
      <c r="K574" s="71"/>
      <c r="L574" s="71"/>
      <c r="M574" s="71"/>
      <c r="N574" s="71"/>
    </row>
    <row r="575" spans="1:14">
      <c r="A575" s="72" t="s">
        <v>4364</v>
      </c>
      <c r="B575" s="9"/>
      <c r="C575" s="72"/>
      <c r="D575" s="391" t="s">
        <v>4364</v>
      </c>
      <c r="E575" s="72"/>
      <c r="F575" s="72"/>
      <c r="G575" s="72"/>
      <c r="H575" s="71"/>
      <c r="I575" s="391"/>
      <c r="J575" s="391"/>
      <c r="K575" s="71"/>
      <c r="L575" s="71"/>
      <c r="M575" s="71"/>
      <c r="N575" s="71"/>
    </row>
    <row r="576" spans="1:14">
      <c r="A576" s="72" t="s">
        <v>4367</v>
      </c>
      <c r="B576" s="9"/>
      <c r="C576" s="72"/>
      <c r="D576" s="391" t="s">
        <v>4367</v>
      </c>
      <c r="E576" s="72"/>
      <c r="F576" s="72"/>
      <c r="G576" s="72"/>
      <c r="H576" s="71"/>
      <c r="I576" s="391"/>
      <c r="J576" s="391"/>
      <c r="K576" s="71"/>
      <c r="L576" s="71"/>
      <c r="M576" s="71"/>
      <c r="N576" s="71"/>
    </row>
    <row r="577" spans="1:14">
      <c r="A577" s="72" t="s">
        <v>4370</v>
      </c>
      <c r="B577" s="9"/>
      <c r="C577" s="72"/>
      <c r="D577" s="391" t="s">
        <v>4370</v>
      </c>
      <c r="E577" s="72"/>
      <c r="F577" s="72"/>
      <c r="G577" s="72"/>
      <c r="H577" s="71"/>
      <c r="I577" s="391"/>
      <c r="J577" s="391"/>
      <c r="K577" s="71"/>
      <c r="L577" s="71"/>
      <c r="M577" s="71"/>
      <c r="N577" s="71"/>
    </row>
    <row r="578" spans="1:14">
      <c r="A578" s="72" t="s">
        <v>4372</v>
      </c>
      <c r="B578" s="9"/>
      <c r="C578" s="72"/>
      <c r="D578" s="391" t="s">
        <v>4372</v>
      </c>
      <c r="E578" s="72"/>
      <c r="F578" s="72"/>
      <c r="G578" s="72"/>
      <c r="H578" s="71"/>
      <c r="I578" s="391"/>
      <c r="J578" s="391"/>
      <c r="K578" s="71"/>
      <c r="L578" s="71"/>
      <c r="M578" s="71"/>
      <c r="N578" s="71"/>
    </row>
    <row r="579" spans="1:14">
      <c r="A579" s="72" t="s">
        <v>4376</v>
      </c>
      <c r="B579" s="9"/>
      <c r="C579" s="72" t="s">
        <v>5419</v>
      </c>
      <c r="D579" s="391" t="s">
        <v>4376</v>
      </c>
      <c r="E579" s="72"/>
      <c r="F579" s="72"/>
      <c r="G579" s="72"/>
      <c r="H579" s="71"/>
      <c r="I579" s="391"/>
      <c r="J579" s="391"/>
      <c r="K579" s="71"/>
      <c r="L579" s="71"/>
      <c r="M579" s="71"/>
      <c r="N579" s="71"/>
    </row>
    <row r="580" spans="1:14">
      <c r="A580" s="72" t="s">
        <v>4378</v>
      </c>
      <c r="B580" s="9"/>
      <c r="C580" s="72" t="s">
        <v>5419</v>
      </c>
      <c r="D580" s="391" t="s">
        <v>4378</v>
      </c>
      <c r="E580" s="72"/>
      <c r="F580" s="72"/>
      <c r="G580" s="72"/>
      <c r="H580" s="71"/>
      <c r="I580" s="391"/>
      <c r="J580" s="391"/>
      <c r="K580" s="71"/>
      <c r="L580" s="71"/>
      <c r="M580" s="71"/>
      <c r="N580" s="71"/>
    </row>
    <row r="581" spans="1:14">
      <c r="A581" s="72" t="s">
        <v>4380</v>
      </c>
      <c r="B581" s="405"/>
      <c r="C581" s="82" t="s">
        <v>5419</v>
      </c>
      <c r="D581" s="391" t="s">
        <v>4380</v>
      </c>
      <c r="E581" s="72"/>
      <c r="F581" s="72"/>
      <c r="G581" s="72"/>
      <c r="H581" s="71"/>
      <c r="I581" s="391"/>
      <c r="J581" s="391"/>
      <c r="K581" s="71"/>
      <c r="L581" s="71"/>
      <c r="M581" s="71"/>
      <c r="N581" s="71"/>
    </row>
    <row r="582" spans="1:14">
      <c r="A582" s="72" t="s">
        <v>4382</v>
      </c>
      <c r="B582" s="9"/>
      <c r="C582" s="72" t="s">
        <v>5419</v>
      </c>
      <c r="D582" s="391" t="s">
        <v>4382</v>
      </c>
      <c r="E582" s="72"/>
      <c r="F582" s="72"/>
      <c r="G582" s="72"/>
      <c r="H582" s="71"/>
      <c r="I582" s="391"/>
      <c r="J582" s="391"/>
      <c r="K582" s="71"/>
      <c r="L582" s="71"/>
      <c r="M582" s="71"/>
      <c r="N582" s="71"/>
    </row>
    <row r="583" spans="1:14" ht="15.75">
      <c r="A583" s="406"/>
      <c r="B583" s="9"/>
      <c r="C583" s="72"/>
      <c r="D583" s="407"/>
      <c r="E583" s="72"/>
      <c r="F583" s="72"/>
      <c r="G583" s="72"/>
      <c r="H583" s="71"/>
      <c r="I583" s="71"/>
      <c r="J583" s="71"/>
      <c r="K583" s="71"/>
      <c r="L583" s="71"/>
      <c r="M583" s="71"/>
      <c r="N583" s="71"/>
    </row>
    <row r="584" spans="1:14" ht="15.75">
      <c r="A584" s="406"/>
      <c r="B584" s="9"/>
      <c r="C584" s="72"/>
      <c r="D584" s="407"/>
      <c r="E584" s="72"/>
      <c r="F584" s="72"/>
      <c r="G584" s="72"/>
      <c r="H584" s="71"/>
      <c r="I584" s="71"/>
      <c r="J584" s="71"/>
      <c r="K584" s="71"/>
      <c r="L584" s="71"/>
      <c r="M584" s="71"/>
      <c r="N584" s="71"/>
    </row>
    <row r="585" spans="1:14" ht="15.75">
      <c r="A585" s="408"/>
      <c r="B585" s="9"/>
      <c r="C585" s="72"/>
      <c r="D585" s="407"/>
      <c r="E585" s="72"/>
      <c r="F585" s="72"/>
      <c r="G585" s="72"/>
      <c r="H585" s="71"/>
      <c r="I585" s="71"/>
      <c r="J585" s="71"/>
      <c r="K585" s="71"/>
      <c r="L585" s="71"/>
      <c r="M585" s="71"/>
      <c r="N585" s="71"/>
    </row>
    <row r="586" spans="1:14" ht="15.75">
      <c r="A586" s="408"/>
      <c r="B586" s="9"/>
      <c r="C586" s="72"/>
      <c r="D586" s="407"/>
      <c r="E586" s="72"/>
      <c r="F586" s="72"/>
      <c r="G586" s="72"/>
      <c r="H586" s="71"/>
      <c r="I586" s="71"/>
      <c r="J586" s="71"/>
      <c r="K586" s="71"/>
      <c r="L586" s="71"/>
      <c r="M586" s="71"/>
      <c r="N586" s="71"/>
    </row>
    <row r="587" spans="1:14" ht="15.75">
      <c r="A587" s="408"/>
      <c r="B587" s="9"/>
      <c r="C587" s="72"/>
      <c r="D587" s="407"/>
      <c r="E587" s="72"/>
      <c r="F587" s="72"/>
      <c r="G587" s="72"/>
      <c r="H587" s="71"/>
      <c r="I587" s="71"/>
      <c r="J587" s="71"/>
      <c r="K587" s="71"/>
      <c r="L587" s="71"/>
      <c r="M587" s="71"/>
      <c r="N587" s="71"/>
    </row>
    <row r="588" spans="1:14" ht="15.75">
      <c r="A588" s="408"/>
      <c r="B588" s="9"/>
      <c r="C588" s="72"/>
      <c r="D588" s="407"/>
      <c r="E588" s="72"/>
      <c r="F588" s="72"/>
      <c r="G588" s="72"/>
      <c r="H588" s="71"/>
      <c r="I588" s="71"/>
      <c r="J588" s="71"/>
      <c r="K588" s="71"/>
      <c r="L588" s="71"/>
      <c r="M588" s="71"/>
      <c r="N588" s="71"/>
    </row>
    <row r="589" spans="1:14">
      <c r="A589" s="71"/>
      <c r="B589" s="71"/>
      <c r="C589" s="71"/>
      <c r="D589" s="71"/>
      <c r="E589" s="71"/>
      <c r="F589" s="71"/>
      <c r="G589" s="71"/>
      <c r="H589" s="71"/>
      <c r="I589" s="71"/>
      <c r="J589" s="71"/>
      <c r="K589" s="71"/>
      <c r="L589" s="71"/>
      <c r="M589" s="71"/>
      <c r="N589" s="71"/>
    </row>
  </sheetData>
  <conditionalFormatting sqref="A2">
    <cfRule type="duplicateValues" dxfId="139" priority="64"/>
  </conditionalFormatting>
  <conditionalFormatting sqref="G54:G66">
    <cfRule type="duplicateValues" dxfId="138" priority="63"/>
  </conditionalFormatting>
  <conditionalFormatting sqref="G67:G70">
    <cfRule type="duplicateValues" dxfId="137" priority="60"/>
    <cfRule type="duplicateValues" dxfId="136" priority="61"/>
    <cfRule type="duplicateValues" dxfId="135" priority="62"/>
  </conditionalFormatting>
  <conditionalFormatting sqref="G71:G74">
    <cfRule type="duplicateValues" dxfId="134" priority="57"/>
    <cfRule type="duplicateValues" dxfId="133" priority="58"/>
    <cfRule type="duplicateValues" dxfId="132" priority="59"/>
  </conditionalFormatting>
  <conditionalFormatting sqref="G119:G129">
    <cfRule type="duplicateValues" dxfId="131" priority="54"/>
    <cfRule type="duplicateValues" dxfId="130" priority="55"/>
    <cfRule type="duplicateValues" dxfId="129" priority="56"/>
  </conditionalFormatting>
  <conditionalFormatting sqref="G131">
    <cfRule type="duplicateValues" dxfId="128" priority="51"/>
    <cfRule type="duplicateValues" dxfId="127" priority="52"/>
    <cfRule type="duplicateValues" dxfId="126" priority="53"/>
  </conditionalFormatting>
  <conditionalFormatting sqref="G132:G136">
    <cfRule type="duplicateValues" dxfId="125" priority="48"/>
    <cfRule type="duplicateValues" dxfId="124" priority="49"/>
    <cfRule type="duplicateValues" dxfId="123" priority="50"/>
  </conditionalFormatting>
  <conditionalFormatting sqref="G137">
    <cfRule type="duplicateValues" dxfId="122" priority="45"/>
    <cfRule type="duplicateValues" dxfId="121" priority="46"/>
    <cfRule type="duplicateValues" dxfId="120" priority="47"/>
  </conditionalFormatting>
  <conditionalFormatting sqref="G138">
    <cfRule type="duplicateValues" dxfId="119" priority="42"/>
    <cfRule type="duplicateValues" dxfId="118" priority="43"/>
    <cfRule type="duplicateValues" dxfId="117" priority="44"/>
  </conditionalFormatting>
  <conditionalFormatting sqref="G139 G82:G85">
    <cfRule type="duplicateValues" dxfId="116" priority="39"/>
    <cfRule type="duplicateValues" dxfId="115" priority="40"/>
    <cfRule type="duplicateValues" dxfId="114" priority="41"/>
  </conditionalFormatting>
  <conditionalFormatting sqref="G175:G188">
    <cfRule type="duplicateValues" dxfId="113" priority="36"/>
    <cfRule type="duplicateValues" dxfId="112" priority="37"/>
    <cfRule type="duplicateValues" dxfId="111" priority="38"/>
  </conditionalFormatting>
  <conditionalFormatting sqref="G189:G200">
    <cfRule type="duplicateValues" dxfId="110" priority="33"/>
    <cfRule type="duplicateValues" dxfId="109" priority="34"/>
    <cfRule type="duplicateValues" dxfId="108" priority="35"/>
  </conditionalFormatting>
  <conditionalFormatting sqref="G201:G204">
    <cfRule type="duplicateValues" dxfId="107" priority="31"/>
  </conditionalFormatting>
  <conditionalFormatting sqref="G205:G214">
    <cfRule type="duplicateValues" dxfId="106" priority="29"/>
    <cfRule type="duplicateValues" dxfId="105" priority="30"/>
  </conditionalFormatting>
  <conditionalFormatting sqref="G205:G214">
    <cfRule type="duplicateValues" dxfId="104" priority="28"/>
  </conditionalFormatting>
  <conditionalFormatting sqref="G215:G223">
    <cfRule type="duplicateValues" dxfId="103" priority="26"/>
    <cfRule type="duplicateValues" dxfId="102" priority="27"/>
  </conditionalFormatting>
  <conditionalFormatting sqref="G215:G223">
    <cfRule type="duplicateValues" dxfId="101" priority="25"/>
  </conditionalFormatting>
  <conditionalFormatting sqref="G224:G228 G86:G89">
    <cfRule type="duplicateValues" dxfId="100" priority="32"/>
  </conditionalFormatting>
  <conditionalFormatting sqref="D82:D85">
    <cfRule type="duplicateValues" dxfId="99" priority="22"/>
    <cfRule type="duplicateValues" dxfId="98" priority="23"/>
    <cfRule type="duplicateValues" dxfId="97" priority="24"/>
  </conditionalFormatting>
  <conditionalFormatting sqref="D82:D85">
    <cfRule type="duplicateValues" dxfId="96" priority="21"/>
  </conditionalFormatting>
  <conditionalFormatting sqref="A589:B589 A1:B1 A2 B548:B560">
    <cfRule type="duplicateValues" dxfId="95" priority="20"/>
  </conditionalFormatting>
  <conditionalFormatting sqref="A589:B589 A1:B1 A2 B548:B560">
    <cfRule type="colorScale" priority="19">
      <colorScale>
        <cfvo type="min"/>
        <cfvo type="percentile" val="50"/>
        <cfvo type="max"/>
        <color rgb="FFF8696B"/>
        <color rgb="FFFFEB84"/>
        <color rgb="FF63BE7B"/>
      </colorScale>
    </cfRule>
  </conditionalFormatting>
  <conditionalFormatting sqref="A589:B589">
    <cfRule type="duplicateValues" dxfId="94" priority="65"/>
  </conditionalFormatting>
  <conditionalFormatting sqref="A589:B589 C457:C467 A1:B1 H1:H101 H220:H281 H548:H589 A2 B548:B560">
    <cfRule type="duplicateValues" dxfId="93" priority="18"/>
  </conditionalFormatting>
  <conditionalFormatting sqref="C457:C467 A2">
    <cfRule type="duplicateValues" dxfId="92" priority="66"/>
  </conditionalFormatting>
  <conditionalFormatting sqref="K410:K412">
    <cfRule type="duplicateValues" dxfId="91" priority="17"/>
  </conditionalFormatting>
  <conditionalFormatting sqref="A2">
    <cfRule type="duplicateValues" dxfId="90" priority="67"/>
  </conditionalFormatting>
  <conditionalFormatting sqref="A583:A588">
    <cfRule type="duplicateValues" dxfId="89" priority="16"/>
  </conditionalFormatting>
  <conditionalFormatting sqref="A583:A588">
    <cfRule type="duplicateValues" dxfId="88" priority="15"/>
  </conditionalFormatting>
  <conditionalFormatting sqref="B561:B588 B2:B547">
    <cfRule type="duplicateValues" dxfId="87" priority="68"/>
  </conditionalFormatting>
  <conditionalFormatting sqref="A583:A589 A1:A2">
    <cfRule type="duplicateValues" dxfId="86" priority="69"/>
    <cfRule type="duplicateValues" dxfId="85" priority="70"/>
  </conditionalFormatting>
  <conditionalFormatting sqref="A2">
    <cfRule type="duplicateValues" dxfId="84" priority="14"/>
  </conditionalFormatting>
  <conditionalFormatting sqref="A583:A589 A1:A2">
    <cfRule type="duplicateValues" dxfId="83" priority="9"/>
    <cfRule type="duplicateValues" dxfId="82" priority="10"/>
    <cfRule type="duplicateValues" dxfId="81" priority="11"/>
    <cfRule type="duplicateValues" dxfId="80" priority="12"/>
    <cfRule type="duplicateValues" dxfId="79" priority="13"/>
  </conditionalFormatting>
  <conditionalFormatting sqref="A3:A582">
    <cfRule type="duplicateValues" dxfId="78" priority="71"/>
  </conditionalFormatting>
  <conditionalFormatting sqref="D558:D560">
    <cfRule type="duplicateValues" dxfId="77" priority="8"/>
  </conditionalFormatting>
  <conditionalFormatting sqref="F558:F560">
    <cfRule type="duplicateValues" dxfId="76" priority="7"/>
  </conditionalFormatting>
  <conditionalFormatting sqref="D530">
    <cfRule type="duplicateValues" dxfId="75" priority="6"/>
  </conditionalFormatting>
  <conditionalFormatting sqref="D539:D542">
    <cfRule type="duplicateValues" dxfId="74" priority="5"/>
  </conditionalFormatting>
  <conditionalFormatting sqref="D544:D551">
    <cfRule type="duplicateValues" dxfId="73" priority="4"/>
  </conditionalFormatting>
  <conditionalFormatting sqref="D553">
    <cfRule type="duplicateValues" dxfId="72" priority="3"/>
  </conditionalFormatting>
  <conditionalFormatting sqref="D555">
    <cfRule type="duplicateValues" dxfId="71" priority="2"/>
  </conditionalFormatting>
  <conditionalFormatting sqref="D557">
    <cfRule type="duplicateValues" dxfId="70" priority="1"/>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AB952-6A68-43D6-9335-3FA82211EC37}">
  <dimension ref="A1:BG153"/>
  <sheetViews>
    <sheetView topLeftCell="Z1" workbookViewId="0">
      <selection sqref="A1:Y1048576"/>
    </sheetView>
  </sheetViews>
  <sheetFormatPr defaultRowHeight="15"/>
  <cols>
    <col min="1" max="25" width="0" hidden="1" customWidth="1"/>
    <col min="46" max="46" width="17.140625" customWidth="1"/>
    <col min="48" max="48" width="16.42578125" customWidth="1"/>
    <col min="52" max="52" width="12.140625" customWidth="1"/>
    <col min="56" max="56" width="13.85546875" style="9" customWidth="1"/>
  </cols>
  <sheetData>
    <row r="1" spans="1:59" ht="60.75">
      <c r="A1" s="409" t="s">
        <v>5420</v>
      </c>
      <c r="B1" s="410" t="s">
        <v>5421</v>
      </c>
      <c r="C1" s="410" t="s">
        <v>5422</v>
      </c>
      <c r="D1" s="411"/>
      <c r="E1" s="412"/>
      <c r="F1" s="412"/>
      <c r="G1" s="409" t="s">
        <v>5423</v>
      </c>
      <c r="H1" s="412"/>
      <c r="I1" s="412"/>
      <c r="J1" s="412"/>
      <c r="K1" s="410" t="s">
        <v>5424</v>
      </c>
      <c r="L1" s="410" t="s">
        <v>5421</v>
      </c>
      <c r="M1" s="410" t="s">
        <v>5422</v>
      </c>
      <c r="N1" s="412"/>
      <c r="O1" s="412"/>
      <c r="P1" s="413" t="s">
        <v>5420</v>
      </c>
      <c r="Q1" s="412"/>
      <c r="R1" s="412"/>
      <c r="S1" s="412"/>
      <c r="T1" s="414" t="s">
        <v>5425</v>
      </c>
      <c r="U1" s="410" t="s">
        <v>5421</v>
      </c>
      <c r="V1" s="410" t="s">
        <v>5422</v>
      </c>
      <c r="W1" s="415" t="s">
        <v>5426</v>
      </c>
      <c r="X1" s="412"/>
      <c r="Y1" s="412"/>
      <c r="Z1" s="409" t="s">
        <v>5427</v>
      </c>
      <c r="AA1" s="411"/>
      <c r="AB1" s="412"/>
      <c r="AC1" s="416" t="s">
        <v>5428</v>
      </c>
      <c r="AD1" s="412"/>
      <c r="AE1" s="412"/>
      <c r="AF1" s="417" t="s">
        <v>5429</v>
      </c>
      <c r="AG1" s="413"/>
      <c r="AH1" s="414" t="s">
        <v>5430</v>
      </c>
      <c r="AI1" s="412"/>
      <c r="AJ1" s="414" t="s">
        <v>5431</v>
      </c>
      <c r="AK1" s="412"/>
      <c r="AL1" s="417" t="s">
        <v>5432</v>
      </c>
      <c r="AM1" s="413"/>
      <c r="AN1" s="414" t="s">
        <v>5433</v>
      </c>
      <c r="AO1" s="418"/>
      <c r="AP1" s="417" t="s">
        <v>5434</v>
      </c>
      <c r="AQ1" s="412"/>
      <c r="AR1" s="414" t="s">
        <v>5435</v>
      </c>
      <c r="AS1" s="412"/>
      <c r="AT1" s="417" t="s">
        <v>5436</v>
      </c>
      <c r="AU1" s="412"/>
      <c r="AV1" s="417" t="s">
        <v>5437</v>
      </c>
      <c r="AW1" s="412"/>
      <c r="AX1" s="419" t="s">
        <v>5438</v>
      </c>
      <c r="AY1" s="412"/>
      <c r="AZ1" s="417" t="s">
        <v>5439</v>
      </c>
      <c r="BA1" s="412"/>
      <c r="BB1" s="419" t="s">
        <v>5440</v>
      </c>
      <c r="BC1" s="412"/>
      <c r="BD1" s="417" t="s">
        <v>5441</v>
      </c>
      <c r="BE1" s="412"/>
      <c r="BF1" s="419" t="s">
        <v>5442</v>
      </c>
      <c r="BG1" s="412"/>
    </row>
    <row r="2" spans="1:59" ht="15.75">
      <c r="A2" s="420" t="s">
        <v>3797</v>
      </c>
      <c r="B2" s="9"/>
      <c r="C2" s="9"/>
      <c r="D2" s="9"/>
      <c r="G2" s="421" t="s">
        <v>5443</v>
      </c>
      <c r="I2" s="422"/>
      <c r="K2" s="423" t="s">
        <v>5444</v>
      </c>
      <c r="L2" s="9"/>
      <c r="M2" s="9"/>
      <c r="P2" s="424" t="s">
        <v>5445</v>
      </c>
      <c r="Q2" s="425" t="s">
        <v>5446</v>
      </c>
      <c r="T2" s="426" t="s">
        <v>1606</v>
      </c>
      <c r="U2" t="str">
        <f>VLOOKUP(T2,'[1]WES log'!B:E,4,FALSE)</f>
        <v>COT</v>
      </c>
      <c r="Z2" s="427" t="s">
        <v>2699</v>
      </c>
      <c r="AA2" s="428" t="s">
        <v>5346</v>
      </c>
      <c r="AC2" s="429" t="s">
        <v>1606</v>
      </c>
      <c r="AF2" s="430" t="s">
        <v>2242</v>
      </c>
      <c r="AG2" s="431"/>
      <c r="AH2" s="389" t="s">
        <v>3023</v>
      </c>
      <c r="AJ2" s="394" t="s">
        <v>5408</v>
      </c>
      <c r="AK2" s="432"/>
      <c r="AL2" s="433" t="s">
        <v>2295</v>
      </c>
      <c r="AM2" s="434"/>
      <c r="AN2" s="435" t="s">
        <v>3601</v>
      </c>
      <c r="AO2" s="436"/>
      <c r="AP2" s="283" t="s">
        <v>3023</v>
      </c>
      <c r="AR2" s="432" t="s">
        <v>5447</v>
      </c>
      <c r="AT2" s="69" t="s">
        <v>3573</v>
      </c>
      <c r="AV2" s="432" t="s">
        <v>2934</v>
      </c>
      <c r="AX2" s="286" t="s">
        <v>2787</v>
      </c>
      <c r="AZ2" s="69" t="s">
        <v>2844</v>
      </c>
      <c r="BB2" s="437" t="s">
        <v>4295</v>
      </c>
      <c r="BD2" s="283" t="s">
        <v>2850</v>
      </c>
      <c r="BE2" s="69"/>
      <c r="BF2" s="432" t="s">
        <v>3712</v>
      </c>
    </row>
    <row r="3" spans="1:59" ht="15.75">
      <c r="A3" s="420" t="s">
        <v>743</v>
      </c>
      <c r="B3" s="9"/>
      <c r="C3" s="9"/>
      <c r="D3" s="9"/>
      <c r="G3" s="438" t="s">
        <v>5448</v>
      </c>
      <c r="I3" s="422"/>
      <c r="K3" s="423" t="s">
        <v>5449</v>
      </c>
      <c r="L3" s="9"/>
      <c r="M3" s="9"/>
      <c r="P3" s="439" t="s">
        <v>1639</v>
      </c>
      <c r="Q3" s="439" t="s">
        <v>2607</v>
      </c>
      <c r="T3" s="426" t="s">
        <v>1612</v>
      </c>
      <c r="U3" t="str">
        <f>VLOOKUP(T3,'[1]WES log'!B:E,4,FALSE)</f>
        <v>COT</v>
      </c>
      <c r="Z3" s="401" t="s">
        <v>2707</v>
      </c>
      <c r="AA3" s="72" t="s">
        <v>3</v>
      </c>
      <c r="AC3" s="440" t="s">
        <v>1612</v>
      </c>
      <c r="AF3" s="430" t="s">
        <v>1253</v>
      </c>
      <c r="AG3" s="431"/>
      <c r="AH3" s="389" t="s">
        <v>3030</v>
      </c>
      <c r="AJ3" s="394" t="s">
        <v>3726</v>
      </c>
      <c r="AK3" s="432"/>
      <c r="AL3" s="433" t="s">
        <v>2302</v>
      </c>
      <c r="AM3" s="434"/>
      <c r="AN3" s="435" t="s">
        <v>3605</v>
      </c>
      <c r="AO3" s="436"/>
      <c r="AP3" s="283" t="s">
        <v>3030</v>
      </c>
      <c r="AR3" s="432" t="s">
        <v>5450</v>
      </c>
      <c r="AT3" s="69" t="s">
        <v>3652</v>
      </c>
      <c r="AV3" s="432" t="s">
        <v>2939</v>
      </c>
      <c r="AX3" s="286" t="s">
        <v>4259</v>
      </c>
      <c r="AZ3" s="69" t="s">
        <v>4072</v>
      </c>
      <c r="BB3" s="437" t="s">
        <v>4307</v>
      </c>
      <c r="BD3" s="283" t="s">
        <v>2885</v>
      </c>
      <c r="BE3" s="69"/>
      <c r="BF3" s="70" t="s">
        <v>3750</v>
      </c>
    </row>
    <row r="4" spans="1:59" ht="15.75">
      <c r="A4" s="420" t="s">
        <v>717</v>
      </c>
      <c r="B4" s="9"/>
      <c r="C4" s="9"/>
      <c r="D4" s="9"/>
      <c r="G4" s="438" t="s">
        <v>5451</v>
      </c>
      <c r="I4" s="422"/>
      <c r="K4" s="423" t="s">
        <v>5452</v>
      </c>
      <c r="L4" s="9"/>
      <c r="M4" s="9"/>
      <c r="P4" s="439" t="s">
        <v>1820</v>
      </c>
      <c r="Q4" s="439" t="s">
        <v>2611</v>
      </c>
      <c r="T4" s="426" t="s">
        <v>1815</v>
      </c>
      <c r="U4" t="str">
        <f>VLOOKUP(T4,'[1]WES log'!B:E,4,FALSE)</f>
        <v>CS</v>
      </c>
      <c r="Z4" s="401" t="s">
        <v>2734</v>
      </c>
      <c r="AA4" s="72" t="s">
        <v>5</v>
      </c>
      <c r="AC4" s="440" t="s">
        <v>1815</v>
      </c>
      <c r="AF4" s="430" t="s">
        <v>649</v>
      </c>
      <c r="AG4" s="431"/>
      <c r="AH4" s="389" t="s">
        <v>3036</v>
      </c>
      <c r="AJ4" s="394" t="s">
        <v>2432</v>
      </c>
      <c r="AK4" s="432"/>
      <c r="AL4" s="433" t="s">
        <v>4546</v>
      </c>
      <c r="AM4" s="434"/>
      <c r="AN4" s="435" t="s">
        <v>3608</v>
      </c>
      <c r="AO4" s="436"/>
      <c r="AP4" s="283" t="s">
        <v>3036</v>
      </c>
      <c r="AR4" s="432" t="s">
        <v>5453</v>
      </c>
      <c r="AT4" s="69" t="s">
        <v>3406</v>
      </c>
      <c r="AV4" s="432" t="s">
        <v>2944</v>
      </c>
      <c r="AX4" s="286" t="s">
        <v>4267</v>
      </c>
      <c r="AZ4" s="69" t="s">
        <v>4080</v>
      </c>
      <c r="BB4" s="437" t="s">
        <v>3811</v>
      </c>
      <c r="BD4" s="283" t="s">
        <v>4085</v>
      </c>
      <c r="BE4" s="69"/>
      <c r="BF4" s="70" t="s">
        <v>3759</v>
      </c>
    </row>
    <row r="5" spans="1:59" ht="15.75">
      <c r="A5" s="420" t="s">
        <v>794</v>
      </c>
      <c r="B5" s="9" t="s">
        <v>27</v>
      </c>
      <c r="C5" s="9" t="s">
        <v>797</v>
      </c>
      <c r="D5" s="9"/>
      <c r="G5" s="438" t="s">
        <v>5454</v>
      </c>
      <c r="I5" s="422"/>
      <c r="K5" s="423" t="s">
        <v>5455</v>
      </c>
      <c r="L5" s="9"/>
      <c r="M5" s="9"/>
      <c r="N5" s="412"/>
      <c r="P5" s="439" t="s">
        <v>1263</v>
      </c>
      <c r="Q5" s="439" t="s">
        <v>2615</v>
      </c>
      <c r="T5" s="426" t="s">
        <v>1617</v>
      </c>
      <c r="U5" t="str">
        <f>VLOOKUP(T5,'[1]WES log'!B:E,4,FALSE)</f>
        <v>COT</v>
      </c>
      <c r="Z5" s="441" t="s">
        <v>2764</v>
      </c>
      <c r="AA5" s="82" t="s">
        <v>4</v>
      </c>
      <c r="AC5" s="440" t="s">
        <v>1617</v>
      </c>
      <c r="AF5" s="430" t="s">
        <v>4482</v>
      </c>
      <c r="AG5" s="431"/>
      <c r="AH5" s="389" t="s">
        <v>3042</v>
      </c>
      <c r="AJ5" s="394" t="s">
        <v>2437</v>
      </c>
      <c r="AK5" s="432"/>
      <c r="AL5" s="433" t="s">
        <v>4728</v>
      </c>
      <c r="AM5" s="434"/>
      <c r="AN5" s="435" t="s">
        <v>3611</v>
      </c>
      <c r="AO5" s="436"/>
      <c r="AP5" s="283" t="s">
        <v>3042</v>
      </c>
      <c r="AR5" s="432" t="s">
        <v>5456</v>
      </c>
      <c r="AT5" s="69" t="s">
        <v>3464</v>
      </c>
      <c r="AV5" s="432" t="s">
        <v>2954</v>
      </c>
      <c r="AX5" s="286" t="s">
        <v>4274</v>
      </c>
      <c r="AZ5" s="69" t="s">
        <v>4136</v>
      </c>
      <c r="BB5" s="437" t="s">
        <v>3814</v>
      </c>
      <c r="BD5" s="283" t="s">
        <v>2890</v>
      </c>
      <c r="BE5" s="69"/>
      <c r="BF5" s="70" t="s">
        <v>3770</v>
      </c>
    </row>
    <row r="6" spans="1:59" ht="15.75">
      <c r="A6" s="442" t="s">
        <v>1838</v>
      </c>
      <c r="B6" s="9"/>
      <c r="C6" s="9"/>
      <c r="D6" s="9"/>
      <c r="G6" s="438" t="s">
        <v>5457</v>
      </c>
      <c r="I6" s="422"/>
      <c r="K6" s="423" t="s">
        <v>5458</v>
      </c>
      <c r="L6" s="9"/>
      <c r="M6" s="9"/>
      <c r="P6" s="439" t="s">
        <v>1645</v>
      </c>
      <c r="Q6" s="439" t="s">
        <v>2619</v>
      </c>
      <c r="T6" s="426" t="s">
        <v>1623</v>
      </c>
      <c r="U6" t="str">
        <f>VLOOKUP(T6,'[1]WES log'!B:E,4,FALSE)</f>
        <v>COT</v>
      </c>
      <c r="Z6" s="78" t="s">
        <v>2566</v>
      </c>
      <c r="AA6" s="72" t="s">
        <v>188</v>
      </c>
      <c r="AC6" s="440" t="s">
        <v>1623</v>
      </c>
      <c r="AF6" s="430" t="s">
        <v>655</v>
      </c>
      <c r="AG6" s="431"/>
      <c r="AH6" s="389" t="s">
        <v>3048</v>
      </c>
      <c r="AJ6" s="394" t="s">
        <v>2442</v>
      </c>
      <c r="AK6" s="432"/>
      <c r="AL6" s="433" t="s">
        <v>3726</v>
      </c>
      <c r="AM6" s="434"/>
      <c r="AN6" s="435" t="s">
        <v>3614</v>
      </c>
      <c r="AO6" s="436"/>
      <c r="AP6" s="283" t="s">
        <v>3048</v>
      </c>
      <c r="AR6" s="432" t="s">
        <v>5459</v>
      </c>
      <c r="AT6" s="69" t="s">
        <v>3592</v>
      </c>
      <c r="AV6" s="432" t="s">
        <v>2959</v>
      </c>
      <c r="AX6" s="286" t="s">
        <v>4282</v>
      </c>
      <c r="AZ6" s="69" t="s">
        <v>4141</v>
      </c>
      <c r="BB6" s="437" t="s">
        <v>3818</v>
      </c>
      <c r="BD6" s="283" t="s">
        <v>2855</v>
      </c>
      <c r="BE6" s="69"/>
      <c r="BF6" s="70" t="s">
        <v>3789</v>
      </c>
    </row>
    <row r="7" spans="1:59" ht="15.75">
      <c r="A7" s="420" t="s">
        <v>676</v>
      </c>
      <c r="B7" s="9"/>
      <c r="C7" s="9"/>
      <c r="D7" s="9"/>
      <c r="G7" s="438" t="s">
        <v>5460</v>
      </c>
      <c r="I7" s="422"/>
      <c r="K7" s="423" t="s">
        <v>5461</v>
      </c>
      <c r="L7" s="9"/>
      <c r="M7" s="9"/>
      <c r="P7" s="439" t="s">
        <v>1269</v>
      </c>
      <c r="Q7" s="439" t="s">
        <v>2623</v>
      </c>
      <c r="T7" s="426" t="s">
        <v>1629</v>
      </c>
      <c r="U7" t="str">
        <f>VLOOKUP(T7,'[1]WES log'!B:E,4,FALSE)</f>
        <v>COT</v>
      </c>
      <c r="Z7" s="78" t="s">
        <v>2570</v>
      </c>
      <c r="AA7" s="72" t="s">
        <v>188</v>
      </c>
      <c r="AC7" s="440" t="s">
        <v>1629</v>
      </c>
      <c r="AF7" s="430" t="s">
        <v>661</v>
      </c>
      <c r="AG7" s="431"/>
      <c r="AH7" s="389" t="s">
        <v>3053</v>
      </c>
      <c r="AJ7" s="394" t="s">
        <v>2447</v>
      </c>
      <c r="AK7" s="432"/>
      <c r="AL7" s="433" t="s">
        <v>2432</v>
      </c>
      <c r="AM7" s="434"/>
      <c r="AN7" s="435" t="s">
        <v>3617</v>
      </c>
      <c r="AO7" s="436"/>
      <c r="AP7" s="283" t="s">
        <v>3053</v>
      </c>
      <c r="AR7" s="432" t="s">
        <v>5462</v>
      </c>
      <c r="AT7" s="69" t="s">
        <v>3436</v>
      </c>
      <c r="AV7" s="432" t="s">
        <v>2964</v>
      </c>
      <c r="AX7" s="286" t="s">
        <v>4289</v>
      </c>
      <c r="AZ7" s="69" t="s">
        <v>4146</v>
      </c>
      <c r="BB7" s="437" t="s">
        <v>3780</v>
      </c>
      <c r="BD7" s="283" t="s">
        <v>2900</v>
      </c>
      <c r="BE7" s="69"/>
      <c r="BF7" s="70" t="s">
        <v>3793</v>
      </c>
    </row>
    <row r="8" spans="1:59" ht="15.75">
      <c r="A8" s="420" t="s">
        <v>769</v>
      </c>
      <c r="B8" s="9"/>
      <c r="C8" s="9"/>
      <c r="D8" s="9"/>
      <c r="G8" s="438" t="s">
        <v>5463</v>
      </c>
      <c r="I8" s="422"/>
      <c r="K8" s="423" t="s">
        <v>5464</v>
      </c>
      <c r="L8" s="9"/>
      <c r="M8" s="9"/>
      <c r="P8" s="439" t="s">
        <v>1912</v>
      </c>
      <c r="Q8" s="439" t="s">
        <v>2627</v>
      </c>
      <c r="T8" s="426" t="s">
        <v>1242</v>
      </c>
      <c r="U8" t="str">
        <f>VLOOKUP(T8,'[1]WES log'!B:E,4,FALSE)</f>
        <v>CTN</v>
      </c>
      <c r="Z8" s="78" t="s">
        <v>2574</v>
      </c>
      <c r="AA8" s="72" t="s">
        <v>188</v>
      </c>
      <c r="AC8" s="440" t="s">
        <v>1242</v>
      </c>
      <c r="AF8" s="430" t="s">
        <v>666</v>
      </c>
      <c r="AG8" s="431"/>
      <c r="AH8" s="389" t="s">
        <v>3059</v>
      </c>
      <c r="AJ8" s="394" t="s">
        <v>2453</v>
      </c>
      <c r="AK8" s="432"/>
      <c r="AL8" s="433" t="s">
        <v>2437</v>
      </c>
      <c r="AM8" s="434"/>
      <c r="AN8" s="435" t="s">
        <v>3620</v>
      </c>
      <c r="AO8" s="436"/>
      <c r="AP8" s="283" t="s">
        <v>3059</v>
      </c>
      <c r="AR8" s="432" t="s">
        <v>5465</v>
      </c>
      <c r="AT8" s="69" t="s">
        <v>3637</v>
      </c>
      <c r="AV8" s="432" t="s">
        <v>2969</v>
      </c>
      <c r="AX8" s="286" t="s">
        <v>3729</v>
      </c>
      <c r="AZ8" s="69" t="s">
        <v>4151</v>
      </c>
      <c r="BB8" s="432" t="s">
        <v>4190</v>
      </c>
      <c r="BD8" s="283" t="s">
        <v>2860</v>
      </c>
      <c r="BE8" s="69"/>
      <c r="BF8" s="70" t="s">
        <v>3823</v>
      </c>
    </row>
    <row r="9" spans="1:59" ht="15.75">
      <c r="A9" s="420" t="s">
        <v>4432</v>
      </c>
      <c r="B9" s="9" t="s">
        <v>27</v>
      </c>
      <c r="C9" s="9"/>
      <c r="D9" s="9"/>
      <c r="G9" s="438" t="s">
        <v>5466</v>
      </c>
      <c r="I9" s="422"/>
      <c r="K9" s="423" t="s">
        <v>5467</v>
      </c>
      <c r="L9" s="9"/>
      <c r="M9" s="9"/>
      <c r="P9" s="439" t="s">
        <v>4608</v>
      </c>
      <c r="Q9" s="439" t="s">
        <v>2631</v>
      </c>
      <c r="T9" s="426" t="s">
        <v>1634</v>
      </c>
      <c r="U9" t="str">
        <f>VLOOKUP(T9,'[1]WES log'!B:E,4,FALSE)</f>
        <v>COT</v>
      </c>
      <c r="Z9" s="78" t="s">
        <v>2578</v>
      </c>
      <c r="AA9" s="72" t="s">
        <v>188</v>
      </c>
      <c r="AC9" s="440" t="s">
        <v>1634</v>
      </c>
      <c r="AF9" s="430" t="s">
        <v>1242</v>
      </c>
      <c r="AG9" s="431"/>
      <c r="AH9" s="389" t="s">
        <v>3065</v>
      </c>
      <c r="AJ9" s="394" t="s">
        <v>2458</v>
      </c>
      <c r="AK9" s="432"/>
      <c r="AL9" s="433" t="s">
        <v>2442</v>
      </c>
      <c r="AM9" s="434"/>
      <c r="AN9" s="435" t="s">
        <v>3624</v>
      </c>
      <c r="AO9" s="436"/>
      <c r="AP9" s="283" t="s">
        <v>3065</v>
      </c>
      <c r="AR9" s="432" t="s">
        <v>5468</v>
      </c>
      <c r="AT9" s="69" t="s">
        <v>3286</v>
      </c>
      <c r="AV9" s="432" t="s">
        <v>2973</v>
      </c>
      <c r="AX9" s="286" t="s">
        <v>3735</v>
      </c>
      <c r="AZ9" s="69" t="s">
        <v>4156</v>
      </c>
      <c r="BB9" s="432" t="s">
        <v>3014</v>
      </c>
      <c r="BD9" s="283" t="s">
        <v>2895</v>
      </c>
      <c r="BE9" s="69"/>
      <c r="BF9" s="70" t="s">
        <v>3827</v>
      </c>
    </row>
    <row r="10" spans="1:59" ht="15.75">
      <c r="A10" s="442" t="s">
        <v>2253</v>
      </c>
      <c r="B10" s="9" t="s">
        <v>27</v>
      </c>
      <c r="C10" s="9"/>
      <c r="D10" s="9"/>
      <c r="G10" s="438" t="s">
        <v>5469</v>
      </c>
      <c r="I10" s="422"/>
      <c r="K10" s="423" t="s">
        <v>5470</v>
      </c>
      <c r="L10" s="9"/>
      <c r="M10" s="9"/>
      <c r="P10" s="439" t="s">
        <v>1929</v>
      </c>
      <c r="Q10" s="439" t="s">
        <v>2635</v>
      </c>
      <c r="T10" s="426" t="s">
        <v>1248</v>
      </c>
      <c r="U10" t="str">
        <f>VLOOKUP(T10,'[1]WES log'!B:E,4,FALSE)</f>
        <v>CTN</v>
      </c>
      <c r="Z10" s="78" t="s">
        <v>2582</v>
      </c>
      <c r="AA10" s="72" t="s">
        <v>188</v>
      </c>
      <c r="AC10" s="440" t="s">
        <v>1248</v>
      </c>
      <c r="AF10" s="430" t="s">
        <v>1915</v>
      </c>
      <c r="AG10" s="431"/>
      <c r="AH10" s="389" t="s">
        <v>3071</v>
      </c>
      <c r="AJ10" s="394" t="s">
        <v>2463</v>
      </c>
      <c r="AK10" s="432"/>
      <c r="AL10" s="433" t="s">
        <v>2447</v>
      </c>
      <c r="AM10" s="434"/>
      <c r="AN10" s="435" t="s">
        <v>3627</v>
      </c>
      <c r="AO10" s="436"/>
      <c r="AP10" s="283" t="s">
        <v>3071</v>
      </c>
      <c r="AR10" s="432" t="s">
        <v>5471</v>
      </c>
      <c r="AT10" s="69" t="s">
        <v>3392</v>
      </c>
      <c r="AV10" s="432" t="s">
        <v>2978</v>
      </c>
      <c r="AX10" s="286" t="s">
        <v>3742</v>
      </c>
      <c r="AZ10" s="69" t="s">
        <v>4160</v>
      </c>
      <c r="BB10" s="432" t="s">
        <v>4195</v>
      </c>
      <c r="BD10" s="283" t="s">
        <v>2865</v>
      </c>
      <c r="BF10" s="70" t="s">
        <v>3833</v>
      </c>
    </row>
    <row r="11" spans="1:59" ht="15.75">
      <c r="A11" s="420" t="s">
        <v>2269</v>
      </c>
      <c r="B11" s="9" t="s">
        <v>27</v>
      </c>
      <c r="C11" s="9"/>
      <c r="D11" s="9"/>
      <c r="G11" s="438" t="s">
        <v>5472</v>
      </c>
      <c r="I11" s="422"/>
      <c r="K11" s="423" t="s">
        <v>5473</v>
      </c>
      <c r="L11" s="9"/>
      <c r="M11" s="9"/>
      <c r="P11" s="439" t="s">
        <v>1826</v>
      </c>
      <c r="Q11" s="439" t="s">
        <v>2640</v>
      </c>
      <c r="T11" s="426" t="s">
        <v>1253</v>
      </c>
      <c r="U11" t="str">
        <f>VLOOKUP(T11,'[1]WES log'!B:E,4,FALSE)</f>
        <v>CTN</v>
      </c>
      <c r="Z11" s="78" t="s">
        <v>2586</v>
      </c>
      <c r="AA11" s="72" t="s">
        <v>188</v>
      </c>
      <c r="AC11" s="440" t="s">
        <v>1253</v>
      </c>
      <c r="AF11" s="430" t="s">
        <v>1612</v>
      </c>
      <c r="AG11" s="431"/>
      <c r="AH11" s="389" t="s">
        <v>3076</v>
      </c>
      <c r="AJ11" s="394" t="s">
        <v>4570</v>
      </c>
      <c r="AK11" s="432"/>
      <c r="AL11" s="433" t="s">
        <v>2453</v>
      </c>
      <c r="AM11" s="434"/>
      <c r="AN11" s="435" t="s">
        <v>4577</v>
      </c>
      <c r="AO11" s="436"/>
      <c r="AP11" s="283" t="s">
        <v>3076</v>
      </c>
      <c r="AR11" s="432" t="s">
        <v>5474</v>
      </c>
      <c r="AT11" s="69" t="s">
        <v>3577</v>
      </c>
      <c r="AV11" s="432" t="s">
        <v>2983</v>
      </c>
      <c r="AX11" s="286" t="s">
        <v>3754</v>
      </c>
      <c r="AZ11" s="69" t="s">
        <v>4164</v>
      </c>
      <c r="BB11" s="432" t="s">
        <v>4199</v>
      </c>
      <c r="BD11" s="283" t="s">
        <v>4112</v>
      </c>
      <c r="BF11" s="70" t="s">
        <v>4298</v>
      </c>
    </row>
    <row r="12" spans="1:59" ht="15.75">
      <c r="A12" s="420" t="s">
        <v>2279</v>
      </c>
      <c r="B12" s="9" t="s">
        <v>27</v>
      </c>
      <c r="C12" s="9"/>
      <c r="D12" s="9"/>
      <c r="G12" s="438" t="s">
        <v>5475</v>
      </c>
      <c r="I12" s="422"/>
      <c r="K12" s="423" t="s">
        <v>5476</v>
      </c>
      <c r="L12" s="9"/>
      <c r="M12" s="9"/>
      <c r="P12" s="439" t="s">
        <v>1651</v>
      </c>
      <c r="Q12" s="439" t="s">
        <v>2644</v>
      </c>
      <c r="T12" s="426" t="s">
        <v>1258</v>
      </c>
      <c r="U12" t="str">
        <f>VLOOKUP(T12,'[1]WES log'!B:E,4,FALSE)</f>
        <v>CTN</v>
      </c>
      <c r="Z12" s="78" t="s">
        <v>2590</v>
      </c>
      <c r="AA12" s="72" t="s">
        <v>188</v>
      </c>
      <c r="AC12" s="440" t="s">
        <v>1258</v>
      </c>
      <c r="AF12" s="430" t="s">
        <v>1248</v>
      </c>
      <c r="AG12" s="431"/>
      <c r="AH12" s="389" t="s">
        <v>3082</v>
      </c>
      <c r="AJ12" s="394" t="s">
        <v>2468</v>
      </c>
      <c r="AK12" s="432"/>
      <c r="AL12" s="433" t="s">
        <v>2458</v>
      </c>
      <c r="AM12" s="434"/>
      <c r="AN12" s="435" t="s">
        <v>3632</v>
      </c>
      <c r="AO12" s="436"/>
      <c r="AP12" s="283" t="s">
        <v>3082</v>
      </c>
      <c r="AR12" s="432" t="s">
        <v>5477</v>
      </c>
      <c r="AT12" s="69" t="s">
        <v>3524</v>
      </c>
      <c r="AV12" s="432" t="s">
        <v>2989</v>
      </c>
      <c r="AX12" s="286" t="s">
        <v>3763</v>
      </c>
      <c r="AZ12" s="69" t="s">
        <v>2925</v>
      </c>
      <c r="BB12" s="432" t="s">
        <v>4202</v>
      </c>
      <c r="BD12" s="283" t="s">
        <v>2870</v>
      </c>
      <c r="BF12" s="70" t="s">
        <v>4300</v>
      </c>
    </row>
    <row r="13" spans="1:59" ht="15.75">
      <c r="A13" s="420" t="s">
        <v>2258</v>
      </c>
      <c r="B13" s="9" t="s">
        <v>27</v>
      </c>
      <c r="C13" s="9"/>
      <c r="D13" s="9"/>
      <c r="G13" s="438" t="s">
        <v>5478</v>
      </c>
      <c r="I13" s="422"/>
      <c r="K13" s="423" t="s">
        <v>5479</v>
      </c>
      <c r="L13" s="9"/>
      <c r="M13" s="9"/>
      <c r="P13" s="439" t="s">
        <v>1654</v>
      </c>
      <c r="Q13" s="439" t="s">
        <v>2648</v>
      </c>
      <c r="T13" s="426" t="s">
        <v>1639</v>
      </c>
      <c r="U13" t="str">
        <f>VLOOKUP(T13,'[1]WES log'!B:E,4,FALSE)</f>
        <v>COT</v>
      </c>
      <c r="Z13" s="78" t="s">
        <v>2594</v>
      </c>
      <c r="AA13" s="72" t="s">
        <v>188</v>
      </c>
      <c r="AC13" s="440" t="s">
        <v>1639</v>
      </c>
      <c r="AF13" s="430" t="s">
        <v>2247</v>
      </c>
      <c r="AG13" s="431"/>
      <c r="AH13" s="389" t="s">
        <v>2793</v>
      </c>
      <c r="AJ13" s="394" t="s">
        <v>2473</v>
      </c>
      <c r="AK13" s="432"/>
      <c r="AL13" s="433" t="s">
        <v>2463</v>
      </c>
      <c r="AM13" s="434"/>
      <c r="AN13" s="435" t="s">
        <v>3637</v>
      </c>
      <c r="AO13" s="436"/>
      <c r="AP13" s="283" t="s">
        <v>2793</v>
      </c>
      <c r="AR13" s="432" t="s">
        <v>5480</v>
      </c>
      <c r="AT13" s="69" t="s">
        <v>3605</v>
      </c>
      <c r="AV13" s="432" t="s">
        <v>2993</v>
      </c>
      <c r="AX13" s="286" t="s">
        <v>3774</v>
      </c>
      <c r="AZ13" s="69" t="s">
        <v>2930</v>
      </c>
      <c r="BB13" s="432" t="s">
        <v>4205</v>
      </c>
      <c r="BD13" s="283" t="s">
        <v>4115</v>
      </c>
      <c r="BF13" s="70" t="s">
        <v>4302</v>
      </c>
    </row>
    <row r="14" spans="1:59" ht="15.75">
      <c r="A14" s="442" t="s">
        <v>2247</v>
      </c>
      <c r="B14" s="9" t="s">
        <v>27</v>
      </c>
      <c r="C14" s="9"/>
      <c r="D14" s="9"/>
      <c r="G14" s="438" t="s">
        <v>5481</v>
      </c>
      <c r="I14" s="422"/>
      <c r="K14" s="423" t="s">
        <v>5482</v>
      </c>
      <c r="L14" s="9"/>
      <c r="M14" s="9"/>
      <c r="P14" s="443" t="s">
        <v>3023</v>
      </c>
      <c r="Q14" s="439" t="s">
        <v>2652</v>
      </c>
      <c r="T14" s="426" t="s">
        <v>1820</v>
      </c>
      <c r="U14" t="str">
        <f>VLOOKUP(T14,'[1]WES log'!B:E,4,FALSE)</f>
        <v>CS</v>
      </c>
      <c r="Z14" s="78" t="s">
        <v>2599</v>
      </c>
      <c r="AA14" s="72" t="s">
        <v>188</v>
      </c>
      <c r="AC14" s="440" t="s">
        <v>794</v>
      </c>
      <c r="AF14" s="430" t="s">
        <v>1629</v>
      </c>
      <c r="AG14" s="431"/>
      <c r="AH14" s="389" t="s">
        <v>2797</v>
      </c>
      <c r="AJ14" s="394" t="s">
        <v>2477</v>
      </c>
      <c r="AK14" s="432"/>
      <c r="AL14" s="433" t="s">
        <v>4570</v>
      </c>
      <c r="AM14" s="434"/>
      <c r="AN14" s="435" t="s">
        <v>3642</v>
      </c>
      <c r="AO14" s="436"/>
      <c r="AP14" s="283" t="s">
        <v>2797</v>
      </c>
      <c r="AR14" s="432" t="s">
        <v>5483</v>
      </c>
      <c r="AT14" s="69" t="s">
        <v>3664</v>
      </c>
      <c r="AV14" s="432" t="s">
        <v>2998</v>
      </c>
      <c r="AX14" s="286" t="s">
        <v>3784</v>
      </c>
      <c r="AZ14" s="69" t="s">
        <v>2950</v>
      </c>
      <c r="BB14" s="432" t="s">
        <v>4213</v>
      </c>
      <c r="BD14" s="283" t="s">
        <v>2875</v>
      </c>
      <c r="BF14" s="70" t="s">
        <v>4305</v>
      </c>
    </row>
    <row r="15" spans="1:59" ht="15.75">
      <c r="A15" s="420" t="s">
        <v>2242</v>
      </c>
      <c r="B15" s="9" t="s">
        <v>27</v>
      </c>
      <c r="C15" s="9"/>
      <c r="D15" s="9"/>
      <c r="G15" s="438" t="s">
        <v>5484</v>
      </c>
      <c r="I15" s="422"/>
      <c r="K15" s="423" t="s">
        <v>5485</v>
      </c>
      <c r="L15" s="9"/>
      <c r="M15" s="9"/>
      <c r="O15" t="s">
        <v>5486</v>
      </c>
      <c r="P15" s="16" t="s">
        <v>4630</v>
      </c>
      <c r="Q15" s="439" t="s">
        <v>2656</v>
      </c>
      <c r="T15" s="426" t="s">
        <v>1263</v>
      </c>
      <c r="U15" t="str">
        <f>VLOOKUP(T15,'[1]WES log'!B:E,4,FALSE)</f>
        <v>CTN</v>
      </c>
      <c r="Z15" s="78" t="s">
        <v>2603</v>
      </c>
      <c r="AA15" s="72" t="s">
        <v>188</v>
      </c>
      <c r="AC15" s="440" t="s">
        <v>4432</v>
      </c>
      <c r="AF15" s="430" t="s">
        <v>671</v>
      </c>
      <c r="AG15" s="431"/>
      <c r="AH15" s="389" t="s">
        <v>2802</v>
      </c>
      <c r="AJ15" s="394" t="s">
        <v>2481</v>
      </c>
      <c r="AK15" s="432"/>
      <c r="AL15" s="433" t="s">
        <v>2468</v>
      </c>
      <c r="AM15" s="434"/>
      <c r="AN15" s="435" t="s">
        <v>3648</v>
      </c>
      <c r="AO15" s="436"/>
      <c r="AP15" s="283" t="s">
        <v>2802</v>
      </c>
      <c r="AR15" s="432" t="s">
        <v>5487</v>
      </c>
      <c r="AT15" s="69" t="s">
        <v>3479</v>
      </c>
      <c r="AV15" s="432" t="s">
        <v>3003</v>
      </c>
      <c r="AX15" s="286" t="s">
        <v>2844</v>
      </c>
      <c r="AZ15" s="69" t="s">
        <v>4169</v>
      </c>
      <c r="BB15" s="432" t="s">
        <v>4216</v>
      </c>
      <c r="BD15" s="283" t="s">
        <v>2905</v>
      </c>
      <c r="BF15" s="70" t="s">
        <v>4312</v>
      </c>
    </row>
    <row r="16" spans="1:59" ht="15.75">
      <c r="A16" s="420" t="s">
        <v>2263</v>
      </c>
      <c r="B16" s="9" t="s">
        <v>27</v>
      </c>
      <c r="C16" s="9"/>
      <c r="D16" s="9"/>
      <c r="G16" s="438" t="s">
        <v>5488</v>
      </c>
      <c r="I16" s="422"/>
      <c r="K16" s="423" t="s">
        <v>5489</v>
      </c>
      <c r="L16" s="9"/>
      <c r="M16" s="9"/>
      <c r="P16" s="443" t="s">
        <v>3030</v>
      </c>
      <c r="Q16" s="439" t="s">
        <v>2660</v>
      </c>
      <c r="T16" s="426" t="s">
        <v>1645</v>
      </c>
      <c r="U16" t="str">
        <f>VLOOKUP(T16,'[1]WES log'!B:E,4,FALSE)</f>
        <v>COT</v>
      </c>
      <c r="Z16" s="78" t="s">
        <v>2525</v>
      </c>
      <c r="AA16" s="72" t="s">
        <v>188</v>
      </c>
      <c r="AC16" s="440" t="s">
        <v>2253</v>
      </c>
      <c r="AF16" s="430" t="s">
        <v>676</v>
      </c>
      <c r="AG16" s="431"/>
      <c r="AH16" s="389" t="s">
        <v>2806</v>
      </c>
      <c r="AJ16" s="394" t="s">
        <v>2485</v>
      </c>
      <c r="AK16" s="432"/>
      <c r="AL16" s="433" t="s">
        <v>2561</v>
      </c>
      <c r="AM16" s="434"/>
      <c r="AN16" s="435" t="s">
        <v>3652</v>
      </c>
      <c r="AO16" s="436"/>
      <c r="AP16" s="283" t="s">
        <v>2806</v>
      </c>
      <c r="AR16" s="432" t="s">
        <v>5490</v>
      </c>
      <c r="AT16" s="69" t="s">
        <v>3608</v>
      </c>
      <c r="AV16" s="432" t="s">
        <v>3098</v>
      </c>
      <c r="AX16" s="286" t="s">
        <v>4072</v>
      </c>
      <c r="AZ16" s="69" t="s">
        <v>4174</v>
      </c>
      <c r="BB16" s="432" t="s">
        <v>4220</v>
      </c>
      <c r="BD16" s="283" t="s">
        <v>4088</v>
      </c>
      <c r="BF16" s="70" t="s">
        <v>4315</v>
      </c>
    </row>
    <row r="17" spans="1:58" ht="15.75">
      <c r="A17" s="442" t="s">
        <v>2274</v>
      </c>
      <c r="B17" s="9" t="s">
        <v>27</v>
      </c>
      <c r="C17" s="9"/>
      <c r="D17" s="9"/>
      <c r="G17" s="438" t="s">
        <v>5491</v>
      </c>
      <c r="I17" s="422"/>
      <c r="K17" s="423" t="s">
        <v>5492</v>
      </c>
      <c r="L17" s="9"/>
      <c r="M17" s="9"/>
      <c r="P17" s="443" t="s">
        <v>3036</v>
      </c>
      <c r="Q17" s="444" t="s">
        <v>2664</v>
      </c>
      <c r="T17" s="426" t="s">
        <v>1269</v>
      </c>
      <c r="U17" t="str">
        <f>VLOOKUP(T17,'[1]WES log'!B:E,4,FALSE)</f>
        <v>CTN</v>
      </c>
      <c r="Z17" s="78" t="s">
        <v>2529</v>
      </c>
      <c r="AA17" s="72" t="s">
        <v>188</v>
      </c>
      <c r="AC17" s="440" t="s">
        <v>2269</v>
      </c>
      <c r="AF17" s="430" t="s">
        <v>682</v>
      </c>
      <c r="AG17" s="431"/>
      <c r="AH17" s="389" t="s">
        <v>2607</v>
      </c>
      <c r="AJ17" s="394" t="s">
        <v>2489</v>
      </c>
      <c r="AK17" s="432"/>
      <c r="AL17" s="433" t="s">
        <v>2718</v>
      </c>
      <c r="AM17" s="434"/>
      <c r="AN17" s="435" t="s">
        <v>3658</v>
      </c>
      <c r="AO17" s="436"/>
      <c r="AP17" s="283" t="s">
        <v>2307</v>
      </c>
      <c r="AR17" s="432" t="s">
        <v>5493</v>
      </c>
      <c r="AT17" s="69" t="s">
        <v>3311</v>
      </c>
      <c r="AV17" s="432" t="s">
        <v>3102</v>
      </c>
      <c r="AX17" s="286" t="s">
        <v>4080</v>
      </c>
      <c r="AZ17" s="69" t="s">
        <v>4179</v>
      </c>
      <c r="BB17" s="432" t="s">
        <v>4224</v>
      </c>
      <c r="BD17" s="283" t="s">
        <v>2910</v>
      </c>
      <c r="BF17" s="70" t="s">
        <v>4318</v>
      </c>
    </row>
    <row r="18" spans="1:58" ht="15.75">
      <c r="A18" s="420" t="s">
        <v>2056</v>
      </c>
      <c r="B18" s="9" t="s">
        <v>27</v>
      </c>
      <c r="C18" s="9"/>
      <c r="D18" s="9"/>
      <c r="G18" s="438" t="s">
        <v>5494</v>
      </c>
      <c r="I18" s="422"/>
      <c r="K18" s="423" t="s">
        <v>5495</v>
      </c>
      <c r="L18" s="9"/>
      <c r="M18" s="9"/>
      <c r="P18" s="443" t="s">
        <v>3042</v>
      </c>
      <c r="Q18" s="444" t="s">
        <v>2668</v>
      </c>
      <c r="T18" s="426" t="s">
        <v>1912</v>
      </c>
      <c r="U18" t="str">
        <f>VLOOKUP(T18,'[1]WES log'!B:E,4,FALSE)</f>
        <v>Benign</v>
      </c>
      <c r="Z18" s="78" t="s">
        <v>2533</v>
      </c>
      <c r="AA18" s="72" t="s">
        <v>188</v>
      </c>
      <c r="AC18" s="440" t="s">
        <v>2279</v>
      </c>
      <c r="AF18" s="430" t="s">
        <v>1831</v>
      </c>
      <c r="AG18" s="431"/>
      <c r="AH18" s="389" t="s">
        <v>2611</v>
      </c>
      <c r="AJ18" s="394" t="s">
        <v>2493</v>
      </c>
      <c r="AK18" s="432"/>
      <c r="AL18" s="433" t="s">
        <v>2724</v>
      </c>
      <c r="AM18" s="434"/>
      <c r="AN18" s="435" t="s">
        <v>3664</v>
      </c>
      <c r="AO18" s="436"/>
      <c r="AP18" s="283" t="s">
        <v>2311</v>
      </c>
      <c r="AR18" s="432" t="s">
        <v>5496</v>
      </c>
      <c r="AT18" s="69" t="s">
        <v>3349</v>
      </c>
      <c r="AV18" s="432" t="s">
        <v>3108</v>
      </c>
      <c r="AX18" s="286" t="s">
        <v>2850</v>
      </c>
      <c r="AZ18" s="69" t="s">
        <v>2787</v>
      </c>
      <c r="BB18" s="432" t="s">
        <v>4227</v>
      </c>
      <c r="BD18" s="283" t="s">
        <v>4091</v>
      </c>
      <c r="BF18" s="70" t="s">
        <v>4330</v>
      </c>
    </row>
    <row r="19" spans="1:58" ht="15.75">
      <c r="A19" s="420" t="s">
        <v>2227</v>
      </c>
      <c r="B19" s="9" t="s">
        <v>27</v>
      </c>
      <c r="C19" s="9"/>
      <c r="D19" s="9"/>
      <c r="G19" s="438" t="s">
        <v>5497</v>
      </c>
      <c r="I19" s="422"/>
      <c r="K19" s="423" t="s">
        <v>5498</v>
      </c>
      <c r="L19" s="9"/>
      <c r="M19" s="9"/>
      <c r="P19" s="443" t="s">
        <v>3048</v>
      </c>
      <c r="Q19" s="444" t="s">
        <v>3722</v>
      </c>
      <c r="T19" s="426" t="s">
        <v>4608</v>
      </c>
      <c r="U19" s="75" t="str">
        <f>VLOOKUP(T19,'[1]WES log'!B:E,4,FALSE)</f>
        <v>Benign Survivor</v>
      </c>
      <c r="Z19" s="78" t="s">
        <v>2537</v>
      </c>
      <c r="AA19" s="72" t="s">
        <v>188</v>
      </c>
      <c r="AC19" s="440" t="s">
        <v>2258</v>
      </c>
      <c r="AF19" s="430" t="s">
        <v>687</v>
      </c>
      <c r="AG19" s="431"/>
      <c r="AH19" s="389" t="s">
        <v>2615</v>
      </c>
      <c r="AJ19" s="394" t="s">
        <v>2497</v>
      </c>
      <c r="AK19" s="432"/>
      <c r="AL19" s="433" t="s">
        <v>2729</v>
      </c>
      <c r="AM19" s="434"/>
      <c r="AN19" s="435" t="s">
        <v>3669</v>
      </c>
      <c r="AO19" s="436"/>
      <c r="AP19" s="283" t="s">
        <v>2315</v>
      </c>
      <c r="AR19" s="432" t="s">
        <v>5499</v>
      </c>
      <c r="AT19" s="69" t="s">
        <v>3440</v>
      </c>
      <c r="AV19" s="432" t="s">
        <v>3112</v>
      </c>
      <c r="AX19" s="286" t="s">
        <v>4085</v>
      </c>
      <c r="AZ19" s="69" t="s">
        <v>4259</v>
      </c>
      <c r="BB19" s="432" t="s">
        <v>4230</v>
      </c>
      <c r="BD19" s="283" t="s">
        <v>4118</v>
      </c>
      <c r="BF19" s="70" t="s">
        <v>4333</v>
      </c>
    </row>
    <row r="20" spans="1:58" ht="15.75">
      <c r="A20" s="442" t="s">
        <v>2062</v>
      </c>
      <c r="B20" s="9" t="s">
        <v>27</v>
      </c>
      <c r="C20" s="9"/>
      <c r="D20" s="9"/>
      <c r="G20" s="438" t="s">
        <v>5500</v>
      </c>
      <c r="I20" s="422"/>
      <c r="K20" s="423" t="s">
        <v>5501</v>
      </c>
      <c r="L20" s="9"/>
      <c r="M20" s="9"/>
      <c r="P20" s="443" t="s">
        <v>3053</v>
      </c>
      <c r="Q20" s="444" t="s">
        <v>2674</v>
      </c>
      <c r="T20" s="426" t="s">
        <v>1929</v>
      </c>
      <c r="U20" s="75" t="str">
        <f>VLOOKUP(T20,'[1]WES log'!B:E,4,FALSE)</f>
        <v>Benign Survivor</v>
      </c>
      <c r="Z20" s="78" t="s">
        <v>2541</v>
      </c>
      <c r="AA20" s="72" t="s">
        <v>188</v>
      </c>
      <c r="AC20" s="440" t="s">
        <v>2247</v>
      </c>
      <c r="AF20" s="430" t="s">
        <v>692</v>
      </c>
      <c r="AG20" s="431"/>
      <c r="AH20" s="389" t="s">
        <v>2619</v>
      </c>
      <c r="AJ20" s="394" t="s">
        <v>2501</v>
      </c>
      <c r="AK20" s="432"/>
      <c r="AL20" s="433" t="s">
        <v>2739</v>
      </c>
      <c r="AM20" s="434"/>
      <c r="AN20" s="435" t="s">
        <v>3673</v>
      </c>
      <c r="AO20" s="436"/>
      <c r="AP20" s="283" t="s">
        <v>2319</v>
      </c>
      <c r="AR20" s="432" t="s">
        <v>5502</v>
      </c>
      <c r="AT20" s="69" t="s">
        <v>3601</v>
      </c>
      <c r="AV20" s="432" t="s">
        <v>3117</v>
      </c>
      <c r="AX20" s="286" t="s">
        <v>2855</v>
      </c>
      <c r="AZ20" s="69" t="s">
        <v>4267</v>
      </c>
      <c r="BB20" s="432" t="s">
        <v>4233</v>
      </c>
      <c r="BD20" s="283" t="s">
        <v>4094</v>
      </c>
      <c r="BF20" s="70" t="s">
        <v>4336</v>
      </c>
    </row>
    <row r="21" spans="1:58" ht="15.75">
      <c r="A21" s="420" t="s">
        <v>2067</v>
      </c>
      <c r="B21" s="9" t="s">
        <v>27</v>
      </c>
      <c r="C21" s="9"/>
      <c r="D21" s="9"/>
      <c r="G21" s="438" t="s">
        <v>5503</v>
      </c>
      <c r="I21" s="422"/>
      <c r="K21" s="423" t="s">
        <v>5504</v>
      </c>
      <c r="L21" s="9"/>
      <c r="M21" s="9"/>
      <c r="P21" s="443" t="s">
        <v>3059</v>
      </c>
      <c r="Q21" s="444" t="s">
        <v>2678</v>
      </c>
      <c r="T21" s="426" t="s">
        <v>1826</v>
      </c>
      <c r="U21" t="str">
        <f>VLOOKUP(T21,'[1]WES log'!B:E,4,FALSE)</f>
        <v>CS</v>
      </c>
      <c r="Z21" s="78" t="s">
        <v>2545</v>
      </c>
      <c r="AA21" s="72" t="s">
        <v>188</v>
      </c>
      <c r="AC21" s="440" t="s">
        <v>2242</v>
      </c>
      <c r="AF21" s="430" t="s">
        <v>4485</v>
      </c>
      <c r="AG21" s="431"/>
      <c r="AH21" s="389" t="s">
        <v>2623</v>
      </c>
      <c r="AJ21" s="394" t="s">
        <v>2505</v>
      </c>
      <c r="AK21" s="432"/>
      <c r="AL21" s="433" t="s">
        <v>2780</v>
      </c>
      <c r="AM21" s="434"/>
      <c r="AN21" s="435" t="s">
        <v>3678</v>
      </c>
      <c r="AO21" s="436"/>
      <c r="AP21" s="283" t="s">
        <v>2323</v>
      </c>
      <c r="AR21" s="432" t="s">
        <v>5505</v>
      </c>
      <c r="AT21" s="69" t="s">
        <v>3316</v>
      </c>
      <c r="AV21" s="432" t="s">
        <v>3122</v>
      </c>
      <c r="AX21" s="286" t="s">
        <v>2860</v>
      </c>
      <c r="AZ21" s="69" t="s">
        <v>4274</v>
      </c>
      <c r="BB21" s="432" t="s">
        <v>4236</v>
      </c>
      <c r="BD21" s="283" t="s">
        <v>4121</v>
      </c>
      <c r="BF21" s="70" t="s">
        <v>4339</v>
      </c>
    </row>
    <row r="22" spans="1:58" ht="15.75">
      <c r="A22" s="420" t="s">
        <v>2073</v>
      </c>
      <c r="B22" s="9" t="s">
        <v>27</v>
      </c>
      <c r="C22" s="9"/>
      <c r="D22" s="9"/>
      <c r="G22" s="438" t="s">
        <v>5506</v>
      </c>
      <c r="I22" s="422"/>
      <c r="K22" s="423" t="s">
        <v>5507</v>
      </c>
      <c r="L22" s="9"/>
      <c r="M22" s="9"/>
      <c r="O22" t="s">
        <v>5401</v>
      </c>
      <c r="P22" s="16" t="s">
        <v>4634</v>
      </c>
      <c r="Q22" s="444" t="s">
        <v>2683</v>
      </c>
      <c r="T22" s="426" t="s">
        <v>1651</v>
      </c>
      <c r="U22" t="str">
        <f>VLOOKUP(T22,'[1]WES log'!B:E,4,FALSE)</f>
        <v>COT</v>
      </c>
      <c r="Z22" s="78" t="s">
        <v>2549</v>
      </c>
      <c r="AA22" s="72" t="s">
        <v>188</v>
      </c>
      <c r="AC22" s="440" t="s">
        <v>2263</v>
      </c>
      <c r="AF22" s="430" t="s">
        <v>4489</v>
      </c>
      <c r="AG22" s="431"/>
      <c r="AH22" s="389" t="s">
        <v>2627</v>
      </c>
      <c r="AJ22" s="394" t="s">
        <v>4573</v>
      </c>
      <c r="AK22" s="432"/>
      <c r="AN22" s="435" t="s">
        <v>3682</v>
      </c>
      <c r="AO22" s="436"/>
      <c r="AP22" s="283" t="s">
        <v>2327</v>
      </c>
      <c r="AR22" s="432" t="s">
        <v>5508</v>
      </c>
      <c r="AT22" s="69" t="s">
        <v>3334</v>
      </c>
      <c r="AV22" s="432" t="s">
        <v>3127</v>
      </c>
      <c r="AX22" s="286" t="s">
        <v>2865</v>
      </c>
      <c r="AZ22" s="69" t="s">
        <v>4282</v>
      </c>
      <c r="BB22" s="432" t="s">
        <v>4240</v>
      </c>
      <c r="BD22" s="283" t="s">
        <v>2880</v>
      </c>
      <c r="BF22" s="70" t="s">
        <v>4342</v>
      </c>
    </row>
    <row r="23" spans="1:58" ht="15.75">
      <c r="A23" s="442" t="s">
        <v>2079</v>
      </c>
      <c r="B23" s="9" t="s">
        <v>27</v>
      </c>
      <c r="C23" s="9"/>
      <c r="D23" s="9"/>
      <c r="G23" s="438" t="s">
        <v>5509</v>
      </c>
      <c r="I23" s="422"/>
      <c r="K23" s="423" t="s">
        <v>5510</v>
      </c>
      <c r="L23" s="9"/>
      <c r="M23" s="9"/>
      <c r="P23" s="443" t="s">
        <v>3065</v>
      </c>
      <c r="Q23" s="444" t="s">
        <v>2687</v>
      </c>
      <c r="T23" s="426" t="s">
        <v>1654</v>
      </c>
      <c r="U23" t="str">
        <f>VLOOKUP(T23,'[1]WES log'!B:E,4,FALSE)</f>
        <v>COT</v>
      </c>
      <c r="Z23" s="78" t="s">
        <v>2553</v>
      </c>
      <c r="AA23" s="72" t="s">
        <v>188</v>
      </c>
      <c r="AC23" s="440" t="s">
        <v>2274</v>
      </c>
      <c r="AF23" s="430" t="s">
        <v>2253</v>
      </c>
      <c r="AG23" s="431"/>
      <c r="AH23" s="389" t="s">
        <v>2631</v>
      </c>
      <c r="AJ23" s="394" t="s">
        <v>2509</v>
      </c>
      <c r="AK23" s="432"/>
      <c r="AN23" s="435" t="s">
        <v>3687</v>
      </c>
      <c r="AO23" s="436"/>
      <c r="AP23" s="283" t="s">
        <v>2331</v>
      </c>
      <c r="AR23" s="432" t="s">
        <v>5511</v>
      </c>
      <c r="AT23" s="69" t="s">
        <v>3620</v>
      </c>
      <c r="AV23" s="432" t="s">
        <v>3132</v>
      </c>
      <c r="AX23" s="286" t="s">
        <v>2870</v>
      </c>
      <c r="AZ23" s="69" t="s">
        <v>4289</v>
      </c>
      <c r="BB23" s="432" t="s">
        <v>3088</v>
      </c>
      <c r="BD23" s="283" t="s">
        <v>2915</v>
      </c>
      <c r="BF23" s="70" t="s">
        <v>4345</v>
      </c>
    </row>
    <row r="24" spans="1:58" ht="15.75">
      <c r="A24" s="420" t="s">
        <v>2084</v>
      </c>
      <c r="B24" s="9" t="s">
        <v>27</v>
      </c>
      <c r="C24" s="9"/>
      <c r="D24" s="9"/>
      <c r="G24" s="438" t="s">
        <v>5512</v>
      </c>
      <c r="I24" s="422"/>
      <c r="K24" s="423" t="s">
        <v>5513</v>
      </c>
      <c r="L24" s="9"/>
      <c r="M24" s="9"/>
      <c r="P24" s="443" t="s">
        <v>3071</v>
      </c>
      <c r="Q24" s="12" t="s">
        <v>3582</v>
      </c>
      <c r="T24" s="426" t="s">
        <v>1659</v>
      </c>
      <c r="U24" t="str">
        <f>VLOOKUP(T24,'[1]WES log'!B:E,4,FALSE)</f>
        <v>COT</v>
      </c>
      <c r="Z24" s="78" t="s">
        <v>2557</v>
      </c>
      <c r="AA24" s="72" t="s">
        <v>188</v>
      </c>
      <c r="AC24" s="440" t="s">
        <v>769</v>
      </c>
      <c r="AF24" s="430" t="s">
        <v>697</v>
      </c>
      <c r="AG24" s="431"/>
      <c r="AH24" s="389" t="s">
        <v>2635</v>
      </c>
      <c r="AJ24" s="394" t="s">
        <v>2513</v>
      </c>
      <c r="AK24" s="432"/>
      <c r="AN24" s="435" t="s">
        <v>3693</v>
      </c>
      <c r="AO24" s="436"/>
      <c r="AP24" s="283" t="s">
        <v>2335</v>
      </c>
      <c r="AR24" s="432" t="s">
        <v>5514</v>
      </c>
      <c r="AT24" s="69" t="s">
        <v>3339</v>
      </c>
      <c r="AV24" s="432" t="s">
        <v>3138</v>
      </c>
      <c r="AX24" s="286" t="s">
        <v>2875</v>
      </c>
      <c r="AZ24" s="69" t="s">
        <v>3729</v>
      </c>
      <c r="BB24" s="432" t="s">
        <v>3093</v>
      </c>
      <c r="BD24" s="283" t="s">
        <v>4097</v>
      </c>
      <c r="BF24" s="70" t="s">
        <v>4349</v>
      </c>
    </row>
    <row r="25" spans="1:58" ht="15.75">
      <c r="A25" s="420" t="s">
        <v>2090</v>
      </c>
      <c r="B25" s="9" t="s">
        <v>27</v>
      </c>
      <c r="C25" s="9"/>
      <c r="D25" s="9"/>
      <c r="G25" s="438" t="s">
        <v>5515</v>
      </c>
      <c r="I25" s="422"/>
      <c r="K25" s="423" t="s">
        <v>5516</v>
      </c>
      <c r="L25" s="9"/>
      <c r="M25" s="9"/>
      <c r="P25" s="443" t="s">
        <v>3076</v>
      </c>
      <c r="Q25" s="12" t="s">
        <v>3717</v>
      </c>
      <c r="T25" s="426" t="s">
        <v>1274</v>
      </c>
      <c r="U25" t="str">
        <f>VLOOKUP(T25,'[1]WES log'!B:E,4,FALSE)</f>
        <v>CTN</v>
      </c>
      <c r="Z25" s="401" t="s">
        <v>2691</v>
      </c>
      <c r="AA25" s="72" t="s">
        <v>188</v>
      </c>
      <c r="AC25" s="440" t="s">
        <v>687</v>
      </c>
      <c r="AF25" s="430" t="s">
        <v>702</v>
      </c>
      <c r="AG25" s="431"/>
      <c r="AH25" s="389" t="s">
        <v>2640</v>
      </c>
      <c r="AJ25" s="394" t="s">
        <v>2517</v>
      </c>
      <c r="AK25" s="432"/>
      <c r="AN25" s="435" t="s">
        <v>3698</v>
      </c>
      <c r="AO25" s="436"/>
      <c r="AP25" s="283" t="s">
        <v>2340</v>
      </c>
      <c r="AR25" s="432" t="s">
        <v>5517</v>
      </c>
      <c r="AT25" s="69" t="s">
        <v>3617</v>
      </c>
      <c r="AV25" s="432" t="s">
        <v>3142</v>
      </c>
      <c r="AX25" s="286" t="s">
        <v>4088</v>
      </c>
      <c r="AZ25" s="69" t="s">
        <v>3735</v>
      </c>
      <c r="BB25" s="432" t="s">
        <v>4244</v>
      </c>
      <c r="BD25" s="283" t="s">
        <v>4124</v>
      </c>
      <c r="BF25" s="70" t="s">
        <v>4352</v>
      </c>
    </row>
    <row r="26" spans="1:58" ht="15.75">
      <c r="A26" s="442" t="s">
        <v>2232</v>
      </c>
      <c r="B26" s="9" t="s">
        <v>27</v>
      </c>
      <c r="C26" s="9"/>
      <c r="D26" s="9"/>
      <c r="G26" s="438" t="s">
        <v>5518</v>
      </c>
      <c r="I26" s="422"/>
      <c r="K26" s="423" t="s">
        <v>5519</v>
      </c>
      <c r="L26" s="9"/>
      <c r="M26" s="9"/>
      <c r="P26" s="443" t="s">
        <v>3082</v>
      </c>
      <c r="Q26" s="12" t="s">
        <v>3588</v>
      </c>
      <c r="T26" s="426" t="s">
        <v>1279</v>
      </c>
      <c r="U26" t="str">
        <f>VLOOKUP(T26,'[1]WES log'!B:E,4,FALSE)</f>
        <v>CTN</v>
      </c>
      <c r="Z26" s="401" t="s">
        <v>4575</v>
      </c>
      <c r="AA26" s="72" t="s">
        <v>188</v>
      </c>
      <c r="AC26" s="429" t="s">
        <v>661</v>
      </c>
      <c r="AF26" s="430" t="s">
        <v>707</v>
      </c>
      <c r="AG26" s="431"/>
      <c r="AH26" s="389" t="s">
        <v>2644</v>
      </c>
      <c r="AJ26" s="394" t="s">
        <v>2521</v>
      </c>
      <c r="AK26" s="432"/>
      <c r="AN26" s="435" t="s">
        <v>3703</v>
      </c>
      <c r="AO26" s="436"/>
      <c r="AP26" s="283" t="s">
        <v>2344</v>
      </c>
      <c r="AR26" s="432" t="s">
        <v>5520</v>
      </c>
      <c r="AT26" s="69" t="s">
        <v>3707</v>
      </c>
      <c r="AV26" s="432" t="s">
        <v>3147</v>
      </c>
      <c r="AX26" s="286" t="s">
        <v>4091</v>
      </c>
      <c r="AZ26" s="69" t="s">
        <v>3742</v>
      </c>
      <c r="BB26" s="432" t="s">
        <v>4247</v>
      </c>
      <c r="BD26" s="283" t="s">
        <v>4100</v>
      </c>
      <c r="BF26" s="70" t="s">
        <v>4355</v>
      </c>
    </row>
    <row r="27" spans="1:58" ht="15.75">
      <c r="A27" s="420" t="s">
        <v>2095</v>
      </c>
      <c r="B27" s="9" t="s">
        <v>27</v>
      </c>
      <c r="C27" s="9"/>
      <c r="D27" s="9"/>
      <c r="G27" s="438" t="s">
        <v>5521</v>
      </c>
      <c r="I27" s="422"/>
      <c r="K27" s="423" t="s">
        <v>5522</v>
      </c>
      <c r="L27" s="9"/>
      <c r="M27" s="9"/>
      <c r="P27" s="445" t="s">
        <v>2793</v>
      </c>
      <c r="Q27" s="12" t="s">
        <v>3592</v>
      </c>
      <c r="T27" s="426" t="s">
        <v>1895</v>
      </c>
      <c r="U27" t="str">
        <f>VLOOKUP(T27,'[1]WES log'!B:E,4,FALSE)</f>
        <v>Benign</v>
      </c>
      <c r="Z27" s="401" t="s">
        <v>2695</v>
      </c>
      <c r="AA27" s="72" t="s">
        <v>188</v>
      </c>
      <c r="AC27" s="440" t="s">
        <v>759</v>
      </c>
      <c r="AF27" s="430" t="s">
        <v>712</v>
      </c>
      <c r="AG27" s="431"/>
      <c r="AH27" s="389" t="s">
        <v>2648</v>
      </c>
      <c r="AJ27" s="394" t="s">
        <v>2744</v>
      </c>
      <c r="AK27" s="432"/>
      <c r="AN27" s="435" t="s">
        <v>3707</v>
      </c>
      <c r="AO27" s="436"/>
      <c r="AP27" s="283" t="s">
        <v>2348</v>
      </c>
      <c r="AR27" s="432" t="s">
        <v>5523</v>
      </c>
      <c r="AT27" s="69" t="s">
        <v>3503</v>
      </c>
      <c r="AV27" s="432" t="s">
        <v>3152</v>
      </c>
      <c r="AX27" s="286" t="s">
        <v>4094</v>
      </c>
      <c r="AZ27" s="69" t="s">
        <v>3746</v>
      </c>
      <c r="BB27" s="432" t="s">
        <v>4250</v>
      </c>
      <c r="BD27" s="283" t="s">
        <v>4127</v>
      </c>
      <c r="BF27" s="70" t="s">
        <v>4358</v>
      </c>
    </row>
    <row r="28" spans="1:58" ht="15.75">
      <c r="A28" s="420" t="s">
        <v>607</v>
      </c>
      <c r="B28" s="9" t="s">
        <v>27</v>
      </c>
      <c r="C28" s="9"/>
      <c r="D28" s="9"/>
      <c r="G28" s="438" t="s">
        <v>5524</v>
      </c>
      <c r="I28" s="422"/>
      <c r="K28" s="423" t="s">
        <v>5525</v>
      </c>
      <c r="L28" s="9"/>
      <c r="M28" s="9"/>
      <c r="P28" s="445" t="s">
        <v>2797</v>
      </c>
      <c r="Q28" s="12" t="s">
        <v>3597</v>
      </c>
      <c r="T28" s="426" t="s">
        <v>1901</v>
      </c>
      <c r="U28" t="str">
        <f>VLOOKUP(T28,'[1]WES log'!B:E,4,FALSE)</f>
        <v>Benign</v>
      </c>
      <c r="Z28" s="401" t="s">
        <v>2703</v>
      </c>
      <c r="AA28" s="72" t="s">
        <v>188</v>
      </c>
      <c r="AC28" s="440" t="s">
        <v>707</v>
      </c>
      <c r="AF28" s="430" t="s">
        <v>717</v>
      </c>
      <c r="AG28" s="431"/>
      <c r="AH28" s="389" t="s">
        <v>2652</v>
      </c>
      <c r="AJ28" s="394" t="s">
        <v>2748</v>
      </c>
      <c r="AK28" s="432"/>
      <c r="AN28" s="435" t="s">
        <v>3431</v>
      </c>
      <c r="AO28" s="436"/>
      <c r="AP28" s="283" t="s">
        <v>2352</v>
      </c>
      <c r="AR28" s="432" t="s">
        <v>5526</v>
      </c>
      <c r="AT28" s="69" t="s">
        <v>3508</v>
      </c>
      <c r="AV28" s="432" t="s">
        <v>3157</v>
      </c>
      <c r="AX28" s="286" t="s">
        <v>2880</v>
      </c>
      <c r="AZ28" s="69" t="s">
        <v>3754</v>
      </c>
      <c r="BB28" s="432" t="s">
        <v>4253</v>
      </c>
      <c r="BD28" s="283" t="s">
        <v>4103</v>
      </c>
      <c r="BF28" s="70" t="s">
        <v>4361</v>
      </c>
    </row>
    <row r="29" spans="1:58" ht="15.75">
      <c r="A29" s="442" t="s">
        <v>4555</v>
      </c>
      <c r="B29" s="9" t="s">
        <v>27</v>
      </c>
      <c r="C29" s="9"/>
      <c r="D29" s="9"/>
      <c r="G29" s="438" t="s">
        <v>5527</v>
      </c>
      <c r="I29" s="422"/>
      <c r="K29" s="423" t="s">
        <v>5528</v>
      </c>
      <c r="L29" s="9"/>
      <c r="M29" s="9"/>
      <c r="P29" s="445" t="s">
        <v>2802</v>
      </c>
      <c r="T29" s="426" t="s">
        <v>1906</v>
      </c>
      <c r="U29" t="str">
        <f>VLOOKUP(T29,'[1]WES log'!B:E,4,FALSE)</f>
        <v>Benign</v>
      </c>
      <c r="Z29" s="401" t="s">
        <v>2714</v>
      </c>
      <c r="AA29" s="72" t="s">
        <v>4</v>
      </c>
      <c r="AC29" s="440" t="s">
        <v>702</v>
      </c>
      <c r="AF29" s="430" t="s">
        <v>2258</v>
      </c>
      <c r="AG29" s="431"/>
      <c r="AH29" s="389" t="s">
        <v>2656</v>
      </c>
      <c r="AJ29" s="394" t="s">
        <v>2752</v>
      </c>
      <c r="AK29" s="432"/>
      <c r="AN29" s="435" t="s">
        <v>3436</v>
      </c>
      <c r="AO29" s="436"/>
      <c r="AP29" s="283" t="s">
        <v>2356</v>
      </c>
      <c r="AR29" s="432" t="s">
        <v>5529</v>
      </c>
      <c r="AT29" s="69" t="s">
        <v>3642</v>
      </c>
      <c r="AV29" s="432" t="s">
        <v>3162</v>
      </c>
      <c r="AX29" s="286" t="s">
        <v>4097</v>
      </c>
      <c r="AZ29" s="69" t="s">
        <v>3763</v>
      </c>
      <c r="BB29" s="437" t="s">
        <v>4321</v>
      </c>
      <c r="BD29" s="283" t="s">
        <v>4130</v>
      </c>
      <c r="BF29" s="70" t="s">
        <v>4364</v>
      </c>
    </row>
    <row r="30" spans="1:58" ht="15.75">
      <c r="A30" s="420" t="s">
        <v>2100</v>
      </c>
      <c r="B30" s="9" t="s">
        <v>27</v>
      </c>
      <c r="C30" s="9"/>
      <c r="D30" s="9"/>
      <c r="G30" s="438" t="s">
        <v>5530</v>
      </c>
      <c r="I30" s="422"/>
      <c r="K30" s="423" t="s">
        <v>5531</v>
      </c>
      <c r="L30" s="9"/>
      <c r="M30" s="9"/>
      <c r="P30" s="445" t="s">
        <v>2806</v>
      </c>
      <c r="T30" s="426" t="s">
        <v>2295</v>
      </c>
      <c r="U30" s="75" t="str">
        <f>VLOOKUP(T30,'[1]WES log'!B:E,4,FALSE)</f>
        <v>Benign Survivor</v>
      </c>
      <c r="Z30" s="401" t="s">
        <v>2718</v>
      </c>
      <c r="AA30" s="72" t="s">
        <v>188</v>
      </c>
      <c r="AC30" s="440" t="s">
        <v>697</v>
      </c>
      <c r="AF30" s="430" t="s">
        <v>2263</v>
      </c>
      <c r="AG30" s="431"/>
      <c r="AH30" s="389" t="s">
        <v>2660</v>
      </c>
      <c r="AJ30" s="394" t="s">
        <v>2756</v>
      </c>
      <c r="AK30" s="432"/>
      <c r="AN30" s="435" t="s">
        <v>3440</v>
      </c>
      <c r="AO30" s="436"/>
      <c r="AP30" s="283" t="s">
        <v>2360</v>
      </c>
      <c r="AR30" s="432" t="s">
        <v>5532</v>
      </c>
      <c r="AT30" s="69" t="s">
        <v>3484</v>
      </c>
      <c r="AV30" s="432" t="s">
        <v>3167</v>
      </c>
      <c r="AX30" s="286" t="s">
        <v>4100</v>
      </c>
      <c r="AZ30" s="69" t="s">
        <v>3774</v>
      </c>
      <c r="BB30" s="437" t="s">
        <v>4327</v>
      </c>
      <c r="BD30" s="283" t="s">
        <v>4106</v>
      </c>
      <c r="BF30" s="70" t="s">
        <v>4367</v>
      </c>
    </row>
    <row r="31" spans="1:58" ht="15.75">
      <c r="A31" s="420" t="s">
        <v>655</v>
      </c>
      <c r="B31" s="9" t="s">
        <v>27</v>
      </c>
      <c r="C31" s="9"/>
      <c r="D31" s="9"/>
      <c r="G31" s="438" t="s">
        <v>5533</v>
      </c>
      <c r="I31" s="422"/>
      <c r="K31" s="423" t="s">
        <v>5534</v>
      </c>
      <c r="L31" s="9"/>
      <c r="M31" s="9"/>
      <c r="P31" s="439" t="s">
        <v>1606</v>
      </c>
      <c r="T31" s="426" t="s">
        <v>2302</v>
      </c>
      <c r="U31" s="75" t="str">
        <f>VLOOKUP(T31,'[1]WES log'!B:E,4,FALSE)</f>
        <v>Benign Survivor</v>
      </c>
      <c r="Z31" s="401" t="s">
        <v>2724</v>
      </c>
      <c r="AA31" s="72" t="s">
        <v>188</v>
      </c>
      <c r="AC31" s="440" t="s">
        <v>727</v>
      </c>
      <c r="AF31" s="430" t="s">
        <v>722</v>
      </c>
      <c r="AG31" s="431"/>
      <c r="AH31" s="389" t="s">
        <v>2664</v>
      </c>
      <c r="AJ31" s="394" t="s">
        <v>2760</v>
      </c>
      <c r="AK31" s="432"/>
      <c r="AN31" s="435" t="s">
        <v>3445</v>
      </c>
      <c r="AO31" s="436"/>
      <c r="AP31" s="283" t="s">
        <v>2364</v>
      </c>
      <c r="AR31" s="432" t="s">
        <v>5535</v>
      </c>
      <c r="AT31" s="69" t="s">
        <v>3306</v>
      </c>
      <c r="AV31" s="432" t="s">
        <v>3172</v>
      </c>
      <c r="AX31" s="286" t="s">
        <v>4103</v>
      </c>
      <c r="AZ31" s="69" t="s">
        <v>3784</v>
      </c>
      <c r="BD31" s="283" t="s">
        <v>2920</v>
      </c>
      <c r="BF31" s="70" t="s">
        <v>4370</v>
      </c>
    </row>
    <row r="32" spans="1:58" ht="15.75">
      <c r="A32" s="442" t="s">
        <v>2105</v>
      </c>
      <c r="B32" s="9" t="s">
        <v>27</v>
      </c>
      <c r="C32" s="9"/>
      <c r="D32" s="9"/>
      <c r="G32" s="438" t="s">
        <v>5536</v>
      </c>
      <c r="I32" s="422"/>
      <c r="K32" s="423" t="s">
        <v>5537</v>
      </c>
      <c r="L32" s="9"/>
      <c r="M32" s="9"/>
      <c r="P32" s="439" t="s">
        <v>1612</v>
      </c>
      <c r="T32" s="426" t="s">
        <v>4546</v>
      </c>
      <c r="U32" t="str">
        <f>VLOOKUP(T32,'[1]WES log'!B:E,4,FALSE)</f>
        <v>Benign</v>
      </c>
      <c r="Z32" s="401" t="s">
        <v>2729</v>
      </c>
      <c r="AA32" s="72" t="s">
        <v>188</v>
      </c>
      <c r="AC32" s="440" t="s">
        <v>655</v>
      </c>
      <c r="AF32" s="430" t="s">
        <v>1858</v>
      </c>
      <c r="AG32" s="431"/>
      <c r="AH32" s="389" t="s">
        <v>2668</v>
      </c>
      <c r="AJ32" s="394" t="s">
        <v>2769</v>
      </c>
      <c r="AK32" s="432"/>
      <c r="AN32" s="435" t="s">
        <v>3450</v>
      </c>
      <c r="AO32" s="436"/>
      <c r="AP32" s="283" t="s">
        <v>2369</v>
      </c>
      <c r="AR32" s="432" t="s">
        <v>5538</v>
      </c>
      <c r="AT32" s="69" t="s">
        <v>3543</v>
      </c>
      <c r="AV32" s="432" t="s">
        <v>3178</v>
      </c>
      <c r="AX32" s="286" t="s">
        <v>4106</v>
      </c>
      <c r="AZ32" s="69" t="s">
        <v>3802</v>
      </c>
      <c r="BD32" s="283" t="s">
        <v>4109</v>
      </c>
      <c r="BF32" s="70" t="s">
        <v>4372</v>
      </c>
    </row>
    <row r="33" spans="1:58" ht="15.75">
      <c r="A33" s="420" t="s">
        <v>2209</v>
      </c>
      <c r="B33" s="9" t="s">
        <v>27</v>
      </c>
      <c r="C33" s="9"/>
      <c r="D33" s="9"/>
      <c r="G33" s="438" t="s">
        <v>5539</v>
      </c>
      <c r="I33" s="422"/>
      <c r="K33" s="423" t="s">
        <v>5540</v>
      </c>
      <c r="L33" s="9"/>
      <c r="M33" s="9"/>
      <c r="P33" s="439" t="s">
        <v>1815</v>
      </c>
      <c r="T33" s="426" t="s">
        <v>2561</v>
      </c>
      <c r="U33" s="75" t="str">
        <f>VLOOKUP(T33,'[1]WES log'!B:E,4,FALSE)</f>
        <v>Benign Survivor</v>
      </c>
      <c r="Z33" s="401" t="s">
        <v>2739</v>
      </c>
      <c r="AA33" s="72" t="s">
        <v>188</v>
      </c>
      <c r="AC33" s="440" t="s">
        <v>682</v>
      </c>
      <c r="AF33" s="430" t="s">
        <v>2269</v>
      </c>
      <c r="AG33" s="431"/>
      <c r="AH33" s="389" t="s">
        <v>3722</v>
      </c>
      <c r="AJ33" s="394" t="s">
        <v>2773</v>
      </c>
      <c r="AK33" s="432"/>
      <c r="AN33" s="435" t="s">
        <v>3455</v>
      </c>
      <c r="AO33" s="436"/>
      <c r="AP33" s="283" t="s">
        <v>2373</v>
      </c>
      <c r="AR33" s="432" t="s">
        <v>5541</v>
      </c>
      <c r="AT33" s="69" t="s">
        <v>3611</v>
      </c>
      <c r="AV33" s="432" t="s">
        <v>3182</v>
      </c>
      <c r="AX33" s="286" t="s">
        <v>4109</v>
      </c>
      <c r="AZ33" s="69" t="s">
        <v>3807</v>
      </c>
      <c r="BD33" s="283" t="s">
        <v>4133</v>
      </c>
      <c r="BF33" s="70" t="s">
        <v>4376</v>
      </c>
    </row>
    <row r="34" spans="1:58" ht="15.75">
      <c r="A34" s="420" t="s">
        <v>4560</v>
      </c>
      <c r="B34" s="9" t="s">
        <v>27</v>
      </c>
      <c r="C34" s="9"/>
      <c r="D34" s="9"/>
      <c r="G34" s="438" t="s">
        <v>5542</v>
      </c>
      <c r="I34" s="422"/>
      <c r="K34" s="423" t="s">
        <v>5543</v>
      </c>
      <c r="L34" s="9"/>
      <c r="M34" s="9"/>
      <c r="P34" s="439" t="s">
        <v>1617</v>
      </c>
      <c r="AC34" s="440" t="s">
        <v>754</v>
      </c>
      <c r="AF34" s="430" t="s">
        <v>2274</v>
      </c>
      <c r="AG34" s="431"/>
      <c r="AH34" s="389" t="s">
        <v>2674</v>
      </c>
      <c r="AJ34" s="394" t="s">
        <v>2776</v>
      </c>
      <c r="AK34" s="432"/>
      <c r="AN34" s="435" t="s">
        <v>3459</v>
      </c>
      <c r="AO34" s="436"/>
      <c r="AP34" s="283" t="s">
        <v>2377</v>
      </c>
      <c r="AR34" s="432" t="s">
        <v>5544</v>
      </c>
      <c r="AT34" s="69" t="s">
        <v>3273</v>
      </c>
      <c r="AV34" s="432" t="s">
        <v>3187</v>
      </c>
      <c r="AX34" s="286" t="s">
        <v>2885</v>
      </c>
      <c r="BD34" s="283"/>
      <c r="BF34" s="70" t="s">
        <v>4378</v>
      </c>
    </row>
    <row r="35" spans="1:58" ht="15.75">
      <c r="A35" s="442" t="s">
        <v>2110</v>
      </c>
      <c r="B35" s="9" t="s">
        <v>27</v>
      </c>
      <c r="C35" s="9"/>
      <c r="D35" s="9"/>
      <c r="G35" s="438" t="s">
        <v>5545</v>
      </c>
      <c r="I35" s="422"/>
      <c r="K35" s="423" t="s">
        <v>5546</v>
      </c>
      <c r="L35" s="9"/>
      <c r="M35" s="9"/>
      <c r="P35" s="439" t="s">
        <v>1623</v>
      </c>
      <c r="AC35" s="440" t="s">
        <v>738</v>
      </c>
      <c r="AF35" s="430" t="s">
        <v>1606</v>
      </c>
      <c r="AG35" s="431"/>
      <c r="AH35" s="389" t="s">
        <v>2678</v>
      </c>
      <c r="AJ35" s="394" t="s">
        <v>2307</v>
      </c>
      <c r="AK35" s="432"/>
      <c r="AN35" s="435" t="s">
        <v>3464</v>
      </c>
      <c r="AO35" s="436"/>
      <c r="AP35" s="283" t="s">
        <v>2381</v>
      </c>
      <c r="AR35" s="432" t="s">
        <v>5547</v>
      </c>
      <c r="AT35" s="69" t="s">
        <v>3582</v>
      </c>
      <c r="AV35" s="432" t="s">
        <v>3192</v>
      </c>
      <c r="AX35" s="286" t="s">
        <v>2890</v>
      </c>
      <c r="BD35" s="283"/>
      <c r="BF35" s="70" t="s">
        <v>4380</v>
      </c>
    </row>
    <row r="36" spans="1:58" ht="15.75">
      <c r="A36" s="420" t="s">
        <v>4565</v>
      </c>
      <c r="B36" s="9" t="s">
        <v>27</v>
      </c>
      <c r="C36" s="9"/>
      <c r="D36" s="9"/>
      <c r="G36" s="438" t="s">
        <v>5548</v>
      </c>
      <c r="I36" s="422"/>
      <c r="K36" s="423" t="s">
        <v>5549</v>
      </c>
      <c r="L36" s="9"/>
      <c r="M36" s="9"/>
      <c r="P36" s="439" t="s">
        <v>1629</v>
      </c>
      <c r="AC36" s="440" t="s">
        <v>4493</v>
      </c>
      <c r="AF36" s="430" t="s">
        <v>4493</v>
      </c>
      <c r="AG36" s="431"/>
      <c r="AH36" s="389" t="s">
        <v>2683</v>
      </c>
      <c r="AJ36" s="394" t="s">
        <v>2311</v>
      </c>
      <c r="AK36" s="432"/>
      <c r="AN36" s="435" t="s">
        <v>3469</v>
      </c>
      <c r="AO36" s="436"/>
      <c r="AP36" s="283" t="s">
        <v>2385</v>
      </c>
      <c r="AR36" s="432" t="s">
        <v>5550</v>
      </c>
      <c r="AT36" s="69" t="s">
        <v>3547</v>
      </c>
      <c r="AV36" s="432" t="s">
        <v>3198</v>
      </c>
      <c r="AX36" s="286" t="s">
        <v>2895</v>
      </c>
      <c r="BD36" s="283"/>
      <c r="BF36" s="70" t="s">
        <v>4382</v>
      </c>
    </row>
    <row r="37" spans="1:58" ht="15.75">
      <c r="A37" s="420" t="s">
        <v>2116</v>
      </c>
      <c r="B37" s="9" t="s">
        <v>27</v>
      </c>
      <c r="C37" s="9"/>
      <c r="D37" s="9"/>
      <c r="G37" s="438" t="s">
        <v>5551</v>
      </c>
      <c r="I37" s="422"/>
      <c r="P37" s="439" t="s">
        <v>1242</v>
      </c>
      <c r="AC37" s="440" t="s">
        <v>1831</v>
      </c>
      <c r="AF37" s="430" t="s">
        <v>727</v>
      </c>
      <c r="AG37" s="431"/>
      <c r="AH37" s="389" t="s">
        <v>2687</v>
      </c>
      <c r="AJ37" s="394" t="s">
        <v>2315</v>
      </c>
      <c r="AK37" s="432"/>
      <c r="AN37" s="435" t="s">
        <v>3474</v>
      </c>
      <c r="AO37" s="436"/>
      <c r="AP37" s="283" t="s">
        <v>2389</v>
      </c>
      <c r="AR37" s="432" t="s">
        <v>5552</v>
      </c>
      <c r="AT37" s="69" t="s">
        <v>3678</v>
      </c>
      <c r="AV37" s="432" t="s">
        <v>3203</v>
      </c>
      <c r="AX37" s="286" t="s">
        <v>2900</v>
      </c>
      <c r="BD37" s="283"/>
    </row>
    <row r="38" spans="1:58" ht="15.75">
      <c r="A38" s="442" t="s">
        <v>2121</v>
      </c>
      <c r="B38" s="9" t="s">
        <v>27</v>
      </c>
      <c r="C38" s="9"/>
      <c r="D38" s="9"/>
      <c r="G38" s="438" t="s">
        <v>5553</v>
      </c>
      <c r="I38" s="422"/>
      <c r="P38" s="439" t="s">
        <v>1634</v>
      </c>
      <c r="AC38" s="440" t="s">
        <v>1924</v>
      </c>
      <c r="AF38" s="430" t="s">
        <v>4432</v>
      </c>
      <c r="AG38" s="431"/>
      <c r="AH38" s="389" t="s">
        <v>2699</v>
      </c>
      <c r="AJ38" s="394" t="s">
        <v>2319</v>
      </c>
      <c r="AK38" s="432"/>
      <c r="AN38" s="435" t="s">
        <v>3479</v>
      </c>
      <c r="AO38" s="436"/>
      <c r="AP38" s="283" t="s">
        <v>2393</v>
      </c>
      <c r="AR38" s="432" t="s">
        <v>5554</v>
      </c>
      <c r="AT38" s="69" t="s">
        <v>3249</v>
      </c>
      <c r="AV38" s="432" t="s">
        <v>3207</v>
      </c>
      <c r="AX38" s="286" t="s">
        <v>4112</v>
      </c>
      <c r="BD38" s="283"/>
    </row>
    <row r="39" spans="1:58" ht="15.75">
      <c r="A39" s="420" t="s">
        <v>2126</v>
      </c>
      <c r="B39" s="9" t="s">
        <v>27</v>
      </c>
      <c r="C39" s="9"/>
      <c r="D39" s="9"/>
      <c r="G39" s="438" t="s">
        <v>5555</v>
      </c>
      <c r="I39" s="422"/>
      <c r="P39" s="439" t="s">
        <v>1248</v>
      </c>
      <c r="AC39" s="440" t="s">
        <v>722</v>
      </c>
      <c r="AF39" s="430" t="s">
        <v>732</v>
      </c>
      <c r="AG39" s="431"/>
      <c r="AH39" s="389" t="s">
        <v>2707</v>
      </c>
      <c r="AJ39" s="394" t="s">
        <v>2323</v>
      </c>
      <c r="AK39" s="432"/>
      <c r="AN39" s="435" t="s">
        <v>3484</v>
      </c>
      <c r="AO39" s="436"/>
      <c r="AP39" s="283" t="s">
        <v>2397</v>
      </c>
      <c r="AR39" s="432" t="s">
        <v>5556</v>
      </c>
      <c r="AT39" s="69" t="s">
        <v>3567</v>
      </c>
      <c r="AV39" s="432" t="s">
        <v>3212</v>
      </c>
      <c r="AX39" s="286" t="s">
        <v>4115</v>
      </c>
      <c r="BD39" s="283"/>
    </row>
    <row r="40" spans="1:58" ht="15.75">
      <c r="A40" s="420" t="s">
        <v>2132</v>
      </c>
      <c r="B40" s="9" t="s">
        <v>27</v>
      </c>
      <c r="C40" s="9"/>
      <c r="D40" s="9"/>
      <c r="G40" s="438" t="s">
        <v>5557</v>
      </c>
      <c r="I40" s="422"/>
      <c r="P40" s="439" t="s">
        <v>1253</v>
      </c>
      <c r="AC40" s="440" t="s">
        <v>784</v>
      </c>
      <c r="AF40" s="430" t="s">
        <v>738</v>
      </c>
      <c r="AG40" s="431"/>
      <c r="AH40" s="389" t="s">
        <v>2734</v>
      </c>
      <c r="AJ40" s="394" t="s">
        <v>2327</v>
      </c>
      <c r="AK40" s="432"/>
      <c r="AN40" s="435" t="s">
        <v>3489</v>
      </c>
      <c r="AO40" s="436"/>
      <c r="AP40" s="283" t="s">
        <v>2402</v>
      </c>
      <c r="AR40" s="432" t="s">
        <v>5558</v>
      </c>
      <c r="AT40" s="69" t="s">
        <v>3426</v>
      </c>
      <c r="AV40" s="432" t="s">
        <v>3216</v>
      </c>
      <c r="AX40" s="286" t="s">
        <v>2905</v>
      </c>
      <c r="BD40" s="283"/>
    </row>
    <row r="41" spans="1:58" ht="15.75">
      <c r="A41" s="442" t="s">
        <v>2137</v>
      </c>
      <c r="B41" s="9" t="s">
        <v>27</v>
      </c>
      <c r="C41" s="9"/>
      <c r="D41" s="9"/>
      <c r="G41" s="438" t="s">
        <v>5559</v>
      </c>
      <c r="I41" s="422"/>
      <c r="P41" s="439" t="s">
        <v>1258</v>
      </c>
      <c r="AC41" s="440" t="s">
        <v>1858</v>
      </c>
      <c r="AF41" s="430" t="s">
        <v>743</v>
      </c>
      <c r="AG41" s="431"/>
      <c r="AH41" s="389" t="s">
        <v>2764</v>
      </c>
      <c r="AJ41" s="394" t="s">
        <v>2331</v>
      </c>
      <c r="AK41" s="432"/>
      <c r="AN41" s="435" t="s">
        <v>3493</v>
      </c>
      <c r="AO41" s="436"/>
      <c r="AP41" s="283" t="s">
        <v>2406</v>
      </c>
      <c r="AR41" s="432" t="s">
        <v>5560</v>
      </c>
      <c r="AT41" s="69" t="s">
        <v>3431</v>
      </c>
      <c r="AV41" s="432" t="s">
        <v>3220</v>
      </c>
      <c r="AX41" s="286" t="s">
        <v>2910</v>
      </c>
      <c r="BD41" s="283"/>
    </row>
    <row r="42" spans="1:58" ht="15.75">
      <c r="A42" s="420" t="s">
        <v>612</v>
      </c>
      <c r="B42" s="9" t="s">
        <v>27</v>
      </c>
      <c r="C42" s="9"/>
      <c r="D42" s="9"/>
      <c r="G42" s="438" t="s">
        <v>5561</v>
      </c>
      <c r="I42" s="422"/>
      <c r="P42" s="439" t="s">
        <v>1659</v>
      </c>
      <c r="AC42" s="440" t="s">
        <v>4482</v>
      </c>
      <c r="AF42" s="430" t="s">
        <v>748</v>
      </c>
      <c r="AG42" s="431"/>
      <c r="AH42" s="389" t="s">
        <v>2566</v>
      </c>
      <c r="AJ42" s="394" t="s">
        <v>2335</v>
      </c>
      <c r="AK42" s="432"/>
      <c r="AN42" s="435" t="s">
        <v>3573</v>
      </c>
      <c r="AO42" s="436"/>
      <c r="AP42" s="283" t="s">
        <v>2411</v>
      </c>
      <c r="AR42" s="432" t="s">
        <v>5562</v>
      </c>
      <c r="AT42" s="69" t="s">
        <v>3493</v>
      </c>
      <c r="AV42" s="432" t="s">
        <v>3225</v>
      </c>
      <c r="AX42" s="286" t="s">
        <v>4118</v>
      </c>
      <c r="BD42" s="283"/>
    </row>
    <row r="43" spans="1:58" ht="15.75">
      <c r="A43" s="420" t="s">
        <v>2142</v>
      </c>
      <c r="B43" s="9" t="s">
        <v>27</v>
      </c>
      <c r="C43" s="9"/>
      <c r="D43" s="9"/>
      <c r="G43" s="438" t="s">
        <v>5563</v>
      </c>
      <c r="I43" s="422"/>
      <c r="P43" s="439" t="s">
        <v>1274</v>
      </c>
      <c r="AC43" s="440" t="s">
        <v>805</v>
      </c>
      <c r="AF43" s="430" t="s">
        <v>2279</v>
      </c>
      <c r="AG43" s="431"/>
      <c r="AH43" s="389" t="s">
        <v>2570</v>
      </c>
      <c r="AJ43" s="394" t="s">
        <v>2340</v>
      </c>
      <c r="AK43" s="432"/>
      <c r="AN43" s="435" t="s">
        <v>3577</v>
      </c>
      <c r="AO43" s="436"/>
      <c r="AP43" s="283" t="s">
        <v>2416</v>
      </c>
      <c r="AR43" s="432" t="s">
        <v>5564</v>
      </c>
      <c r="AT43" s="69" t="s">
        <v>3322</v>
      </c>
      <c r="AV43" s="446" t="s">
        <v>3230</v>
      </c>
      <c r="AX43" s="286" t="s">
        <v>4121</v>
      </c>
      <c r="BD43" s="283"/>
    </row>
    <row r="44" spans="1:58" ht="15.75">
      <c r="A44" s="442" t="s">
        <v>2148</v>
      </c>
      <c r="B44" s="9" t="s">
        <v>27</v>
      </c>
      <c r="C44" s="9"/>
      <c r="D44" s="9"/>
      <c r="G44" s="438" t="s">
        <v>5565</v>
      </c>
      <c r="I44" s="422"/>
      <c r="P44" s="439" t="s">
        <v>5379</v>
      </c>
      <c r="Q44" s="447" t="s">
        <v>5412</v>
      </c>
      <c r="AC44" s="440" t="s">
        <v>789</v>
      </c>
      <c r="AF44" s="430" t="s">
        <v>754</v>
      </c>
      <c r="AG44" s="431"/>
      <c r="AH44" s="389" t="s">
        <v>2574</v>
      </c>
      <c r="AJ44" s="394" t="s">
        <v>2344</v>
      </c>
      <c r="AK44" s="432"/>
      <c r="AN44" s="435" t="s">
        <v>3508</v>
      </c>
      <c r="AO44" s="436"/>
      <c r="AP44" s="283" t="s">
        <v>2420</v>
      </c>
      <c r="AR44" s="432" t="s">
        <v>5566</v>
      </c>
      <c r="AT44" s="69" t="s">
        <v>3533</v>
      </c>
      <c r="AV44" s="286" t="s">
        <v>3234</v>
      </c>
      <c r="AX44" s="286" t="s">
        <v>2915</v>
      </c>
      <c r="BD44" s="283"/>
    </row>
    <row r="45" spans="1:58" ht="15.75">
      <c r="A45" s="420" t="s">
        <v>2154</v>
      </c>
      <c r="B45" s="9" t="s">
        <v>27</v>
      </c>
      <c r="C45" s="9"/>
      <c r="D45" s="9"/>
      <c r="G45" s="438" t="s">
        <v>5567</v>
      </c>
      <c r="I45" s="422"/>
      <c r="P45" s="439" t="s">
        <v>5381</v>
      </c>
      <c r="Q45" s="447" t="s">
        <v>5412</v>
      </c>
      <c r="AC45" s="440" t="s">
        <v>1915</v>
      </c>
      <c r="AF45" s="430" t="s">
        <v>1920</v>
      </c>
      <c r="AG45" s="431"/>
      <c r="AH45" s="389" t="s">
        <v>2578</v>
      </c>
      <c r="AJ45" s="394" t="s">
        <v>2348</v>
      </c>
      <c r="AK45" s="432"/>
      <c r="AN45" s="435" t="s">
        <v>3513</v>
      </c>
      <c r="AO45" s="436"/>
      <c r="AP45" s="283" t="s">
        <v>2424</v>
      </c>
      <c r="AR45" s="432" t="s">
        <v>5568</v>
      </c>
      <c r="AT45" s="69" t="s">
        <v>3421</v>
      </c>
      <c r="AV45" s="286" t="s">
        <v>3239</v>
      </c>
      <c r="AX45" s="286" t="s">
        <v>4124</v>
      </c>
      <c r="BD45" s="283"/>
    </row>
    <row r="46" spans="1:58" ht="15.75">
      <c r="A46" s="420" t="s">
        <v>2160</v>
      </c>
      <c r="B46" s="9" t="s">
        <v>27</v>
      </c>
      <c r="C46" s="9"/>
      <c r="D46" s="9"/>
      <c r="G46" s="438" t="s">
        <v>5569</v>
      </c>
      <c r="I46" s="422"/>
      <c r="P46" s="439" t="s">
        <v>5383</v>
      </c>
      <c r="Q46" s="447" t="s">
        <v>5412</v>
      </c>
      <c r="AC46" s="440" t="s">
        <v>712</v>
      </c>
      <c r="AF46" s="430" t="s">
        <v>1623</v>
      </c>
      <c r="AG46" s="431"/>
      <c r="AH46" s="389" t="s">
        <v>2582</v>
      </c>
      <c r="AJ46" s="394" t="s">
        <v>2352</v>
      </c>
      <c r="AK46" s="432"/>
      <c r="AN46" s="435" t="s">
        <v>3518</v>
      </c>
      <c r="AO46" s="436"/>
      <c r="AP46" s="283" t="s">
        <v>2428</v>
      </c>
      <c r="AR46" s="432" t="s">
        <v>5570</v>
      </c>
      <c r="AT46" s="69" t="s">
        <v>3354</v>
      </c>
      <c r="AV46" s="286" t="s">
        <v>5570</v>
      </c>
      <c r="AX46" s="286" t="s">
        <v>4127</v>
      </c>
      <c r="BD46" s="283"/>
    </row>
    <row r="47" spans="1:58" ht="15.75">
      <c r="A47" s="442" t="s">
        <v>2166</v>
      </c>
      <c r="B47" s="9" t="s">
        <v>27</v>
      </c>
      <c r="C47" s="9"/>
      <c r="D47" s="9"/>
      <c r="G47" s="438" t="s">
        <v>5571</v>
      </c>
      <c r="I47" s="422"/>
      <c r="P47" s="439" t="s">
        <v>1279</v>
      </c>
      <c r="AC47" s="440" t="s">
        <v>764</v>
      </c>
      <c r="AF47" s="430" t="s">
        <v>1639</v>
      </c>
      <c r="AG47" s="431"/>
      <c r="AH47" s="389" t="s">
        <v>2586</v>
      </c>
      <c r="AJ47" s="394" t="s">
        <v>2356</v>
      </c>
      <c r="AK47" s="432"/>
      <c r="AN47" s="435" t="s">
        <v>3524</v>
      </c>
      <c r="AO47" s="436"/>
      <c r="AP47" s="283" t="s">
        <v>2473</v>
      </c>
      <c r="AR47" s="432" t="s">
        <v>5572</v>
      </c>
      <c r="AT47" s="69" t="s">
        <v>3557</v>
      </c>
      <c r="AV47" s="286" t="s">
        <v>5572</v>
      </c>
      <c r="AX47" s="286" t="s">
        <v>4130</v>
      </c>
      <c r="BD47" s="283"/>
    </row>
    <row r="48" spans="1:58" ht="15.75">
      <c r="A48" s="420" t="s">
        <v>2173</v>
      </c>
      <c r="B48" s="9" t="s">
        <v>27</v>
      </c>
      <c r="C48" s="9"/>
      <c r="D48" s="9"/>
      <c r="G48" s="438" t="s">
        <v>5573</v>
      </c>
      <c r="I48" s="422"/>
      <c r="P48" s="439" t="s">
        <v>5385</v>
      </c>
      <c r="Q48" s="447" t="s">
        <v>5412</v>
      </c>
      <c r="AC48" s="440" t="s">
        <v>671</v>
      </c>
      <c r="AF48" s="430" t="s">
        <v>759</v>
      </c>
      <c r="AG48" s="431"/>
      <c r="AH48" s="389" t="s">
        <v>2590</v>
      </c>
      <c r="AJ48" s="394" t="s">
        <v>2360</v>
      </c>
      <c r="AK48" s="432"/>
      <c r="AN48" s="435" t="s">
        <v>3528</v>
      </c>
      <c r="AO48" s="436"/>
      <c r="AP48" s="283" t="s">
        <v>2477</v>
      </c>
      <c r="AR48" s="432" t="s">
        <v>5574</v>
      </c>
      <c r="AT48" s="69" t="s">
        <v>3330</v>
      </c>
      <c r="AV48" s="286" t="s">
        <v>5574</v>
      </c>
      <c r="AX48" s="286" t="s">
        <v>2920</v>
      </c>
      <c r="BD48" s="283"/>
    </row>
    <row r="49" spans="1:50" ht="15.75">
      <c r="A49" s="420" t="s">
        <v>2180</v>
      </c>
      <c r="B49" s="9" t="s">
        <v>27</v>
      </c>
      <c r="C49" s="9"/>
      <c r="D49" s="9"/>
      <c r="G49" s="438" t="s">
        <v>5575</v>
      </c>
      <c r="I49" s="422"/>
      <c r="P49" s="439" t="s">
        <v>1895</v>
      </c>
      <c r="AC49" s="440" t="s">
        <v>800</v>
      </c>
      <c r="AF49" s="430" t="s">
        <v>1258</v>
      </c>
      <c r="AG49" s="431"/>
      <c r="AH49" s="389" t="s">
        <v>2594</v>
      </c>
      <c r="AJ49" s="394" t="s">
        <v>2364</v>
      </c>
      <c r="AK49" s="432"/>
      <c r="AN49" s="435" t="s">
        <v>3533</v>
      </c>
      <c r="AO49" s="436"/>
      <c r="AP49" s="283" t="s">
        <v>2481</v>
      </c>
      <c r="AR49" s="432" t="s">
        <v>5576</v>
      </c>
      <c r="AT49" s="69" t="s">
        <v>3292</v>
      </c>
      <c r="AV49" s="286" t="s">
        <v>5576</v>
      </c>
      <c r="AX49" s="286" t="s">
        <v>4133</v>
      </c>
    </row>
    <row r="50" spans="1:50" ht="15.75">
      <c r="A50" s="442" t="s">
        <v>2186</v>
      </c>
      <c r="B50" s="9" t="s">
        <v>27</v>
      </c>
      <c r="C50" s="9"/>
      <c r="D50" s="9"/>
      <c r="G50" s="438" t="s">
        <v>5577</v>
      </c>
      <c r="P50" s="439" t="s">
        <v>1901</v>
      </c>
      <c r="AC50" s="440" t="s">
        <v>4489</v>
      </c>
      <c r="AF50" s="430" t="s">
        <v>764</v>
      </c>
      <c r="AG50" s="431"/>
      <c r="AH50" s="389" t="s">
        <v>2599</v>
      </c>
      <c r="AJ50" s="394" t="s">
        <v>2369</v>
      </c>
      <c r="AK50" s="432"/>
      <c r="AN50" s="435" t="s">
        <v>3538</v>
      </c>
      <c r="AO50" s="436"/>
      <c r="AP50" s="283" t="s">
        <v>2485</v>
      </c>
      <c r="AR50" s="432" t="s">
        <v>5578</v>
      </c>
      <c r="AT50" s="69" t="s">
        <v>4577</v>
      </c>
      <c r="AV50" s="286" t="s">
        <v>5578</v>
      </c>
      <c r="AX50" s="286" t="s">
        <v>4136</v>
      </c>
    </row>
    <row r="51" spans="1:50" ht="15.75">
      <c r="A51" s="420" t="s">
        <v>2192</v>
      </c>
      <c r="B51" s="9" t="s">
        <v>27</v>
      </c>
      <c r="C51" s="9"/>
      <c r="D51" s="9"/>
      <c r="G51" s="438" t="s">
        <v>5579</v>
      </c>
      <c r="P51" s="439" t="s">
        <v>1906</v>
      </c>
      <c r="AC51" s="440" t="s">
        <v>4496</v>
      </c>
      <c r="AF51" s="430" t="s">
        <v>1838</v>
      </c>
      <c r="AG51" s="431"/>
      <c r="AH51" s="389" t="s">
        <v>2603</v>
      </c>
      <c r="AJ51" s="394" t="s">
        <v>2373</v>
      </c>
      <c r="AK51" s="432"/>
      <c r="AN51" s="435" t="s">
        <v>3543</v>
      </c>
      <c r="AO51" s="436"/>
      <c r="AP51" s="283" t="s">
        <v>2489</v>
      </c>
      <c r="AR51" s="432" t="s">
        <v>5580</v>
      </c>
      <c r="AT51" s="69" t="s">
        <v>3388</v>
      </c>
      <c r="AV51" s="286" t="s">
        <v>5580</v>
      </c>
      <c r="AX51" s="286" t="s">
        <v>4141</v>
      </c>
    </row>
    <row r="52" spans="1:50" ht="15.75">
      <c r="A52" s="420" t="s">
        <v>2198</v>
      </c>
      <c r="B52" s="9" t="s">
        <v>27</v>
      </c>
      <c r="C52" s="9"/>
      <c r="D52" s="9"/>
      <c r="G52" s="438" t="s">
        <v>5581</v>
      </c>
      <c r="P52" s="439" t="s">
        <v>2295</v>
      </c>
      <c r="AC52" s="440" t="s">
        <v>1920</v>
      </c>
      <c r="AF52" s="430" t="s">
        <v>769</v>
      </c>
      <c r="AG52" s="431"/>
      <c r="AH52" s="389" t="s">
        <v>2525</v>
      </c>
      <c r="AJ52" s="394" t="s">
        <v>2377</v>
      </c>
      <c r="AK52" s="432"/>
      <c r="AN52" s="435" t="s">
        <v>3547</v>
      </c>
      <c r="AO52" s="436"/>
      <c r="AP52" s="283" t="s">
        <v>2493</v>
      </c>
      <c r="AR52" s="432" t="s">
        <v>5582</v>
      </c>
      <c r="AT52" s="69" t="s">
        <v>3363</v>
      </c>
      <c r="AV52" s="286" t="s">
        <v>5582</v>
      </c>
      <c r="AX52" s="286" t="s">
        <v>4146</v>
      </c>
    </row>
    <row r="53" spans="1:50" ht="15.75">
      <c r="A53" s="442" t="s">
        <v>2203</v>
      </c>
      <c r="B53" s="9" t="s">
        <v>27</v>
      </c>
      <c r="C53" s="9"/>
      <c r="D53" s="9"/>
      <c r="G53" s="438" t="s">
        <v>5583</v>
      </c>
      <c r="P53" s="439" t="s">
        <v>2302</v>
      </c>
      <c r="AC53" s="440" t="s">
        <v>732</v>
      </c>
      <c r="AF53" s="430" t="s">
        <v>1815</v>
      </c>
      <c r="AG53" s="431"/>
      <c r="AH53" s="389" t="s">
        <v>2529</v>
      </c>
      <c r="AJ53" s="394" t="s">
        <v>2381</v>
      </c>
      <c r="AK53" s="432"/>
      <c r="AN53" s="435" t="s">
        <v>3552</v>
      </c>
      <c r="AO53" s="436"/>
      <c r="AP53" s="283" t="s">
        <v>2497</v>
      </c>
      <c r="AR53" s="432" t="s">
        <v>5584</v>
      </c>
      <c r="AT53" s="69" t="s">
        <v>3416</v>
      </c>
      <c r="AV53" s="286" t="s">
        <v>5584</v>
      </c>
      <c r="AX53" s="286" t="s">
        <v>4151</v>
      </c>
    </row>
    <row r="54" spans="1:50" ht="15.75">
      <c r="A54" s="420" t="s">
        <v>617</v>
      </c>
      <c r="B54" s="9"/>
      <c r="C54" s="9"/>
      <c r="D54" s="9"/>
      <c r="G54" s="438" t="s">
        <v>5585</v>
      </c>
      <c r="P54" s="439" t="s">
        <v>4546</v>
      </c>
      <c r="AC54" s="429" t="s">
        <v>649</v>
      </c>
      <c r="AF54" s="430" t="s">
        <v>4496</v>
      </c>
      <c r="AG54" s="431"/>
      <c r="AH54" s="389" t="s">
        <v>2533</v>
      </c>
      <c r="AJ54" s="394" t="s">
        <v>2385</v>
      </c>
      <c r="AK54" s="432"/>
      <c r="AN54" s="435" t="s">
        <v>3557</v>
      </c>
      <c r="AO54" s="436"/>
      <c r="AP54" s="283" t="s">
        <v>2501</v>
      </c>
      <c r="AR54" s="432" t="s">
        <v>5586</v>
      </c>
      <c r="AT54" s="69" t="s">
        <v>3632</v>
      </c>
      <c r="AV54" s="286" t="s">
        <v>5586</v>
      </c>
      <c r="AX54" s="286" t="s">
        <v>4156</v>
      </c>
    </row>
    <row r="55" spans="1:50" ht="15.75">
      <c r="A55" s="420" t="s">
        <v>1225</v>
      </c>
      <c r="B55" s="9"/>
      <c r="C55" s="9"/>
      <c r="D55" s="9"/>
      <c r="G55" s="438" t="s">
        <v>5587</v>
      </c>
      <c r="P55" s="439" t="s">
        <v>2561</v>
      </c>
      <c r="AC55" s="440" t="s">
        <v>4485</v>
      </c>
      <c r="AF55" s="430" t="s">
        <v>1924</v>
      </c>
      <c r="AG55" s="431"/>
      <c r="AH55" s="389" t="s">
        <v>2537</v>
      </c>
      <c r="AJ55" s="394" t="s">
        <v>2389</v>
      </c>
      <c r="AK55" s="432"/>
      <c r="AN55" s="435" t="s">
        <v>3562</v>
      </c>
      <c r="AO55" s="436"/>
      <c r="AP55" s="283" t="s">
        <v>2505</v>
      </c>
      <c r="AR55" s="432" t="s">
        <v>5588</v>
      </c>
      <c r="AT55" s="69" t="s">
        <v>3693</v>
      </c>
      <c r="AV55" s="286" t="s">
        <v>5588</v>
      </c>
      <c r="AX55" s="286" t="s">
        <v>4160</v>
      </c>
    </row>
    <row r="56" spans="1:50" ht="15.75">
      <c r="A56" s="448" t="s">
        <v>4616</v>
      </c>
      <c r="B56" s="9"/>
      <c r="C56" s="9" t="s">
        <v>5401</v>
      </c>
      <c r="D56" s="9"/>
      <c r="G56" s="438" t="s">
        <v>5589</v>
      </c>
      <c r="AC56" s="440" t="s">
        <v>748</v>
      </c>
      <c r="AF56" s="430" t="s">
        <v>774</v>
      </c>
      <c r="AG56" s="431"/>
      <c r="AH56" s="389" t="s">
        <v>2541</v>
      </c>
      <c r="AJ56" s="394" t="s">
        <v>2393</v>
      </c>
      <c r="AK56" s="432"/>
      <c r="AN56" s="435" t="s">
        <v>3567</v>
      </c>
      <c r="AO56" s="436"/>
      <c r="AP56" s="283" t="s">
        <v>4573</v>
      </c>
      <c r="AR56" s="432" t="s">
        <v>5590</v>
      </c>
      <c r="AT56" s="69" t="s">
        <v>3597</v>
      </c>
      <c r="AV56" s="286" t="s">
        <v>5590</v>
      </c>
      <c r="AX56" s="286" t="s">
        <v>4164</v>
      </c>
    </row>
    <row r="57" spans="1:50" ht="15.75">
      <c r="A57" s="449" t="s">
        <v>4638</v>
      </c>
      <c r="B57" s="9"/>
      <c r="C57" s="9" t="s">
        <v>5401</v>
      </c>
      <c r="D57" s="9"/>
      <c r="G57" s="438" t="s">
        <v>5591</v>
      </c>
      <c r="AC57" s="440" t="s">
        <v>692</v>
      </c>
      <c r="AF57" s="430" t="s">
        <v>779</v>
      </c>
      <c r="AG57" s="431"/>
      <c r="AH57" s="389" t="s">
        <v>2545</v>
      </c>
      <c r="AJ57" s="394" t="s">
        <v>2397</v>
      </c>
      <c r="AK57" s="432"/>
      <c r="AN57" s="435" t="s">
        <v>3498</v>
      </c>
      <c r="AO57" s="436"/>
      <c r="AP57" s="283" t="s">
        <v>2509</v>
      </c>
      <c r="AR57" s="432" t="s">
        <v>5592</v>
      </c>
      <c r="AT57" s="69" t="s">
        <v>3326</v>
      </c>
      <c r="AV57" s="286" t="s">
        <v>5592</v>
      </c>
      <c r="AX57" s="286" t="s">
        <v>2925</v>
      </c>
    </row>
    <row r="58" spans="1:50" ht="15.75">
      <c r="A58" s="420" t="s">
        <v>1890</v>
      </c>
      <c r="B58" s="9"/>
      <c r="C58" s="9"/>
      <c r="D58" s="9"/>
      <c r="G58" s="438" t="s">
        <v>5593</v>
      </c>
      <c r="AC58" s="440" t="s">
        <v>779</v>
      </c>
      <c r="AF58" s="430" t="s">
        <v>784</v>
      </c>
      <c r="AG58" s="431"/>
      <c r="AH58" s="389" t="s">
        <v>2549</v>
      </c>
      <c r="AJ58" s="394" t="s">
        <v>2402</v>
      </c>
      <c r="AK58" s="432"/>
      <c r="AN58" s="435" t="s">
        <v>3503</v>
      </c>
      <c r="AO58" s="436"/>
      <c r="AP58" s="283" t="s">
        <v>2513</v>
      </c>
      <c r="AR58" s="432" t="s">
        <v>5594</v>
      </c>
      <c r="AT58" s="69" t="s">
        <v>3296</v>
      </c>
      <c r="AV58" s="286" t="s">
        <v>5594</v>
      </c>
      <c r="AX58" s="286" t="s">
        <v>2930</v>
      </c>
    </row>
    <row r="59" spans="1:50" ht="15.75">
      <c r="A59" s="442" t="s">
        <v>1231</v>
      </c>
      <c r="B59" s="9"/>
      <c r="C59" s="9"/>
      <c r="D59" s="9"/>
      <c r="G59" s="438" t="s">
        <v>5595</v>
      </c>
      <c r="AC59" s="440" t="s">
        <v>676</v>
      </c>
      <c r="AF59" s="430" t="s">
        <v>789</v>
      </c>
      <c r="AG59" s="431"/>
      <c r="AH59" s="389" t="s">
        <v>2553</v>
      </c>
      <c r="AJ59" s="394" t="s">
        <v>2406</v>
      </c>
      <c r="AK59" s="432"/>
      <c r="AN59" s="435" t="s">
        <v>3582</v>
      </c>
      <c r="AO59" s="436"/>
      <c r="AP59" s="283" t="s">
        <v>2517</v>
      </c>
      <c r="AR59" s="432" t="s">
        <v>5596</v>
      </c>
      <c r="AT59" s="69" t="s">
        <v>3489</v>
      </c>
      <c r="AV59" s="286" t="s">
        <v>5596</v>
      </c>
      <c r="AX59" s="286" t="s">
        <v>2950</v>
      </c>
    </row>
    <row r="60" spans="1:50" ht="15.75">
      <c r="A60" s="420" t="s">
        <v>1236</v>
      </c>
      <c r="B60" s="9"/>
      <c r="C60" s="9"/>
      <c r="D60" s="9"/>
      <c r="G60" s="438" t="s">
        <v>5597</v>
      </c>
      <c r="H60" s="447" t="s">
        <v>617</v>
      </c>
      <c r="AC60" s="440" t="s">
        <v>666</v>
      </c>
      <c r="AF60" s="430" t="s">
        <v>794</v>
      </c>
      <c r="AG60" s="431"/>
      <c r="AH60" s="389" t="s">
        <v>2557</v>
      </c>
      <c r="AJ60" s="394" t="s">
        <v>2411</v>
      </c>
      <c r="AK60" s="432"/>
      <c r="AN60" s="435" t="s">
        <v>3717</v>
      </c>
      <c r="AO60" s="436"/>
      <c r="AP60" s="283" t="s">
        <v>2521</v>
      </c>
      <c r="AR60" s="432" t="s">
        <v>5598</v>
      </c>
      <c r="AT60" s="69" t="s">
        <v>3528</v>
      </c>
      <c r="AV60" s="286" t="s">
        <v>5598</v>
      </c>
      <c r="AX60" s="286" t="s">
        <v>4169</v>
      </c>
    </row>
    <row r="61" spans="1:50" ht="15.75">
      <c r="A61" s="450" t="s">
        <v>4622</v>
      </c>
      <c r="B61" s="9"/>
      <c r="C61" s="9" t="s">
        <v>5403</v>
      </c>
      <c r="D61" s="9"/>
      <c r="G61" s="438" t="s">
        <v>5599</v>
      </c>
      <c r="H61" s="447" t="s">
        <v>1225</v>
      </c>
      <c r="AC61" s="440" t="s">
        <v>774</v>
      </c>
      <c r="AF61" s="430" t="s">
        <v>800</v>
      </c>
      <c r="AG61" s="431"/>
      <c r="AH61" s="389" t="s">
        <v>2691</v>
      </c>
      <c r="AJ61" s="394" t="s">
        <v>2416</v>
      </c>
      <c r="AK61" s="432"/>
      <c r="AN61" s="435" t="s">
        <v>3588</v>
      </c>
      <c r="AO61" s="436"/>
      <c r="AP61" s="283" t="s">
        <v>2525</v>
      </c>
      <c r="AR61" s="432" t="s">
        <v>5600</v>
      </c>
      <c r="AT61" s="69" t="s">
        <v>3698</v>
      </c>
      <c r="AV61" s="286" t="s">
        <v>5600</v>
      </c>
      <c r="AX61" s="286" t="s">
        <v>4174</v>
      </c>
    </row>
    <row r="62" spans="1:50" ht="15.75">
      <c r="A62" s="451" t="s">
        <v>2811</v>
      </c>
      <c r="B62" s="9"/>
      <c r="C62" s="452" t="s">
        <v>5601</v>
      </c>
      <c r="D62" s="9"/>
      <c r="G62" s="438" t="s">
        <v>5602</v>
      </c>
      <c r="H62" s="447" t="s">
        <v>1890</v>
      </c>
      <c r="AC62" s="440" t="s">
        <v>1838</v>
      </c>
      <c r="AF62" s="430" t="s">
        <v>1617</v>
      </c>
      <c r="AG62" s="431"/>
      <c r="AH62" s="389" t="s">
        <v>4575</v>
      </c>
      <c r="AJ62" s="394" t="s">
        <v>2420</v>
      </c>
      <c r="AK62" s="432"/>
      <c r="AN62" s="435" t="s">
        <v>3592</v>
      </c>
      <c r="AO62" s="436"/>
      <c r="AP62" s="283" t="s">
        <v>2529</v>
      </c>
      <c r="AR62" s="432" t="s">
        <v>5603</v>
      </c>
      <c r="AT62" s="69" t="s">
        <v>3627</v>
      </c>
      <c r="AV62" s="286" t="s">
        <v>5603</v>
      </c>
      <c r="AX62" s="286" t="s">
        <v>4179</v>
      </c>
    </row>
    <row r="63" spans="1:50" ht="15.75">
      <c r="A63" s="450" t="s">
        <v>4626</v>
      </c>
      <c r="B63" s="9"/>
      <c r="C63" s="9" t="s">
        <v>5403</v>
      </c>
      <c r="D63" s="9"/>
      <c r="G63" s="438" t="s">
        <v>5604</v>
      </c>
      <c r="H63" s="447" t="s">
        <v>1231</v>
      </c>
      <c r="AC63" s="440" t="s">
        <v>3797</v>
      </c>
      <c r="AF63" s="430" t="s">
        <v>1634</v>
      </c>
      <c r="AG63" s="431"/>
      <c r="AH63" s="389" t="s">
        <v>2695</v>
      </c>
      <c r="AJ63" s="394" t="s">
        <v>2424</v>
      </c>
      <c r="AK63" s="432"/>
      <c r="AN63" s="435" t="s">
        <v>3597</v>
      </c>
      <c r="AO63" s="436"/>
      <c r="AP63" s="283" t="s">
        <v>2533</v>
      </c>
      <c r="AR63" s="432" t="s">
        <v>5605</v>
      </c>
      <c r="AT63" s="69" t="s">
        <v>3614</v>
      </c>
      <c r="AV63" s="286" t="s">
        <v>5605</v>
      </c>
      <c r="AX63" s="286" t="s">
        <v>4184</v>
      </c>
    </row>
    <row r="64" spans="1:50" ht="15.75">
      <c r="A64" s="420" t="s">
        <v>623</v>
      </c>
      <c r="B64" s="9"/>
      <c r="C64" s="9"/>
      <c r="D64" s="9"/>
      <c r="G64" s="438" t="s">
        <v>5606</v>
      </c>
      <c r="H64" s="447" t="s">
        <v>1236</v>
      </c>
      <c r="AC64" s="440" t="s">
        <v>743</v>
      </c>
      <c r="AF64" s="430" t="s">
        <v>3797</v>
      </c>
      <c r="AG64" s="431"/>
      <c r="AH64" s="389" t="s">
        <v>2703</v>
      </c>
      <c r="AJ64" s="394" t="s">
        <v>2428</v>
      </c>
      <c r="AK64" s="432"/>
      <c r="AN64" s="453" t="s">
        <v>3244</v>
      </c>
      <c r="AO64" s="454"/>
      <c r="AP64" s="283" t="s">
        <v>2537</v>
      </c>
      <c r="AR64" s="432" t="s">
        <v>5607</v>
      </c>
      <c r="AT64" s="69" t="s">
        <v>3359</v>
      </c>
      <c r="AV64" s="286" t="s">
        <v>5607</v>
      </c>
      <c r="AX64" s="286" t="s">
        <v>3009</v>
      </c>
    </row>
    <row r="65" spans="1:50" ht="15.75">
      <c r="A65" s="420" t="s">
        <v>2214</v>
      </c>
      <c r="B65" s="9" t="s">
        <v>27</v>
      </c>
      <c r="C65" s="9"/>
      <c r="D65" s="9"/>
      <c r="G65" s="438" t="s">
        <v>5608</v>
      </c>
      <c r="H65" s="447" t="s">
        <v>623</v>
      </c>
      <c r="AC65" s="440" t="s">
        <v>717</v>
      </c>
      <c r="AF65" s="430" t="s">
        <v>805</v>
      </c>
      <c r="AG65" s="431"/>
      <c r="AH65" s="389" t="s">
        <v>2714</v>
      </c>
      <c r="AJ65" s="394" t="s">
        <v>2787</v>
      </c>
      <c r="AK65" s="432"/>
      <c r="AN65" s="453" t="s">
        <v>3249</v>
      </c>
      <c r="AO65" s="454"/>
      <c r="AP65" s="283" t="s">
        <v>2541</v>
      </c>
      <c r="AR65" s="432" t="s">
        <v>5609</v>
      </c>
      <c r="AT65" s="69" t="s">
        <v>3258</v>
      </c>
      <c r="AV65" s="286" t="s">
        <v>5609</v>
      </c>
      <c r="AX65" s="286" t="s">
        <v>4187</v>
      </c>
    </row>
    <row r="66" spans="1:50" ht="15.75">
      <c r="A66" s="420" t="s">
        <v>628</v>
      </c>
      <c r="B66" s="9"/>
      <c r="C66" s="9"/>
      <c r="D66" s="9"/>
      <c r="AF66" s="430" t="s">
        <v>1274</v>
      </c>
      <c r="AG66" s="431"/>
      <c r="AH66" s="389" t="s">
        <v>2718</v>
      </c>
      <c r="AJ66" s="394"/>
      <c r="AN66" s="453" t="s">
        <v>3253</v>
      </c>
      <c r="AO66" s="454"/>
      <c r="AP66" s="283" t="s">
        <v>2545</v>
      </c>
      <c r="AT66" s="69" t="s">
        <v>3445</v>
      </c>
      <c r="AX66" s="286" t="s">
        <v>3802</v>
      </c>
    </row>
    <row r="67" spans="1:50" ht="15.75">
      <c r="A67" s="449" t="s">
        <v>590</v>
      </c>
      <c r="B67" s="9"/>
      <c r="C67" s="9"/>
      <c r="D67" s="9"/>
      <c r="AF67" s="430" t="s">
        <v>5610</v>
      </c>
      <c r="AG67" s="431"/>
      <c r="AH67" s="389" t="s">
        <v>2724</v>
      </c>
      <c r="AN67" s="453" t="s">
        <v>3258</v>
      </c>
      <c r="AO67" s="454"/>
      <c r="AP67" s="283" t="s">
        <v>2549</v>
      </c>
      <c r="AT67" s="69" t="s">
        <v>3552</v>
      </c>
      <c r="AX67" s="286" t="s">
        <v>3807</v>
      </c>
    </row>
    <row r="68" spans="1:50" ht="15.75">
      <c r="A68" s="449" t="s">
        <v>596</v>
      </c>
      <c r="B68" s="9"/>
      <c r="C68" s="9"/>
      <c r="D68" s="9"/>
      <c r="AF68" s="430" t="s">
        <v>5611</v>
      </c>
      <c r="AG68" s="431"/>
      <c r="AH68" s="389" t="s">
        <v>2729</v>
      </c>
      <c r="AN68" s="453" t="s">
        <v>3263</v>
      </c>
      <c r="AO68" s="454"/>
      <c r="AP68" s="283" t="s">
        <v>2553</v>
      </c>
      <c r="AT68" s="69" t="s">
        <v>3450</v>
      </c>
      <c r="AX68" s="455" t="s">
        <v>3746</v>
      </c>
    </row>
    <row r="69" spans="1:50" ht="15.75">
      <c r="A69" s="449" t="s">
        <v>602</v>
      </c>
      <c r="B69" s="9"/>
      <c r="C69" s="9"/>
      <c r="D69" s="9"/>
      <c r="AF69" s="430" t="s">
        <v>1263</v>
      </c>
      <c r="AG69" s="431"/>
      <c r="AH69" s="392" t="s">
        <v>2739</v>
      </c>
      <c r="AN69" s="453" t="s">
        <v>3269</v>
      </c>
      <c r="AO69" s="454"/>
      <c r="AP69" s="283" t="s">
        <v>2557</v>
      </c>
      <c r="AT69" s="69" t="s">
        <v>3687</v>
      </c>
      <c r="AX69" s="9"/>
    </row>
    <row r="70" spans="1:50" ht="15.75">
      <c r="A70" s="449" t="s">
        <v>4476</v>
      </c>
      <c r="B70" s="9"/>
      <c r="C70" s="9"/>
      <c r="D70" s="9"/>
      <c r="AF70" s="430" t="s">
        <v>5612</v>
      </c>
      <c r="AG70" s="431"/>
      <c r="AH70" s="393" t="s">
        <v>2780</v>
      </c>
      <c r="AN70" s="453" t="s">
        <v>3273</v>
      </c>
      <c r="AO70" s="456"/>
      <c r="AP70" s="283" t="s">
        <v>2566</v>
      </c>
      <c r="AT70" s="69" t="s">
        <v>3717</v>
      </c>
      <c r="AX70" s="9"/>
    </row>
    <row r="71" spans="1:50" ht="15.75">
      <c r="A71" s="9"/>
      <c r="B71" s="9"/>
      <c r="C71" s="9"/>
      <c r="D71" s="9"/>
      <c r="AF71" s="430" t="s">
        <v>1901</v>
      </c>
      <c r="AG71" s="431"/>
      <c r="AH71" s="457"/>
      <c r="AN71" s="453" t="s">
        <v>3277</v>
      </c>
      <c r="AO71" s="454"/>
      <c r="AP71" s="283" t="s">
        <v>2570</v>
      </c>
      <c r="AT71" s="69" t="s">
        <v>3368</v>
      </c>
      <c r="AX71" s="9"/>
    </row>
    <row r="72" spans="1:50" ht="15.75">
      <c r="A72" s="9"/>
      <c r="B72" s="9"/>
      <c r="C72" s="9"/>
      <c r="D72" s="9"/>
      <c r="AF72" s="430" t="s">
        <v>1929</v>
      </c>
      <c r="AG72" s="431"/>
      <c r="AH72" s="457"/>
      <c r="AN72" s="453" t="s">
        <v>3281</v>
      </c>
      <c r="AO72" s="454"/>
      <c r="AP72" s="283" t="s">
        <v>2574</v>
      </c>
      <c r="AT72" s="69" t="s">
        <v>3383</v>
      </c>
      <c r="AX72" s="9"/>
    </row>
    <row r="73" spans="1:50" ht="15.75">
      <c r="A73" s="9"/>
      <c r="B73" s="9"/>
      <c r="C73" s="9"/>
      <c r="D73" s="9"/>
      <c r="AF73" s="430" t="s">
        <v>1269</v>
      </c>
      <c r="AG73" s="431"/>
      <c r="AH73" s="457"/>
      <c r="AN73" s="453" t="s">
        <v>3286</v>
      </c>
      <c r="AO73" s="454"/>
      <c r="AP73" s="283" t="s">
        <v>2578</v>
      </c>
      <c r="AT73" s="69" t="s">
        <v>3474</v>
      </c>
      <c r="AX73" s="9"/>
    </row>
    <row r="74" spans="1:50" ht="15.75">
      <c r="A74" s="9"/>
      <c r="B74" s="9"/>
      <c r="C74" s="9"/>
      <c r="D74" s="9"/>
      <c r="AF74" s="430" t="s">
        <v>4608</v>
      </c>
      <c r="AG74" s="431"/>
      <c r="AH74" s="457"/>
      <c r="AN74" s="453" t="s">
        <v>3292</v>
      </c>
      <c r="AO74" s="454"/>
      <c r="AP74" s="283" t="s">
        <v>2582</v>
      </c>
      <c r="AT74" s="69" t="s">
        <v>3513</v>
      </c>
      <c r="AX74" s="9"/>
    </row>
    <row r="75" spans="1:50" ht="15.75">
      <c r="A75" s="9"/>
      <c r="B75" s="9"/>
      <c r="C75" s="9"/>
      <c r="D75" s="9"/>
      <c r="AF75" s="430" t="s">
        <v>1826</v>
      </c>
      <c r="AG75" s="431"/>
      <c r="AH75" s="457"/>
      <c r="AN75" s="453" t="s">
        <v>3296</v>
      </c>
      <c r="AO75" s="454"/>
      <c r="AP75" s="283" t="s">
        <v>2586</v>
      </c>
      <c r="AT75" s="69" t="s">
        <v>3397</v>
      </c>
      <c r="AX75" s="9"/>
    </row>
    <row r="76" spans="1:50" ht="15.75">
      <c r="A76" s="9"/>
      <c r="B76" s="9"/>
      <c r="C76" s="9"/>
      <c r="D76" s="9"/>
      <c r="AF76" s="430" t="s">
        <v>5613</v>
      </c>
      <c r="AG76" s="431"/>
      <c r="AH76" s="457"/>
      <c r="AN76" s="453" t="s">
        <v>3301</v>
      </c>
      <c r="AO76" s="454"/>
      <c r="AP76" s="283" t="s">
        <v>2590</v>
      </c>
      <c r="AT76" s="69" t="s">
        <v>3455</v>
      </c>
      <c r="AX76" s="9"/>
    </row>
    <row r="77" spans="1:50" ht="15.75">
      <c r="A77" s="9"/>
      <c r="B77" s="9"/>
      <c r="C77" s="9"/>
      <c r="D77" s="9"/>
      <c r="AF77" s="430" t="s">
        <v>1820</v>
      </c>
      <c r="AG77" s="431"/>
      <c r="AH77" s="457"/>
      <c r="AN77" s="453" t="s">
        <v>3306</v>
      </c>
      <c r="AO77" s="454"/>
      <c r="AP77" s="283" t="s">
        <v>2594</v>
      </c>
      <c r="AT77" s="69" t="s">
        <v>3253</v>
      </c>
      <c r="AX77" s="9"/>
    </row>
    <row r="78" spans="1:50" ht="15.75">
      <c r="A78" s="9"/>
      <c r="B78" s="9"/>
      <c r="C78" s="9"/>
      <c r="D78" s="9"/>
      <c r="AF78" s="430" t="s">
        <v>1645</v>
      </c>
      <c r="AG78" s="431"/>
      <c r="AH78" s="457"/>
      <c r="AN78" s="453" t="s">
        <v>3311</v>
      </c>
      <c r="AO78" s="454"/>
      <c r="AP78" s="283" t="s">
        <v>2599</v>
      </c>
      <c r="AT78" s="69" t="s">
        <v>3411</v>
      </c>
      <c r="AX78" s="9"/>
    </row>
    <row r="79" spans="1:50" ht="15.75">
      <c r="A79" s="9"/>
      <c r="B79" s="9"/>
      <c r="C79" s="9"/>
      <c r="D79" s="9"/>
      <c r="AF79" s="430" t="s">
        <v>1906</v>
      </c>
      <c r="AG79" s="431"/>
      <c r="AH79" s="457"/>
      <c r="AN79" s="453" t="s">
        <v>3316</v>
      </c>
      <c r="AO79" s="454"/>
      <c r="AP79" s="283" t="s">
        <v>2603</v>
      </c>
      <c r="AT79" s="69" t="s">
        <v>3669</v>
      </c>
      <c r="AX79" s="9"/>
    </row>
    <row r="80" spans="1:50" ht="15.75">
      <c r="A80" s="9"/>
      <c r="B80" s="9"/>
      <c r="C80" s="9"/>
      <c r="D80" s="9"/>
      <c r="AF80" s="430" t="s">
        <v>1279</v>
      </c>
      <c r="AG80" s="431"/>
      <c r="AH80" s="457"/>
      <c r="AN80" s="453" t="s">
        <v>3322</v>
      </c>
      <c r="AO80" s="454"/>
      <c r="AP80" s="283" t="s">
        <v>2607</v>
      </c>
      <c r="AT80" s="69" t="s">
        <v>3269</v>
      </c>
      <c r="AX80" s="9"/>
    </row>
    <row r="81" spans="1:50" ht="15.75">
      <c r="A81" s="9"/>
      <c r="B81" s="9"/>
      <c r="C81" s="9"/>
      <c r="D81" s="9"/>
      <c r="AF81" s="430" t="s">
        <v>1895</v>
      </c>
      <c r="AG81" s="431"/>
      <c r="AH81" s="457"/>
      <c r="AN81" s="453" t="s">
        <v>3326</v>
      </c>
      <c r="AO81" s="454"/>
      <c r="AP81" s="283" t="s">
        <v>2611</v>
      </c>
      <c r="AT81" s="69" t="s">
        <v>3648</v>
      </c>
      <c r="AX81" s="9"/>
    </row>
    <row r="82" spans="1:50" ht="15.75">
      <c r="A82" s="9"/>
      <c r="B82" s="9"/>
      <c r="C82" s="9"/>
      <c r="D82" s="9"/>
      <c r="AH82" s="457"/>
      <c r="AN82" s="453" t="s">
        <v>3330</v>
      </c>
      <c r="AO82" s="454"/>
      <c r="AP82" s="283" t="s">
        <v>2615</v>
      </c>
      <c r="AT82" s="69" t="s">
        <v>3244</v>
      </c>
      <c r="AX82" s="9"/>
    </row>
    <row r="83" spans="1:50" ht="15.75">
      <c r="A83" s="9"/>
      <c r="B83" s="9"/>
      <c r="C83" s="9"/>
      <c r="D83" s="9"/>
      <c r="AH83" s="457"/>
      <c r="AN83" s="453" t="s">
        <v>3334</v>
      </c>
      <c r="AO83" s="454"/>
      <c r="AP83" s="283" t="s">
        <v>2619</v>
      </c>
      <c r="AT83" s="69" t="s">
        <v>3459</v>
      </c>
      <c r="AX83" s="9"/>
    </row>
    <row r="84" spans="1:50" ht="15.75">
      <c r="A84" s="9"/>
      <c r="B84" s="9"/>
      <c r="C84" s="9"/>
      <c r="D84" s="9"/>
      <c r="AH84" s="457"/>
      <c r="AN84" s="453" t="s">
        <v>3339</v>
      </c>
      <c r="AO84" s="454"/>
      <c r="AP84" s="283" t="s">
        <v>2623</v>
      </c>
      <c r="AT84" s="69" t="s">
        <v>3372</v>
      </c>
      <c r="AX84" s="9"/>
    </row>
    <row r="85" spans="1:50" ht="15.75">
      <c r="A85" s="9"/>
      <c r="B85" s="9"/>
      <c r="C85" s="9"/>
      <c r="D85" s="9"/>
      <c r="AH85" s="457"/>
      <c r="AN85" s="453" t="s">
        <v>3344</v>
      </c>
      <c r="AO85" s="454"/>
      <c r="AP85" s="283" t="s">
        <v>2627</v>
      </c>
      <c r="AT85" s="69" t="s">
        <v>3344</v>
      </c>
      <c r="AX85" s="9"/>
    </row>
    <row r="86" spans="1:50" ht="15.75">
      <c r="A86" s="9"/>
      <c r="B86" s="9"/>
      <c r="C86" s="9"/>
      <c r="D86" s="9"/>
      <c r="AH86" s="457"/>
      <c r="AN86" s="453" t="s">
        <v>3349</v>
      </c>
      <c r="AO86" s="454"/>
      <c r="AP86" s="283" t="s">
        <v>2631</v>
      </c>
      <c r="AT86" s="69" t="s">
        <v>3703</v>
      </c>
      <c r="AX86" s="9"/>
    </row>
    <row r="87" spans="1:50" ht="15.75">
      <c r="A87" s="9"/>
      <c r="B87" s="9"/>
      <c r="C87" s="9"/>
      <c r="D87" s="9"/>
      <c r="AH87" s="457"/>
      <c r="AN87" s="453" t="s">
        <v>3354</v>
      </c>
      <c r="AO87" s="454"/>
      <c r="AP87" s="283" t="s">
        <v>2635</v>
      </c>
      <c r="AT87" s="69" t="s">
        <v>3624</v>
      </c>
      <c r="AX87" s="9"/>
    </row>
    <row r="88" spans="1:50" ht="15.75">
      <c r="A88" s="9"/>
      <c r="B88" s="9"/>
      <c r="C88" s="9"/>
      <c r="D88" s="9"/>
      <c r="AH88" s="457"/>
      <c r="AN88" s="453" t="s">
        <v>3359</v>
      </c>
      <c r="AO88" s="454"/>
      <c r="AP88" s="283" t="s">
        <v>2640</v>
      </c>
      <c r="AT88" s="69" t="s">
        <v>3301</v>
      </c>
      <c r="AX88" s="9"/>
    </row>
    <row r="89" spans="1:50" ht="15.75">
      <c r="A89" s="9"/>
      <c r="B89" s="9"/>
      <c r="C89" s="9"/>
      <c r="D89" s="9"/>
      <c r="AH89" s="457"/>
      <c r="AN89" s="453" t="s">
        <v>3363</v>
      </c>
      <c r="AO89" s="454"/>
      <c r="AP89" s="283" t="s">
        <v>2644</v>
      </c>
      <c r="AT89" s="69" t="s">
        <v>3401</v>
      </c>
      <c r="AX89" s="9"/>
    </row>
    <row r="90" spans="1:50" ht="15.75">
      <c r="A90" s="9"/>
      <c r="B90" s="9"/>
      <c r="C90" s="9"/>
      <c r="D90" s="9"/>
      <c r="AH90" s="457"/>
      <c r="AN90" s="453" t="s">
        <v>3368</v>
      </c>
      <c r="AO90" s="454"/>
      <c r="AP90" s="283" t="s">
        <v>2648</v>
      </c>
      <c r="AT90" s="69" t="s">
        <v>3682</v>
      </c>
      <c r="AX90" s="9"/>
    </row>
    <row r="91" spans="1:50" ht="15.75">
      <c r="A91" s="9"/>
      <c r="B91" s="9"/>
      <c r="C91" s="9"/>
      <c r="D91" s="9"/>
      <c r="AH91" s="457"/>
      <c r="AN91" s="453" t="s">
        <v>3372</v>
      </c>
      <c r="AO91" s="454"/>
      <c r="AP91" s="283" t="s">
        <v>2652</v>
      </c>
      <c r="AT91" s="69" t="s">
        <v>3518</v>
      </c>
      <c r="AX91" s="9"/>
    </row>
    <row r="92" spans="1:50" ht="15.75">
      <c r="A92" s="9"/>
      <c r="B92" s="9"/>
      <c r="C92" s="9"/>
      <c r="D92" s="9"/>
      <c r="AH92" s="457"/>
      <c r="AN92" s="453" t="s">
        <v>3378</v>
      </c>
      <c r="AO92" s="454"/>
      <c r="AP92" s="283" t="s">
        <v>2656</v>
      </c>
      <c r="AT92" s="69" t="s">
        <v>3562</v>
      </c>
      <c r="AX92" s="9"/>
    </row>
    <row r="93" spans="1:50" ht="15.75">
      <c r="A93" s="9"/>
      <c r="B93" s="9"/>
      <c r="C93" s="9"/>
      <c r="D93" s="9"/>
      <c r="AH93" s="457"/>
      <c r="AN93" s="453" t="s">
        <v>3383</v>
      </c>
      <c r="AO93" s="454"/>
      <c r="AP93" s="283" t="s">
        <v>2660</v>
      </c>
      <c r="AT93" s="69" t="s">
        <v>3281</v>
      </c>
      <c r="AX93" s="9"/>
    </row>
    <row r="94" spans="1:50" ht="15.75">
      <c r="A94" s="9"/>
      <c r="B94" s="9"/>
      <c r="C94" s="9"/>
      <c r="D94" s="9"/>
      <c r="AH94" s="457"/>
      <c r="AN94" s="453" t="s">
        <v>3388</v>
      </c>
      <c r="AO94" s="454"/>
      <c r="AP94" s="283" t="s">
        <v>2664</v>
      </c>
      <c r="AT94" s="69" t="s">
        <v>3378</v>
      </c>
      <c r="AX94" s="9"/>
    </row>
    <row r="95" spans="1:50" ht="15.75">
      <c r="A95" s="9"/>
      <c r="B95" s="9"/>
      <c r="C95" s="9"/>
      <c r="D95" s="9"/>
      <c r="AH95" s="457"/>
      <c r="AN95" s="453" t="s">
        <v>3392</v>
      </c>
      <c r="AO95" s="454"/>
      <c r="AP95" s="283" t="s">
        <v>2668</v>
      </c>
      <c r="AT95" s="69" t="s">
        <v>3538</v>
      </c>
      <c r="AX95" s="9"/>
    </row>
    <row r="96" spans="1:50" ht="15.75">
      <c r="A96" s="9"/>
      <c r="B96" s="9"/>
      <c r="C96" s="9"/>
      <c r="D96" s="9"/>
      <c r="AH96" s="457"/>
      <c r="AN96" s="453" t="s">
        <v>3397</v>
      </c>
      <c r="AO96" s="454"/>
      <c r="AP96" s="283" t="s">
        <v>3722</v>
      </c>
      <c r="AT96" s="69" t="s">
        <v>3277</v>
      </c>
      <c r="AX96" s="9"/>
    </row>
    <row r="97" spans="1:50" ht="15.75">
      <c r="A97" s="9"/>
      <c r="B97" s="9"/>
      <c r="C97" s="9"/>
      <c r="D97" s="9"/>
      <c r="AH97" s="457"/>
      <c r="AN97" s="453" t="s">
        <v>3401</v>
      </c>
      <c r="AO97" s="454"/>
      <c r="AP97" s="283" t="s">
        <v>2674</v>
      </c>
      <c r="AT97" s="69" t="s">
        <v>3498</v>
      </c>
      <c r="AX97" s="9"/>
    </row>
    <row r="98" spans="1:50" ht="15.75">
      <c r="A98" s="9"/>
      <c r="B98" s="9"/>
      <c r="C98" s="9"/>
      <c r="D98" s="9"/>
      <c r="AH98" s="457"/>
      <c r="AN98" s="453" t="s">
        <v>3406</v>
      </c>
      <c r="AO98" s="454"/>
      <c r="AP98" s="283" t="s">
        <v>2678</v>
      </c>
      <c r="AT98" s="69" t="s">
        <v>3658</v>
      </c>
      <c r="AX98" s="9"/>
    </row>
    <row r="99" spans="1:50" ht="15.75">
      <c r="A99" s="9"/>
      <c r="B99" s="9"/>
      <c r="C99" s="9"/>
      <c r="D99" s="9"/>
      <c r="AH99" s="457"/>
      <c r="AN99" s="453" t="s">
        <v>3411</v>
      </c>
      <c r="AO99" s="454"/>
      <c r="AP99" s="283" t="s">
        <v>2683</v>
      </c>
      <c r="AT99" s="69" t="s">
        <v>3469</v>
      </c>
      <c r="AX99" s="9"/>
    </row>
    <row r="100" spans="1:50" ht="15.75">
      <c r="A100" s="9"/>
      <c r="B100" s="9"/>
      <c r="C100" s="9"/>
      <c r="D100" s="9"/>
      <c r="AH100" s="457"/>
      <c r="AN100" s="453" t="s">
        <v>3416</v>
      </c>
      <c r="AO100" s="454"/>
      <c r="AP100" s="283" t="s">
        <v>2687</v>
      </c>
      <c r="AT100" s="69" t="s">
        <v>3588</v>
      </c>
      <c r="AX100" s="9"/>
    </row>
    <row r="101" spans="1:50" ht="15.75">
      <c r="A101" s="9"/>
      <c r="B101" s="9"/>
      <c r="C101" s="9"/>
      <c r="D101" s="9"/>
      <c r="AH101" s="457"/>
      <c r="AN101" s="453" t="s">
        <v>3421</v>
      </c>
      <c r="AO101" s="454"/>
      <c r="AP101" s="283" t="s">
        <v>2691</v>
      </c>
      <c r="AT101" s="69" t="s">
        <v>3263</v>
      </c>
      <c r="AX101" s="9"/>
    </row>
    <row r="102" spans="1:50" ht="15.75">
      <c r="A102" s="9"/>
      <c r="B102" s="9"/>
      <c r="C102" s="9"/>
      <c r="D102" s="9"/>
      <c r="AH102" s="457"/>
      <c r="AN102" s="453" t="s">
        <v>3426</v>
      </c>
      <c r="AO102" s="454"/>
      <c r="AP102" s="283" t="s">
        <v>4575</v>
      </c>
      <c r="AT102" s="69" t="s">
        <v>3673</v>
      </c>
      <c r="AX102" s="9"/>
    </row>
    <row r="103" spans="1:50" ht="15.75">
      <c r="A103" s="9"/>
      <c r="B103" s="9"/>
      <c r="C103" s="9"/>
      <c r="D103" s="9"/>
      <c r="AH103" s="457"/>
      <c r="AP103" s="283" t="s">
        <v>2695</v>
      </c>
      <c r="AX103" s="9"/>
    </row>
    <row r="104" spans="1:50" ht="15.75">
      <c r="A104" s="9"/>
      <c r="B104" s="9"/>
      <c r="C104" s="9"/>
      <c r="D104" s="9"/>
      <c r="AH104" s="457"/>
      <c r="AP104" s="283" t="s">
        <v>2699</v>
      </c>
      <c r="AX104" s="9"/>
    </row>
    <row r="105" spans="1:50" ht="15.75">
      <c r="A105" s="9"/>
      <c r="B105" s="9"/>
      <c r="C105" s="9"/>
      <c r="D105" s="9"/>
      <c r="AH105" s="457"/>
      <c r="AP105" s="283" t="s">
        <v>2703</v>
      </c>
      <c r="AX105" s="9"/>
    </row>
    <row r="106" spans="1:50" ht="15.75">
      <c r="A106" s="9"/>
      <c r="B106" s="9"/>
      <c r="C106" s="9"/>
      <c r="D106" s="9"/>
      <c r="AH106" s="457"/>
      <c r="AP106" s="283" t="s">
        <v>2707</v>
      </c>
      <c r="AX106" s="9"/>
    </row>
    <row r="107" spans="1:50" ht="15.75">
      <c r="A107" s="9"/>
      <c r="B107" s="9"/>
      <c r="C107" s="9"/>
      <c r="D107" s="9"/>
      <c r="AH107" s="457"/>
      <c r="AP107" s="283" t="s">
        <v>2714</v>
      </c>
      <c r="AX107" s="9"/>
    </row>
    <row r="108" spans="1:50" ht="15.75">
      <c r="A108" s="9"/>
      <c r="B108" s="9"/>
      <c r="C108" s="9"/>
      <c r="D108" s="9"/>
      <c r="AH108" s="457"/>
      <c r="AP108" s="283" t="s">
        <v>2734</v>
      </c>
      <c r="AX108" s="9"/>
    </row>
    <row r="109" spans="1:50" ht="15.75">
      <c r="A109" s="9"/>
      <c r="B109" s="9"/>
      <c r="C109" s="9"/>
      <c r="D109" s="9"/>
      <c r="AH109" s="457"/>
      <c r="AP109" s="283" t="s">
        <v>2744</v>
      </c>
      <c r="AX109" s="9"/>
    </row>
    <row r="110" spans="1:50" ht="15.75">
      <c r="A110" s="9"/>
      <c r="B110" s="9"/>
      <c r="C110" s="9"/>
      <c r="D110" s="9"/>
      <c r="AH110" s="457"/>
      <c r="AP110" s="283" t="s">
        <v>2748</v>
      </c>
      <c r="AX110" s="9"/>
    </row>
    <row r="111" spans="1:50" ht="15.75">
      <c r="A111" s="9"/>
      <c r="B111" s="9"/>
      <c r="C111" s="9"/>
      <c r="D111" s="9"/>
      <c r="AH111" s="457"/>
      <c r="AP111" s="283" t="s">
        <v>2752</v>
      </c>
      <c r="AX111" s="9"/>
    </row>
    <row r="112" spans="1:50" ht="15.75">
      <c r="A112" s="9"/>
      <c r="B112" s="9"/>
      <c r="C112" s="9"/>
      <c r="D112" s="9"/>
      <c r="AH112" s="457"/>
      <c r="AP112" s="283" t="s">
        <v>2756</v>
      </c>
      <c r="AX112" s="9"/>
    </row>
    <row r="113" spans="1:50" ht="15.75">
      <c r="A113" s="9"/>
      <c r="B113" s="9"/>
      <c r="C113" s="9"/>
      <c r="D113" s="9"/>
      <c r="AH113" s="457"/>
      <c r="AP113" s="283" t="s">
        <v>2760</v>
      </c>
      <c r="AX113" s="9"/>
    </row>
    <row r="114" spans="1:50" ht="15.75">
      <c r="A114" s="9"/>
      <c r="B114" s="9"/>
      <c r="C114" s="9"/>
      <c r="D114" s="9"/>
      <c r="AH114" s="457"/>
      <c r="AP114" s="283" t="s">
        <v>2764</v>
      </c>
      <c r="AX114" s="9"/>
    </row>
    <row r="115" spans="1:50" ht="15.75">
      <c r="A115" s="9"/>
      <c r="B115" s="9"/>
      <c r="C115" s="9"/>
      <c r="D115" s="9"/>
      <c r="AH115" s="457"/>
      <c r="AP115" s="283" t="s">
        <v>2769</v>
      </c>
      <c r="AX115" s="9"/>
    </row>
    <row r="116" spans="1:50" ht="15.75">
      <c r="A116" s="9"/>
      <c r="B116" s="9"/>
      <c r="C116" s="9"/>
      <c r="D116" s="9"/>
      <c r="AH116" s="457"/>
      <c r="AP116" s="283" t="s">
        <v>2773</v>
      </c>
      <c r="AX116" s="9"/>
    </row>
    <row r="117" spans="1:50" ht="15.75">
      <c r="A117" s="9"/>
      <c r="B117" s="9"/>
      <c r="C117" s="9"/>
      <c r="D117" s="9"/>
      <c r="AH117" s="457"/>
      <c r="AP117" s="283" t="s">
        <v>2776</v>
      </c>
      <c r="AX117" s="9"/>
    </row>
    <row r="118" spans="1:50" ht="15.75">
      <c r="A118" s="9"/>
      <c r="B118" s="9"/>
      <c r="C118" s="9"/>
      <c r="D118" s="9"/>
      <c r="AH118" s="457"/>
      <c r="AP118" s="283" t="s">
        <v>2787</v>
      </c>
      <c r="AX118" s="9"/>
    </row>
    <row r="119" spans="1:50" ht="15.75">
      <c r="A119" s="9"/>
      <c r="B119" s="9"/>
      <c r="C119" s="9"/>
      <c r="D119" s="9"/>
      <c r="AH119" s="457"/>
      <c r="AP119" s="458"/>
      <c r="AX119" s="9"/>
    </row>
    <row r="120" spans="1:50" ht="15.75">
      <c r="A120" s="9"/>
      <c r="B120" s="9"/>
      <c r="C120" s="9"/>
      <c r="D120" s="9"/>
      <c r="AH120" s="457"/>
      <c r="AP120" s="394"/>
      <c r="AX120" s="9"/>
    </row>
    <row r="121" spans="1:50" ht="15.75">
      <c r="A121" s="9"/>
      <c r="B121" s="9"/>
      <c r="C121" s="9"/>
      <c r="D121" s="9"/>
      <c r="AH121" s="457"/>
      <c r="AP121" s="394"/>
      <c r="AX121" s="9"/>
    </row>
    <row r="122" spans="1:50" ht="15.75">
      <c r="A122" s="9"/>
      <c r="B122" s="9"/>
      <c r="C122" s="9"/>
      <c r="D122" s="9"/>
      <c r="AH122" s="457"/>
      <c r="AP122" s="394"/>
      <c r="AX122" s="9"/>
    </row>
    <row r="123" spans="1:50" ht="15.75">
      <c r="A123" s="9"/>
      <c r="B123" s="9"/>
      <c r="C123" s="9"/>
      <c r="D123" s="9"/>
      <c r="AH123" s="457"/>
      <c r="AP123" s="394"/>
      <c r="AX123" s="9"/>
    </row>
    <row r="124" spans="1:50" ht="15.75">
      <c r="A124" s="9"/>
      <c r="B124" s="9"/>
      <c r="C124" s="9"/>
      <c r="D124" s="9"/>
      <c r="AH124" s="457"/>
      <c r="AP124" s="394"/>
      <c r="AX124" s="9"/>
    </row>
    <row r="125" spans="1:50" ht="15.75">
      <c r="A125" s="9"/>
      <c r="B125" s="9"/>
      <c r="C125" s="9"/>
      <c r="D125" s="9"/>
      <c r="AH125" s="457"/>
      <c r="AP125" s="394"/>
      <c r="AX125" s="9"/>
    </row>
    <row r="126" spans="1:50" ht="15.75">
      <c r="A126" s="9"/>
      <c r="B126" s="9"/>
      <c r="C126" s="9"/>
      <c r="D126" s="9"/>
      <c r="AH126" s="457"/>
      <c r="AP126" s="394"/>
      <c r="AX126" s="9"/>
    </row>
    <row r="127" spans="1:50" ht="15.75">
      <c r="A127" s="9"/>
      <c r="B127" s="9"/>
      <c r="C127" s="9"/>
      <c r="D127" s="9"/>
      <c r="AH127" s="457"/>
      <c r="AP127" s="394"/>
      <c r="AX127" s="9"/>
    </row>
    <row r="128" spans="1:50" ht="15.75">
      <c r="A128" s="9"/>
      <c r="B128" s="9"/>
      <c r="C128" s="9"/>
      <c r="D128" s="9"/>
      <c r="AH128" s="457"/>
      <c r="AP128" s="394"/>
      <c r="AX128" s="9"/>
    </row>
    <row r="129" spans="1:50" ht="15.75">
      <c r="A129" s="9"/>
      <c r="B129" s="9"/>
      <c r="C129" s="9"/>
      <c r="D129" s="9"/>
      <c r="AH129" s="459"/>
      <c r="AP129" s="394"/>
      <c r="AX129" s="9"/>
    </row>
    <row r="130" spans="1:50">
      <c r="A130" s="9"/>
      <c r="B130" s="9"/>
      <c r="C130" s="9"/>
      <c r="D130" s="9"/>
      <c r="AP130" s="394"/>
      <c r="AX130" s="9"/>
    </row>
    <row r="131" spans="1:50">
      <c r="A131" s="9"/>
      <c r="B131" s="9"/>
      <c r="C131" s="9"/>
      <c r="D131" s="9"/>
      <c r="AP131" s="394"/>
      <c r="AX131" s="9"/>
    </row>
    <row r="132" spans="1:50" ht="15.75">
      <c r="A132" s="9"/>
      <c r="B132" s="9"/>
      <c r="C132" s="9"/>
      <c r="D132" s="9"/>
      <c r="AH132" s="14"/>
      <c r="AP132" s="394"/>
      <c r="AX132" s="9"/>
    </row>
    <row r="133" spans="1:50" ht="15.75">
      <c r="A133" s="9"/>
      <c r="B133" s="9"/>
      <c r="C133" s="9"/>
      <c r="D133" s="9"/>
      <c r="AH133" s="14"/>
      <c r="AP133" s="394"/>
      <c r="AX133" s="9"/>
    </row>
    <row r="134" spans="1:50" ht="15.75">
      <c r="A134" s="9"/>
      <c r="B134" s="9"/>
      <c r="C134" s="9"/>
      <c r="D134" s="9"/>
      <c r="AH134" s="14"/>
      <c r="AP134" s="394"/>
      <c r="AX134" s="9"/>
    </row>
    <row r="135" spans="1:50" ht="15.75">
      <c r="A135" s="9"/>
      <c r="B135" s="9"/>
      <c r="C135" s="9"/>
      <c r="D135" s="9"/>
      <c r="AH135" s="14"/>
      <c r="AX135" s="9"/>
    </row>
    <row r="136" spans="1:50" ht="15.75">
      <c r="A136" s="9"/>
      <c r="B136" s="9"/>
      <c r="C136" s="9"/>
      <c r="D136" s="9"/>
      <c r="AH136" s="14"/>
      <c r="AX136" s="9"/>
    </row>
    <row r="137" spans="1:50" ht="15.75">
      <c r="A137" s="9"/>
      <c r="B137" s="9"/>
      <c r="C137" s="9"/>
      <c r="D137" s="9"/>
      <c r="AH137" s="14"/>
      <c r="AX137" s="9"/>
    </row>
    <row r="138" spans="1:50" ht="15.75">
      <c r="A138" s="9"/>
      <c r="B138" s="9"/>
      <c r="C138" s="9"/>
      <c r="D138" s="9"/>
      <c r="AH138" s="14"/>
      <c r="AX138" s="9"/>
    </row>
    <row r="139" spans="1:50" ht="15.75">
      <c r="A139" s="9"/>
      <c r="B139" s="9"/>
      <c r="C139" s="9"/>
      <c r="D139" s="9"/>
      <c r="AH139" s="14"/>
      <c r="AX139" s="9"/>
    </row>
    <row r="140" spans="1:50" ht="15.75">
      <c r="A140" s="9"/>
      <c r="B140" s="9"/>
      <c r="C140" s="9"/>
      <c r="D140" s="9"/>
      <c r="AH140" s="14"/>
      <c r="AX140" s="9"/>
    </row>
    <row r="141" spans="1:50" ht="15.75">
      <c r="A141" s="9"/>
      <c r="B141" s="9"/>
      <c r="C141" s="9"/>
      <c r="D141" s="9"/>
      <c r="AH141" s="14"/>
      <c r="AX141" s="9"/>
    </row>
    <row r="142" spans="1:50" ht="15.75">
      <c r="A142" s="9"/>
      <c r="B142" s="9"/>
      <c r="C142" s="9"/>
      <c r="D142" s="9"/>
      <c r="AH142" s="14"/>
      <c r="AX142" s="9"/>
    </row>
    <row r="143" spans="1:50" ht="15.75">
      <c r="A143" s="9"/>
      <c r="B143" s="9"/>
      <c r="C143" s="9"/>
      <c r="D143" s="9"/>
      <c r="AH143" s="14"/>
      <c r="AX143" s="9"/>
    </row>
    <row r="144" spans="1:50" ht="15.75">
      <c r="A144" s="9"/>
      <c r="B144" s="9"/>
      <c r="C144" s="9"/>
      <c r="D144" s="9"/>
      <c r="AH144" s="14"/>
      <c r="AX144" s="9"/>
    </row>
    <row r="145" spans="1:50" ht="15.75">
      <c r="A145" s="9"/>
      <c r="B145" s="9"/>
      <c r="C145" s="9"/>
      <c r="D145" s="9"/>
      <c r="AH145" s="14"/>
      <c r="AX145" s="9"/>
    </row>
    <row r="146" spans="1:50" ht="15.75">
      <c r="A146" s="9"/>
      <c r="B146" s="9"/>
      <c r="C146" s="9"/>
      <c r="D146" s="9"/>
      <c r="AH146" s="14"/>
      <c r="AX146" s="9"/>
    </row>
    <row r="147" spans="1:50" ht="15.75">
      <c r="A147" s="9"/>
      <c r="B147" s="9"/>
      <c r="C147" s="9"/>
      <c r="D147" s="9"/>
      <c r="AH147" s="14"/>
      <c r="AX147" s="9"/>
    </row>
    <row r="148" spans="1:50" ht="15.75">
      <c r="A148" s="9"/>
      <c r="B148" s="9"/>
      <c r="C148" s="9"/>
      <c r="D148" s="9"/>
      <c r="AH148" s="14"/>
      <c r="AX148" s="9"/>
    </row>
    <row r="149" spans="1:50" ht="15.75">
      <c r="A149" s="9"/>
      <c r="B149" s="9"/>
      <c r="C149" s="9"/>
      <c r="D149" s="9"/>
      <c r="AH149" s="14"/>
      <c r="AX149" s="9"/>
    </row>
    <row r="150" spans="1:50" ht="15.75">
      <c r="A150" s="9"/>
      <c r="B150" s="9"/>
      <c r="C150" s="9"/>
      <c r="D150" s="9"/>
      <c r="AH150" s="14"/>
      <c r="AX150" s="9"/>
    </row>
    <row r="151" spans="1:50" ht="15.75">
      <c r="A151" s="9"/>
      <c r="B151" s="9"/>
      <c r="C151" s="9"/>
      <c r="D151" s="9"/>
      <c r="AH151" s="14"/>
      <c r="AX151" s="9"/>
    </row>
    <row r="152" spans="1:50" ht="15.75">
      <c r="A152" s="9"/>
      <c r="B152" s="9"/>
      <c r="C152" s="9"/>
      <c r="D152" s="9"/>
      <c r="AH152" s="14"/>
      <c r="AX152" s="9"/>
    </row>
    <row r="153" spans="1:50">
      <c r="A153" s="9"/>
      <c r="B153" s="9"/>
      <c r="C153" s="9"/>
      <c r="D153" s="9"/>
      <c r="AX153" s="9"/>
    </row>
  </sheetData>
  <conditionalFormatting sqref="A2:A66">
    <cfRule type="duplicateValues" dxfId="69" priority="57"/>
  </conditionalFormatting>
  <conditionalFormatting sqref="A67:A70">
    <cfRule type="duplicateValues" dxfId="68" priority="9"/>
    <cfRule type="duplicateValues" dxfId="67" priority="10"/>
    <cfRule type="duplicateValues" dxfId="66" priority="11"/>
  </conditionalFormatting>
  <conditionalFormatting sqref="P3:P8">
    <cfRule type="duplicateValues" dxfId="65" priority="54"/>
    <cfRule type="duplicateValues" dxfId="64" priority="55"/>
    <cfRule type="duplicateValues" dxfId="63" priority="56"/>
  </conditionalFormatting>
  <conditionalFormatting sqref="P9">
    <cfRule type="duplicateValues" dxfId="62" priority="51"/>
    <cfRule type="duplicateValues" dxfId="61" priority="52"/>
    <cfRule type="duplicateValues" dxfId="60" priority="53"/>
  </conditionalFormatting>
  <conditionalFormatting sqref="P10">
    <cfRule type="duplicateValues" dxfId="59" priority="48"/>
    <cfRule type="duplicateValues" dxfId="58" priority="49"/>
    <cfRule type="duplicateValues" dxfId="57" priority="50"/>
  </conditionalFormatting>
  <conditionalFormatting sqref="P11">
    <cfRule type="duplicateValues" dxfId="56" priority="45"/>
    <cfRule type="duplicateValues" dxfId="55" priority="46"/>
    <cfRule type="duplicateValues" dxfId="54" priority="47"/>
  </conditionalFormatting>
  <conditionalFormatting sqref="P12">
    <cfRule type="duplicateValues" dxfId="53" priority="42"/>
    <cfRule type="duplicateValues" dxfId="52" priority="43"/>
    <cfRule type="duplicateValues" dxfId="51" priority="44"/>
  </conditionalFormatting>
  <conditionalFormatting sqref="P13">
    <cfRule type="duplicateValues" dxfId="50" priority="39"/>
    <cfRule type="duplicateValues" dxfId="49" priority="40"/>
    <cfRule type="duplicateValues" dxfId="48" priority="41"/>
  </conditionalFormatting>
  <conditionalFormatting sqref="P31:P41">
    <cfRule type="duplicateValues" dxfId="47" priority="36"/>
    <cfRule type="duplicateValues" dxfId="46" priority="37"/>
    <cfRule type="duplicateValues" dxfId="45" priority="38"/>
  </conditionalFormatting>
  <conditionalFormatting sqref="P42">
    <cfRule type="duplicateValues" dxfId="44" priority="33"/>
    <cfRule type="duplicateValues" dxfId="43" priority="34"/>
    <cfRule type="duplicateValues" dxfId="42" priority="35"/>
  </conditionalFormatting>
  <conditionalFormatting sqref="P43">
    <cfRule type="duplicateValues" dxfId="41" priority="30"/>
    <cfRule type="duplicateValues" dxfId="40" priority="31"/>
    <cfRule type="duplicateValues" dxfId="39" priority="32"/>
  </conditionalFormatting>
  <conditionalFormatting sqref="P44:P48">
    <cfRule type="duplicateValues" dxfId="38" priority="27"/>
    <cfRule type="duplicateValues" dxfId="37" priority="28"/>
    <cfRule type="duplicateValues" dxfId="36" priority="29"/>
  </conditionalFormatting>
  <conditionalFormatting sqref="P49">
    <cfRule type="duplicateValues" dxfId="35" priority="24"/>
    <cfRule type="duplicateValues" dxfId="34" priority="25"/>
    <cfRule type="duplicateValues" dxfId="33" priority="26"/>
  </conditionalFormatting>
  <conditionalFormatting sqref="P50">
    <cfRule type="duplicateValues" dxfId="32" priority="21"/>
    <cfRule type="duplicateValues" dxfId="31" priority="22"/>
    <cfRule type="duplicateValues" dxfId="30" priority="23"/>
  </conditionalFormatting>
  <conditionalFormatting sqref="P51:P55">
    <cfRule type="duplicateValues" dxfId="29" priority="18"/>
    <cfRule type="duplicateValues" dxfId="28" priority="19"/>
    <cfRule type="duplicateValues" dxfId="27" priority="20"/>
  </conditionalFormatting>
  <conditionalFormatting sqref="Q3:Q16">
    <cfRule type="duplicateValues" dxfId="26" priority="15"/>
    <cfRule type="duplicateValues" dxfId="25" priority="16"/>
    <cfRule type="duplicateValues" dxfId="24" priority="17"/>
  </conditionalFormatting>
  <conditionalFormatting sqref="Q17:Q28">
    <cfRule type="duplicateValues" dxfId="23" priority="12"/>
    <cfRule type="duplicateValues" dxfId="22" priority="13"/>
    <cfRule type="duplicateValues" dxfId="21" priority="14"/>
  </conditionalFormatting>
  <conditionalFormatting sqref="Z2:Z5">
    <cfRule type="duplicateValues" dxfId="20" priority="8"/>
  </conditionalFormatting>
  <conditionalFormatting sqref="Z6:Z15">
    <cfRule type="duplicateValues" dxfId="19" priority="6"/>
    <cfRule type="duplicateValues" dxfId="18" priority="7"/>
  </conditionalFormatting>
  <conditionalFormatting sqref="Z6:Z15">
    <cfRule type="duplicateValues" dxfId="17" priority="5"/>
  </conditionalFormatting>
  <conditionalFormatting sqref="Z16:Z24">
    <cfRule type="duplicateValues" dxfId="16" priority="3"/>
    <cfRule type="duplicateValues" dxfId="15" priority="4"/>
  </conditionalFormatting>
  <conditionalFormatting sqref="Z16:Z24">
    <cfRule type="duplicateValues" dxfId="14" priority="2"/>
  </conditionalFormatting>
  <conditionalFormatting sqref="Z25:Z33">
    <cfRule type="duplicateValues" dxfId="13" priority="58"/>
  </conditionalFormatting>
  <conditionalFormatting sqref="AZ2:AZ39">
    <cfRule type="duplicateValues" dxfId="12" priority="1"/>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09FCD-6322-40ED-80AC-2E17894AB713}">
  <dimension ref="A1:AW839"/>
  <sheetViews>
    <sheetView topLeftCell="M1" workbookViewId="0">
      <selection activeCell="M10" sqref="M10"/>
    </sheetView>
  </sheetViews>
  <sheetFormatPr defaultRowHeight="15"/>
  <cols>
    <col min="1" max="1" width="18.85546875" customWidth="1"/>
    <col min="3" max="3" width="16.7109375" customWidth="1"/>
    <col min="4" max="4" width="13.5703125" customWidth="1"/>
    <col min="5" max="5" width="16.7109375" customWidth="1"/>
    <col min="7" max="7" width="19.5703125" customWidth="1"/>
  </cols>
  <sheetData>
    <row r="1" spans="1:49">
      <c r="A1" s="460" t="s">
        <v>5614</v>
      </c>
      <c r="B1" s="367" t="s">
        <v>197</v>
      </c>
      <c r="D1" s="461" t="s">
        <v>5615</v>
      </c>
      <c r="E1" s="462" t="s">
        <v>5616</v>
      </c>
      <c r="F1" s="463" t="s">
        <v>4751</v>
      </c>
      <c r="H1" s="464" t="s">
        <v>5616</v>
      </c>
      <c r="I1" s="464" t="s">
        <v>4751</v>
      </c>
      <c r="K1" s="465" t="s">
        <v>5616</v>
      </c>
      <c r="L1" s="465" t="s">
        <v>4751</v>
      </c>
      <c r="N1" s="464" t="s">
        <v>5616</v>
      </c>
      <c r="O1" s="466" t="s">
        <v>4751</v>
      </c>
      <c r="P1" s="466" t="s">
        <v>4751</v>
      </c>
      <c r="Q1" s="466" t="s">
        <v>4751</v>
      </c>
      <c r="R1" s="466" t="s">
        <v>4751</v>
      </c>
      <c r="S1" s="466" t="s">
        <v>4751</v>
      </c>
      <c r="U1" s="467" t="s">
        <v>5616</v>
      </c>
      <c r="V1" s="468" t="s">
        <v>4751</v>
      </c>
      <c r="W1" s="468" t="s">
        <v>4751</v>
      </c>
      <c r="X1" s="468" t="s">
        <v>4751</v>
      </c>
      <c r="Y1" s="468" t="s">
        <v>4751</v>
      </c>
      <c r="Z1" s="468" t="s">
        <v>4751</v>
      </c>
      <c r="AA1" s="468" t="s">
        <v>4751</v>
      </c>
      <c r="AB1" s="468" t="s">
        <v>4751</v>
      </c>
      <c r="AD1" s="469">
        <v>45870</v>
      </c>
      <c r="AE1" s="466" t="s">
        <v>4751</v>
      </c>
      <c r="AG1" s="469">
        <v>45901</v>
      </c>
      <c r="AH1" s="466" t="s">
        <v>4751</v>
      </c>
      <c r="AI1" s="470"/>
      <c r="AJ1" s="469">
        <v>45931</v>
      </c>
      <c r="AK1" s="466" t="s">
        <v>4751</v>
      </c>
      <c r="AM1" s="469">
        <v>45962</v>
      </c>
      <c r="AN1" s="466" t="s">
        <v>4751</v>
      </c>
      <c r="AP1" s="469">
        <v>45992</v>
      </c>
      <c r="AQ1" s="466" t="s">
        <v>4751</v>
      </c>
      <c r="AS1" s="471" t="s">
        <v>5617</v>
      </c>
      <c r="AT1" s="472"/>
      <c r="AU1" s="469">
        <v>46023</v>
      </c>
      <c r="AV1" s="466" t="s">
        <v>4751</v>
      </c>
    </row>
    <row r="2" spans="1:49" ht="15.75">
      <c r="A2" s="473">
        <v>420</v>
      </c>
      <c r="B2" s="474" t="s">
        <v>1341</v>
      </c>
      <c r="E2" s="72">
        <v>1</v>
      </c>
      <c r="F2" s="475">
        <v>420</v>
      </c>
      <c r="H2" s="476">
        <v>1</v>
      </c>
      <c r="I2" s="476">
        <v>20123488</v>
      </c>
      <c r="K2" s="477">
        <v>1</v>
      </c>
      <c r="L2" s="478" t="s">
        <v>968</v>
      </c>
      <c r="N2" s="476">
        <v>1</v>
      </c>
      <c r="O2" s="479" t="s">
        <v>4460</v>
      </c>
      <c r="P2" s="479" t="s">
        <v>2915</v>
      </c>
      <c r="Q2" s="479" t="s">
        <v>3009</v>
      </c>
      <c r="R2" s="479" t="s">
        <v>1996</v>
      </c>
      <c r="S2" s="479" t="s">
        <v>3138</v>
      </c>
      <c r="U2" s="480">
        <v>1</v>
      </c>
      <c r="V2" s="481" t="s">
        <v>1215</v>
      </c>
      <c r="W2" s="481" t="s">
        <v>3322</v>
      </c>
      <c r="X2" s="481" t="s">
        <v>3518</v>
      </c>
      <c r="Y2" s="482" t="s">
        <v>3573</v>
      </c>
      <c r="Z2" s="482" t="s">
        <v>2537</v>
      </c>
      <c r="AA2" s="482" t="s">
        <v>738</v>
      </c>
      <c r="AB2" s="482" t="s">
        <v>2615</v>
      </c>
      <c r="AE2" s="483" t="s">
        <v>567</v>
      </c>
      <c r="AH2" s="483" t="s">
        <v>2691</v>
      </c>
      <c r="AI2" s="484"/>
      <c r="AJ2" s="485"/>
      <c r="AK2" s="483" t="s">
        <v>3601</v>
      </c>
      <c r="AN2" s="483" t="s">
        <v>3712</v>
      </c>
      <c r="AO2" s="486"/>
      <c r="AQ2" s="487" t="s">
        <v>3793</v>
      </c>
      <c r="AR2" s="447" t="s">
        <v>39</v>
      </c>
      <c r="AT2" s="472"/>
      <c r="AV2" s="488" t="s">
        <v>4321</v>
      </c>
      <c r="AW2" s="488" t="s">
        <v>48</v>
      </c>
    </row>
    <row r="3" spans="1:49" ht="15.75">
      <c r="A3" s="473">
        <v>422</v>
      </c>
      <c r="B3" s="474" t="s">
        <v>1347</v>
      </c>
      <c r="E3" s="72">
        <v>2</v>
      </c>
      <c r="F3" s="475">
        <v>422</v>
      </c>
      <c r="H3" s="476">
        <v>2</v>
      </c>
      <c r="I3" s="476">
        <v>20123489</v>
      </c>
      <c r="K3" s="477">
        <v>2</v>
      </c>
      <c r="L3" s="478" t="s">
        <v>975</v>
      </c>
      <c r="N3" s="476">
        <v>2</v>
      </c>
      <c r="O3" s="479" t="s">
        <v>4463</v>
      </c>
      <c r="P3" s="479" t="s">
        <v>4124</v>
      </c>
      <c r="Q3" s="479" t="s">
        <v>4190</v>
      </c>
      <c r="R3" s="479" t="s">
        <v>3977</v>
      </c>
      <c r="S3" s="479" t="s">
        <v>1659</v>
      </c>
      <c r="U3" s="480">
        <v>2</v>
      </c>
      <c r="V3" s="481" t="s">
        <v>2817</v>
      </c>
      <c r="W3" s="481" t="s">
        <v>3326</v>
      </c>
      <c r="X3" s="481" t="s">
        <v>3524</v>
      </c>
      <c r="Y3" s="482" t="s">
        <v>3577</v>
      </c>
      <c r="Z3" s="482" t="s">
        <v>2541</v>
      </c>
      <c r="AA3" s="482" t="s">
        <v>2116</v>
      </c>
      <c r="AB3" s="482" t="s">
        <v>2619</v>
      </c>
      <c r="AE3" s="483" t="s">
        <v>572</v>
      </c>
      <c r="AH3" s="483" t="s">
        <v>4575</v>
      </c>
      <c r="AI3" s="484"/>
      <c r="AJ3" s="486"/>
      <c r="AK3" s="483" t="s">
        <v>3605</v>
      </c>
      <c r="AN3" s="483" t="s">
        <v>4582</v>
      </c>
      <c r="AO3" s="486"/>
      <c r="AQ3" s="487" t="s">
        <v>4591</v>
      </c>
      <c r="AR3" s="447" t="s">
        <v>39</v>
      </c>
      <c r="AT3" s="472"/>
      <c r="AV3" s="488" t="s">
        <v>4327</v>
      </c>
      <c r="AW3" s="488" t="s">
        <v>39</v>
      </c>
    </row>
    <row r="4" spans="1:49" ht="15.75">
      <c r="A4" s="473">
        <v>426</v>
      </c>
      <c r="B4" s="489" t="s">
        <v>4213</v>
      </c>
      <c r="D4" s="374"/>
      <c r="E4" s="72">
        <v>3</v>
      </c>
      <c r="F4" s="475">
        <v>426</v>
      </c>
      <c r="H4" s="476">
        <v>3</v>
      </c>
      <c r="I4" s="476">
        <v>20123490</v>
      </c>
      <c r="K4" s="477">
        <v>3</v>
      </c>
      <c r="L4" s="478" t="s">
        <v>4448</v>
      </c>
      <c r="N4" s="476">
        <v>3</v>
      </c>
      <c r="O4" s="479" t="s">
        <v>4467</v>
      </c>
      <c r="P4" s="479" t="s">
        <v>4127</v>
      </c>
      <c r="Q4" s="479" t="s">
        <v>3647</v>
      </c>
      <c r="R4" s="479" t="s">
        <v>4250</v>
      </c>
      <c r="S4" s="479" t="s">
        <v>1180</v>
      </c>
      <c r="U4" s="480">
        <v>3</v>
      </c>
      <c r="V4" s="481" t="s">
        <v>2031</v>
      </c>
      <c r="W4" s="481" t="s">
        <v>3330</v>
      </c>
      <c r="X4" s="481" t="s">
        <v>3528</v>
      </c>
      <c r="Y4" s="482" t="s">
        <v>2247</v>
      </c>
      <c r="Z4" s="482" t="s">
        <v>2545</v>
      </c>
      <c r="AA4" s="482" t="s">
        <v>4493</v>
      </c>
      <c r="AB4" s="482" t="s">
        <v>2623</v>
      </c>
      <c r="AE4" s="483" t="s">
        <v>577</v>
      </c>
      <c r="AH4" s="483" t="s">
        <v>2695</v>
      </c>
      <c r="AI4" s="484"/>
      <c r="AJ4" s="486"/>
      <c r="AK4" s="483" t="s">
        <v>3608</v>
      </c>
      <c r="AN4" s="483" t="s">
        <v>2787</v>
      </c>
      <c r="AO4" s="486"/>
      <c r="AQ4" s="487" t="s">
        <v>4295</v>
      </c>
      <c r="AR4" s="447" t="s">
        <v>3</v>
      </c>
      <c r="AT4" s="472"/>
      <c r="AV4" s="488" t="s">
        <v>4330</v>
      </c>
      <c r="AW4" s="488" t="s">
        <v>39</v>
      </c>
    </row>
    <row r="5" spans="1:49" ht="15.75">
      <c r="A5" s="473">
        <v>427</v>
      </c>
      <c r="B5" s="490" t="s">
        <v>4216</v>
      </c>
      <c r="D5" s="374"/>
      <c r="E5" s="72">
        <v>4</v>
      </c>
      <c r="F5" s="475">
        <v>427</v>
      </c>
      <c r="H5" s="476">
        <v>4</v>
      </c>
      <c r="I5" s="476">
        <v>20123491</v>
      </c>
      <c r="K5" s="477">
        <v>4</v>
      </c>
      <c r="L5" s="478" t="s">
        <v>1524</v>
      </c>
      <c r="N5" s="476">
        <v>4</v>
      </c>
      <c r="O5" s="479" t="s">
        <v>4470</v>
      </c>
      <c r="P5" s="479" t="s">
        <v>4247</v>
      </c>
      <c r="Q5" s="479" t="s">
        <v>4733</v>
      </c>
      <c r="R5" s="479" t="s">
        <v>3971</v>
      </c>
      <c r="S5" s="479" t="s">
        <v>1186</v>
      </c>
      <c r="U5" s="480">
        <v>4</v>
      </c>
      <c r="V5" s="481" t="s">
        <v>2821</v>
      </c>
      <c r="W5" s="481" t="s">
        <v>3334</v>
      </c>
      <c r="X5" s="481" t="s">
        <v>3533</v>
      </c>
      <c r="Y5" s="482" t="s">
        <v>2242</v>
      </c>
      <c r="Z5" s="482" t="s">
        <v>2549</v>
      </c>
      <c r="AA5" s="482" t="s">
        <v>1831</v>
      </c>
      <c r="AB5" s="482" t="s">
        <v>3946</v>
      </c>
      <c r="AE5" s="483" t="s">
        <v>2664</v>
      </c>
      <c r="AH5" s="483" t="s">
        <v>2699</v>
      </c>
      <c r="AI5" s="484"/>
      <c r="AJ5" s="486"/>
      <c r="AK5" s="483" t="s">
        <v>3611</v>
      </c>
      <c r="AN5" s="483" t="s">
        <v>4259</v>
      </c>
      <c r="AO5" s="486"/>
      <c r="AQ5" s="487" t="s">
        <v>4298</v>
      </c>
      <c r="AR5" s="447" t="s">
        <v>39</v>
      </c>
      <c r="AT5" s="472"/>
      <c r="AV5" s="488" t="s">
        <v>4333</v>
      </c>
      <c r="AW5" s="488" t="s">
        <v>39</v>
      </c>
    </row>
    <row r="6" spans="1:49" ht="15.75">
      <c r="A6" s="473">
        <v>429</v>
      </c>
      <c r="B6" s="490" t="s">
        <v>4220</v>
      </c>
      <c r="D6" s="374"/>
      <c r="E6" s="72">
        <v>5</v>
      </c>
      <c r="F6" s="475">
        <v>429</v>
      </c>
      <c r="H6" s="476">
        <v>5</v>
      </c>
      <c r="I6" s="476">
        <v>40123494</v>
      </c>
      <c r="K6" s="477">
        <v>5</v>
      </c>
      <c r="L6" s="478" t="s">
        <v>983</v>
      </c>
      <c r="N6" s="476">
        <v>5</v>
      </c>
      <c r="O6" s="479" t="s">
        <v>1795</v>
      </c>
      <c r="P6" s="479" t="s">
        <v>4130</v>
      </c>
      <c r="Q6" s="479" t="s">
        <v>2993</v>
      </c>
      <c r="R6" s="479" t="s">
        <v>4025</v>
      </c>
      <c r="S6" s="479" t="s">
        <v>2026</v>
      </c>
      <c r="U6" s="480">
        <v>5</v>
      </c>
      <c r="V6" s="481" t="s">
        <v>2826</v>
      </c>
      <c r="W6" s="481" t="s">
        <v>4432</v>
      </c>
      <c r="X6" s="481" t="s">
        <v>3538</v>
      </c>
      <c r="Y6" s="482" t="s">
        <v>2263</v>
      </c>
      <c r="Z6" s="482" t="s">
        <v>2553</v>
      </c>
      <c r="AA6" s="482" t="s">
        <v>494</v>
      </c>
      <c r="AB6" s="482" t="s">
        <v>2627</v>
      </c>
      <c r="AE6" s="483" t="s">
        <v>2668</v>
      </c>
      <c r="AH6" s="483" t="s">
        <v>2703</v>
      </c>
      <c r="AI6" s="484"/>
      <c r="AJ6" s="486"/>
      <c r="AK6" s="483" t="s">
        <v>3614</v>
      </c>
      <c r="AN6" s="483" t="s">
        <v>4267</v>
      </c>
      <c r="AO6" s="486"/>
      <c r="AQ6" s="487" t="s">
        <v>3802</v>
      </c>
      <c r="AR6" s="447" t="s">
        <v>39</v>
      </c>
      <c r="AT6" s="472"/>
      <c r="AV6" s="488" t="s">
        <v>4336</v>
      </c>
      <c r="AW6" s="488" t="s">
        <v>39</v>
      </c>
    </row>
    <row r="7" spans="1:49" ht="15.75">
      <c r="A7" s="473">
        <v>430</v>
      </c>
      <c r="B7" s="490" t="s">
        <v>4224</v>
      </c>
      <c r="D7" s="374"/>
      <c r="E7" s="72">
        <v>6</v>
      </c>
      <c r="F7" s="475">
        <v>430</v>
      </c>
      <c r="H7" s="476">
        <v>6</v>
      </c>
      <c r="I7" s="476">
        <v>50123496</v>
      </c>
      <c r="K7" s="477">
        <v>6</v>
      </c>
      <c r="L7" s="478" t="s">
        <v>1763</v>
      </c>
      <c r="N7" s="476">
        <v>6</v>
      </c>
      <c r="O7" s="479" t="s">
        <v>1848</v>
      </c>
      <c r="P7" s="479" t="s">
        <v>2920</v>
      </c>
      <c r="Q7" s="479" t="s">
        <v>4199</v>
      </c>
      <c r="R7" s="479" t="s">
        <v>835</v>
      </c>
      <c r="S7" s="479" t="s">
        <v>3142</v>
      </c>
      <c r="U7" s="480">
        <v>6</v>
      </c>
      <c r="V7" s="481" t="s">
        <v>1274</v>
      </c>
      <c r="W7" s="481" t="s">
        <v>3339</v>
      </c>
      <c r="X7" s="481" t="s">
        <v>3543</v>
      </c>
      <c r="Y7" s="482" t="s">
        <v>4546</v>
      </c>
      <c r="Z7" s="482" t="s">
        <v>2084</v>
      </c>
      <c r="AA7" s="482" t="s">
        <v>501</v>
      </c>
      <c r="AB7" s="482" t="s">
        <v>2631</v>
      </c>
      <c r="AE7" s="483" t="s">
        <v>3722</v>
      </c>
      <c r="AH7" s="483" t="s">
        <v>2707</v>
      </c>
      <c r="AI7" s="484"/>
      <c r="AJ7" s="486"/>
      <c r="AK7" s="483" t="s">
        <v>3617</v>
      </c>
      <c r="AN7" s="483" t="s">
        <v>4585</v>
      </c>
      <c r="AO7" s="486"/>
      <c r="AQ7" s="487" t="s">
        <v>3807</v>
      </c>
      <c r="AR7" s="447" t="s">
        <v>39</v>
      </c>
      <c r="AT7" s="472"/>
      <c r="AV7" s="488" t="s">
        <v>4339</v>
      </c>
      <c r="AW7" s="488" t="s">
        <v>39</v>
      </c>
    </row>
    <row r="8" spans="1:49" ht="15.75">
      <c r="A8" s="473">
        <v>431</v>
      </c>
      <c r="B8" s="490" t="s">
        <v>4227</v>
      </c>
      <c r="D8" s="374"/>
      <c r="E8" s="72">
        <v>7</v>
      </c>
      <c r="F8" s="475">
        <v>431</v>
      </c>
      <c r="H8" s="476">
        <v>7</v>
      </c>
      <c r="I8" s="476">
        <v>60123507</v>
      </c>
      <c r="K8" s="477">
        <v>7</v>
      </c>
      <c r="L8" s="478" t="s">
        <v>1290</v>
      </c>
      <c r="N8" s="476">
        <v>7</v>
      </c>
      <c r="O8" s="479" t="s">
        <v>4198</v>
      </c>
      <c r="P8" s="479" t="s">
        <v>4133</v>
      </c>
      <c r="Q8" s="479" t="s">
        <v>3014</v>
      </c>
      <c r="R8" s="479" t="s">
        <v>4030</v>
      </c>
      <c r="S8" s="479" t="s">
        <v>3147</v>
      </c>
      <c r="U8" s="480">
        <v>7</v>
      </c>
      <c r="V8" s="481" t="s">
        <v>2831</v>
      </c>
      <c r="W8" s="481" t="s">
        <v>3344</v>
      </c>
      <c r="X8" s="481" t="s">
        <v>3547</v>
      </c>
      <c r="Y8" s="482" t="s">
        <v>3862</v>
      </c>
      <c r="Z8" s="482" t="s">
        <v>2041</v>
      </c>
      <c r="AA8" s="482" t="s">
        <v>1924</v>
      </c>
      <c r="AB8" s="482" t="s">
        <v>2192</v>
      </c>
      <c r="AE8" s="483" t="s">
        <v>2674</v>
      </c>
      <c r="AH8" s="483" t="s">
        <v>2714</v>
      </c>
      <c r="AI8" s="484"/>
      <c r="AJ8" s="486"/>
      <c r="AK8" s="483" t="s">
        <v>3620</v>
      </c>
      <c r="AN8" s="483" t="s">
        <v>4588</v>
      </c>
      <c r="AO8" s="486"/>
      <c r="AQ8" s="487" t="s">
        <v>4300</v>
      </c>
      <c r="AR8" s="447" t="s">
        <v>39</v>
      </c>
      <c r="AT8" s="472"/>
      <c r="AV8" s="488" t="s">
        <v>4342</v>
      </c>
      <c r="AW8" s="488" t="s">
        <v>39</v>
      </c>
    </row>
    <row r="9" spans="1:49" ht="15.75">
      <c r="A9" s="473">
        <v>433</v>
      </c>
      <c r="B9" s="490" t="s">
        <v>4230</v>
      </c>
      <c r="D9" s="374"/>
      <c r="E9" s="72">
        <v>8</v>
      </c>
      <c r="F9" s="475">
        <v>433</v>
      </c>
      <c r="H9" s="476">
        <v>8</v>
      </c>
      <c r="I9" s="476" t="s">
        <v>5618</v>
      </c>
      <c r="K9" s="477">
        <v>8</v>
      </c>
      <c r="L9" s="478" t="s">
        <v>1606</v>
      </c>
      <c r="N9" s="476">
        <v>8</v>
      </c>
      <c r="O9" s="479" t="s">
        <v>1558</v>
      </c>
      <c r="P9" s="479" t="s">
        <v>4136</v>
      </c>
      <c r="Q9" s="479" t="s">
        <v>4195</v>
      </c>
      <c r="R9" s="479" t="s">
        <v>3966</v>
      </c>
      <c r="S9" s="479" t="s">
        <v>3152</v>
      </c>
      <c r="U9" s="480">
        <v>8</v>
      </c>
      <c r="V9" s="481" t="s">
        <v>2835</v>
      </c>
      <c r="W9" s="481" t="s">
        <v>3349</v>
      </c>
      <c r="X9" s="481" t="s">
        <v>3552</v>
      </c>
      <c r="Y9" s="482" t="s">
        <v>4256</v>
      </c>
      <c r="Z9" s="482" t="s">
        <v>2090</v>
      </c>
      <c r="AA9" s="482" t="s">
        <v>2121</v>
      </c>
      <c r="AB9" s="482" t="s">
        <v>2198</v>
      </c>
      <c r="AE9" s="483" t="s">
        <v>2678</v>
      </c>
      <c r="AH9" s="483" t="s">
        <v>2718</v>
      </c>
      <c r="AI9" s="484"/>
      <c r="AJ9" s="486"/>
      <c r="AK9" s="483" t="s">
        <v>3624</v>
      </c>
      <c r="AN9" s="483" t="s">
        <v>4274</v>
      </c>
      <c r="AO9" s="486"/>
      <c r="AQ9" s="487" t="s">
        <v>4302</v>
      </c>
      <c r="AR9" s="447" t="s">
        <v>39</v>
      </c>
      <c r="AT9" s="472"/>
      <c r="AV9" s="488" t="s">
        <v>4345</v>
      </c>
      <c r="AW9" s="488" t="s">
        <v>4400</v>
      </c>
    </row>
    <row r="10" spans="1:49" ht="15.75">
      <c r="A10" s="458">
        <v>434</v>
      </c>
      <c r="B10" s="491" t="s">
        <v>1354</v>
      </c>
      <c r="E10" s="72">
        <v>9</v>
      </c>
      <c r="F10" s="476">
        <v>434</v>
      </c>
      <c r="H10" s="476">
        <v>9</v>
      </c>
      <c r="I10" s="476" t="s">
        <v>5619</v>
      </c>
      <c r="K10" s="477">
        <v>9</v>
      </c>
      <c r="L10" s="478" t="s">
        <v>1612</v>
      </c>
      <c r="N10" s="476">
        <v>9</v>
      </c>
      <c r="O10" s="479" t="s">
        <v>1674</v>
      </c>
      <c r="P10" s="479" t="s">
        <v>4141</v>
      </c>
      <c r="Q10" s="479" t="s">
        <v>5372</v>
      </c>
      <c r="R10" s="479" t="s">
        <v>2001</v>
      </c>
      <c r="S10" s="479" t="s">
        <v>3157</v>
      </c>
      <c r="U10" s="480">
        <v>9</v>
      </c>
      <c r="V10" s="481" t="s">
        <v>2036</v>
      </c>
      <c r="W10" s="481" t="s">
        <v>3354</v>
      </c>
      <c r="X10" s="481" t="s">
        <v>3557</v>
      </c>
      <c r="Y10" s="482" t="s">
        <v>2274</v>
      </c>
      <c r="Z10" s="482" t="s">
        <v>872</v>
      </c>
      <c r="AA10" s="482" t="s">
        <v>507</v>
      </c>
      <c r="AB10" s="482" t="s">
        <v>2635</v>
      </c>
      <c r="AE10" s="483" t="s">
        <v>2683</v>
      </c>
      <c r="AH10" s="483" t="s">
        <v>2724</v>
      </c>
      <c r="AI10" s="484"/>
      <c r="AJ10" s="486"/>
      <c r="AK10" s="483" t="s">
        <v>3627</v>
      </c>
      <c r="AN10" s="483" t="s">
        <v>4282</v>
      </c>
      <c r="AO10" s="486"/>
      <c r="AQ10" s="487" t="s">
        <v>4305</v>
      </c>
      <c r="AR10" s="447" t="s">
        <v>39</v>
      </c>
      <c r="AT10" s="472"/>
      <c r="AV10" s="488" t="s">
        <v>5620</v>
      </c>
      <c r="AW10" s="488" t="s">
        <v>39</v>
      </c>
    </row>
    <row r="11" spans="1:49" ht="15.75">
      <c r="A11" s="473">
        <v>435</v>
      </c>
      <c r="B11" s="490" t="s">
        <v>4233</v>
      </c>
      <c r="D11" s="374"/>
      <c r="E11" s="72">
        <v>10</v>
      </c>
      <c r="F11" s="475">
        <v>435</v>
      </c>
      <c r="H11" s="476">
        <v>10</v>
      </c>
      <c r="I11" s="476">
        <v>90123513</v>
      </c>
      <c r="K11" s="477">
        <v>10</v>
      </c>
      <c r="L11" s="478" t="s">
        <v>1815</v>
      </c>
      <c r="N11" s="476">
        <v>10</v>
      </c>
      <c r="O11" s="479" t="s">
        <v>368</v>
      </c>
      <c r="P11" s="479" t="s">
        <v>4146</v>
      </c>
      <c r="Q11" s="479" t="s">
        <v>4734</v>
      </c>
      <c r="R11" s="479" t="s">
        <v>2006</v>
      </c>
      <c r="S11" s="479" t="s">
        <v>3162</v>
      </c>
      <c r="U11" s="480">
        <v>10</v>
      </c>
      <c r="V11" s="481" t="s">
        <v>3203</v>
      </c>
      <c r="W11" s="481" t="s">
        <v>3359</v>
      </c>
      <c r="X11" s="481" t="s">
        <v>3562</v>
      </c>
      <c r="Y11" s="482" t="s">
        <v>3726</v>
      </c>
      <c r="Z11" s="482" t="s">
        <v>2557</v>
      </c>
      <c r="AA11" s="482" t="s">
        <v>722</v>
      </c>
      <c r="AB11" s="482" t="s">
        <v>2640</v>
      </c>
      <c r="AE11" s="483" t="s">
        <v>2687</v>
      </c>
      <c r="AH11" s="483" t="s">
        <v>2729</v>
      </c>
      <c r="AI11" s="484"/>
      <c r="AJ11" s="486"/>
      <c r="AK11" s="483" t="s">
        <v>4577</v>
      </c>
      <c r="AN11" s="483" t="s">
        <v>4289</v>
      </c>
      <c r="AO11" s="486"/>
      <c r="AQ11" s="487" t="s">
        <v>4307</v>
      </c>
      <c r="AR11" s="447" t="s">
        <v>3</v>
      </c>
      <c r="AT11" s="472"/>
      <c r="AV11" s="488" t="s">
        <v>4349</v>
      </c>
      <c r="AW11" s="488" t="s">
        <v>39</v>
      </c>
    </row>
    <row r="12" spans="1:49" ht="15.75">
      <c r="A12" s="473">
        <v>444</v>
      </c>
      <c r="B12" s="490" t="s">
        <v>4236</v>
      </c>
      <c r="D12" s="374"/>
      <c r="E12" s="72">
        <v>11</v>
      </c>
      <c r="F12" s="475">
        <v>444</v>
      </c>
      <c r="H12" s="476">
        <v>11</v>
      </c>
      <c r="I12" s="476">
        <v>100123531</v>
      </c>
      <c r="K12" s="477">
        <v>11</v>
      </c>
      <c r="L12" s="478" t="s">
        <v>1617</v>
      </c>
      <c r="N12" s="476">
        <v>11</v>
      </c>
      <c r="O12" s="479" t="s">
        <v>375</v>
      </c>
      <c r="P12" s="479" t="s">
        <v>4151</v>
      </c>
      <c r="Q12" s="479" t="s">
        <v>5621</v>
      </c>
      <c r="R12" s="479" t="s">
        <v>446</v>
      </c>
      <c r="S12" s="479" t="s">
        <v>3167</v>
      </c>
      <c r="U12" s="480">
        <v>11</v>
      </c>
      <c r="V12" s="481" t="s">
        <v>3207</v>
      </c>
      <c r="W12" s="481" t="s">
        <v>3363</v>
      </c>
      <c r="X12" s="481" t="s">
        <v>3567</v>
      </c>
      <c r="Y12" s="482" t="s">
        <v>2056</v>
      </c>
      <c r="Z12" s="482" t="s">
        <v>2561</v>
      </c>
      <c r="AA12" s="482" t="s">
        <v>784</v>
      </c>
      <c r="AB12" s="482" t="s">
        <v>2644</v>
      </c>
      <c r="AE12" s="483" t="s">
        <v>1838</v>
      </c>
      <c r="AH12" s="483" t="s">
        <v>2734</v>
      </c>
      <c r="AI12" s="484"/>
      <c r="AJ12" s="486"/>
      <c r="AK12" s="483" t="s">
        <v>3632</v>
      </c>
      <c r="AN12" s="483" t="s">
        <v>3729</v>
      </c>
      <c r="AO12" s="486"/>
      <c r="AQ12" s="487" t="s">
        <v>3811</v>
      </c>
      <c r="AR12" s="447" t="s">
        <v>39</v>
      </c>
      <c r="AT12" s="472"/>
      <c r="AV12" s="488" t="s">
        <v>4352</v>
      </c>
      <c r="AW12" s="488" t="s">
        <v>39</v>
      </c>
    </row>
    <row r="13" spans="1:49" ht="15.75">
      <c r="A13" s="473">
        <v>445</v>
      </c>
      <c r="B13" s="474" t="s">
        <v>1373</v>
      </c>
      <c r="E13" s="72">
        <v>12</v>
      </c>
      <c r="F13" s="475">
        <v>445</v>
      </c>
      <c r="H13" s="476">
        <v>12</v>
      </c>
      <c r="I13" s="476">
        <v>100123539</v>
      </c>
      <c r="K13" s="477">
        <v>12</v>
      </c>
      <c r="L13" s="478" t="s">
        <v>991</v>
      </c>
      <c r="N13" s="476">
        <v>12</v>
      </c>
      <c r="O13" s="479" t="s">
        <v>1665</v>
      </c>
      <c r="P13" s="479" t="s">
        <v>4156</v>
      </c>
      <c r="Q13" s="479" t="s">
        <v>4202</v>
      </c>
      <c r="R13" s="479" t="s">
        <v>1120</v>
      </c>
      <c r="S13" s="479" t="s">
        <v>3172</v>
      </c>
      <c r="U13" s="480">
        <v>12</v>
      </c>
      <c r="V13" s="481" t="s">
        <v>1279</v>
      </c>
      <c r="W13" s="481" t="s">
        <v>3368</v>
      </c>
      <c r="X13" s="481" t="s">
        <v>2302</v>
      </c>
      <c r="Y13" s="482" t="s">
        <v>2227</v>
      </c>
      <c r="Z13" s="482" t="s">
        <v>2566</v>
      </c>
      <c r="AA13" s="482" t="s">
        <v>2126</v>
      </c>
      <c r="AB13" s="482" t="s">
        <v>2648</v>
      </c>
      <c r="AE13" s="483" t="s">
        <v>3582</v>
      </c>
      <c r="AH13" s="483" t="s">
        <v>2739</v>
      </c>
      <c r="AI13" s="484"/>
      <c r="AJ13" s="486"/>
      <c r="AK13" s="483" t="s">
        <v>3637</v>
      </c>
      <c r="AN13" s="483" t="s">
        <v>3735</v>
      </c>
      <c r="AO13" s="486"/>
      <c r="AQ13" s="487" t="s">
        <v>3814</v>
      </c>
      <c r="AR13" s="447" t="s">
        <v>39</v>
      </c>
      <c r="AT13" s="472"/>
      <c r="AV13" s="488" t="s">
        <v>4355</v>
      </c>
      <c r="AW13" s="488" t="s">
        <v>39</v>
      </c>
    </row>
    <row r="14" spans="1:49" ht="15.75">
      <c r="A14" s="473">
        <v>447</v>
      </c>
      <c r="B14" s="474" t="s">
        <v>1724</v>
      </c>
      <c r="E14" s="72">
        <v>13</v>
      </c>
      <c r="F14" s="475">
        <v>447</v>
      </c>
      <c r="H14" s="476">
        <v>13</v>
      </c>
      <c r="I14" s="476">
        <v>120123549</v>
      </c>
      <c r="K14" s="477">
        <v>13</v>
      </c>
      <c r="L14" s="478" t="s">
        <v>1623</v>
      </c>
      <c r="N14" s="476">
        <v>13</v>
      </c>
      <c r="O14" s="479" t="s">
        <v>385</v>
      </c>
      <c r="P14" s="479" t="s">
        <v>4608</v>
      </c>
      <c r="Q14" s="479" t="s">
        <v>4205</v>
      </c>
      <c r="R14" s="479" t="s">
        <v>1126</v>
      </c>
      <c r="S14" s="479" t="s">
        <v>3178</v>
      </c>
      <c r="U14" s="480">
        <v>13</v>
      </c>
      <c r="V14" s="481" t="s">
        <v>794</v>
      </c>
      <c r="W14" s="481" t="s">
        <v>3372</v>
      </c>
      <c r="X14" s="481" t="s">
        <v>2307</v>
      </c>
      <c r="Y14" s="482" t="s">
        <v>2062</v>
      </c>
      <c r="Z14" s="482" t="s">
        <v>2570</v>
      </c>
      <c r="AA14" s="482" t="s">
        <v>2132</v>
      </c>
      <c r="AB14" s="482" t="s">
        <v>2652</v>
      </c>
      <c r="AE14" s="483" t="s">
        <v>3717</v>
      </c>
      <c r="AH14" s="483" t="s">
        <v>2744</v>
      </c>
      <c r="AI14" s="484"/>
      <c r="AJ14" s="486"/>
      <c r="AK14" s="483" t="s">
        <v>3642</v>
      </c>
      <c r="AN14" s="483" t="s">
        <v>3742</v>
      </c>
      <c r="AO14" s="486"/>
      <c r="AQ14" s="487" t="s">
        <v>3818</v>
      </c>
      <c r="AR14" s="447" t="s">
        <v>39</v>
      </c>
      <c r="AT14" s="472"/>
      <c r="AV14" s="488" t="s">
        <v>5622</v>
      </c>
      <c r="AW14" s="488" t="s">
        <v>39</v>
      </c>
    </row>
    <row r="15" spans="1:49" ht="15.75">
      <c r="A15" s="473">
        <v>448</v>
      </c>
      <c r="B15" s="490" t="s">
        <v>4240</v>
      </c>
      <c r="D15" s="374"/>
      <c r="E15" s="72">
        <v>14</v>
      </c>
      <c r="F15" s="475">
        <v>448</v>
      </c>
      <c r="H15" s="476">
        <v>14</v>
      </c>
      <c r="I15" s="476">
        <v>120123552</v>
      </c>
      <c r="K15" s="477">
        <v>14</v>
      </c>
      <c r="L15" s="478" t="s">
        <v>1629</v>
      </c>
      <c r="N15" s="476">
        <v>14</v>
      </c>
      <c r="O15" s="479" t="s">
        <v>1873</v>
      </c>
      <c r="P15" s="479" t="s">
        <v>4160</v>
      </c>
      <c r="Q15" s="479" t="s">
        <v>5623</v>
      </c>
      <c r="R15" s="479" t="s">
        <v>617</v>
      </c>
      <c r="S15" s="479" t="s">
        <v>1193</v>
      </c>
      <c r="U15" s="480">
        <v>14</v>
      </c>
      <c r="V15" s="481" t="s">
        <v>4650</v>
      </c>
      <c r="W15" s="481" t="s">
        <v>3378</v>
      </c>
      <c r="X15" s="481" t="s">
        <v>2311</v>
      </c>
      <c r="Y15" s="482" t="s">
        <v>3866</v>
      </c>
      <c r="Z15" s="482" t="s">
        <v>2574</v>
      </c>
      <c r="AA15" s="482" t="s">
        <v>2137</v>
      </c>
      <c r="AB15" s="482" t="s">
        <v>2656</v>
      </c>
      <c r="AE15" s="483" t="s">
        <v>3588</v>
      </c>
      <c r="AH15" s="483" t="s">
        <v>2748</v>
      </c>
      <c r="AI15" s="484"/>
      <c r="AJ15" s="486"/>
      <c r="AK15" s="483" t="s">
        <v>4642</v>
      </c>
      <c r="AN15" s="483" t="s">
        <v>3746</v>
      </c>
      <c r="AO15" s="486"/>
      <c r="AQ15" s="155">
        <v>13</v>
      </c>
      <c r="AT15" s="472"/>
      <c r="AV15" s="488" t="s">
        <v>5624</v>
      </c>
      <c r="AW15" s="488" t="s">
        <v>39</v>
      </c>
    </row>
    <row r="16" spans="1:49" ht="15.75">
      <c r="A16" s="473">
        <v>449</v>
      </c>
      <c r="B16" s="490" t="s">
        <v>4645</v>
      </c>
      <c r="D16" s="374"/>
      <c r="E16" s="72">
        <v>15</v>
      </c>
      <c r="F16" s="475">
        <v>449</v>
      </c>
      <c r="H16" s="476">
        <v>15</v>
      </c>
      <c r="I16" s="476">
        <v>160123569</v>
      </c>
      <c r="K16" s="477">
        <v>15</v>
      </c>
      <c r="L16" s="478" t="s">
        <v>1242</v>
      </c>
      <c r="N16" s="476">
        <v>15</v>
      </c>
      <c r="O16" s="479" t="s">
        <v>1566</v>
      </c>
      <c r="P16" s="479" t="s">
        <v>4164</v>
      </c>
      <c r="Q16" s="479" t="s">
        <v>601</v>
      </c>
      <c r="R16" s="479" t="s">
        <v>3840</v>
      </c>
      <c r="S16" s="479" t="s">
        <v>2811</v>
      </c>
      <c r="U16" s="480">
        <v>15</v>
      </c>
      <c r="V16" s="481" t="s">
        <v>1895</v>
      </c>
      <c r="W16" s="481" t="s">
        <v>3383</v>
      </c>
      <c r="X16" s="481" t="s">
        <v>2315</v>
      </c>
      <c r="Y16" s="482" t="s">
        <v>500</v>
      </c>
      <c r="Z16" s="482" t="s">
        <v>2232</v>
      </c>
      <c r="AA16" s="482" t="s">
        <v>612</v>
      </c>
      <c r="AB16" s="482" t="s">
        <v>523</v>
      </c>
      <c r="AE16" s="483" t="s">
        <v>3592</v>
      </c>
      <c r="AH16" s="492" t="s">
        <v>2752</v>
      </c>
      <c r="AI16" s="484"/>
      <c r="AJ16" s="486"/>
      <c r="AK16" s="483" t="s">
        <v>3648</v>
      </c>
      <c r="AN16" s="483" t="s">
        <v>3750</v>
      </c>
      <c r="AO16" s="486"/>
      <c r="AT16" s="472"/>
      <c r="AV16" s="488" t="s">
        <v>4358</v>
      </c>
      <c r="AW16" s="488" t="s">
        <v>39</v>
      </c>
    </row>
    <row r="17" spans="1:49" ht="15.75">
      <c r="A17" s="473">
        <v>450</v>
      </c>
      <c r="B17" s="490" t="s">
        <v>3023</v>
      </c>
      <c r="D17" s="493"/>
      <c r="E17" s="72">
        <v>16</v>
      </c>
      <c r="F17" s="475">
        <v>450</v>
      </c>
      <c r="H17" s="476">
        <v>16</v>
      </c>
      <c r="I17" s="476" t="s">
        <v>5625</v>
      </c>
      <c r="K17" s="477">
        <v>16</v>
      </c>
      <c r="L17" s="478" t="s">
        <v>1634</v>
      </c>
      <c r="N17" s="476">
        <v>16</v>
      </c>
      <c r="O17" s="479" t="s">
        <v>4508</v>
      </c>
      <c r="P17" s="479" t="s">
        <v>2925</v>
      </c>
      <c r="Q17" s="479" t="s">
        <v>4055</v>
      </c>
      <c r="R17" s="479" t="s">
        <v>1132</v>
      </c>
      <c r="S17" s="479" t="s">
        <v>1582</v>
      </c>
      <c r="U17" s="480">
        <v>16</v>
      </c>
      <c r="V17" s="481" t="s">
        <v>3212</v>
      </c>
      <c r="W17" s="481" t="s">
        <v>3388</v>
      </c>
      <c r="X17" s="481" t="s">
        <v>2319</v>
      </c>
      <c r="Y17" s="482" t="s">
        <v>3992</v>
      </c>
      <c r="Z17" s="482" t="s">
        <v>2578</v>
      </c>
      <c r="AA17" s="482" t="s">
        <v>4732</v>
      </c>
      <c r="AB17" s="482" t="s">
        <v>2660</v>
      </c>
      <c r="AE17" s="483" t="s">
        <v>3597</v>
      </c>
      <c r="AH17" s="483" t="s">
        <v>2756</v>
      </c>
      <c r="AI17" s="484"/>
      <c r="AJ17" s="486"/>
      <c r="AK17" s="483" t="s">
        <v>3652</v>
      </c>
      <c r="AN17" s="483" t="s">
        <v>3754</v>
      </c>
      <c r="AO17" s="486"/>
      <c r="AT17" s="472"/>
      <c r="AV17" s="488" t="s">
        <v>4361</v>
      </c>
      <c r="AW17" s="488" t="s">
        <v>39</v>
      </c>
    </row>
    <row r="18" spans="1:49" ht="15.75">
      <c r="A18" s="473">
        <v>452</v>
      </c>
      <c r="B18" s="474" t="s">
        <v>1702</v>
      </c>
      <c r="E18" s="72">
        <v>17</v>
      </c>
      <c r="F18" s="475">
        <v>452</v>
      </c>
      <c r="H18" s="476">
        <v>17</v>
      </c>
      <c r="I18" s="476">
        <v>170123573</v>
      </c>
      <c r="K18" s="477">
        <v>17</v>
      </c>
      <c r="L18" s="478" t="s">
        <v>1248</v>
      </c>
      <c r="N18" s="476">
        <v>17</v>
      </c>
      <c r="O18" s="479" t="s">
        <v>1037</v>
      </c>
      <c r="P18" s="479" t="s">
        <v>2930</v>
      </c>
      <c r="Q18" s="479" t="s">
        <v>4580</v>
      </c>
      <c r="R18" s="479" t="s">
        <v>1225</v>
      </c>
      <c r="S18" s="479" t="s">
        <v>456</v>
      </c>
      <c r="U18" s="480">
        <v>17</v>
      </c>
      <c r="V18" s="481" t="s">
        <v>3216</v>
      </c>
      <c r="W18" s="481" t="s">
        <v>3392</v>
      </c>
      <c r="X18" s="481" t="s">
        <v>2323</v>
      </c>
      <c r="Y18" s="482" t="s">
        <v>2432</v>
      </c>
      <c r="Z18" s="482" t="s">
        <v>1589</v>
      </c>
      <c r="AA18" s="482" t="s">
        <v>1858</v>
      </c>
      <c r="AB18" s="482" t="s">
        <v>4042</v>
      </c>
      <c r="AE18" s="483" t="s">
        <v>590</v>
      </c>
      <c r="AH18" s="483" t="s">
        <v>2760</v>
      </c>
      <c r="AI18" s="484"/>
      <c r="AJ18" s="486"/>
      <c r="AK18" s="483" t="s">
        <v>3658</v>
      </c>
      <c r="AN18" s="483" t="s">
        <v>3759</v>
      </c>
      <c r="AO18" s="486"/>
      <c r="AT18" s="472"/>
      <c r="AV18" s="488" t="s">
        <v>4364</v>
      </c>
      <c r="AW18" s="488" t="s">
        <v>39</v>
      </c>
    </row>
    <row r="19" spans="1:49" ht="15.75">
      <c r="A19" s="473">
        <v>455</v>
      </c>
      <c r="B19" s="494" t="s">
        <v>1710</v>
      </c>
      <c r="E19" s="72">
        <v>18</v>
      </c>
      <c r="F19" s="475">
        <v>455</v>
      </c>
      <c r="H19" s="476">
        <v>18</v>
      </c>
      <c r="I19" s="476">
        <v>180123574</v>
      </c>
      <c r="K19" s="477">
        <v>18</v>
      </c>
      <c r="L19" s="478" t="s">
        <v>4537</v>
      </c>
      <c r="N19" s="476">
        <v>18</v>
      </c>
      <c r="O19" s="479" t="s">
        <v>1573</v>
      </c>
      <c r="P19" s="479" t="s">
        <v>1042</v>
      </c>
      <c r="Q19" s="479" t="s">
        <v>4552</v>
      </c>
      <c r="R19" s="479" t="s">
        <v>1138</v>
      </c>
      <c r="S19" s="479" t="s">
        <v>465</v>
      </c>
      <c r="U19" s="480">
        <v>18</v>
      </c>
      <c r="V19" s="481" t="s">
        <v>3220</v>
      </c>
      <c r="W19" s="481" t="s">
        <v>1853</v>
      </c>
      <c r="X19" s="481" t="s">
        <v>3846</v>
      </c>
      <c r="Y19" s="482" t="s">
        <v>2437</v>
      </c>
      <c r="Z19" s="482" t="s">
        <v>2582</v>
      </c>
      <c r="AA19" s="482" t="s">
        <v>512</v>
      </c>
      <c r="AB19" s="482" t="s">
        <v>2203</v>
      </c>
      <c r="AE19" s="483" t="s">
        <v>596</v>
      </c>
      <c r="AH19" s="483" t="s">
        <v>2764</v>
      </c>
      <c r="AI19" s="484"/>
      <c r="AJ19" s="486"/>
      <c r="AK19" s="483" t="s">
        <v>3664</v>
      </c>
      <c r="AN19" s="483" t="s">
        <v>3763</v>
      </c>
      <c r="AO19" s="486"/>
      <c r="AT19" s="472"/>
      <c r="AV19" s="488" t="s">
        <v>4367</v>
      </c>
      <c r="AW19" s="488" t="s">
        <v>39</v>
      </c>
    </row>
    <row r="20" spans="1:49" ht="15.75">
      <c r="A20" s="495">
        <v>456</v>
      </c>
      <c r="B20" s="496" t="s">
        <v>306</v>
      </c>
      <c r="E20" s="72">
        <v>19</v>
      </c>
      <c r="F20" s="475">
        <v>456</v>
      </c>
      <c r="H20" s="476">
        <v>19</v>
      </c>
      <c r="I20" s="476">
        <v>180123575</v>
      </c>
      <c r="K20" s="477">
        <v>19</v>
      </c>
      <c r="L20" s="478" t="s">
        <v>1253</v>
      </c>
      <c r="N20" s="476">
        <v>19</v>
      </c>
      <c r="O20" s="479" t="s">
        <v>820</v>
      </c>
      <c r="P20" s="479" t="s">
        <v>1929</v>
      </c>
      <c r="Q20" s="479" t="s">
        <v>830</v>
      </c>
      <c r="R20" s="479" t="s">
        <v>464</v>
      </c>
      <c r="S20" s="479" t="s">
        <v>3182</v>
      </c>
      <c r="U20" s="480">
        <v>19</v>
      </c>
      <c r="V20" s="481" t="s">
        <v>3225</v>
      </c>
      <c r="W20" s="481" t="s">
        <v>3397</v>
      </c>
      <c r="X20" s="481" t="s">
        <v>2253</v>
      </c>
      <c r="Y20" s="482" t="s">
        <v>2442</v>
      </c>
      <c r="Z20" s="482" t="s">
        <v>2586</v>
      </c>
      <c r="AA20" s="482" t="s">
        <v>4482</v>
      </c>
      <c r="AB20" s="482" t="s">
        <v>2214</v>
      </c>
      <c r="AE20" s="483" t="s">
        <v>602</v>
      </c>
      <c r="AH20" s="483" t="s">
        <v>2769</v>
      </c>
      <c r="AI20" s="484"/>
      <c r="AJ20" s="486"/>
      <c r="AK20" s="483" t="s">
        <v>3669</v>
      </c>
      <c r="AN20" s="483" t="s">
        <v>3770</v>
      </c>
      <c r="AO20" s="486"/>
      <c r="AT20" s="472"/>
      <c r="AV20" s="488" t="s">
        <v>5626</v>
      </c>
      <c r="AW20" s="488" t="s">
        <v>39</v>
      </c>
    </row>
    <row r="21" spans="1:49" ht="15.75">
      <c r="A21" s="495">
        <v>457</v>
      </c>
      <c r="B21" s="496" t="s">
        <v>312</v>
      </c>
      <c r="E21" s="72">
        <v>20</v>
      </c>
      <c r="F21" s="475">
        <v>457</v>
      </c>
      <c r="H21" s="476">
        <v>20</v>
      </c>
      <c r="I21" s="476">
        <v>190123591</v>
      </c>
      <c r="K21" s="477">
        <v>20</v>
      </c>
      <c r="L21" s="478" t="s">
        <v>1258</v>
      </c>
      <c r="N21" s="476">
        <v>20</v>
      </c>
      <c r="O21" s="479" t="s">
        <v>1576</v>
      </c>
      <c r="P21" s="479" t="s">
        <v>2950</v>
      </c>
      <c r="Q21" s="479" t="s">
        <v>1940</v>
      </c>
      <c r="R21" s="479" t="s">
        <v>4616</v>
      </c>
      <c r="S21" s="479" t="s">
        <v>3187</v>
      </c>
      <c r="U21" s="480">
        <v>20</v>
      </c>
      <c r="V21" s="481" t="s">
        <v>3230</v>
      </c>
      <c r="W21" s="481" t="s">
        <v>3401</v>
      </c>
      <c r="X21" s="481" t="s">
        <v>2269</v>
      </c>
      <c r="Y21" s="482" t="s">
        <v>2447</v>
      </c>
      <c r="Z21" s="482" t="s">
        <v>2590</v>
      </c>
      <c r="AA21" s="482" t="s">
        <v>805</v>
      </c>
      <c r="AB21" s="482" t="s">
        <v>628</v>
      </c>
      <c r="AE21" s="483" t="s">
        <v>4476</v>
      </c>
      <c r="AH21" s="483" t="s">
        <v>2773</v>
      </c>
      <c r="AI21" s="484"/>
      <c r="AJ21" s="486"/>
      <c r="AK21" s="483" t="s">
        <v>3673</v>
      </c>
      <c r="AN21" s="483" t="s">
        <v>4654</v>
      </c>
      <c r="AO21" s="486"/>
      <c r="AT21" s="472"/>
      <c r="AV21" s="488" t="s">
        <v>5627</v>
      </c>
      <c r="AW21" s="488" t="s">
        <v>39</v>
      </c>
    </row>
    <row r="22" spans="1:49" ht="15.75">
      <c r="A22" s="495">
        <v>458</v>
      </c>
      <c r="B22" s="474" t="s">
        <v>4413</v>
      </c>
      <c r="E22" s="72">
        <v>21</v>
      </c>
      <c r="F22" s="475">
        <v>458</v>
      </c>
      <c r="H22" s="476">
        <v>21</v>
      </c>
      <c r="I22" s="476">
        <v>200123602</v>
      </c>
      <c r="K22" s="477">
        <v>21</v>
      </c>
      <c r="L22" s="478" t="s">
        <v>1639</v>
      </c>
      <c r="N22" s="476">
        <v>21</v>
      </c>
      <c r="O22" s="479" t="s">
        <v>4035</v>
      </c>
      <c r="P22" s="479" t="s">
        <v>1049</v>
      </c>
      <c r="Q22" s="479" t="s">
        <v>1946</v>
      </c>
      <c r="R22" s="479" t="s">
        <v>4638</v>
      </c>
      <c r="S22" s="479" t="s">
        <v>3192</v>
      </c>
      <c r="U22" s="480">
        <v>21</v>
      </c>
      <c r="V22" s="481" t="s">
        <v>4700</v>
      </c>
      <c r="W22" s="481" t="s">
        <v>543</v>
      </c>
      <c r="X22" s="481" t="s">
        <v>2327</v>
      </c>
      <c r="Y22" s="482" t="s">
        <v>769</v>
      </c>
      <c r="Z22" s="482" t="s">
        <v>2594</v>
      </c>
      <c r="AA22" s="482" t="s">
        <v>2142</v>
      </c>
      <c r="AB22" s="482" t="s">
        <v>1297</v>
      </c>
      <c r="AE22" s="483" t="s">
        <v>3797</v>
      </c>
      <c r="AH22" s="483" t="s">
        <v>2776</v>
      </c>
      <c r="AI22" s="484"/>
      <c r="AJ22" s="486"/>
      <c r="AK22" s="483" t="s">
        <v>3678</v>
      </c>
      <c r="AN22" s="483" t="s">
        <v>4658</v>
      </c>
      <c r="AO22" s="486"/>
      <c r="AT22" s="472"/>
      <c r="AV22" s="488" t="s">
        <v>4370</v>
      </c>
      <c r="AW22" s="488" t="s">
        <v>39</v>
      </c>
    </row>
    <row r="23" spans="1:49" ht="15.75">
      <c r="A23" s="495" t="s">
        <v>5628</v>
      </c>
      <c r="B23" s="497" t="s">
        <v>548</v>
      </c>
      <c r="E23" s="72">
        <v>22</v>
      </c>
      <c r="F23" s="475" t="s">
        <v>5628</v>
      </c>
      <c r="H23" s="476">
        <v>22</v>
      </c>
      <c r="I23" s="476">
        <v>200123603</v>
      </c>
      <c r="K23" s="477">
        <v>22</v>
      </c>
      <c r="L23" s="478" t="s">
        <v>1820</v>
      </c>
      <c r="N23" s="476">
        <v>22</v>
      </c>
      <c r="O23" s="479" t="s">
        <v>4691</v>
      </c>
      <c r="P23" s="479" t="s">
        <v>399</v>
      </c>
      <c r="Q23" s="479" t="s">
        <v>1951</v>
      </c>
      <c r="R23" s="479" t="s">
        <v>1143</v>
      </c>
      <c r="S23" s="479" t="s">
        <v>3198</v>
      </c>
      <c r="U23" s="480">
        <v>22</v>
      </c>
      <c r="V23" s="481" t="s">
        <v>3234</v>
      </c>
      <c r="W23" s="481" t="s">
        <v>3406</v>
      </c>
      <c r="X23" s="481" t="s">
        <v>2331</v>
      </c>
      <c r="Y23" s="482" t="s">
        <v>2067</v>
      </c>
      <c r="Z23" s="482" t="s">
        <v>2599</v>
      </c>
      <c r="AA23" s="482" t="s">
        <v>2148</v>
      </c>
      <c r="AB23" s="482" t="s">
        <v>851</v>
      </c>
      <c r="AE23" s="483" t="s">
        <v>743</v>
      </c>
      <c r="AH23" s="155">
        <v>21</v>
      </c>
      <c r="AJ23" s="484"/>
      <c r="AK23" s="483" t="s">
        <v>3682</v>
      </c>
      <c r="AN23" s="483" t="s">
        <v>4662</v>
      </c>
      <c r="AO23" s="486"/>
      <c r="AT23" s="472"/>
      <c r="AV23" s="488" t="s">
        <v>4372</v>
      </c>
      <c r="AW23" s="488" t="s">
        <v>39</v>
      </c>
    </row>
    <row r="24" spans="1:49" ht="15.75">
      <c r="A24" s="495">
        <v>459</v>
      </c>
      <c r="B24" s="55" t="s">
        <v>4630</v>
      </c>
      <c r="D24" s="374"/>
      <c r="E24" s="72">
        <v>23</v>
      </c>
      <c r="F24" s="475">
        <v>459</v>
      </c>
      <c r="H24" s="476">
        <v>23</v>
      </c>
      <c r="I24" s="476">
        <v>230123618</v>
      </c>
      <c r="K24" s="477">
        <v>23</v>
      </c>
      <c r="L24" s="478" t="s">
        <v>1263</v>
      </c>
      <c r="N24" s="476">
        <v>23</v>
      </c>
      <c r="O24" s="479" t="s">
        <v>4080</v>
      </c>
      <c r="P24" s="479" t="s">
        <v>2939</v>
      </c>
      <c r="Q24" s="479" t="s">
        <v>3951</v>
      </c>
      <c r="R24" s="479" t="s">
        <v>1890</v>
      </c>
      <c r="S24" s="479" t="s">
        <v>2839</v>
      </c>
      <c r="U24" s="480">
        <v>23</v>
      </c>
      <c r="V24" s="481" t="s">
        <v>538</v>
      </c>
      <c r="W24" s="481" t="s">
        <v>3411</v>
      </c>
      <c r="X24" s="481" t="s">
        <v>2335</v>
      </c>
      <c r="Y24" s="482" t="s">
        <v>2453</v>
      </c>
      <c r="Z24" s="482" t="s">
        <v>469</v>
      </c>
      <c r="AA24" s="482" t="s">
        <v>2154</v>
      </c>
      <c r="AB24" s="482" t="s">
        <v>4502</v>
      </c>
      <c r="AE24" s="483" t="s">
        <v>717</v>
      </c>
      <c r="AK24" s="483" t="s">
        <v>2780</v>
      </c>
      <c r="AN24" s="483" t="s">
        <v>4666</v>
      </c>
      <c r="AO24" s="486"/>
      <c r="AT24" s="472"/>
      <c r="AV24" s="488" t="s">
        <v>5629</v>
      </c>
      <c r="AW24" s="488" t="s">
        <v>39</v>
      </c>
    </row>
    <row r="25" spans="1:49" ht="15.75">
      <c r="A25" s="495">
        <v>460</v>
      </c>
      <c r="B25" s="55" t="s">
        <v>3030</v>
      </c>
      <c r="D25" s="374"/>
      <c r="E25" s="72">
        <v>24</v>
      </c>
      <c r="F25" s="475">
        <v>460</v>
      </c>
      <c r="H25" s="476">
        <v>24</v>
      </c>
      <c r="I25" s="476">
        <v>230123619</v>
      </c>
      <c r="K25" s="477">
        <v>24</v>
      </c>
      <c r="L25" s="478" t="s">
        <v>1645</v>
      </c>
      <c r="N25" s="476">
        <v>24</v>
      </c>
      <c r="O25" s="479" t="s">
        <v>393</v>
      </c>
      <c r="P25" s="479" t="s">
        <v>2944</v>
      </c>
      <c r="Q25" s="479" t="s">
        <v>392</v>
      </c>
      <c r="R25" s="479" t="s">
        <v>1114</v>
      </c>
      <c r="S25" s="479" t="s">
        <v>1198</v>
      </c>
      <c r="U25" s="480">
        <v>24</v>
      </c>
      <c r="V25" s="481" t="s">
        <v>3239</v>
      </c>
      <c r="W25" s="481" t="s">
        <v>3416</v>
      </c>
      <c r="X25" s="481" t="s">
        <v>2340</v>
      </c>
      <c r="Y25" s="482" t="s">
        <v>2458</v>
      </c>
      <c r="Z25" s="482" t="s">
        <v>475</v>
      </c>
      <c r="AA25" s="482" t="s">
        <v>789</v>
      </c>
      <c r="AB25" s="482" t="s">
        <v>4061</v>
      </c>
      <c r="AE25" s="155">
        <v>23</v>
      </c>
      <c r="AK25" s="483" t="s">
        <v>3687</v>
      </c>
      <c r="AN25" s="483" t="s">
        <v>4670</v>
      </c>
      <c r="AO25" s="486"/>
      <c r="AT25" s="472"/>
      <c r="AV25" s="488" t="s">
        <v>4376</v>
      </c>
      <c r="AW25" s="488" t="s">
        <v>3</v>
      </c>
    </row>
    <row r="26" spans="1:49" ht="15.75">
      <c r="A26" s="495">
        <v>461</v>
      </c>
      <c r="B26" s="55" t="s">
        <v>3036</v>
      </c>
      <c r="D26" s="374"/>
      <c r="E26" s="72">
        <v>25</v>
      </c>
      <c r="F26" s="475">
        <v>461</v>
      </c>
      <c r="H26" s="476">
        <v>25</v>
      </c>
      <c r="I26" s="476">
        <v>240123627</v>
      </c>
      <c r="K26" s="477">
        <v>25</v>
      </c>
      <c r="L26" s="478" t="s">
        <v>1269</v>
      </c>
      <c r="N26" s="476">
        <v>25</v>
      </c>
      <c r="O26" s="479" t="s">
        <v>2850</v>
      </c>
      <c r="P26" s="479" t="s">
        <v>2954</v>
      </c>
      <c r="Q26" s="479" t="s">
        <v>489</v>
      </c>
      <c r="R26" s="479" t="s">
        <v>2284</v>
      </c>
      <c r="S26" s="479" t="s">
        <v>1204</v>
      </c>
      <c r="U26" s="480">
        <v>25</v>
      </c>
      <c r="V26" s="481" t="s">
        <v>1901</v>
      </c>
      <c r="W26" s="481" t="s">
        <v>549</v>
      </c>
      <c r="X26" s="481" t="s">
        <v>2344</v>
      </c>
      <c r="Y26" s="482" t="s">
        <v>2463</v>
      </c>
      <c r="Z26" s="482" t="s">
        <v>479</v>
      </c>
      <c r="AA26" s="482" t="s">
        <v>2160</v>
      </c>
      <c r="AB26" s="482" t="s">
        <v>531</v>
      </c>
      <c r="AK26" s="483" t="s">
        <v>3693</v>
      </c>
      <c r="AN26" s="483" t="s">
        <v>4674</v>
      </c>
      <c r="AO26" s="486"/>
      <c r="AT26" s="472"/>
      <c r="AV26" s="488" t="s">
        <v>4378</v>
      </c>
      <c r="AW26" s="488" t="s">
        <v>3</v>
      </c>
    </row>
    <row r="27" spans="1:49" ht="15.75">
      <c r="A27" s="473">
        <v>462</v>
      </c>
      <c r="B27" s="490" t="s">
        <v>3042</v>
      </c>
      <c r="D27" s="374"/>
      <c r="E27" s="72">
        <v>26</v>
      </c>
      <c r="F27" s="475">
        <v>462</v>
      </c>
      <c r="H27" s="476">
        <v>26</v>
      </c>
      <c r="I27" s="476">
        <v>240123630</v>
      </c>
      <c r="K27" s="477">
        <v>26</v>
      </c>
      <c r="L27" s="478" t="s">
        <v>327</v>
      </c>
      <c r="N27" s="476">
        <v>26</v>
      </c>
      <c r="O27" s="479" t="s">
        <v>4085</v>
      </c>
      <c r="P27" s="479" t="s">
        <v>2959</v>
      </c>
      <c r="Q27" s="479" t="s">
        <v>3956</v>
      </c>
      <c r="R27" s="479" t="s">
        <v>1231</v>
      </c>
      <c r="S27" s="479" t="s">
        <v>4626</v>
      </c>
      <c r="U27" s="480">
        <v>26</v>
      </c>
      <c r="V27" s="481" t="s">
        <v>3244</v>
      </c>
      <c r="W27" s="481" t="s">
        <v>3421</v>
      </c>
      <c r="X27" s="481" t="s">
        <v>2348</v>
      </c>
      <c r="Y27" s="482" t="s">
        <v>4570</v>
      </c>
      <c r="Z27" s="482" t="s">
        <v>1595</v>
      </c>
      <c r="AA27" s="482" t="s">
        <v>1915</v>
      </c>
      <c r="AB27" s="482" t="s">
        <v>2220</v>
      </c>
      <c r="AK27" s="483" t="s">
        <v>3698</v>
      </c>
      <c r="AN27" s="483" t="s">
        <v>4678</v>
      </c>
      <c r="AO27" s="486"/>
      <c r="AT27" s="472"/>
      <c r="AV27" s="488" t="s">
        <v>4380</v>
      </c>
      <c r="AW27" s="488" t="s">
        <v>3</v>
      </c>
    </row>
    <row r="28" spans="1:49" ht="15.75">
      <c r="A28" s="473">
        <v>463</v>
      </c>
      <c r="B28" s="474" t="s">
        <v>1360</v>
      </c>
      <c r="E28" s="72">
        <v>27</v>
      </c>
      <c r="F28" s="475">
        <v>463</v>
      </c>
      <c r="H28" s="476">
        <v>27</v>
      </c>
      <c r="I28" s="476">
        <v>240123631</v>
      </c>
      <c r="K28" s="477">
        <v>27</v>
      </c>
      <c r="L28" s="478" t="s">
        <v>999</v>
      </c>
      <c r="N28" s="476">
        <v>27</v>
      </c>
      <c r="O28" s="479" t="s">
        <v>2855</v>
      </c>
      <c r="P28" s="479" t="s">
        <v>4169</v>
      </c>
      <c r="Q28" s="479" t="s">
        <v>3982</v>
      </c>
      <c r="R28" s="479" t="s">
        <v>1148</v>
      </c>
      <c r="S28" s="479" t="s">
        <v>1209</v>
      </c>
      <c r="U28" s="480">
        <v>27</v>
      </c>
      <c r="V28" s="481" t="s">
        <v>3249</v>
      </c>
      <c r="W28" s="481" t="s">
        <v>3426</v>
      </c>
      <c r="X28" s="481" t="s">
        <v>2352</v>
      </c>
      <c r="Y28" s="482" t="s">
        <v>2468</v>
      </c>
      <c r="Z28" s="482" t="s">
        <v>1220</v>
      </c>
      <c r="AA28" s="482" t="s">
        <v>3941</v>
      </c>
      <c r="AB28" s="482" t="s">
        <v>2237</v>
      </c>
      <c r="AK28" s="483" t="s">
        <v>3703</v>
      </c>
      <c r="AN28" s="483" t="s">
        <v>4682</v>
      </c>
      <c r="AO28" s="486"/>
      <c r="AT28" s="472"/>
      <c r="AV28" s="488" t="s">
        <v>4382</v>
      </c>
      <c r="AW28" s="488" t="s">
        <v>3</v>
      </c>
    </row>
    <row r="29" spans="1:49" ht="15.75">
      <c r="A29" s="473">
        <v>464</v>
      </c>
      <c r="B29" s="490" t="s">
        <v>3048</v>
      </c>
      <c r="D29" s="374"/>
      <c r="E29" s="72">
        <v>28</v>
      </c>
      <c r="F29" s="475">
        <v>464</v>
      </c>
      <c r="H29" s="476">
        <v>28</v>
      </c>
      <c r="I29" s="476">
        <v>270123637</v>
      </c>
      <c r="K29" s="477">
        <v>28</v>
      </c>
      <c r="L29" s="478" t="s">
        <v>1912</v>
      </c>
      <c r="N29" s="476">
        <v>28</v>
      </c>
      <c r="O29" s="479" t="s">
        <v>2860</v>
      </c>
      <c r="P29" s="479" t="s">
        <v>4694</v>
      </c>
      <c r="Q29" s="479" t="s">
        <v>4208</v>
      </c>
      <c r="R29" s="479" t="s">
        <v>451</v>
      </c>
      <c r="S29" s="479" t="s">
        <v>623</v>
      </c>
      <c r="U29" s="480">
        <v>28</v>
      </c>
      <c r="V29" s="481" t="s">
        <v>3253</v>
      </c>
      <c r="W29" s="481" t="s">
        <v>3431</v>
      </c>
      <c r="X29" s="481" t="s">
        <v>2356</v>
      </c>
      <c r="Y29" s="482" t="s">
        <v>2473</v>
      </c>
      <c r="Z29" s="482" t="s">
        <v>2603</v>
      </c>
      <c r="AA29" s="482" t="s">
        <v>712</v>
      </c>
      <c r="AB29" s="482" t="s">
        <v>856</v>
      </c>
      <c r="AK29" s="483" t="s">
        <v>3707</v>
      </c>
      <c r="AN29" s="483" t="s">
        <v>4686</v>
      </c>
      <c r="AO29" s="486"/>
      <c r="AT29" s="472"/>
    </row>
    <row r="30" spans="1:49" ht="15.75">
      <c r="A30" s="473">
        <v>465</v>
      </c>
      <c r="B30" s="490" t="s">
        <v>3053</v>
      </c>
      <c r="D30" s="374"/>
      <c r="E30" s="72">
        <v>29</v>
      </c>
      <c r="F30" s="475">
        <v>465</v>
      </c>
      <c r="H30" s="476">
        <v>29</v>
      </c>
      <c r="I30" s="476">
        <v>270123638</v>
      </c>
      <c r="K30" s="477">
        <v>29</v>
      </c>
      <c r="L30" s="478" t="s">
        <v>1768</v>
      </c>
      <c r="N30" s="476">
        <v>29</v>
      </c>
      <c r="O30" s="479" t="s">
        <v>2865</v>
      </c>
      <c r="P30" s="479" t="s">
        <v>4174</v>
      </c>
      <c r="Q30" s="479" t="s">
        <v>4012</v>
      </c>
      <c r="R30" s="479" t="s">
        <v>1106</v>
      </c>
      <c r="S30" s="479" t="s">
        <v>483</v>
      </c>
      <c r="U30" s="480">
        <v>29</v>
      </c>
      <c r="V30" s="481" t="s">
        <v>3258</v>
      </c>
      <c r="W30" s="481" t="s">
        <v>3436</v>
      </c>
      <c r="X30" s="481" t="s">
        <v>2360</v>
      </c>
      <c r="Y30" s="482" t="s">
        <v>2477</v>
      </c>
      <c r="Z30" s="482" t="s">
        <v>687</v>
      </c>
      <c r="AA30" s="482" t="s">
        <v>764</v>
      </c>
      <c r="AB30" s="482" t="s">
        <v>1882</v>
      </c>
      <c r="AK30" s="155">
        <v>28</v>
      </c>
      <c r="AN30" s="483" t="s">
        <v>3774</v>
      </c>
      <c r="AO30" s="486"/>
      <c r="AT30" s="472"/>
    </row>
    <row r="31" spans="1:49" ht="15.75">
      <c r="A31" s="473">
        <v>466</v>
      </c>
      <c r="B31" s="490" t="s">
        <v>3059</v>
      </c>
      <c r="D31" s="374"/>
      <c r="E31" s="72">
        <v>30</v>
      </c>
      <c r="F31" s="475">
        <v>466</v>
      </c>
      <c r="H31" s="476">
        <v>30</v>
      </c>
      <c r="I31" s="476">
        <v>270123639</v>
      </c>
      <c r="K31" s="477">
        <v>30</v>
      </c>
      <c r="L31" s="478" t="s">
        <v>1011</v>
      </c>
      <c r="N31" s="476">
        <v>30</v>
      </c>
      <c r="O31" s="479" t="s">
        <v>2870</v>
      </c>
      <c r="P31" s="479" t="s">
        <v>4697</v>
      </c>
      <c r="Q31" s="479" t="s">
        <v>3961</v>
      </c>
      <c r="R31" s="479" t="s">
        <v>2012</v>
      </c>
      <c r="S31" s="479"/>
      <c r="U31" s="480">
        <v>30</v>
      </c>
      <c r="V31" s="481" t="s">
        <v>3263</v>
      </c>
      <c r="W31" s="481" t="s">
        <v>3440</v>
      </c>
      <c r="X31" s="481" t="s">
        <v>2364</v>
      </c>
      <c r="Y31" s="482" t="s">
        <v>2481</v>
      </c>
      <c r="Z31" s="482" t="s">
        <v>661</v>
      </c>
      <c r="AA31" s="482" t="s">
        <v>671</v>
      </c>
      <c r="AB31" s="482" t="s">
        <v>2290</v>
      </c>
      <c r="AN31" s="483" t="s">
        <v>3780</v>
      </c>
      <c r="AO31" s="486"/>
      <c r="AT31" s="472"/>
    </row>
    <row r="32" spans="1:49" ht="15.75">
      <c r="A32" s="473">
        <v>467</v>
      </c>
      <c r="B32" s="490" t="s">
        <v>4634</v>
      </c>
      <c r="D32" s="374"/>
      <c r="E32" s="72">
        <v>31</v>
      </c>
      <c r="F32" s="475">
        <v>467</v>
      </c>
      <c r="H32" s="476">
        <v>31</v>
      </c>
      <c r="I32" s="476">
        <v>270123640</v>
      </c>
      <c r="K32" s="477">
        <v>31</v>
      </c>
      <c r="L32" s="478" t="s">
        <v>2844</v>
      </c>
      <c r="N32" s="476">
        <v>31</v>
      </c>
      <c r="O32" s="479" t="s">
        <v>2875</v>
      </c>
      <c r="P32" s="479" t="s">
        <v>2934</v>
      </c>
      <c r="Q32" s="479" t="s">
        <v>1956</v>
      </c>
      <c r="R32" s="479" t="s">
        <v>1154</v>
      </c>
      <c r="S32" s="479"/>
      <c r="U32" s="480">
        <v>31</v>
      </c>
      <c r="V32" s="481" t="s">
        <v>3269</v>
      </c>
      <c r="W32" s="481" t="s">
        <v>3445</v>
      </c>
      <c r="X32" s="481" t="s">
        <v>2369</v>
      </c>
      <c r="Y32" s="482" t="s">
        <v>2485</v>
      </c>
      <c r="Z32" s="482" t="s">
        <v>2095</v>
      </c>
      <c r="AA32" s="482" t="s">
        <v>800</v>
      </c>
      <c r="AB32" s="482" t="s">
        <v>861</v>
      </c>
      <c r="AN32" s="483" t="s">
        <v>3784</v>
      </c>
      <c r="AO32" s="486"/>
      <c r="AT32" s="472"/>
    </row>
    <row r="33" spans="1:46" ht="15.75">
      <c r="A33" s="473">
        <v>468</v>
      </c>
      <c r="B33" s="490" t="s">
        <v>3065</v>
      </c>
      <c r="D33" s="374"/>
      <c r="E33" s="72">
        <v>32</v>
      </c>
      <c r="F33" s="475">
        <v>468</v>
      </c>
      <c r="H33" s="476">
        <v>32</v>
      </c>
      <c r="I33" s="476">
        <v>300123655</v>
      </c>
      <c r="K33" s="477">
        <v>32</v>
      </c>
      <c r="L33" s="478" t="s">
        <v>3093</v>
      </c>
      <c r="N33" s="476">
        <v>32</v>
      </c>
      <c r="O33" s="479" t="s">
        <v>4088</v>
      </c>
      <c r="P33" s="479" t="s">
        <v>2964</v>
      </c>
      <c r="Q33" s="479" t="s">
        <v>4179</v>
      </c>
      <c r="R33" s="479" t="s">
        <v>1160</v>
      </c>
      <c r="S33" s="479"/>
      <c r="U33" s="480">
        <v>32</v>
      </c>
      <c r="V33" s="481" t="s">
        <v>3273</v>
      </c>
      <c r="W33" s="481" t="s">
        <v>2046</v>
      </c>
      <c r="X33" s="481" t="s">
        <v>2373</v>
      </c>
      <c r="Y33" s="482" t="s">
        <v>2489</v>
      </c>
      <c r="Z33" s="482" t="s">
        <v>607</v>
      </c>
      <c r="AA33" s="482" t="s">
        <v>4489</v>
      </c>
      <c r="AB33" s="482" t="s">
        <v>633</v>
      </c>
      <c r="AN33" s="483" t="s">
        <v>3789</v>
      </c>
      <c r="AO33" s="486"/>
      <c r="AT33" s="472"/>
    </row>
    <row r="34" spans="1:46">
      <c r="A34" s="473">
        <v>469</v>
      </c>
      <c r="B34" s="490" t="s">
        <v>3071</v>
      </c>
      <c r="D34" s="374"/>
      <c r="E34" s="72">
        <v>33</v>
      </c>
      <c r="F34" s="475">
        <v>469</v>
      </c>
      <c r="H34" s="476">
        <v>33</v>
      </c>
      <c r="I34" s="476">
        <v>300123656</v>
      </c>
      <c r="K34" s="477">
        <v>33</v>
      </c>
      <c r="L34" s="478" t="s">
        <v>1774</v>
      </c>
      <c r="N34" s="476">
        <v>33</v>
      </c>
      <c r="O34" s="479" t="s">
        <v>4091</v>
      </c>
      <c r="P34" s="479" t="s">
        <v>2978</v>
      </c>
      <c r="Q34" s="479" t="s">
        <v>4187</v>
      </c>
      <c r="R34" s="479" t="s">
        <v>1165</v>
      </c>
      <c r="S34" s="479"/>
      <c r="U34" s="480">
        <v>33</v>
      </c>
      <c r="V34" s="481" t="s">
        <v>3277</v>
      </c>
      <c r="W34" s="481" t="s">
        <v>3450</v>
      </c>
      <c r="X34" s="481" t="s">
        <v>2377</v>
      </c>
      <c r="Y34" s="482" t="s">
        <v>2493</v>
      </c>
      <c r="Z34" s="482" t="s">
        <v>4555</v>
      </c>
      <c r="AA34" s="482" t="s">
        <v>4496</v>
      </c>
      <c r="AB34" s="482" t="s">
        <v>4064</v>
      </c>
      <c r="AN34" s="155">
        <v>32</v>
      </c>
      <c r="AT34" s="472"/>
    </row>
    <row r="35" spans="1:46">
      <c r="A35" s="473">
        <v>471</v>
      </c>
      <c r="B35" s="474" t="s">
        <v>1366</v>
      </c>
      <c r="E35" s="72">
        <v>34</v>
      </c>
      <c r="F35" s="475">
        <v>471</v>
      </c>
      <c r="H35" s="476">
        <v>34</v>
      </c>
      <c r="I35" s="476">
        <v>300123657</v>
      </c>
      <c r="K35" s="477">
        <v>34</v>
      </c>
      <c r="L35" s="478" t="s">
        <v>4244</v>
      </c>
      <c r="N35" s="476">
        <v>34</v>
      </c>
      <c r="O35" s="479" t="s">
        <v>4094</v>
      </c>
      <c r="P35" s="479" t="s">
        <v>2969</v>
      </c>
      <c r="Q35" s="479" t="s">
        <v>430</v>
      </c>
      <c r="R35" s="479" t="s">
        <v>2016</v>
      </c>
      <c r="S35" s="479"/>
      <c r="U35" s="480">
        <v>34</v>
      </c>
      <c r="V35" s="481" t="s">
        <v>3281</v>
      </c>
      <c r="W35" s="481" t="s">
        <v>3455</v>
      </c>
      <c r="X35" s="481" t="s">
        <v>2381</v>
      </c>
      <c r="Y35" s="482" t="s">
        <v>2497</v>
      </c>
      <c r="Z35" s="482" t="s">
        <v>2100</v>
      </c>
      <c r="AA35" s="482" t="s">
        <v>1920</v>
      </c>
      <c r="AB35" s="482" t="s">
        <v>555</v>
      </c>
      <c r="AT35" s="472"/>
    </row>
    <row r="36" spans="1:46">
      <c r="A36" s="473">
        <v>472</v>
      </c>
      <c r="B36" s="490" t="s">
        <v>3076</v>
      </c>
      <c r="D36" s="374"/>
      <c r="E36" s="72">
        <v>35</v>
      </c>
      <c r="F36" s="475">
        <v>472</v>
      </c>
      <c r="H36" s="476">
        <v>35</v>
      </c>
      <c r="I36" s="476">
        <v>310123661</v>
      </c>
      <c r="K36" s="477">
        <v>35</v>
      </c>
      <c r="L36" s="478" t="s">
        <v>4456</v>
      </c>
      <c r="N36" s="476">
        <v>35</v>
      </c>
      <c r="O36" s="479" t="s">
        <v>2880</v>
      </c>
      <c r="P36" s="479" t="s">
        <v>2973</v>
      </c>
      <c r="Q36" s="479" t="s">
        <v>1086</v>
      </c>
      <c r="R36" s="479" t="s">
        <v>1170</v>
      </c>
      <c r="S36" s="479"/>
      <c r="U36" s="480">
        <v>35</v>
      </c>
      <c r="V36" s="481" t="s">
        <v>3286</v>
      </c>
      <c r="W36" s="481" t="s">
        <v>3459</v>
      </c>
      <c r="X36" s="481" t="s">
        <v>2385</v>
      </c>
      <c r="Y36" s="482" t="s">
        <v>2501</v>
      </c>
      <c r="Z36" s="482" t="s">
        <v>759</v>
      </c>
      <c r="AA36" s="482" t="s">
        <v>2166</v>
      </c>
      <c r="AB36" s="482" t="s">
        <v>638</v>
      </c>
      <c r="AT36" s="472"/>
    </row>
    <row r="37" spans="1:46">
      <c r="A37" s="473">
        <v>473</v>
      </c>
      <c r="B37" s="490" t="s">
        <v>3082</v>
      </c>
      <c r="D37" s="374"/>
      <c r="E37" s="72">
        <v>36</v>
      </c>
      <c r="F37" s="475">
        <v>473</v>
      </c>
      <c r="H37" s="476">
        <v>36</v>
      </c>
      <c r="I37" s="476">
        <v>10223670</v>
      </c>
      <c r="K37" s="477">
        <v>36</v>
      </c>
      <c r="L37" s="478" t="s">
        <v>1781</v>
      </c>
      <c r="N37" s="476">
        <v>36</v>
      </c>
      <c r="O37" s="479" t="s">
        <v>4097</v>
      </c>
      <c r="P37" s="479" t="s">
        <v>2983</v>
      </c>
      <c r="Q37" s="479" t="s">
        <v>1961</v>
      </c>
      <c r="R37" s="479" t="s">
        <v>4253</v>
      </c>
      <c r="S37" s="479"/>
      <c r="U37" s="480">
        <v>36</v>
      </c>
      <c r="V37" s="481" t="s">
        <v>3292</v>
      </c>
      <c r="W37" s="481" t="s">
        <v>3464</v>
      </c>
      <c r="X37" s="481" t="s">
        <v>2389</v>
      </c>
      <c r="Y37" s="482" t="s">
        <v>2505</v>
      </c>
      <c r="Z37" s="482" t="s">
        <v>707</v>
      </c>
      <c r="AA37" s="482" t="s">
        <v>2173</v>
      </c>
      <c r="AB37" s="482" t="s">
        <v>4479</v>
      </c>
      <c r="AT37" s="472"/>
    </row>
    <row r="38" spans="1:46">
      <c r="A38" s="498">
        <v>474</v>
      </c>
      <c r="B38" s="494" t="s">
        <v>3082</v>
      </c>
      <c r="E38" s="72">
        <v>37</v>
      </c>
      <c r="F38" s="475">
        <v>474</v>
      </c>
      <c r="H38" s="476">
        <v>37</v>
      </c>
      <c r="I38" s="476">
        <v>10223671</v>
      </c>
      <c r="K38" s="477">
        <v>37</v>
      </c>
      <c r="L38" s="499" t="s">
        <v>4727</v>
      </c>
      <c r="N38" s="476">
        <v>37</v>
      </c>
      <c r="O38" s="479" t="s">
        <v>4100</v>
      </c>
      <c r="P38" s="479" t="s">
        <v>1826</v>
      </c>
      <c r="Q38" s="479" t="s">
        <v>445</v>
      </c>
      <c r="R38" s="479" t="s">
        <v>3098</v>
      </c>
      <c r="S38" s="479"/>
      <c r="U38" s="480">
        <v>37</v>
      </c>
      <c r="V38" s="481" t="s">
        <v>3296</v>
      </c>
      <c r="W38" s="481" t="s">
        <v>3469</v>
      </c>
      <c r="X38" s="481" t="s">
        <v>2393</v>
      </c>
      <c r="Y38" s="482" t="s">
        <v>4573</v>
      </c>
      <c r="Z38" s="482" t="s">
        <v>702</v>
      </c>
      <c r="AA38" s="482" t="s">
        <v>2180</v>
      </c>
      <c r="AB38" s="482" t="s">
        <v>643</v>
      </c>
      <c r="AT38" s="472"/>
    </row>
    <row r="39" spans="1:46">
      <c r="A39" s="500">
        <v>475</v>
      </c>
      <c r="B39" s="474" t="s">
        <v>883</v>
      </c>
      <c r="E39" s="72">
        <v>38</v>
      </c>
      <c r="F39" s="475">
        <v>475</v>
      </c>
      <c r="H39" s="476">
        <v>38</v>
      </c>
      <c r="I39" s="476">
        <v>20223681</v>
      </c>
      <c r="K39" s="477">
        <v>38</v>
      </c>
      <c r="L39" s="478" t="s">
        <v>815</v>
      </c>
      <c r="N39" s="476">
        <v>38</v>
      </c>
      <c r="O39" s="479" t="s">
        <v>4103</v>
      </c>
      <c r="P39" s="479" t="s">
        <v>2989</v>
      </c>
      <c r="Q39" s="479" t="s">
        <v>4067</v>
      </c>
      <c r="R39" s="479" t="s">
        <v>3102</v>
      </c>
      <c r="S39" s="479"/>
      <c r="U39" s="480">
        <v>38</v>
      </c>
      <c r="V39" s="481" t="s">
        <v>3301</v>
      </c>
      <c r="W39" s="481" t="s">
        <v>3474</v>
      </c>
      <c r="X39" s="481" t="s">
        <v>2397</v>
      </c>
      <c r="Y39" s="482" t="s">
        <v>2509</v>
      </c>
      <c r="Z39" s="482" t="s">
        <v>697</v>
      </c>
      <c r="AA39" s="482" t="s">
        <v>732</v>
      </c>
      <c r="AB39" s="482" t="s">
        <v>582</v>
      </c>
      <c r="AT39" s="472"/>
    </row>
    <row r="40" spans="1:46">
      <c r="A40" s="55">
        <v>20123488</v>
      </c>
      <c r="B40" s="55" t="s">
        <v>4418</v>
      </c>
      <c r="C40" s="383"/>
      <c r="E40" s="501" t="s">
        <v>5630</v>
      </c>
      <c r="F40" s="502">
        <v>38</v>
      </c>
      <c r="H40" s="476">
        <v>39</v>
      </c>
      <c r="I40" s="476">
        <v>70223729</v>
      </c>
      <c r="K40" s="477">
        <v>39</v>
      </c>
      <c r="L40" s="478" t="s">
        <v>363</v>
      </c>
      <c r="N40" s="476">
        <v>39</v>
      </c>
      <c r="O40" s="479" t="s">
        <v>4106</v>
      </c>
      <c r="P40" s="479" t="s">
        <v>407</v>
      </c>
      <c r="Q40" s="479" t="s">
        <v>1092</v>
      </c>
      <c r="R40" s="479" t="s">
        <v>3108</v>
      </c>
      <c r="S40" s="479"/>
      <c r="U40" s="480">
        <v>39</v>
      </c>
      <c r="V40" s="481" t="s">
        <v>3306</v>
      </c>
      <c r="W40" s="481" t="s">
        <v>3479</v>
      </c>
      <c r="X40" s="482" t="s">
        <v>2279</v>
      </c>
      <c r="Y40" s="482" t="s">
        <v>2513</v>
      </c>
      <c r="Z40" s="482" t="s">
        <v>727</v>
      </c>
      <c r="AA40" s="482" t="s">
        <v>649</v>
      </c>
      <c r="AB40" s="482" t="s">
        <v>560</v>
      </c>
      <c r="AT40" s="472"/>
    </row>
    <row r="41" spans="1:46">
      <c r="A41" s="55">
        <v>20123489</v>
      </c>
      <c r="B41" s="55" t="s">
        <v>4423</v>
      </c>
      <c r="C41" s="383"/>
      <c r="H41" s="476">
        <v>40</v>
      </c>
      <c r="I41" s="476">
        <v>70223736</v>
      </c>
      <c r="K41" s="477">
        <v>40</v>
      </c>
      <c r="L41" s="478" t="s">
        <v>4452</v>
      </c>
      <c r="N41" s="476">
        <v>40</v>
      </c>
      <c r="O41" s="479" t="s">
        <v>4109</v>
      </c>
      <c r="P41" s="479" t="s">
        <v>354</v>
      </c>
      <c r="Q41" s="479" t="s">
        <v>1097</v>
      </c>
      <c r="R41" s="479" t="s">
        <v>3112</v>
      </c>
      <c r="S41" s="479"/>
      <c r="U41" s="480">
        <v>40</v>
      </c>
      <c r="V41" s="481" t="s">
        <v>3311</v>
      </c>
      <c r="W41" s="481" t="s">
        <v>3484</v>
      </c>
      <c r="X41" s="482" t="s">
        <v>2258</v>
      </c>
      <c r="Y41" s="482" t="s">
        <v>2517</v>
      </c>
      <c r="Z41" s="482" t="s">
        <v>655</v>
      </c>
      <c r="AA41" s="482" t="s">
        <v>4485</v>
      </c>
      <c r="AB41" s="482" t="s">
        <v>2051</v>
      </c>
      <c r="AT41" s="472"/>
    </row>
    <row r="42" spans="1:46">
      <c r="A42" s="55">
        <v>20123490</v>
      </c>
      <c r="B42" s="55" t="s">
        <v>900</v>
      </c>
      <c r="C42" s="383"/>
      <c r="H42" s="476">
        <v>41</v>
      </c>
      <c r="I42" s="476">
        <v>80223753</v>
      </c>
      <c r="K42" s="477">
        <v>41</v>
      </c>
      <c r="L42" s="478" t="s">
        <v>344</v>
      </c>
      <c r="N42" s="476">
        <v>41</v>
      </c>
      <c r="O42" s="479" t="s">
        <v>2885</v>
      </c>
      <c r="P42" s="479" t="s">
        <v>2998</v>
      </c>
      <c r="Q42" s="479" t="s">
        <v>1803</v>
      </c>
      <c r="R42" s="479" t="s">
        <v>3117</v>
      </c>
      <c r="S42" s="479"/>
      <c r="U42" s="480">
        <v>41</v>
      </c>
      <c r="V42" s="481" t="s">
        <v>3316</v>
      </c>
      <c r="W42" s="481" t="s">
        <v>3489</v>
      </c>
      <c r="X42" s="482" t="s">
        <v>3850</v>
      </c>
      <c r="Y42" s="482" t="s">
        <v>3870</v>
      </c>
      <c r="Z42" s="482" t="s">
        <v>2105</v>
      </c>
      <c r="AA42" s="482" t="s">
        <v>748</v>
      </c>
      <c r="AB42" s="503"/>
      <c r="AT42" s="472"/>
    </row>
    <row r="43" spans="1:46">
      <c r="A43" s="55">
        <v>20123491</v>
      </c>
      <c r="B43" s="55" t="s">
        <v>1732</v>
      </c>
      <c r="C43" s="383"/>
      <c r="H43" s="476">
        <v>42</v>
      </c>
      <c r="I43" s="476">
        <v>90223756</v>
      </c>
      <c r="K43" s="477">
        <v>42</v>
      </c>
      <c r="L43" s="478" t="s">
        <v>355</v>
      </c>
      <c r="N43" s="476">
        <v>42</v>
      </c>
      <c r="O43" s="479" t="s">
        <v>2890</v>
      </c>
      <c r="P43" s="479" t="s">
        <v>3003</v>
      </c>
      <c r="Q43" s="479" t="s">
        <v>1966</v>
      </c>
      <c r="R43" s="479" t="s">
        <v>3122</v>
      </c>
      <c r="S43" s="479"/>
      <c r="U43" s="480">
        <v>42</v>
      </c>
      <c r="V43" s="481" t="s">
        <v>4703</v>
      </c>
      <c r="W43" s="481" t="s">
        <v>846</v>
      </c>
      <c r="X43" s="482" t="s">
        <v>3854</v>
      </c>
      <c r="Y43" s="482" t="s">
        <v>4520</v>
      </c>
      <c r="Z43" s="482" t="s">
        <v>1867</v>
      </c>
      <c r="AA43" s="482" t="s">
        <v>2186</v>
      </c>
      <c r="AB43" s="503"/>
      <c r="AT43" s="472"/>
    </row>
    <row r="44" spans="1:46" ht="15.75">
      <c r="A44" s="55">
        <v>40123494</v>
      </c>
      <c r="B44" s="504" t="s">
        <v>2793</v>
      </c>
      <c r="H44" s="476">
        <v>43</v>
      </c>
      <c r="I44" s="476">
        <v>90223758</v>
      </c>
      <c r="K44" s="477">
        <v>43</v>
      </c>
      <c r="L44" s="478" t="s">
        <v>2673</v>
      </c>
      <c r="N44" s="476">
        <v>43</v>
      </c>
      <c r="O44" s="479" t="s">
        <v>2900</v>
      </c>
      <c r="P44" s="479" t="s">
        <v>1055</v>
      </c>
      <c r="Q44" s="479" t="s">
        <v>1971</v>
      </c>
      <c r="R44" s="479" t="s">
        <v>3127</v>
      </c>
      <c r="S44" s="479"/>
      <c r="U44" s="480">
        <v>43</v>
      </c>
      <c r="V44" s="481" t="s">
        <v>3823</v>
      </c>
      <c r="W44" s="481" t="s">
        <v>1808</v>
      </c>
      <c r="X44" s="482" t="s">
        <v>3858</v>
      </c>
      <c r="Y44" s="482" t="s">
        <v>2073</v>
      </c>
      <c r="Z44" s="482" t="s">
        <v>2209</v>
      </c>
      <c r="AA44" s="482" t="s">
        <v>692</v>
      </c>
      <c r="AB44" s="503"/>
      <c r="AT44" s="472"/>
    </row>
    <row r="45" spans="1:46" ht="15.75">
      <c r="A45" s="55">
        <v>50123496</v>
      </c>
      <c r="B45" s="504" t="s">
        <v>2797</v>
      </c>
      <c r="H45" s="476">
        <v>44</v>
      </c>
      <c r="I45" s="476">
        <v>90223759</v>
      </c>
      <c r="K45" s="477">
        <v>44</v>
      </c>
      <c r="L45" s="478" t="s">
        <v>1543</v>
      </c>
      <c r="N45" s="476">
        <v>44</v>
      </c>
      <c r="O45" s="479" t="s">
        <v>2895</v>
      </c>
      <c r="P45" s="479" t="s">
        <v>1651</v>
      </c>
      <c r="Q45" s="479" t="s">
        <v>1976</v>
      </c>
      <c r="R45" s="479" t="s">
        <v>2021</v>
      </c>
      <c r="S45" s="479"/>
      <c r="U45" s="480">
        <v>44</v>
      </c>
      <c r="V45" s="481" t="s">
        <v>4312</v>
      </c>
      <c r="W45" s="481" t="s">
        <v>3493</v>
      </c>
      <c r="X45" s="482" t="s">
        <v>2402</v>
      </c>
      <c r="Y45" s="482" t="s">
        <v>2521</v>
      </c>
      <c r="Z45" s="482" t="s">
        <v>4560</v>
      </c>
      <c r="AA45" s="482" t="s">
        <v>779</v>
      </c>
      <c r="AB45" s="503"/>
      <c r="AT45" s="472"/>
    </row>
    <row r="46" spans="1:46" ht="15.75">
      <c r="A46" s="55">
        <v>60123507</v>
      </c>
      <c r="B46" s="504" t="s">
        <v>2802</v>
      </c>
      <c r="H46" s="476">
        <v>45</v>
      </c>
      <c r="I46" s="476">
        <v>100223765</v>
      </c>
      <c r="K46" s="477">
        <v>45</v>
      </c>
      <c r="L46" s="478" t="s">
        <v>1788</v>
      </c>
      <c r="N46" s="476">
        <v>45</v>
      </c>
      <c r="O46" s="479" t="s">
        <v>4112</v>
      </c>
      <c r="P46" s="479" t="s">
        <v>413</v>
      </c>
      <c r="Q46" s="479" t="s">
        <v>436</v>
      </c>
      <c r="R46" s="479" t="s">
        <v>1236</v>
      </c>
      <c r="S46" s="479"/>
      <c r="U46" s="480">
        <v>45</v>
      </c>
      <c r="V46" s="481" t="s">
        <v>4706</v>
      </c>
      <c r="W46" s="481" t="s">
        <v>1906</v>
      </c>
      <c r="X46" s="482" t="s">
        <v>2406</v>
      </c>
      <c r="Y46" s="482" t="s">
        <v>2525</v>
      </c>
      <c r="Z46" s="482" t="s">
        <v>2110</v>
      </c>
      <c r="AA46" s="482" t="s">
        <v>676</v>
      </c>
      <c r="AB46" s="503"/>
      <c r="AT46" s="472"/>
    </row>
    <row r="47" spans="1:46">
      <c r="A47" s="55" t="s">
        <v>5618</v>
      </c>
      <c r="B47" s="55" t="s">
        <v>317</v>
      </c>
      <c r="C47" s="383"/>
      <c r="H47" s="476">
        <v>46</v>
      </c>
      <c r="I47" s="476">
        <v>100223769</v>
      </c>
      <c r="K47" s="477">
        <v>46</v>
      </c>
      <c r="L47" s="478" t="s">
        <v>1019</v>
      </c>
      <c r="N47" s="476">
        <v>46</v>
      </c>
      <c r="O47" s="479" t="s">
        <v>4115</v>
      </c>
      <c r="P47" s="479" t="s">
        <v>1062</v>
      </c>
      <c r="Q47" s="479" t="s">
        <v>1654</v>
      </c>
      <c r="R47" s="479" t="s">
        <v>1175</v>
      </c>
      <c r="S47" s="479"/>
      <c r="U47" s="480">
        <v>46</v>
      </c>
      <c r="V47" s="481" t="s">
        <v>4315</v>
      </c>
      <c r="W47" s="481" t="s">
        <v>3498</v>
      </c>
      <c r="X47" s="482" t="s">
        <v>2411</v>
      </c>
      <c r="Y47" s="482" t="s">
        <v>2529</v>
      </c>
      <c r="Z47" s="482" t="s">
        <v>4565</v>
      </c>
      <c r="AA47" s="482" t="s">
        <v>666</v>
      </c>
      <c r="AB47" s="503"/>
      <c r="AT47" s="472"/>
    </row>
    <row r="48" spans="1:46">
      <c r="A48" s="55" t="s">
        <v>5619</v>
      </c>
      <c r="B48" s="505" t="s">
        <v>4443</v>
      </c>
      <c r="C48" s="383"/>
      <c r="H48" s="506" t="s">
        <v>5630</v>
      </c>
      <c r="I48" s="507">
        <v>46</v>
      </c>
      <c r="K48" s="477">
        <v>47</v>
      </c>
      <c r="L48" s="478" t="s">
        <v>1025</v>
      </c>
      <c r="N48" s="476">
        <v>47</v>
      </c>
      <c r="O48" s="479" t="s">
        <v>2905</v>
      </c>
      <c r="P48" s="479" t="s">
        <v>1069</v>
      </c>
      <c r="Q48" s="479" t="s">
        <v>4020</v>
      </c>
      <c r="R48" s="479" t="s">
        <v>4622</v>
      </c>
      <c r="S48" s="479"/>
      <c r="U48" s="480">
        <v>47</v>
      </c>
      <c r="V48" s="481" t="s">
        <v>4709</v>
      </c>
      <c r="W48" s="481" t="s">
        <v>3503</v>
      </c>
      <c r="X48" s="482" t="s">
        <v>2416</v>
      </c>
      <c r="Y48" s="482" t="s">
        <v>3876</v>
      </c>
      <c r="Z48" s="482" t="s">
        <v>682</v>
      </c>
      <c r="AA48" s="482" t="s">
        <v>518</v>
      </c>
      <c r="AB48" s="503"/>
      <c r="AT48" s="472"/>
    </row>
    <row r="49" spans="1:46" ht="15.75">
      <c r="A49" s="55">
        <v>90123513</v>
      </c>
      <c r="B49" s="504" t="s">
        <v>3088</v>
      </c>
      <c r="K49" s="477">
        <v>48</v>
      </c>
      <c r="L49" s="478" t="s">
        <v>1031</v>
      </c>
      <c r="N49" s="476">
        <v>48</v>
      </c>
      <c r="O49" s="479" t="s">
        <v>2910</v>
      </c>
      <c r="P49" s="479" t="s">
        <v>4473</v>
      </c>
      <c r="Q49" s="479" t="s">
        <v>1981</v>
      </c>
      <c r="R49" s="479" t="s">
        <v>1934</v>
      </c>
      <c r="S49" s="479"/>
      <c r="U49" s="480">
        <v>48</v>
      </c>
      <c r="V49" s="481" t="s">
        <v>4318</v>
      </c>
      <c r="W49" s="481" t="s">
        <v>2295</v>
      </c>
      <c r="X49" s="482" t="s">
        <v>2420</v>
      </c>
      <c r="Y49" s="482" t="s">
        <v>3929</v>
      </c>
      <c r="Z49" s="482" t="s">
        <v>4000</v>
      </c>
      <c r="AA49" s="482" t="s">
        <v>774</v>
      </c>
      <c r="AB49" s="503"/>
      <c r="AT49" s="472"/>
    </row>
    <row r="50" spans="1:46">
      <c r="A50" s="55">
        <v>100123531</v>
      </c>
      <c r="B50" s="55" t="s">
        <v>1401</v>
      </c>
      <c r="C50" s="383"/>
      <c r="K50" s="477">
        <v>49</v>
      </c>
      <c r="L50" s="478" t="s">
        <v>4049</v>
      </c>
      <c r="N50" s="476">
        <v>49</v>
      </c>
      <c r="O50" s="479" t="s">
        <v>4118</v>
      </c>
      <c r="P50" s="479" t="s">
        <v>422</v>
      </c>
      <c r="Q50" s="479" t="s">
        <v>1986</v>
      </c>
      <c r="R50" s="479" t="s">
        <v>3132</v>
      </c>
      <c r="S50" s="479"/>
      <c r="U50" s="480">
        <v>49</v>
      </c>
      <c r="V50" s="481" t="s">
        <v>3827</v>
      </c>
      <c r="W50" s="481" t="s">
        <v>3508</v>
      </c>
      <c r="X50" s="482" t="s">
        <v>2424</v>
      </c>
      <c r="Y50" s="482" t="s">
        <v>2079</v>
      </c>
      <c r="Z50" s="482" t="s">
        <v>4008</v>
      </c>
      <c r="AA50" s="482" t="s">
        <v>2607</v>
      </c>
      <c r="AB50" s="503"/>
      <c r="AT50" s="472"/>
    </row>
    <row r="51" spans="1:46">
      <c r="A51" s="55">
        <v>100123539</v>
      </c>
      <c r="B51" s="55" t="s">
        <v>333</v>
      </c>
      <c r="C51" s="383"/>
      <c r="K51" s="477">
        <v>50</v>
      </c>
      <c r="L51" s="478" t="s">
        <v>4072</v>
      </c>
      <c r="N51" s="508">
        <v>50</v>
      </c>
      <c r="O51" s="509" t="s">
        <v>4121</v>
      </c>
      <c r="P51" s="509" t="s">
        <v>4184</v>
      </c>
      <c r="Q51" s="509" t="s">
        <v>1991</v>
      </c>
      <c r="R51" s="509" t="s">
        <v>840</v>
      </c>
      <c r="S51" s="509"/>
      <c r="U51" s="480">
        <v>50</v>
      </c>
      <c r="V51" s="481" t="s">
        <v>3833</v>
      </c>
      <c r="W51" s="481" t="s">
        <v>3513</v>
      </c>
      <c r="X51" s="482" t="s">
        <v>2428</v>
      </c>
      <c r="Y51" s="482" t="s">
        <v>2533</v>
      </c>
      <c r="Z51" s="482" t="s">
        <v>754</v>
      </c>
      <c r="AA51" s="482" t="s">
        <v>2611</v>
      </c>
      <c r="AB51" s="503"/>
      <c r="AT51" s="472"/>
    </row>
    <row r="52" spans="1:46">
      <c r="A52" s="55">
        <v>120123549</v>
      </c>
      <c r="B52" s="55" t="s">
        <v>1531</v>
      </c>
      <c r="C52" s="383"/>
      <c r="K52" s="477">
        <v>51</v>
      </c>
      <c r="L52" s="478" t="s">
        <v>1551</v>
      </c>
      <c r="N52" s="599" t="s">
        <v>5631</v>
      </c>
      <c r="O52" s="599"/>
      <c r="P52" s="599"/>
      <c r="Q52" s="599">
        <v>229</v>
      </c>
      <c r="R52" s="599"/>
      <c r="S52" s="599"/>
      <c r="U52" s="599" t="s">
        <v>5631</v>
      </c>
      <c r="V52" s="599"/>
      <c r="W52" s="599"/>
      <c r="X52" s="599"/>
      <c r="Y52" s="600">
        <v>340</v>
      </c>
      <c r="Z52" s="601"/>
      <c r="AA52" s="601"/>
      <c r="AB52" s="602"/>
      <c r="AT52" s="472"/>
    </row>
    <row r="53" spans="1:46" ht="15.75">
      <c r="A53" s="55">
        <v>120123552</v>
      </c>
      <c r="B53" s="504" t="s">
        <v>2806</v>
      </c>
      <c r="K53" s="477">
        <v>52</v>
      </c>
      <c r="L53" s="511" t="s">
        <v>3987</v>
      </c>
      <c r="AT53" s="472"/>
    </row>
    <row r="54" spans="1:46">
      <c r="A54" s="55">
        <v>160123569</v>
      </c>
      <c r="B54" s="55" t="s">
        <v>322</v>
      </c>
      <c r="C54" s="383"/>
      <c r="K54" s="510" t="s">
        <v>5630</v>
      </c>
      <c r="L54" s="507">
        <v>52</v>
      </c>
      <c r="AT54" s="472"/>
    </row>
    <row r="55" spans="1:46">
      <c r="A55" s="55" t="s">
        <v>5625</v>
      </c>
      <c r="B55" s="505" t="s">
        <v>4523</v>
      </c>
      <c r="C55" s="383"/>
      <c r="K55" s="71"/>
      <c r="AE55" s="512"/>
      <c r="AT55" s="472"/>
    </row>
    <row r="56" spans="1:46">
      <c r="A56" s="55">
        <v>170123573</v>
      </c>
      <c r="B56" s="55" t="s">
        <v>1409</v>
      </c>
      <c r="C56" s="383"/>
      <c r="K56" s="71"/>
      <c r="AE56" s="512"/>
      <c r="AT56" s="472"/>
    </row>
    <row r="57" spans="1:46">
      <c r="A57" s="55">
        <v>180123574</v>
      </c>
      <c r="B57" s="55" t="s">
        <v>1416</v>
      </c>
      <c r="C57" s="383"/>
      <c r="K57" s="71"/>
      <c r="AE57" s="512"/>
      <c r="AT57" s="472"/>
    </row>
    <row r="58" spans="1:46">
      <c r="A58" s="55">
        <v>180123575</v>
      </c>
      <c r="B58" s="55" t="s">
        <v>1423</v>
      </c>
      <c r="C58" s="383"/>
      <c r="K58" s="71"/>
      <c r="AE58" s="512"/>
      <c r="AT58" s="472"/>
    </row>
    <row r="59" spans="1:46">
      <c r="A59" s="55">
        <v>190123591</v>
      </c>
      <c r="B59" s="55" t="s">
        <v>1430</v>
      </c>
      <c r="C59" s="383"/>
      <c r="K59" s="71"/>
      <c r="AE59" s="512"/>
      <c r="AT59" s="472"/>
    </row>
    <row r="60" spans="1:46">
      <c r="A60" s="55">
        <v>200123602</v>
      </c>
      <c r="B60" s="55" t="s">
        <v>908</v>
      </c>
      <c r="C60" s="383"/>
      <c r="K60" s="71"/>
      <c r="AE60" s="512"/>
      <c r="AT60" s="472"/>
    </row>
    <row r="61" spans="1:46">
      <c r="A61" s="55">
        <v>200123603</v>
      </c>
      <c r="B61" s="55" t="s">
        <v>1437</v>
      </c>
      <c r="C61" s="383"/>
      <c r="K61" s="71"/>
      <c r="AE61" s="512"/>
      <c r="AT61" s="472"/>
    </row>
    <row r="62" spans="1:46">
      <c r="A62" s="55">
        <v>230123618</v>
      </c>
      <c r="B62" s="55" t="s">
        <v>914</v>
      </c>
      <c r="C62" s="383"/>
      <c r="K62" s="71"/>
      <c r="AE62" s="512"/>
      <c r="AT62" s="472"/>
    </row>
    <row r="63" spans="1:46">
      <c r="A63" s="55">
        <v>230123619</v>
      </c>
      <c r="B63" s="55" t="s">
        <v>3934</v>
      </c>
      <c r="C63" s="383"/>
      <c r="K63" s="71"/>
      <c r="AE63" s="512"/>
      <c r="AT63" s="472"/>
    </row>
    <row r="64" spans="1:46">
      <c r="A64" s="55">
        <v>240123627</v>
      </c>
      <c r="B64" s="55" t="s">
        <v>1738</v>
      </c>
      <c r="C64" s="383"/>
      <c r="K64" s="71"/>
      <c r="AE64" s="512"/>
      <c r="AT64" s="472"/>
    </row>
    <row r="65" spans="1:46">
      <c r="A65" s="55">
        <v>240123630</v>
      </c>
      <c r="B65" s="55" t="s">
        <v>1444</v>
      </c>
      <c r="C65" s="383"/>
      <c r="K65" s="71"/>
      <c r="AE65" s="512"/>
      <c r="AT65" s="472"/>
    </row>
    <row r="66" spans="1:46">
      <c r="A66" s="55">
        <v>240123631</v>
      </c>
      <c r="B66" s="55" t="s">
        <v>1450</v>
      </c>
      <c r="C66" s="383"/>
      <c r="K66" s="71"/>
      <c r="AE66" s="512"/>
      <c r="AT66" s="472"/>
    </row>
    <row r="67" spans="1:46">
      <c r="A67" s="55">
        <v>270123637</v>
      </c>
      <c r="B67" s="55" t="s">
        <v>1457</v>
      </c>
      <c r="C67" s="383"/>
      <c r="K67" s="71"/>
      <c r="AE67" s="512"/>
      <c r="AT67" s="472"/>
    </row>
    <row r="68" spans="1:46">
      <c r="A68" s="55">
        <v>270123638</v>
      </c>
      <c r="B68" s="55" t="s">
        <v>1463</v>
      </c>
      <c r="C68" s="383"/>
      <c r="K68" s="71"/>
      <c r="AE68" s="512"/>
      <c r="AT68" s="472"/>
    </row>
    <row r="69" spans="1:46">
      <c r="A69" s="55">
        <v>270123639</v>
      </c>
      <c r="B69" s="55" t="s">
        <v>921</v>
      </c>
      <c r="C69" s="383"/>
      <c r="K69" s="71"/>
      <c r="AE69" s="512"/>
      <c r="AT69" s="472"/>
    </row>
    <row r="70" spans="1:46">
      <c r="A70" s="55">
        <v>270123640</v>
      </c>
      <c r="B70" s="55" t="s">
        <v>1469</v>
      </c>
      <c r="C70" s="383"/>
      <c r="K70" s="71"/>
      <c r="AE70" s="512"/>
      <c r="AT70" s="472"/>
    </row>
    <row r="71" spans="1:46">
      <c r="A71" s="55">
        <v>300123655</v>
      </c>
      <c r="B71" s="55" t="s">
        <v>1475</v>
      </c>
      <c r="C71" s="383"/>
      <c r="K71" s="71"/>
      <c r="AE71" s="512"/>
      <c r="AT71" s="472"/>
    </row>
    <row r="72" spans="1:46">
      <c r="A72" s="55">
        <v>300123656</v>
      </c>
      <c r="B72" s="55" t="s">
        <v>1482</v>
      </c>
      <c r="C72" s="383"/>
      <c r="K72" s="71"/>
      <c r="AE72" s="512"/>
      <c r="AT72" s="472"/>
    </row>
    <row r="73" spans="1:46">
      <c r="A73" s="55">
        <v>300123657</v>
      </c>
      <c r="B73" s="55" t="s">
        <v>1490</v>
      </c>
      <c r="C73" s="383"/>
      <c r="K73" s="71"/>
      <c r="AE73" s="512"/>
      <c r="AT73" s="472"/>
    </row>
    <row r="74" spans="1:46">
      <c r="A74" s="55">
        <v>310123661</v>
      </c>
      <c r="B74" s="55" t="s">
        <v>1497</v>
      </c>
      <c r="C74" s="383"/>
      <c r="K74" s="71"/>
      <c r="AE74" s="512"/>
      <c r="AT74" s="472"/>
    </row>
    <row r="75" spans="1:46">
      <c r="A75" s="55">
        <v>10223670</v>
      </c>
      <c r="B75" s="55" t="s">
        <v>1504</v>
      </c>
      <c r="C75" s="383"/>
      <c r="K75" s="71"/>
      <c r="AE75" s="512"/>
      <c r="AT75" s="472"/>
    </row>
    <row r="76" spans="1:46">
      <c r="A76" s="55">
        <v>10223671</v>
      </c>
      <c r="B76" s="55" t="s">
        <v>1511</v>
      </c>
      <c r="C76" s="383"/>
      <c r="K76" s="71"/>
      <c r="AE76" s="512"/>
      <c r="AT76" s="472"/>
    </row>
    <row r="77" spans="1:46">
      <c r="A77" s="55">
        <v>20223681</v>
      </c>
      <c r="B77" s="55" t="s">
        <v>930</v>
      </c>
      <c r="C77" s="383"/>
      <c r="K77" s="71"/>
      <c r="AE77" s="512"/>
      <c r="AT77" s="472"/>
    </row>
    <row r="78" spans="1:46">
      <c r="A78" s="55">
        <v>70223729</v>
      </c>
      <c r="B78" s="55" t="s">
        <v>937</v>
      </c>
      <c r="C78" s="383"/>
      <c r="K78" s="71"/>
      <c r="AE78" s="512"/>
      <c r="AT78" s="472"/>
    </row>
    <row r="79" spans="1:46">
      <c r="A79" s="55">
        <v>70223736</v>
      </c>
      <c r="B79" s="55" t="s">
        <v>945</v>
      </c>
      <c r="C79" s="383"/>
      <c r="K79" s="71"/>
      <c r="AE79" s="512"/>
      <c r="AT79" s="472"/>
    </row>
    <row r="80" spans="1:46">
      <c r="A80" s="55">
        <v>80223753</v>
      </c>
      <c r="B80" s="55" t="s">
        <v>952</v>
      </c>
      <c r="C80" s="383"/>
      <c r="K80" s="71"/>
      <c r="AE80" s="512"/>
      <c r="AT80" s="472"/>
    </row>
    <row r="81" spans="1:46">
      <c r="A81" s="55">
        <v>90223756</v>
      </c>
      <c r="B81" s="55" t="s">
        <v>1744</v>
      </c>
      <c r="C81" s="383"/>
      <c r="K81" s="71"/>
      <c r="AE81" s="512"/>
      <c r="AT81" s="472"/>
    </row>
    <row r="82" spans="1:46">
      <c r="A82" s="55">
        <v>90223758</v>
      </c>
      <c r="B82" s="55" t="s">
        <v>1751</v>
      </c>
      <c r="C82" s="383"/>
      <c r="K82" s="71"/>
      <c r="AE82" s="512"/>
      <c r="AT82" s="472"/>
    </row>
    <row r="83" spans="1:46">
      <c r="A83" s="55">
        <v>90223759</v>
      </c>
      <c r="B83" s="55" t="s">
        <v>1518</v>
      </c>
      <c r="C83" s="383"/>
      <c r="K83" s="71"/>
      <c r="AE83" s="512"/>
      <c r="AT83" s="472"/>
    </row>
    <row r="84" spans="1:46">
      <c r="A84" s="55">
        <v>100223765</v>
      </c>
      <c r="B84" s="55" t="s">
        <v>1757</v>
      </c>
      <c r="C84" s="383"/>
      <c r="K84" s="71"/>
      <c r="AE84" s="512"/>
      <c r="AT84" s="472"/>
    </row>
    <row r="85" spans="1:46">
      <c r="A85" s="55">
        <v>100223769</v>
      </c>
      <c r="B85" s="55" t="s">
        <v>960</v>
      </c>
      <c r="C85" s="383"/>
      <c r="K85" s="71"/>
      <c r="AE85" s="512"/>
      <c r="AT85" s="472"/>
    </row>
    <row r="86" spans="1:46">
      <c r="A86" s="513" t="s">
        <v>968</v>
      </c>
      <c r="B86" s="513" t="s">
        <v>968</v>
      </c>
      <c r="K86" s="71"/>
      <c r="AE86" s="512"/>
      <c r="AT86" s="472"/>
    </row>
    <row r="87" spans="1:46">
      <c r="A87" s="514" t="s">
        <v>975</v>
      </c>
      <c r="B87" s="514" t="s">
        <v>975</v>
      </c>
      <c r="K87" s="71"/>
      <c r="AE87" s="512"/>
      <c r="AT87" s="472"/>
    </row>
    <row r="88" spans="1:46">
      <c r="A88" s="514" t="s">
        <v>4448</v>
      </c>
      <c r="B88" s="514" t="s">
        <v>4448</v>
      </c>
      <c r="K88" s="71"/>
      <c r="AE88" s="512"/>
      <c r="AT88" s="472"/>
    </row>
    <row r="89" spans="1:46">
      <c r="A89" s="514" t="s">
        <v>1524</v>
      </c>
      <c r="B89" s="514" t="s">
        <v>1524</v>
      </c>
      <c r="K89" s="71"/>
      <c r="AE89" s="512"/>
      <c r="AT89" s="472"/>
    </row>
    <row r="90" spans="1:46">
      <c r="A90" s="514" t="s">
        <v>983</v>
      </c>
      <c r="B90" s="514" t="s">
        <v>983</v>
      </c>
      <c r="K90" s="71"/>
      <c r="AE90" s="512"/>
      <c r="AT90" s="472"/>
    </row>
    <row r="91" spans="1:46">
      <c r="A91" s="514" t="s">
        <v>1763</v>
      </c>
      <c r="B91" s="514" t="s">
        <v>1763</v>
      </c>
      <c r="K91" s="71"/>
      <c r="AE91" s="512"/>
      <c r="AT91" s="472"/>
    </row>
    <row r="92" spans="1:46">
      <c r="A92" s="513" t="s">
        <v>1290</v>
      </c>
      <c r="B92" s="513" t="s">
        <v>1290</v>
      </c>
      <c r="K92" s="71"/>
      <c r="AE92" s="512"/>
      <c r="AT92" s="472"/>
    </row>
    <row r="93" spans="1:46">
      <c r="A93" s="514" t="s">
        <v>1606</v>
      </c>
      <c r="B93" s="514" t="s">
        <v>1606</v>
      </c>
      <c r="K93" s="71"/>
      <c r="AE93" s="512"/>
      <c r="AT93" s="472"/>
    </row>
    <row r="94" spans="1:46">
      <c r="A94" s="514" t="s">
        <v>1612</v>
      </c>
      <c r="B94" s="514" t="s">
        <v>1612</v>
      </c>
      <c r="K94" s="71"/>
      <c r="AE94" s="512"/>
      <c r="AT94" s="472"/>
    </row>
    <row r="95" spans="1:46">
      <c r="A95" s="514" t="s">
        <v>1815</v>
      </c>
      <c r="B95" s="514" t="s">
        <v>1815</v>
      </c>
      <c r="K95" s="71"/>
      <c r="AE95" s="512"/>
      <c r="AT95" s="472"/>
    </row>
    <row r="96" spans="1:46">
      <c r="A96" s="514" t="s">
        <v>1617</v>
      </c>
      <c r="B96" s="514" t="s">
        <v>1617</v>
      </c>
      <c r="K96" s="71"/>
      <c r="AE96" s="512"/>
      <c r="AT96" s="472"/>
    </row>
    <row r="97" spans="1:46">
      <c r="A97" s="514" t="s">
        <v>991</v>
      </c>
      <c r="B97" s="514" t="s">
        <v>991</v>
      </c>
      <c r="K97" s="71"/>
      <c r="AE97" s="512"/>
      <c r="AT97" s="472"/>
    </row>
    <row r="98" spans="1:46">
      <c r="A98" s="514" t="s">
        <v>1623</v>
      </c>
      <c r="B98" s="514" t="s">
        <v>1623</v>
      </c>
      <c r="K98" s="71"/>
      <c r="AE98" s="512"/>
      <c r="AT98" s="472"/>
    </row>
    <row r="99" spans="1:46">
      <c r="A99" s="514" t="s">
        <v>1629</v>
      </c>
      <c r="B99" s="514" t="s">
        <v>1629</v>
      </c>
      <c r="K99" s="71"/>
      <c r="AE99" s="512"/>
      <c r="AT99" s="472"/>
    </row>
    <row r="100" spans="1:46">
      <c r="A100" s="514" t="s">
        <v>1242</v>
      </c>
      <c r="B100" s="514" t="s">
        <v>1242</v>
      </c>
      <c r="K100" s="71"/>
      <c r="AE100" s="512"/>
      <c r="AT100" s="472"/>
    </row>
    <row r="101" spans="1:46">
      <c r="A101" s="514" t="s">
        <v>1634</v>
      </c>
      <c r="B101" s="514" t="s">
        <v>1634</v>
      </c>
      <c r="K101" s="71"/>
      <c r="AE101" s="512"/>
      <c r="AT101" s="472"/>
    </row>
    <row r="102" spans="1:46">
      <c r="A102" s="514" t="s">
        <v>1248</v>
      </c>
      <c r="B102" s="514" t="s">
        <v>1248</v>
      </c>
      <c r="K102" s="71"/>
      <c r="AE102" s="512"/>
      <c r="AT102" s="472"/>
    </row>
    <row r="103" spans="1:46">
      <c r="A103" s="514" t="s">
        <v>4537</v>
      </c>
      <c r="B103" s="514" t="s">
        <v>4537</v>
      </c>
      <c r="K103" s="71"/>
      <c r="AE103" s="512"/>
      <c r="AT103" s="472"/>
    </row>
    <row r="104" spans="1:46">
      <c r="A104" s="514" t="s">
        <v>1253</v>
      </c>
      <c r="B104" s="514" t="s">
        <v>1253</v>
      </c>
      <c r="K104" s="71"/>
      <c r="AE104" s="512"/>
      <c r="AT104" s="472"/>
    </row>
    <row r="105" spans="1:46">
      <c r="A105" s="514" t="s">
        <v>1258</v>
      </c>
      <c r="B105" s="514" t="s">
        <v>1258</v>
      </c>
      <c r="K105" s="71"/>
      <c r="AE105" s="512"/>
      <c r="AT105" s="472"/>
    </row>
    <row r="106" spans="1:46">
      <c r="A106" s="514" t="s">
        <v>1639</v>
      </c>
      <c r="B106" s="514" t="s">
        <v>1639</v>
      </c>
      <c r="K106" s="71"/>
      <c r="AE106" s="512"/>
      <c r="AT106" s="472"/>
    </row>
    <row r="107" spans="1:46">
      <c r="A107" s="514" t="s">
        <v>1820</v>
      </c>
      <c r="B107" s="514" t="s">
        <v>1820</v>
      </c>
      <c r="K107" s="71"/>
      <c r="AE107" s="512"/>
      <c r="AT107" s="472"/>
    </row>
    <row r="108" spans="1:46">
      <c r="A108" s="514" t="s">
        <v>1263</v>
      </c>
      <c r="B108" s="514" t="s">
        <v>1263</v>
      </c>
      <c r="K108" s="71"/>
      <c r="AE108" s="512"/>
      <c r="AT108" s="472"/>
    </row>
    <row r="109" spans="1:46">
      <c r="A109" s="514" t="s">
        <v>1645</v>
      </c>
      <c r="B109" s="514" t="s">
        <v>1645</v>
      </c>
      <c r="K109" s="71"/>
      <c r="AE109" s="512"/>
      <c r="AT109" s="472"/>
    </row>
    <row r="110" spans="1:46">
      <c r="A110" s="514" t="s">
        <v>1269</v>
      </c>
      <c r="B110" s="514" t="s">
        <v>1269</v>
      </c>
      <c r="K110" s="71"/>
      <c r="AE110" s="512"/>
      <c r="AT110" s="472"/>
    </row>
    <row r="111" spans="1:46">
      <c r="A111" s="514" t="s">
        <v>327</v>
      </c>
      <c r="B111" s="514" t="s">
        <v>327</v>
      </c>
      <c r="K111" s="71"/>
      <c r="AE111" s="512"/>
      <c r="AT111" s="472"/>
    </row>
    <row r="112" spans="1:46">
      <c r="A112" s="514" t="s">
        <v>999</v>
      </c>
      <c r="B112" s="514" t="s">
        <v>999</v>
      </c>
      <c r="K112" s="71"/>
      <c r="AE112" s="512"/>
      <c r="AT112" s="472"/>
    </row>
    <row r="113" spans="1:46">
      <c r="A113" s="514" t="s">
        <v>1912</v>
      </c>
      <c r="B113" s="514" t="s">
        <v>1912</v>
      </c>
      <c r="K113" s="71"/>
      <c r="AE113" s="512"/>
      <c r="AT113" s="472"/>
    </row>
    <row r="114" spans="1:46">
      <c r="A114" s="514" t="s">
        <v>1768</v>
      </c>
      <c r="B114" s="514" t="s">
        <v>1768</v>
      </c>
      <c r="K114" s="71"/>
      <c r="AE114" s="512"/>
      <c r="AT114" s="472"/>
    </row>
    <row r="115" spans="1:46">
      <c r="A115" s="514" t="s">
        <v>1011</v>
      </c>
      <c r="B115" s="514" t="s">
        <v>1011</v>
      </c>
      <c r="K115" s="71"/>
      <c r="AE115" s="512"/>
      <c r="AT115" s="472"/>
    </row>
    <row r="116" spans="1:46">
      <c r="A116" s="514" t="s">
        <v>2844</v>
      </c>
      <c r="B116" s="514" t="s">
        <v>2844</v>
      </c>
      <c r="K116" s="71"/>
      <c r="AE116" s="512"/>
      <c r="AT116" s="472"/>
    </row>
    <row r="117" spans="1:46">
      <c r="A117" s="514" t="s">
        <v>3093</v>
      </c>
      <c r="B117" s="514" t="s">
        <v>3093</v>
      </c>
      <c r="K117" s="71"/>
      <c r="AE117" s="512"/>
      <c r="AT117" s="472"/>
    </row>
    <row r="118" spans="1:46">
      <c r="A118" s="514" t="s">
        <v>1774</v>
      </c>
      <c r="B118" s="514" t="s">
        <v>1774</v>
      </c>
      <c r="K118" s="71"/>
      <c r="AE118" s="512"/>
      <c r="AT118" s="472"/>
    </row>
    <row r="119" spans="1:46">
      <c r="A119" s="514" t="s">
        <v>4244</v>
      </c>
      <c r="B119" s="514" t="s">
        <v>4244</v>
      </c>
      <c r="K119" s="71"/>
      <c r="AE119" s="512"/>
      <c r="AT119" s="472"/>
    </row>
    <row r="120" spans="1:46">
      <c r="A120" s="514" t="s">
        <v>4456</v>
      </c>
      <c r="B120" s="514" t="s">
        <v>4456</v>
      </c>
      <c r="K120" s="71"/>
      <c r="AE120" s="512"/>
      <c r="AT120" s="472"/>
    </row>
    <row r="121" spans="1:46">
      <c r="A121" s="514" t="s">
        <v>1781</v>
      </c>
      <c r="B121" s="514" t="s">
        <v>1781</v>
      </c>
      <c r="K121" s="71"/>
      <c r="AE121" s="512"/>
      <c r="AT121" s="472"/>
    </row>
    <row r="122" spans="1:46">
      <c r="A122" s="398" t="s">
        <v>4727</v>
      </c>
      <c r="B122" s="398" t="s">
        <v>4727</v>
      </c>
      <c r="K122" s="71"/>
      <c r="AE122" s="512"/>
      <c r="AT122" s="472"/>
    </row>
    <row r="123" spans="1:46">
      <c r="A123" s="514" t="s">
        <v>815</v>
      </c>
      <c r="B123" s="514" t="s">
        <v>815</v>
      </c>
      <c r="K123" s="71"/>
      <c r="AE123" s="512"/>
      <c r="AT123" s="472"/>
    </row>
    <row r="124" spans="1:46">
      <c r="A124" s="514" t="s">
        <v>363</v>
      </c>
      <c r="B124" s="514" t="s">
        <v>363</v>
      </c>
      <c r="K124" s="71"/>
      <c r="AE124" s="512"/>
      <c r="AT124" s="472"/>
    </row>
    <row r="125" spans="1:46">
      <c r="A125" s="514" t="s">
        <v>4452</v>
      </c>
      <c r="B125" s="514" t="s">
        <v>4452</v>
      </c>
      <c r="K125" s="71"/>
      <c r="AE125" s="512"/>
      <c r="AT125" s="472"/>
    </row>
    <row r="126" spans="1:46">
      <c r="A126" s="514" t="s">
        <v>344</v>
      </c>
      <c r="B126" s="514" t="s">
        <v>344</v>
      </c>
      <c r="K126" s="71"/>
      <c r="AE126" s="512"/>
      <c r="AT126" s="472"/>
    </row>
    <row r="127" spans="1:46">
      <c r="A127" s="514" t="s">
        <v>355</v>
      </c>
      <c r="B127" s="514" t="s">
        <v>355</v>
      </c>
      <c r="K127" s="71"/>
      <c r="AE127" s="512"/>
      <c r="AT127" s="472"/>
    </row>
    <row r="128" spans="1:46">
      <c r="A128" s="514" t="s">
        <v>2673</v>
      </c>
      <c r="B128" s="514" t="s">
        <v>2673</v>
      </c>
      <c r="K128" s="71"/>
      <c r="AE128" s="512"/>
      <c r="AT128" s="472"/>
    </row>
    <row r="129" spans="1:46">
      <c r="A129" s="514" t="s">
        <v>1543</v>
      </c>
      <c r="B129" s="514" t="s">
        <v>1543</v>
      </c>
      <c r="K129" s="71"/>
      <c r="AE129" s="512"/>
      <c r="AT129" s="472"/>
    </row>
    <row r="130" spans="1:46">
      <c r="A130" s="514" t="s">
        <v>1788</v>
      </c>
      <c r="B130" s="514" t="s">
        <v>1788</v>
      </c>
      <c r="K130" s="71"/>
      <c r="AE130" s="512"/>
      <c r="AT130" s="472"/>
    </row>
    <row r="131" spans="1:46">
      <c r="A131" s="514" t="s">
        <v>1019</v>
      </c>
      <c r="B131" s="514" t="s">
        <v>1019</v>
      </c>
      <c r="K131" s="71"/>
      <c r="AE131" s="512"/>
      <c r="AT131" s="472"/>
    </row>
    <row r="132" spans="1:46">
      <c r="A132" s="514" t="s">
        <v>1025</v>
      </c>
      <c r="B132" s="514" t="s">
        <v>1025</v>
      </c>
      <c r="K132" s="71"/>
      <c r="AE132" s="512"/>
      <c r="AT132" s="472"/>
    </row>
    <row r="133" spans="1:46">
      <c r="A133" s="514" t="s">
        <v>1031</v>
      </c>
      <c r="B133" s="514" t="s">
        <v>1031</v>
      </c>
      <c r="K133" s="71"/>
      <c r="AE133" s="512"/>
      <c r="AT133" s="472"/>
    </row>
    <row r="134" spans="1:46">
      <c r="A134" s="514" t="s">
        <v>4049</v>
      </c>
      <c r="B134" s="514" t="s">
        <v>4049</v>
      </c>
      <c r="K134" s="71"/>
      <c r="AE134" s="512"/>
      <c r="AT134" s="472"/>
    </row>
    <row r="135" spans="1:46">
      <c r="A135" s="514" t="s">
        <v>4072</v>
      </c>
      <c r="B135" s="514" t="s">
        <v>4072</v>
      </c>
      <c r="K135" s="71"/>
      <c r="AE135" s="512"/>
      <c r="AT135" s="472"/>
    </row>
    <row r="136" spans="1:46">
      <c r="A136" s="514" t="s">
        <v>1551</v>
      </c>
      <c r="B136" s="514" t="s">
        <v>1551</v>
      </c>
      <c r="K136" s="71"/>
      <c r="AE136" s="512"/>
      <c r="AT136" s="472"/>
    </row>
    <row r="137" spans="1:46">
      <c r="A137" s="514" t="s">
        <v>3987</v>
      </c>
      <c r="B137" s="514" t="s">
        <v>3987</v>
      </c>
      <c r="K137" s="71"/>
      <c r="AE137" s="512"/>
      <c r="AT137" s="472"/>
    </row>
    <row r="138" spans="1:46">
      <c r="A138" s="55" t="s">
        <v>4460</v>
      </c>
      <c r="B138" s="55" t="s">
        <v>4460</v>
      </c>
      <c r="K138" s="71"/>
      <c r="AE138" s="512"/>
      <c r="AT138" s="472"/>
    </row>
    <row r="139" spans="1:46">
      <c r="A139" s="55" t="s">
        <v>4463</v>
      </c>
      <c r="B139" s="55" t="s">
        <v>4463</v>
      </c>
      <c r="K139" s="71"/>
      <c r="AE139" s="512"/>
      <c r="AT139" s="472"/>
    </row>
    <row r="140" spans="1:46">
      <c r="A140" s="55" t="s">
        <v>4467</v>
      </c>
      <c r="B140" s="55" t="s">
        <v>4467</v>
      </c>
      <c r="K140" s="71"/>
      <c r="AE140" s="512"/>
      <c r="AT140" s="472"/>
    </row>
    <row r="141" spans="1:46">
      <c r="A141" s="55" t="s">
        <v>4470</v>
      </c>
      <c r="B141" s="55" t="s">
        <v>4470</v>
      </c>
      <c r="K141" s="71"/>
      <c r="AE141" s="512"/>
      <c r="AT141" s="472"/>
    </row>
    <row r="142" spans="1:46">
      <c r="A142" s="55" t="s">
        <v>1795</v>
      </c>
      <c r="B142" s="55" t="s">
        <v>1795</v>
      </c>
      <c r="K142" s="71"/>
      <c r="AE142" s="512"/>
      <c r="AT142" s="472"/>
    </row>
    <row r="143" spans="1:46">
      <c r="A143" s="55" t="s">
        <v>1848</v>
      </c>
      <c r="B143" s="55" t="s">
        <v>1848</v>
      </c>
      <c r="K143" s="71"/>
      <c r="AE143" s="512"/>
      <c r="AT143" s="472"/>
    </row>
    <row r="144" spans="1:46">
      <c r="A144" s="55" t="s">
        <v>4198</v>
      </c>
      <c r="B144" s="55" t="s">
        <v>4198</v>
      </c>
      <c r="K144" s="71"/>
      <c r="AE144" s="512"/>
      <c r="AT144" s="472"/>
    </row>
    <row r="145" spans="1:46">
      <c r="A145" s="55" t="s">
        <v>1558</v>
      </c>
      <c r="B145" s="55" t="s">
        <v>1558</v>
      </c>
      <c r="K145" s="71"/>
      <c r="AE145" s="512"/>
      <c r="AT145" s="472"/>
    </row>
    <row r="146" spans="1:46">
      <c r="A146" s="55" t="s">
        <v>1674</v>
      </c>
      <c r="B146" s="55" t="s">
        <v>1674</v>
      </c>
      <c r="K146" s="71"/>
      <c r="AE146" s="512"/>
      <c r="AT146" s="472"/>
    </row>
    <row r="147" spans="1:46">
      <c r="A147" s="55" t="s">
        <v>368</v>
      </c>
      <c r="B147" s="55" t="s">
        <v>368</v>
      </c>
      <c r="K147" s="71"/>
      <c r="AE147" s="512"/>
      <c r="AT147" s="472"/>
    </row>
    <row r="148" spans="1:46">
      <c r="A148" s="515" t="s">
        <v>375</v>
      </c>
      <c r="B148" s="515" t="s">
        <v>375</v>
      </c>
      <c r="K148" s="71"/>
      <c r="AE148" s="512"/>
      <c r="AT148" s="472"/>
    </row>
    <row r="149" spans="1:46">
      <c r="A149" s="515" t="s">
        <v>1665</v>
      </c>
      <c r="B149" s="515" t="s">
        <v>1665</v>
      </c>
      <c r="K149" s="71"/>
      <c r="AE149" s="512"/>
      <c r="AT149" s="472"/>
    </row>
    <row r="150" spans="1:46">
      <c r="A150" s="515" t="s">
        <v>385</v>
      </c>
      <c r="B150" s="515" t="s">
        <v>385</v>
      </c>
      <c r="K150" s="71"/>
      <c r="AE150" s="512"/>
      <c r="AT150" s="472"/>
    </row>
    <row r="151" spans="1:46">
      <c r="A151" s="515" t="s">
        <v>1873</v>
      </c>
      <c r="B151" s="515" t="s">
        <v>1873</v>
      </c>
      <c r="K151" s="71"/>
      <c r="AE151" s="512"/>
      <c r="AT151" s="472"/>
    </row>
    <row r="152" spans="1:46">
      <c r="A152" s="515" t="s">
        <v>1566</v>
      </c>
      <c r="B152" s="515" t="s">
        <v>1566</v>
      </c>
      <c r="K152" s="71"/>
      <c r="AE152" s="512"/>
      <c r="AT152" s="472"/>
    </row>
    <row r="153" spans="1:46">
      <c r="A153" s="515" t="s">
        <v>4508</v>
      </c>
      <c r="B153" s="515" t="s">
        <v>4508</v>
      </c>
      <c r="K153" s="71"/>
      <c r="AE153" s="512"/>
      <c r="AT153" s="472"/>
    </row>
    <row r="154" spans="1:46">
      <c r="A154" s="515" t="s">
        <v>1037</v>
      </c>
      <c r="B154" s="515" t="s">
        <v>1037</v>
      </c>
      <c r="K154" s="71"/>
      <c r="AE154" s="512"/>
      <c r="AT154" s="472"/>
    </row>
    <row r="155" spans="1:46">
      <c r="A155" s="515" t="s">
        <v>1573</v>
      </c>
      <c r="B155" s="515" t="s">
        <v>1573</v>
      </c>
      <c r="K155" s="71"/>
      <c r="AE155" s="512"/>
      <c r="AT155" s="472"/>
    </row>
    <row r="156" spans="1:46">
      <c r="A156" s="515" t="s">
        <v>820</v>
      </c>
      <c r="B156" s="515" t="s">
        <v>820</v>
      </c>
      <c r="K156" s="71"/>
      <c r="AE156" s="512"/>
      <c r="AT156" s="472"/>
    </row>
    <row r="157" spans="1:46">
      <c r="A157" s="515" t="s">
        <v>1576</v>
      </c>
      <c r="B157" s="515" t="s">
        <v>1576</v>
      </c>
      <c r="K157" s="71"/>
      <c r="AE157" s="512"/>
      <c r="AT157" s="472"/>
    </row>
    <row r="158" spans="1:46">
      <c r="A158" s="515" t="s">
        <v>4035</v>
      </c>
      <c r="B158" s="515" t="s">
        <v>4035</v>
      </c>
      <c r="K158" s="71"/>
      <c r="AE158" s="512"/>
      <c r="AT158" s="472"/>
    </row>
    <row r="159" spans="1:46">
      <c r="A159" s="515" t="s">
        <v>4691</v>
      </c>
      <c r="B159" s="515" t="s">
        <v>4691</v>
      </c>
      <c r="K159" s="71"/>
      <c r="AE159" s="512"/>
      <c r="AT159" s="472"/>
    </row>
    <row r="160" spans="1:46">
      <c r="A160" s="515" t="s">
        <v>4080</v>
      </c>
      <c r="B160" s="515" t="s">
        <v>4080</v>
      </c>
      <c r="K160" s="71"/>
      <c r="AE160" s="512"/>
      <c r="AT160" s="472"/>
    </row>
    <row r="161" spans="1:46">
      <c r="A161" s="515" t="s">
        <v>393</v>
      </c>
      <c r="B161" s="515" t="s">
        <v>393</v>
      </c>
      <c r="K161" s="71"/>
      <c r="AE161" s="512"/>
      <c r="AT161" s="472"/>
    </row>
    <row r="162" spans="1:46">
      <c r="A162" s="515" t="s">
        <v>2850</v>
      </c>
      <c r="B162" s="515" t="s">
        <v>2850</v>
      </c>
      <c r="K162" s="71"/>
      <c r="AE162" s="512"/>
      <c r="AT162" s="472"/>
    </row>
    <row r="163" spans="1:46">
      <c r="A163" s="515" t="s">
        <v>4085</v>
      </c>
      <c r="B163" s="515" t="s">
        <v>4085</v>
      </c>
      <c r="K163" s="71"/>
      <c r="AE163" s="512"/>
      <c r="AT163" s="472"/>
    </row>
    <row r="164" spans="1:46">
      <c r="A164" s="515" t="s">
        <v>2855</v>
      </c>
      <c r="B164" s="515" t="s">
        <v>2855</v>
      </c>
      <c r="K164" s="71"/>
      <c r="AE164" s="512"/>
      <c r="AT164" s="472"/>
    </row>
    <row r="165" spans="1:46">
      <c r="A165" s="515" t="s">
        <v>2860</v>
      </c>
      <c r="B165" s="515" t="s">
        <v>2860</v>
      </c>
      <c r="K165" s="71"/>
      <c r="AE165" s="512"/>
      <c r="AT165" s="472"/>
    </row>
    <row r="166" spans="1:46">
      <c r="A166" s="515" t="s">
        <v>2865</v>
      </c>
      <c r="B166" s="515" t="s">
        <v>2865</v>
      </c>
      <c r="K166" s="71"/>
      <c r="AE166" s="512"/>
      <c r="AT166" s="472"/>
    </row>
    <row r="167" spans="1:46">
      <c r="A167" s="515" t="s">
        <v>2870</v>
      </c>
      <c r="B167" s="515" t="s">
        <v>2870</v>
      </c>
      <c r="K167" s="71"/>
      <c r="AE167" s="512"/>
      <c r="AT167" s="472"/>
    </row>
    <row r="168" spans="1:46">
      <c r="A168" s="515" t="s">
        <v>2875</v>
      </c>
      <c r="B168" s="515" t="s">
        <v>2875</v>
      </c>
      <c r="K168" s="71"/>
      <c r="AE168" s="512"/>
      <c r="AT168" s="472"/>
    </row>
    <row r="169" spans="1:46">
      <c r="A169" s="515" t="s">
        <v>4088</v>
      </c>
      <c r="B169" s="515" t="s">
        <v>4088</v>
      </c>
      <c r="K169" s="71"/>
      <c r="AE169" s="512"/>
      <c r="AT169" s="472"/>
    </row>
    <row r="170" spans="1:46">
      <c r="A170" s="515" t="s">
        <v>4091</v>
      </c>
      <c r="B170" s="515" t="s">
        <v>4091</v>
      </c>
      <c r="K170" s="71"/>
      <c r="AE170" s="512"/>
      <c r="AT170" s="472"/>
    </row>
    <row r="171" spans="1:46">
      <c r="A171" s="515" t="s">
        <v>4094</v>
      </c>
      <c r="B171" s="515" t="s">
        <v>4094</v>
      </c>
      <c r="K171" s="71"/>
      <c r="AE171" s="512"/>
      <c r="AT171" s="472"/>
    </row>
    <row r="172" spans="1:46">
      <c r="A172" s="515" t="s">
        <v>2880</v>
      </c>
      <c r="B172" s="515" t="s">
        <v>2880</v>
      </c>
      <c r="K172" s="71"/>
      <c r="AE172" s="512"/>
      <c r="AT172" s="472"/>
    </row>
    <row r="173" spans="1:46">
      <c r="A173" s="515" t="s">
        <v>4097</v>
      </c>
      <c r="B173" s="515" t="s">
        <v>4097</v>
      </c>
      <c r="K173" s="71"/>
      <c r="AE173" s="512"/>
      <c r="AT173" s="472"/>
    </row>
    <row r="174" spans="1:46">
      <c r="A174" s="515" t="s">
        <v>4100</v>
      </c>
      <c r="B174" s="515" t="s">
        <v>4100</v>
      </c>
      <c r="K174" s="71"/>
      <c r="AE174" s="512"/>
      <c r="AT174" s="472"/>
    </row>
    <row r="175" spans="1:46">
      <c r="A175" s="515" t="s">
        <v>4103</v>
      </c>
      <c r="B175" s="515" t="s">
        <v>4103</v>
      </c>
      <c r="K175" s="71"/>
      <c r="AE175" s="512"/>
      <c r="AT175" s="472"/>
    </row>
    <row r="176" spans="1:46">
      <c r="A176" s="515" t="s">
        <v>4106</v>
      </c>
      <c r="B176" s="515" t="s">
        <v>4106</v>
      </c>
      <c r="K176" s="71"/>
      <c r="AE176" s="512"/>
      <c r="AT176" s="472"/>
    </row>
    <row r="177" spans="1:46">
      <c r="A177" s="515" t="s">
        <v>4109</v>
      </c>
      <c r="B177" s="515" t="s">
        <v>4109</v>
      </c>
      <c r="K177" s="71"/>
      <c r="AE177" s="512"/>
      <c r="AT177" s="472"/>
    </row>
    <row r="178" spans="1:46">
      <c r="A178" s="515" t="s">
        <v>2885</v>
      </c>
      <c r="B178" s="515" t="s">
        <v>2885</v>
      </c>
      <c r="K178" s="71"/>
      <c r="AE178" s="512"/>
      <c r="AT178" s="472"/>
    </row>
    <row r="179" spans="1:46">
      <c r="A179" s="515" t="s">
        <v>2890</v>
      </c>
      <c r="B179" s="515" t="s">
        <v>2890</v>
      </c>
      <c r="K179" s="71"/>
      <c r="AE179" s="512"/>
      <c r="AT179" s="472"/>
    </row>
    <row r="180" spans="1:46">
      <c r="A180" s="515" t="s">
        <v>2900</v>
      </c>
      <c r="B180" s="515" t="s">
        <v>2900</v>
      </c>
      <c r="K180" s="71"/>
      <c r="AE180" s="512"/>
      <c r="AT180" s="472"/>
    </row>
    <row r="181" spans="1:46">
      <c r="A181" s="515" t="s">
        <v>2895</v>
      </c>
      <c r="B181" s="515" t="s">
        <v>2895</v>
      </c>
      <c r="K181" s="71"/>
      <c r="AE181" s="512"/>
      <c r="AT181" s="472"/>
    </row>
    <row r="182" spans="1:46">
      <c r="A182" s="515" t="s">
        <v>4112</v>
      </c>
      <c r="B182" s="515" t="s">
        <v>4112</v>
      </c>
      <c r="K182" s="71"/>
      <c r="AE182" s="512"/>
      <c r="AT182" s="472"/>
    </row>
    <row r="183" spans="1:46">
      <c r="A183" s="515" t="s">
        <v>4115</v>
      </c>
      <c r="B183" s="515" t="s">
        <v>4115</v>
      </c>
      <c r="K183" s="71"/>
      <c r="AE183" s="512"/>
      <c r="AT183" s="472"/>
    </row>
    <row r="184" spans="1:46">
      <c r="A184" s="515" t="s">
        <v>2905</v>
      </c>
      <c r="B184" s="515" t="s">
        <v>2905</v>
      </c>
      <c r="K184" s="71"/>
      <c r="AE184" s="512"/>
      <c r="AT184" s="472"/>
    </row>
    <row r="185" spans="1:46">
      <c r="A185" s="515" t="s">
        <v>2910</v>
      </c>
      <c r="B185" s="515" t="s">
        <v>2910</v>
      </c>
      <c r="K185" s="71"/>
      <c r="AE185" s="512"/>
      <c r="AT185" s="472"/>
    </row>
    <row r="186" spans="1:46">
      <c r="A186" s="515" t="s">
        <v>4118</v>
      </c>
      <c r="B186" s="515" t="s">
        <v>4118</v>
      </c>
      <c r="K186" s="71"/>
      <c r="AE186" s="512"/>
      <c r="AT186" s="472"/>
    </row>
    <row r="187" spans="1:46">
      <c r="A187" s="516" t="s">
        <v>4121</v>
      </c>
      <c r="B187" s="516" t="s">
        <v>4121</v>
      </c>
      <c r="K187" s="71"/>
      <c r="AE187" s="512"/>
      <c r="AT187" s="472"/>
    </row>
    <row r="188" spans="1:46">
      <c r="A188" s="55" t="s">
        <v>2915</v>
      </c>
      <c r="B188" s="55" t="s">
        <v>2915</v>
      </c>
      <c r="K188" s="71"/>
      <c r="AE188" s="512"/>
      <c r="AT188" s="472"/>
    </row>
    <row r="189" spans="1:46">
      <c r="A189" s="515" t="s">
        <v>4124</v>
      </c>
      <c r="B189" s="515" t="s">
        <v>4124</v>
      </c>
      <c r="K189" s="71"/>
      <c r="AE189" s="512"/>
      <c r="AT189" s="472"/>
    </row>
    <row r="190" spans="1:46">
      <c r="A190" s="515" t="s">
        <v>4127</v>
      </c>
      <c r="B190" s="515" t="s">
        <v>4127</v>
      </c>
      <c r="K190" s="71"/>
      <c r="AE190" s="512"/>
      <c r="AT190" s="472"/>
    </row>
    <row r="191" spans="1:46">
      <c r="A191" s="515" t="s">
        <v>4247</v>
      </c>
      <c r="B191" s="515" t="s">
        <v>4247</v>
      </c>
      <c r="K191" s="71"/>
      <c r="AE191" s="512"/>
      <c r="AT191" s="472"/>
    </row>
    <row r="192" spans="1:46">
      <c r="A192" s="515" t="s">
        <v>4130</v>
      </c>
      <c r="B192" s="515" t="s">
        <v>4130</v>
      </c>
      <c r="K192" s="71"/>
      <c r="AE192" s="512"/>
      <c r="AT192" s="472"/>
    </row>
    <row r="193" spans="1:46">
      <c r="A193" s="515" t="s">
        <v>2920</v>
      </c>
      <c r="B193" s="515" t="s">
        <v>2920</v>
      </c>
      <c r="K193" s="71"/>
      <c r="AE193" s="512"/>
      <c r="AT193" s="472"/>
    </row>
    <row r="194" spans="1:46">
      <c r="A194" s="515" t="s">
        <v>4133</v>
      </c>
      <c r="B194" s="515" t="s">
        <v>4133</v>
      </c>
      <c r="K194" s="71"/>
      <c r="AE194" s="512"/>
      <c r="AT194" s="472"/>
    </row>
    <row r="195" spans="1:46">
      <c r="A195" s="515" t="s">
        <v>4136</v>
      </c>
      <c r="B195" s="515" t="s">
        <v>4136</v>
      </c>
      <c r="K195" s="71"/>
      <c r="AE195" s="512"/>
      <c r="AT195" s="472"/>
    </row>
    <row r="196" spans="1:46">
      <c r="A196" s="515" t="s">
        <v>4141</v>
      </c>
      <c r="B196" s="515" t="s">
        <v>4141</v>
      </c>
      <c r="K196" s="71"/>
      <c r="AE196" s="512"/>
      <c r="AT196" s="472"/>
    </row>
    <row r="197" spans="1:46">
      <c r="A197" s="515" t="s">
        <v>4146</v>
      </c>
      <c r="B197" s="515" t="s">
        <v>4146</v>
      </c>
      <c r="K197" s="71"/>
      <c r="AE197" s="512"/>
      <c r="AT197" s="472"/>
    </row>
    <row r="198" spans="1:46">
      <c r="A198" s="515" t="s">
        <v>4151</v>
      </c>
      <c r="B198" s="515" t="s">
        <v>4151</v>
      </c>
      <c r="K198" s="71"/>
      <c r="AE198" s="512"/>
      <c r="AT198" s="472"/>
    </row>
    <row r="199" spans="1:46">
      <c r="A199" s="515" t="s">
        <v>4156</v>
      </c>
      <c r="B199" s="515" t="s">
        <v>4156</v>
      </c>
      <c r="K199" s="71"/>
      <c r="AE199" s="512"/>
      <c r="AT199" s="472"/>
    </row>
    <row r="200" spans="1:46">
      <c r="A200" s="515" t="s">
        <v>4608</v>
      </c>
      <c r="B200" s="515" t="s">
        <v>4608</v>
      </c>
      <c r="K200" s="71"/>
      <c r="AE200" s="512"/>
      <c r="AT200" s="472"/>
    </row>
    <row r="201" spans="1:46">
      <c r="A201" s="515" t="s">
        <v>4160</v>
      </c>
      <c r="B201" s="515" t="s">
        <v>4160</v>
      </c>
      <c r="K201" s="71"/>
      <c r="AE201" s="512"/>
      <c r="AT201" s="472"/>
    </row>
    <row r="202" spans="1:46">
      <c r="A202" s="515" t="s">
        <v>4164</v>
      </c>
      <c r="B202" s="515" t="s">
        <v>4164</v>
      </c>
      <c r="K202" s="71"/>
      <c r="AE202" s="512"/>
      <c r="AT202" s="472"/>
    </row>
    <row r="203" spans="1:46">
      <c r="A203" s="515" t="s">
        <v>2925</v>
      </c>
      <c r="B203" s="515" t="s">
        <v>2925</v>
      </c>
      <c r="K203" s="71"/>
      <c r="AE203" s="512"/>
      <c r="AT203" s="472"/>
    </row>
    <row r="204" spans="1:46">
      <c r="A204" s="515" t="s">
        <v>2930</v>
      </c>
      <c r="B204" s="515" t="s">
        <v>2930</v>
      </c>
      <c r="K204" s="71"/>
      <c r="AE204" s="512"/>
      <c r="AT204" s="472"/>
    </row>
    <row r="205" spans="1:46">
      <c r="A205" s="515" t="s">
        <v>1042</v>
      </c>
      <c r="B205" s="515" t="s">
        <v>1042</v>
      </c>
      <c r="K205" s="71"/>
      <c r="AE205" s="512"/>
      <c r="AT205" s="472"/>
    </row>
    <row r="206" spans="1:46">
      <c r="A206" s="515" t="s">
        <v>1929</v>
      </c>
      <c r="B206" s="515" t="s">
        <v>1929</v>
      </c>
      <c r="K206" s="71"/>
      <c r="AE206" s="512"/>
      <c r="AT206" s="472"/>
    </row>
    <row r="207" spans="1:46">
      <c r="A207" s="515" t="s">
        <v>2950</v>
      </c>
      <c r="B207" s="515" t="s">
        <v>2950</v>
      </c>
      <c r="K207" s="71"/>
      <c r="AE207" s="512"/>
      <c r="AT207" s="472"/>
    </row>
    <row r="208" spans="1:46">
      <c r="A208" s="515" t="s">
        <v>1049</v>
      </c>
      <c r="B208" s="515" t="s">
        <v>1049</v>
      </c>
      <c r="K208" s="71"/>
      <c r="AE208" s="512"/>
      <c r="AT208" s="472"/>
    </row>
    <row r="209" spans="1:46">
      <c r="A209" s="515" t="s">
        <v>399</v>
      </c>
      <c r="B209" s="515" t="s">
        <v>399</v>
      </c>
      <c r="K209" s="71"/>
      <c r="AE209" s="512"/>
      <c r="AT209" s="472"/>
    </row>
    <row r="210" spans="1:46">
      <c r="A210" s="515" t="s">
        <v>2939</v>
      </c>
      <c r="B210" s="515" t="s">
        <v>2939</v>
      </c>
      <c r="K210" s="71"/>
      <c r="AE210" s="512"/>
      <c r="AT210" s="472"/>
    </row>
    <row r="211" spans="1:46">
      <c r="A211" s="515" t="s">
        <v>2944</v>
      </c>
      <c r="B211" s="515" t="s">
        <v>2944</v>
      </c>
      <c r="K211" s="71"/>
      <c r="AE211" s="512"/>
      <c r="AT211" s="472"/>
    </row>
    <row r="212" spans="1:46">
      <c r="A212" s="515" t="s">
        <v>2954</v>
      </c>
      <c r="B212" s="515" t="s">
        <v>2954</v>
      </c>
      <c r="K212" s="71"/>
      <c r="AE212" s="512"/>
      <c r="AT212" s="472"/>
    </row>
    <row r="213" spans="1:46">
      <c r="A213" s="515" t="s">
        <v>2959</v>
      </c>
      <c r="B213" s="515" t="s">
        <v>2959</v>
      </c>
      <c r="K213" s="71"/>
      <c r="AE213" s="512"/>
      <c r="AT213" s="472"/>
    </row>
    <row r="214" spans="1:46">
      <c r="A214" s="515" t="s">
        <v>4169</v>
      </c>
      <c r="B214" s="515" t="s">
        <v>4169</v>
      </c>
      <c r="K214" s="71"/>
      <c r="AE214" s="512"/>
      <c r="AT214" s="472"/>
    </row>
    <row r="215" spans="1:46">
      <c r="A215" s="515" t="s">
        <v>4694</v>
      </c>
      <c r="B215" s="515" t="s">
        <v>4694</v>
      </c>
      <c r="K215" s="71"/>
      <c r="AE215" s="512"/>
      <c r="AT215" s="472"/>
    </row>
    <row r="216" spans="1:46">
      <c r="A216" s="515" t="s">
        <v>4174</v>
      </c>
      <c r="B216" s="515" t="s">
        <v>4174</v>
      </c>
      <c r="K216" s="71"/>
      <c r="AE216" s="512"/>
      <c r="AT216" s="472"/>
    </row>
    <row r="217" spans="1:46">
      <c r="A217" s="515" t="s">
        <v>4697</v>
      </c>
      <c r="B217" s="515" t="s">
        <v>4697</v>
      </c>
      <c r="K217" s="71"/>
      <c r="AE217" s="512"/>
      <c r="AT217" s="472"/>
    </row>
    <row r="218" spans="1:46">
      <c r="A218" s="515" t="s">
        <v>2934</v>
      </c>
      <c r="B218" s="515" t="s">
        <v>2934</v>
      </c>
      <c r="K218" s="71"/>
      <c r="AE218" s="512"/>
      <c r="AT218" s="472"/>
    </row>
    <row r="219" spans="1:46">
      <c r="A219" s="515" t="s">
        <v>2964</v>
      </c>
      <c r="B219" s="515" t="s">
        <v>2964</v>
      </c>
      <c r="K219" s="71"/>
      <c r="AE219" s="512"/>
      <c r="AT219" s="472"/>
    </row>
    <row r="220" spans="1:46">
      <c r="A220" s="515" t="s">
        <v>2978</v>
      </c>
      <c r="B220" s="515" t="s">
        <v>2978</v>
      </c>
      <c r="K220" s="71"/>
      <c r="AE220" s="512"/>
      <c r="AT220" s="472"/>
    </row>
    <row r="221" spans="1:46">
      <c r="A221" s="515" t="s">
        <v>2969</v>
      </c>
      <c r="B221" s="515" t="s">
        <v>2969</v>
      </c>
      <c r="K221" s="71"/>
      <c r="AE221" s="512"/>
      <c r="AT221" s="472"/>
    </row>
    <row r="222" spans="1:46">
      <c r="A222" s="515" t="s">
        <v>2973</v>
      </c>
      <c r="B222" s="515" t="s">
        <v>2973</v>
      </c>
      <c r="K222" s="71"/>
      <c r="AE222" s="512"/>
      <c r="AT222" s="472"/>
    </row>
    <row r="223" spans="1:46">
      <c r="A223" s="515" t="s">
        <v>2983</v>
      </c>
      <c r="B223" s="515" t="s">
        <v>2983</v>
      </c>
      <c r="K223" s="71"/>
      <c r="AE223" s="512"/>
      <c r="AT223" s="472"/>
    </row>
    <row r="224" spans="1:46">
      <c r="A224" s="515" t="s">
        <v>1826</v>
      </c>
      <c r="B224" s="515" t="s">
        <v>1826</v>
      </c>
      <c r="K224" s="71"/>
      <c r="AE224" s="512"/>
      <c r="AT224" s="472"/>
    </row>
    <row r="225" spans="1:46">
      <c r="A225" s="515" t="s">
        <v>2989</v>
      </c>
      <c r="B225" s="515" t="s">
        <v>2989</v>
      </c>
      <c r="K225" s="71"/>
      <c r="AE225" s="512"/>
      <c r="AT225" s="472"/>
    </row>
    <row r="226" spans="1:46">
      <c r="A226" s="515" t="s">
        <v>407</v>
      </c>
      <c r="B226" s="515" t="s">
        <v>407</v>
      </c>
      <c r="K226" s="71"/>
      <c r="AE226" s="512"/>
      <c r="AT226" s="472"/>
    </row>
    <row r="227" spans="1:46">
      <c r="A227" s="515" t="s">
        <v>354</v>
      </c>
      <c r="B227" s="515" t="s">
        <v>354</v>
      </c>
      <c r="K227" s="71"/>
      <c r="AE227" s="512"/>
      <c r="AT227" s="472"/>
    </row>
    <row r="228" spans="1:46">
      <c r="A228" s="515" t="s">
        <v>2998</v>
      </c>
      <c r="B228" s="515" t="s">
        <v>2998</v>
      </c>
      <c r="K228" s="71"/>
      <c r="AE228" s="512"/>
      <c r="AT228" s="472"/>
    </row>
    <row r="229" spans="1:46">
      <c r="A229" s="515" t="s">
        <v>3003</v>
      </c>
      <c r="B229" s="515" t="s">
        <v>3003</v>
      </c>
      <c r="K229" s="71"/>
      <c r="AE229" s="512"/>
      <c r="AT229" s="472"/>
    </row>
    <row r="230" spans="1:46">
      <c r="A230" s="515" t="s">
        <v>1055</v>
      </c>
      <c r="B230" s="515" t="s">
        <v>1055</v>
      </c>
      <c r="K230" s="71"/>
      <c r="AE230" s="512"/>
      <c r="AT230" s="472"/>
    </row>
    <row r="231" spans="1:46">
      <c r="A231" s="515" t="s">
        <v>1651</v>
      </c>
      <c r="B231" s="515" t="s">
        <v>1651</v>
      </c>
      <c r="K231" s="71"/>
      <c r="AE231" s="512"/>
      <c r="AT231" s="472"/>
    </row>
    <row r="232" spans="1:46">
      <c r="A232" s="515" t="s">
        <v>413</v>
      </c>
      <c r="B232" s="515" t="s">
        <v>413</v>
      </c>
      <c r="K232" s="71"/>
      <c r="AE232" s="512"/>
      <c r="AT232" s="472"/>
    </row>
    <row r="233" spans="1:46">
      <c r="A233" s="515" t="s">
        <v>1062</v>
      </c>
      <c r="B233" s="515" t="s">
        <v>1062</v>
      </c>
      <c r="K233" s="71"/>
      <c r="AE233" s="512"/>
      <c r="AT233" s="472"/>
    </row>
    <row r="234" spans="1:46">
      <c r="A234" s="515" t="s">
        <v>1069</v>
      </c>
      <c r="B234" s="515" t="s">
        <v>1069</v>
      </c>
      <c r="K234" s="71"/>
      <c r="AE234" s="512"/>
      <c r="AT234" s="472"/>
    </row>
    <row r="235" spans="1:46">
      <c r="A235" s="515" t="s">
        <v>4473</v>
      </c>
      <c r="B235" s="515" t="s">
        <v>4473</v>
      </c>
      <c r="K235" s="71"/>
      <c r="AE235" s="512"/>
      <c r="AT235" s="472"/>
    </row>
    <row r="236" spans="1:46">
      <c r="A236" s="515" t="s">
        <v>422</v>
      </c>
      <c r="B236" s="515" t="s">
        <v>422</v>
      </c>
      <c r="K236" s="71"/>
      <c r="AE236" s="512"/>
      <c r="AT236" s="472"/>
    </row>
    <row r="237" spans="1:46">
      <c r="A237" s="516" t="s">
        <v>4184</v>
      </c>
      <c r="B237" s="516" t="s">
        <v>4184</v>
      </c>
      <c r="K237" s="71"/>
      <c r="AE237" s="512"/>
      <c r="AT237" s="472"/>
    </row>
    <row r="238" spans="1:46">
      <c r="A238" s="55" t="s">
        <v>3009</v>
      </c>
      <c r="B238" s="55" t="s">
        <v>3009</v>
      </c>
      <c r="K238" s="71"/>
      <c r="AE238" s="512"/>
      <c r="AT238" s="472"/>
    </row>
    <row r="239" spans="1:46">
      <c r="A239" s="515" t="s">
        <v>4190</v>
      </c>
      <c r="B239" s="515" t="s">
        <v>4190</v>
      </c>
      <c r="K239" s="71"/>
      <c r="AE239" s="512"/>
      <c r="AT239" s="472"/>
    </row>
    <row r="240" spans="1:46">
      <c r="A240" s="515" t="s">
        <v>3647</v>
      </c>
      <c r="B240" s="515" t="s">
        <v>3647</v>
      </c>
      <c r="K240" s="71"/>
      <c r="AE240" s="512"/>
      <c r="AT240" s="472"/>
    </row>
    <row r="241" spans="1:46">
      <c r="A241" s="515" t="s">
        <v>4733</v>
      </c>
      <c r="B241" s="515" t="s">
        <v>4733</v>
      </c>
      <c r="K241" s="71"/>
      <c r="AE241" s="512"/>
      <c r="AT241" s="472"/>
    </row>
    <row r="242" spans="1:46">
      <c r="A242" s="515" t="s">
        <v>2993</v>
      </c>
      <c r="B242" s="515" t="s">
        <v>2993</v>
      </c>
      <c r="K242" s="71"/>
      <c r="AE242" s="512"/>
      <c r="AT242" s="472"/>
    </row>
    <row r="243" spans="1:46">
      <c r="A243" s="515" t="s">
        <v>4199</v>
      </c>
      <c r="B243" s="515" t="s">
        <v>4199</v>
      </c>
      <c r="K243" s="71"/>
      <c r="AE243" s="512"/>
      <c r="AT243" s="472"/>
    </row>
    <row r="244" spans="1:46">
      <c r="A244" s="515" t="s">
        <v>3014</v>
      </c>
      <c r="B244" s="515" t="s">
        <v>3014</v>
      </c>
      <c r="K244" s="71"/>
      <c r="AE244" s="512"/>
      <c r="AT244" s="472"/>
    </row>
    <row r="245" spans="1:46">
      <c r="A245" s="515" t="s">
        <v>4195</v>
      </c>
      <c r="B245" s="515" t="s">
        <v>4195</v>
      </c>
      <c r="K245" s="71"/>
      <c r="AE245" s="512"/>
      <c r="AT245" s="472"/>
    </row>
    <row r="246" spans="1:46">
      <c r="A246" s="515" t="s">
        <v>5372</v>
      </c>
      <c r="B246" s="515" t="s">
        <v>5372</v>
      </c>
      <c r="K246" s="71"/>
      <c r="AE246" s="512"/>
      <c r="AT246" s="472"/>
    </row>
    <row r="247" spans="1:46">
      <c r="A247" s="515" t="s">
        <v>4734</v>
      </c>
      <c r="B247" s="515" t="s">
        <v>4734</v>
      </c>
      <c r="K247" s="71"/>
      <c r="AE247" s="512"/>
      <c r="AT247" s="472"/>
    </row>
    <row r="248" spans="1:46">
      <c r="A248" s="515" t="s">
        <v>5621</v>
      </c>
      <c r="B248" s="515" t="s">
        <v>5621</v>
      </c>
      <c r="K248" s="71"/>
      <c r="AE248" s="512"/>
      <c r="AT248" s="472"/>
    </row>
    <row r="249" spans="1:46">
      <c r="A249" s="515" t="s">
        <v>4202</v>
      </c>
      <c r="B249" s="515" t="s">
        <v>4202</v>
      </c>
      <c r="K249" s="71"/>
      <c r="AE249" s="512"/>
      <c r="AT249" s="472"/>
    </row>
    <row r="250" spans="1:46">
      <c r="A250" s="515" t="s">
        <v>4205</v>
      </c>
      <c r="B250" s="515" t="s">
        <v>4205</v>
      </c>
      <c r="K250" s="71"/>
      <c r="AE250" s="512"/>
      <c r="AT250" s="472"/>
    </row>
    <row r="251" spans="1:46">
      <c r="A251" s="515" t="s">
        <v>5623</v>
      </c>
      <c r="B251" s="515" t="s">
        <v>5623</v>
      </c>
      <c r="K251" s="71"/>
      <c r="AE251" s="512"/>
      <c r="AT251" s="472"/>
    </row>
    <row r="252" spans="1:46">
      <c r="A252" s="515" t="s">
        <v>601</v>
      </c>
      <c r="B252" s="515" t="s">
        <v>601</v>
      </c>
      <c r="K252" s="71"/>
      <c r="AE252" s="512"/>
      <c r="AT252" s="472"/>
    </row>
    <row r="253" spans="1:46">
      <c r="A253" s="515" t="s">
        <v>4055</v>
      </c>
      <c r="B253" s="515" t="s">
        <v>4055</v>
      </c>
      <c r="K253" s="71"/>
      <c r="AE253" s="512"/>
      <c r="AT253" s="472"/>
    </row>
    <row r="254" spans="1:46">
      <c r="A254" s="515" t="s">
        <v>4580</v>
      </c>
      <c r="B254" s="515" t="s">
        <v>4580</v>
      </c>
      <c r="K254" s="71"/>
      <c r="AE254" s="512"/>
      <c r="AT254" s="472"/>
    </row>
    <row r="255" spans="1:46">
      <c r="A255" s="515" t="s">
        <v>4552</v>
      </c>
      <c r="B255" s="515" t="s">
        <v>4552</v>
      </c>
      <c r="K255" s="71"/>
      <c r="AE255" s="512"/>
      <c r="AT255" s="472"/>
    </row>
    <row r="256" spans="1:46">
      <c r="A256" s="515" t="s">
        <v>830</v>
      </c>
      <c r="B256" s="515" t="s">
        <v>830</v>
      </c>
      <c r="K256" s="71"/>
      <c r="AE256" s="512"/>
      <c r="AT256" s="472"/>
    </row>
    <row r="257" spans="1:46">
      <c r="A257" s="515" t="s">
        <v>1940</v>
      </c>
      <c r="B257" s="515" t="s">
        <v>1940</v>
      </c>
      <c r="K257" s="71"/>
      <c r="AE257" s="512"/>
      <c r="AT257" s="472"/>
    </row>
    <row r="258" spans="1:46">
      <c r="A258" s="515" t="s">
        <v>1946</v>
      </c>
      <c r="B258" s="515" t="s">
        <v>1946</v>
      </c>
      <c r="K258" s="71"/>
      <c r="AE258" s="512"/>
      <c r="AT258" s="472"/>
    </row>
    <row r="259" spans="1:46">
      <c r="A259" s="515" t="s">
        <v>1951</v>
      </c>
      <c r="B259" s="515" t="s">
        <v>1951</v>
      </c>
      <c r="K259" s="71"/>
      <c r="AE259" s="512"/>
      <c r="AT259" s="472"/>
    </row>
    <row r="260" spans="1:46">
      <c r="A260" s="515" t="s">
        <v>3951</v>
      </c>
      <c r="B260" s="515" t="s">
        <v>3951</v>
      </c>
      <c r="K260" s="71"/>
      <c r="AE260" s="512"/>
      <c r="AT260" s="472"/>
    </row>
    <row r="261" spans="1:46">
      <c r="A261" s="515" t="s">
        <v>392</v>
      </c>
      <c r="B261" s="515" t="s">
        <v>392</v>
      </c>
      <c r="K261" s="71"/>
      <c r="AE261" s="512"/>
      <c r="AT261" s="472"/>
    </row>
    <row r="262" spans="1:46">
      <c r="A262" s="515" t="s">
        <v>489</v>
      </c>
      <c r="B262" s="515" t="s">
        <v>489</v>
      </c>
      <c r="K262" s="71"/>
      <c r="AE262" s="512"/>
      <c r="AT262" s="472"/>
    </row>
    <row r="263" spans="1:46">
      <c r="A263" s="515" t="s">
        <v>3956</v>
      </c>
      <c r="B263" s="515" t="s">
        <v>3956</v>
      </c>
      <c r="K263" s="71"/>
      <c r="AE263" s="512"/>
      <c r="AT263" s="472"/>
    </row>
    <row r="264" spans="1:46">
      <c r="A264" s="515" t="s">
        <v>3982</v>
      </c>
      <c r="B264" s="515" t="s">
        <v>3982</v>
      </c>
      <c r="K264" s="71"/>
      <c r="AE264" s="512"/>
      <c r="AT264" s="472"/>
    </row>
    <row r="265" spans="1:46">
      <c r="A265" s="515" t="s">
        <v>4208</v>
      </c>
      <c r="B265" s="515" t="s">
        <v>4208</v>
      </c>
      <c r="K265" s="71"/>
      <c r="AE265" s="512"/>
      <c r="AT265" s="472"/>
    </row>
    <row r="266" spans="1:46">
      <c r="A266" s="515" t="s">
        <v>4012</v>
      </c>
      <c r="B266" s="515" t="s">
        <v>4012</v>
      </c>
      <c r="K266" s="71"/>
      <c r="AE266" s="512"/>
      <c r="AT266" s="472"/>
    </row>
    <row r="267" spans="1:46">
      <c r="A267" s="515" t="s">
        <v>3961</v>
      </c>
      <c r="B267" s="515" t="s">
        <v>3961</v>
      </c>
      <c r="K267" s="71"/>
      <c r="AE267" s="512"/>
      <c r="AT267" s="472"/>
    </row>
    <row r="268" spans="1:46">
      <c r="A268" s="515" t="s">
        <v>1956</v>
      </c>
      <c r="B268" s="515" t="s">
        <v>1956</v>
      </c>
      <c r="K268" s="71"/>
      <c r="AE268" s="512"/>
      <c r="AT268" s="472"/>
    </row>
    <row r="269" spans="1:46">
      <c r="A269" s="515" t="s">
        <v>4179</v>
      </c>
      <c r="B269" s="515" t="s">
        <v>4179</v>
      </c>
      <c r="K269" s="71"/>
      <c r="AE269" s="512"/>
      <c r="AT269" s="472"/>
    </row>
    <row r="270" spans="1:46">
      <c r="A270" s="515" t="s">
        <v>4187</v>
      </c>
      <c r="B270" s="515" t="s">
        <v>4187</v>
      </c>
      <c r="K270" s="71"/>
      <c r="AE270" s="512"/>
      <c r="AT270" s="472"/>
    </row>
    <row r="271" spans="1:46">
      <c r="A271" s="515" t="s">
        <v>430</v>
      </c>
      <c r="B271" s="515" t="s">
        <v>430</v>
      </c>
      <c r="K271" s="71"/>
      <c r="AE271" s="512"/>
      <c r="AT271" s="472"/>
    </row>
    <row r="272" spans="1:46">
      <c r="A272" s="515" t="s">
        <v>1086</v>
      </c>
      <c r="B272" s="515" t="s">
        <v>1086</v>
      </c>
      <c r="K272" s="71"/>
      <c r="AE272" s="512"/>
      <c r="AT272" s="472"/>
    </row>
    <row r="273" spans="1:46">
      <c r="A273" s="515" t="s">
        <v>1961</v>
      </c>
      <c r="B273" s="515" t="s">
        <v>1961</v>
      </c>
      <c r="K273" s="71"/>
      <c r="AE273" s="512"/>
      <c r="AT273" s="472"/>
    </row>
    <row r="274" spans="1:46">
      <c r="A274" s="515" t="s">
        <v>445</v>
      </c>
      <c r="B274" s="515" t="s">
        <v>445</v>
      </c>
      <c r="K274" s="71"/>
      <c r="AE274" s="512"/>
      <c r="AT274" s="472"/>
    </row>
    <row r="275" spans="1:46">
      <c r="A275" s="515" t="s">
        <v>4067</v>
      </c>
      <c r="B275" s="515" t="s">
        <v>4067</v>
      </c>
      <c r="K275" s="71"/>
      <c r="AE275" s="512"/>
      <c r="AT275" s="472"/>
    </row>
    <row r="276" spans="1:46">
      <c r="A276" s="515" t="s">
        <v>1092</v>
      </c>
      <c r="B276" s="515" t="s">
        <v>1092</v>
      </c>
      <c r="K276" s="71"/>
      <c r="AE276" s="512"/>
      <c r="AT276" s="472"/>
    </row>
    <row r="277" spans="1:46">
      <c r="A277" s="515" t="s">
        <v>1097</v>
      </c>
      <c r="B277" s="515" t="s">
        <v>1097</v>
      </c>
      <c r="K277" s="71"/>
      <c r="AE277" s="512"/>
      <c r="AT277" s="472"/>
    </row>
    <row r="278" spans="1:46">
      <c r="A278" s="515" t="s">
        <v>1803</v>
      </c>
      <c r="B278" s="515" t="s">
        <v>1803</v>
      </c>
      <c r="K278" s="71"/>
      <c r="AE278" s="512"/>
      <c r="AT278" s="472"/>
    </row>
    <row r="279" spans="1:46">
      <c r="A279" s="515" t="s">
        <v>1966</v>
      </c>
      <c r="B279" s="515" t="s">
        <v>1966</v>
      </c>
      <c r="K279" s="71"/>
      <c r="AE279" s="512"/>
      <c r="AT279" s="472"/>
    </row>
    <row r="280" spans="1:46">
      <c r="A280" s="515" t="s">
        <v>1971</v>
      </c>
      <c r="B280" s="515" t="s">
        <v>1971</v>
      </c>
      <c r="K280" s="71"/>
      <c r="AE280" s="512"/>
      <c r="AT280" s="472"/>
    </row>
    <row r="281" spans="1:46">
      <c r="A281" s="515" t="s">
        <v>1976</v>
      </c>
      <c r="B281" s="515" t="s">
        <v>1976</v>
      </c>
      <c r="K281" s="71"/>
      <c r="AE281" s="512"/>
      <c r="AT281" s="472"/>
    </row>
    <row r="282" spans="1:46">
      <c r="A282" s="515" t="s">
        <v>436</v>
      </c>
      <c r="B282" s="515" t="s">
        <v>436</v>
      </c>
      <c r="K282" s="71"/>
      <c r="AE282" s="512"/>
      <c r="AT282" s="472"/>
    </row>
    <row r="283" spans="1:46">
      <c r="A283" s="515" t="s">
        <v>1654</v>
      </c>
      <c r="B283" s="515" t="s">
        <v>1654</v>
      </c>
      <c r="K283" s="71"/>
      <c r="AE283" s="512"/>
      <c r="AT283" s="472"/>
    </row>
    <row r="284" spans="1:46">
      <c r="A284" s="515" t="s">
        <v>4020</v>
      </c>
      <c r="B284" s="515" t="s">
        <v>4020</v>
      </c>
      <c r="K284" s="71"/>
      <c r="AE284" s="512"/>
      <c r="AT284" s="472"/>
    </row>
    <row r="285" spans="1:46">
      <c r="A285" s="515" t="s">
        <v>1981</v>
      </c>
      <c r="B285" s="515" t="s">
        <v>1981</v>
      </c>
      <c r="K285" s="71"/>
      <c r="AE285" s="512"/>
      <c r="AT285" s="472"/>
    </row>
    <row r="286" spans="1:46">
      <c r="A286" s="515" t="s">
        <v>1986</v>
      </c>
      <c r="B286" s="515" t="s">
        <v>1986</v>
      </c>
      <c r="K286" s="71"/>
      <c r="AE286" s="512"/>
      <c r="AT286" s="472"/>
    </row>
    <row r="287" spans="1:46">
      <c r="A287" s="516" t="s">
        <v>1991</v>
      </c>
      <c r="B287" s="516" t="s">
        <v>1991</v>
      </c>
      <c r="K287" s="71"/>
      <c r="AE287" s="512"/>
      <c r="AT287" s="472"/>
    </row>
    <row r="288" spans="1:46">
      <c r="A288" s="55" t="s">
        <v>1996</v>
      </c>
      <c r="B288" s="55" t="s">
        <v>1996</v>
      </c>
      <c r="K288" s="71"/>
      <c r="AE288" s="512"/>
      <c r="AT288" s="472"/>
    </row>
    <row r="289" spans="1:46">
      <c r="A289" s="515" t="s">
        <v>3977</v>
      </c>
      <c r="B289" s="515" t="s">
        <v>3977</v>
      </c>
      <c r="K289" s="71"/>
      <c r="AE289" s="512"/>
      <c r="AT289" s="472"/>
    </row>
    <row r="290" spans="1:46">
      <c r="A290" s="515" t="s">
        <v>4250</v>
      </c>
      <c r="B290" s="515" t="s">
        <v>4250</v>
      </c>
      <c r="K290" s="71"/>
      <c r="AE290" s="512"/>
      <c r="AT290" s="472"/>
    </row>
    <row r="291" spans="1:46">
      <c r="A291" s="515" t="s">
        <v>3971</v>
      </c>
      <c r="B291" s="515" t="s">
        <v>3971</v>
      </c>
      <c r="K291" s="71"/>
      <c r="AE291" s="512"/>
      <c r="AT291" s="472"/>
    </row>
    <row r="292" spans="1:46">
      <c r="A292" s="515" t="s">
        <v>4025</v>
      </c>
      <c r="B292" s="515" t="s">
        <v>4025</v>
      </c>
      <c r="K292" s="71"/>
      <c r="AE292" s="512"/>
      <c r="AT292" s="472"/>
    </row>
    <row r="293" spans="1:46">
      <c r="A293" s="515" t="s">
        <v>835</v>
      </c>
      <c r="B293" s="515" t="s">
        <v>835</v>
      </c>
      <c r="K293" s="71"/>
      <c r="AE293" s="512"/>
      <c r="AT293" s="472"/>
    </row>
    <row r="294" spans="1:46">
      <c r="A294" s="515" t="s">
        <v>4030</v>
      </c>
      <c r="B294" s="515" t="s">
        <v>4030</v>
      </c>
      <c r="K294" s="71"/>
      <c r="AE294" s="512"/>
      <c r="AT294" s="472"/>
    </row>
    <row r="295" spans="1:46">
      <c r="A295" s="515" t="s">
        <v>3966</v>
      </c>
      <c r="B295" s="515" t="s">
        <v>3966</v>
      </c>
      <c r="K295" s="71"/>
      <c r="AE295" s="512"/>
      <c r="AT295" s="472"/>
    </row>
    <row r="296" spans="1:46">
      <c r="A296" s="515" t="s">
        <v>2001</v>
      </c>
      <c r="B296" s="515" t="s">
        <v>2001</v>
      </c>
      <c r="K296" s="71"/>
      <c r="AE296" s="512"/>
      <c r="AT296" s="472"/>
    </row>
    <row r="297" spans="1:46">
      <c r="A297" s="515" t="s">
        <v>2006</v>
      </c>
      <c r="B297" s="515" t="s">
        <v>2006</v>
      </c>
      <c r="K297" s="71"/>
      <c r="AE297" s="512"/>
      <c r="AT297" s="472"/>
    </row>
    <row r="298" spans="1:46">
      <c r="A298" s="515" t="s">
        <v>446</v>
      </c>
      <c r="B298" s="515" t="s">
        <v>446</v>
      </c>
      <c r="K298" s="71"/>
      <c r="AE298" s="512"/>
      <c r="AT298" s="472"/>
    </row>
    <row r="299" spans="1:46">
      <c r="A299" s="515" t="s">
        <v>1120</v>
      </c>
      <c r="B299" s="515" t="s">
        <v>1120</v>
      </c>
      <c r="K299" s="71"/>
      <c r="AE299" s="512"/>
      <c r="AT299" s="472"/>
    </row>
    <row r="300" spans="1:46">
      <c r="A300" s="515" t="s">
        <v>1126</v>
      </c>
      <c r="B300" s="515" t="s">
        <v>1126</v>
      </c>
      <c r="K300" s="71"/>
      <c r="AE300" s="512"/>
      <c r="AT300" s="472"/>
    </row>
    <row r="301" spans="1:46">
      <c r="A301" s="515" t="s">
        <v>617</v>
      </c>
      <c r="B301" s="515" t="s">
        <v>617</v>
      </c>
      <c r="K301" s="71"/>
      <c r="AE301" s="512"/>
      <c r="AT301" s="472"/>
    </row>
    <row r="302" spans="1:46">
      <c r="A302" s="515" t="s">
        <v>3840</v>
      </c>
      <c r="B302" s="515" t="s">
        <v>3840</v>
      </c>
      <c r="K302" s="71"/>
      <c r="AE302" s="512"/>
      <c r="AT302" s="472"/>
    </row>
    <row r="303" spans="1:46">
      <c r="A303" s="515" t="s">
        <v>1132</v>
      </c>
      <c r="B303" s="515" t="s">
        <v>1132</v>
      </c>
      <c r="K303" s="71"/>
      <c r="AE303" s="512"/>
      <c r="AT303" s="472"/>
    </row>
    <row r="304" spans="1:46">
      <c r="A304" s="515" t="s">
        <v>1225</v>
      </c>
      <c r="B304" s="515" t="s">
        <v>1225</v>
      </c>
      <c r="K304" s="71"/>
      <c r="AE304" s="512"/>
      <c r="AT304" s="472"/>
    </row>
    <row r="305" spans="1:46">
      <c r="A305" s="515" t="s">
        <v>1138</v>
      </c>
      <c r="B305" s="515" t="s">
        <v>1138</v>
      </c>
      <c r="K305" s="71"/>
      <c r="AE305" s="512"/>
      <c r="AT305" s="472"/>
    </row>
    <row r="306" spans="1:46">
      <c r="A306" s="515" t="s">
        <v>464</v>
      </c>
      <c r="B306" s="515" t="s">
        <v>464</v>
      </c>
      <c r="K306" s="71"/>
      <c r="AE306" s="512"/>
      <c r="AT306" s="472"/>
    </row>
    <row r="307" spans="1:46">
      <c r="A307" s="515" t="s">
        <v>4616</v>
      </c>
      <c r="B307" s="515" t="s">
        <v>4616</v>
      </c>
      <c r="K307" s="71"/>
      <c r="AE307" s="512"/>
      <c r="AT307" s="472"/>
    </row>
    <row r="308" spans="1:46">
      <c r="A308" s="515" t="s">
        <v>4638</v>
      </c>
      <c r="B308" s="515" t="s">
        <v>4638</v>
      </c>
      <c r="K308" s="71"/>
      <c r="AE308" s="512"/>
      <c r="AT308" s="472"/>
    </row>
    <row r="309" spans="1:46">
      <c r="A309" s="515" t="s">
        <v>1143</v>
      </c>
      <c r="B309" s="515" t="s">
        <v>1143</v>
      </c>
      <c r="K309" s="71"/>
      <c r="AE309" s="512"/>
      <c r="AT309" s="472"/>
    </row>
    <row r="310" spans="1:46">
      <c r="A310" s="515" t="s">
        <v>1890</v>
      </c>
      <c r="B310" s="515" t="s">
        <v>1890</v>
      </c>
      <c r="K310" s="71"/>
      <c r="AE310" s="512"/>
      <c r="AT310" s="472"/>
    </row>
    <row r="311" spans="1:46">
      <c r="A311" s="515" t="s">
        <v>1114</v>
      </c>
      <c r="B311" s="515" t="s">
        <v>1114</v>
      </c>
      <c r="K311" s="71"/>
      <c r="AE311" s="512"/>
      <c r="AT311" s="472"/>
    </row>
    <row r="312" spans="1:46">
      <c r="A312" s="515" t="s">
        <v>2284</v>
      </c>
      <c r="B312" s="515" t="s">
        <v>2284</v>
      </c>
      <c r="K312" s="71"/>
      <c r="AE312" s="512"/>
      <c r="AT312" s="472"/>
    </row>
    <row r="313" spans="1:46">
      <c r="A313" s="515" t="s">
        <v>1231</v>
      </c>
      <c r="B313" s="515" t="s">
        <v>1231</v>
      </c>
      <c r="K313" s="71"/>
      <c r="AE313" s="512"/>
      <c r="AT313" s="472"/>
    </row>
    <row r="314" spans="1:46">
      <c r="A314" s="515" t="s">
        <v>1148</v>
      </c>
      <c r="B314" s="515" t="s">
        <v>1148</v>
      </c>
      <c r="K314" s="71"/>
      <c r="AE314" s="512"/>
      <c r="AT314" s="472"/>
    </row>
    <row r="315" spans="1:46">
      <c r="A315" s="515" t="s">
        <v>451</v>
      </c>
      <c r="B315" s="515" t="s">
        <v>451</v>
      </c>
      <c r="K315" s="71"/>
      <c r="AE315" s="512"/>
      <c r="AT315" s="472"/>
    </row>
    <row r="316" spans="1:46">
      <c r="A316" s="515" t="s">
        <v>1106</v>
      </c>
      <c r="B316" s="515" t="s">
        <v>1106</v>
      </c>
      <c r="K316" s="71"/>
      <c r="AE316" s="512"/>
      <c r="AT316" s="472"/>
    </row>
    <row r="317" spans="1:46">
      <c r="A317" s="515" t="s">
        <v>2012</v>
      </c>
      <c r="B317" s="515" t="s">
        <v>2012</v>
      </c>
      <c r="K317" s="71"/>
      <c r="AE317" s="512"/>
      <c r="AT317" s="472"/>
    </row>
    <row r="318" spans="1:46">
      <c r="A318" s="515" t="s">
        <v>1154</v>
      </c>
      <c r="B318" s="515" t="s">
        <v>1154</v>
      </c>
      <c r="K318" s="71"/>
      <c r="AE318" s="512"/>
      <c r="AT318" s="472"/>
    </row>
    <row r="319" spans="1:46">
      <c r="A319" s="515" t="s">
        <v>1160</v>
      </c>
      <c r="B319" s="515" t="s">
        <v>1160</v>
      </c>
      <c r="K319" s="71"/>
      <c r="AE319" s="512"/>
      <c r="AT319" s="472"/>
    </row>
    <row r="320" spans="1:46">
      <c r="A320" s="515" t="s">
        <v>1165</v>
      </c>
      <c r="B320" s="515" t="s">
        <v>1165</v>
      </c>
      <c r="K320" s="71"/>
      <c r="AE320" s="512"/>
      <c r="AT320" s="472"/>
    </row>
    <row r="321" spans="1:46">
      <c r="A321" s="515" t="s">
        <v>2016</v>
      </c>
      <c r="B321" s="515" t="s">
        <v>2016</v>
      </c>
      <c r="K321" s="71"/>
      <c r="AE321" s="512"/>
      <c r="AT321" s="472"/>
    </row>
    <row r="322" spans="1:46">
      <c r="A322" s="515" t="s">
        <v>1170</v>
      </c>
      <c r="B322" s="515" t="s">
        <v>1170</v>
      </c>
      <c r="K322" s="71"/>
      <c r="AE322" s="512"/>
      <c r="AT322" s="472"/>
    </row>
    <row r="323" spans="1:46">
      <c r="A323" s="515" t="s">
        <v>4253</v>
      </c>
      <c r="B323" s="515" t="s">
        <v>4253</v>
      </c>
      <c r="K323" s="71"/>
      <c r="AE323" s="512"/>
      <c r="AT323" s="472"/>
    </row>
    <row r="324" spans="1:46">
      <c r="A324" s="515" t="s">
        <v>3098</v>
      </c>
      <c r="B324" s="515" t="s">
        <v>3098</v>
      </c>
      <c r="K324" s="71"/>
      <c r="AE324" s="512"/>
      <c r="AT324" s="472"/>
    </row>
    <row r="325" spans="1:46">
      <c r="A325" s="515" t="s">
        <v>3102</v>
      </c>
      <c r="B325" s="515" t="s">
        <v>3102</v>
      </c>
      <c r="K325" s="71"/>
      <c r="AE325" s="512"/>
      <c r="AT325" s="472"/>
    </row>
    <row r="326" spans="1:46">
      <c r="A326" s="515" t="s">
        <v>3108</v>
      </c>
      <c r="B326" s="515" t="s">
        <v>3108</v>
      </c>
      <c r="K326" s="71"/>
      <c r="AE326" s="512"/>
      <c r="AT326" s="472"/>
    </row>
    <row r="327" spans="1:46">
      <c r="A327" s="515" t="s">
        <v>3112</v>
      </c>
      <c r="B327" s="515" t="s">
        <v>3112</v>
      </c>
      <c r="K327" s="71"/>
      <c r="AE327" s="512"/>
      <c r="AT327" s="472"/>
    </row>
    <row r="328" spans="1:46">
      <c r="A328" s="515" t="s">
        <v>3117</v>
      </c>
      <c r="B328" s="515" t="s">
        <v>3117</v>
      </c>
      <c r="K328" s="71"/>
      <c r="AE328" s="512"/>
      <c r="AT328" s="472"/>
    </row>
    <row r="329" spans="1:46">
      <c r="A329" s="515" t="s">
        <v>3122</v>
      </c>
      <c r="B329" s="515" t="s">
        <v>3122</v>
      </c>
      <c r="K329" s="71"/>
      <c r="AE329" s="512"/>
      <c r="AT329" s="472"/>
    </row>
    <row r="330" spans="1:46">
      <c r="A330" s="515" t="s">
        <v>3127</v>
      </c>
      <c r="B330" s="515" t="s">
        <v>3127</v>
      </c>
      <c r="K330" s="71"/>
      <c r="AE330" s="512"/>
      <c r="AT330" s="472"/>
    </row>
    <row r="331" spans="1:46">
      <c r="A331" s="515" t="s">
        <v>2021</v>
      </c>
      <c r="B331" s="515" t="s">
        <v>2021</v>
      </c>
      <c r="K331" s="71"/>
      <c r="AE331" s="512"/>
      <c r="AT331" s="472"/>
    </row>
    <row r="332" spans="1:46">
      <c r="A332" s="515" t="s">
        <v>1236</v>
      </c>
      <c r="B332" s="515" t="s">
        <v>1236</v>
      </c>
      <c r="K332" s="71"/>
      <c r="AE332" s="512"/>
      <c r="AT332" s="472"/>
    </row>
    <row r="333" spans="1:46">
      <c r="A333" s="515" t="s">
        <v>1175</v>
      </c>
      <c r="B333" s="515" t="s">
        <v>1175</v>
      </c>
      <c r="K333" s="71"/>
      <c r="AE333" s="512"/>
      <c r="AT333" s="472"/>
    </row>
    <row r="334" spans="1:46">
      <c r="A334" s="515" t="s">
        <v>4622</v>
      </c>
      <c r="B334" s="515" t="s">
        <v>4622</v>
      </c>
      <c r="K334" s="71"/>
      <c r="AE334" s="512"/>
      <c r="AT334" s="472"/>
    </row>
    <row r="335" spans="1:46">
      <c r="A335" s="515" t="s">
        <v>1934</v>
      </c>
      <c r="B335" s="515" t="s">
        <v>1934</v>
      </c>
      <c r="K335" s="71"/>
      <c r="AE335" s="512"/>
      <c r="AT335" s="472"/>
    </row>
    <row r="336" spans="1:46">
      <c r="A336" s="515" t="s">
        <v>3132</v>
      </c>
      <c r="B336" s="515" t="s">
        <v>3132</v>
      </c>
      <c r="K336" s="71"/>
      <c r="AE336" s="512"/>
      <c r="AT336" s="472"/>
    </row>
    <row r="337" spans="1:46">
      <c r="A337" s="516" t="s">
        <v>840</v>
      </c>
      <c r="B337" s="516" t="s">
        <v>840</v>
      </c>
      <c r="K337" s="71"/>
      <c r="AE337" s="512"/>
      <c r="AT337" s="472"/>
    </row>
    <row r="338" spans="1:46">
      <c r="A338" s="55" t="s">
        <v>3138</v>
      </c>
      <c r="B338" s="55" t="s">
        <v>3138</v>
      </c>
      <c r="K338" s="71"/>
      <c r="AE338" s="512"/>
      <c r="AT338" s="472"/>
    </row>
    <row r="339" spans="1:46">
      <c r="A339" s="515" t="s">
        <v>1659</v>
      </c>
      <c r="B339" s="515" t="s">
        <v>1659</v>
      </c>
      <c r="K339" s="71"/>
      <c r="AE339" s="512"/>
      <c r="AT339" s="472"/>
    </row>
    <row r="340" spans="1:46">
      <c r="A340" s="515" t="s">
        <v>1180</v>
      </c>
      <c r="B340" s="515" t="s">
        <v>1180</v>
      </c>
      <c r="K340" s="71"/>
      <c r="AE340" s="512"/>
      <c r="AT340" s="472"/>
    </row>
    <row r="341" spans="1:46">
      <c r="A341" s="515" t="s">
        <v>1186</v>
      </c>
      <c r="B341" s="515" t="s">
        <v>1186</v>
      </c>
      <c r="K341" s="71"/>
      <c r="AE341" s="512"/>
      <c r="AT341" s="472"/>
    </row>
    <row r="342" spans="1:46">
      <c r="A342" s="515" t="s">
        <v>2026</v>
      </c>
      <c r="B342" s="515" t="s">
        <v>2026</v>
      </c>
      <c r="K342" s="71"/>
      <c r="AE342" s="512"/>
      <c r="AT342" s="472"/>
    </row>
    <row r="343" spans="1:46">
      <c r="A343" s="515" t="s">
        <v>3142</v>
      </c>
      <c r="B343" s="515" t="s">
        <v>3142</v>
      </c>
      <c r="K343" s="71"/>
      <c r="AE343" s="512"/>
      <c r="AT343" s="472"/>
    </row>
    <row r="344" spans="1:46">
      <c r="A344" s="515" t="s">
        <v>3147</v>
      </c>
      <c r="B344" s="515" t="s">
        <v>3147</v>
      </c>
      <c r="K344" s="71"/>
      <c r="AE344" s="512"/>
      <c r="AT344" s="472"/>
    </row>
    <row r="345" spans="1:46">
      <c r="A345" s="515" t="s">
        <v>3152</v>
      </c>
      <c r="B345" s="515" t="s">
        <v>3152</v>
      </c>
      <c r="K345" s="71"/>
      <c r="AE345" s="512"/>
      <c r="AT345" s="472"/>
    </row>
    <row r="346" spans="1:46">
      <c r="A346" s="515" t="s">
        <v>3157</v>
      </c>
      <c r="B346" s="515" t="s">
        <v>3157</v>
      </c>
      <c r="K346" s="71"/>
      <c r="AE346" s="512"/>
      <c r="AT346" s="472"/>
    </row>
    <row r="347" spans="1:46">
      <c r="A347" s="515" t="s">
        <v>3162</v>
      </c>
      <c r="B347" s="515" t="s">
        <v>3162</v>
      </c>
      <c r="K347" s="71"/>
      <c r="AE347" s="512"/>
      <c r="AT347" s="472"/>
    </row>
    <row r="348" spans="1:46">
      <c r="A348" s="515" t="s">
        <v>3167</v>
      </c>
      <c r="B348" s="515" t="s">
        <v>3167</v>
      </c>
      <c r="K348" s="71"/>
      <c r="AE348" s="512"/>
      <c r="AT348" s="472"/>
    </row>
    <row r="349" spans="1:46">
      <c r="A349" s="515" t="s">
        <v>3172</v>
      </c>
      <c r="B349" s="515" t="s">
        <v>3172</v>
      </c>
      <c r="K349" s="71"/>
      <c r="AE349" s="512"/>
      <c r="AT349" s="472"/>
    </row>
    <row r="350" spans="1:46">
      <c r="A350" s="515" t="s">
        <v>3178</v>
      </c>
      <c r="B350" s="515" t="s">
        <v>3178</v>
      </c>
      <c r="K350" s="71"/>
      <c r="AE350" s="512"/>
      <c r="AT350" s="472"/>
    </row>
    <row r="351" spans="1:46">
      <c r="A351" s="515" t="s">
        <v>1193</v>
      </c>
      <c r="B351" s="515" t="s">
        <v>1193</v>
      </c>
      <c r="K351" s="71"/>
      <c r="AE351" s="512"/>
      <c r="AT351" s="472"/>
    </row>
    <row r="352" spans="1:46">
      <c r="A352" s="515" t="s">
        <v>2811</v>
      </c>
      <c r="B352" s="515" t="s">
        <v>2811</v>
      </c>
      <c r="K352" s="71"/>
      <c r="AE352" s="512"/>
      <c r="AT352" s="472"/>
    </row>
    <row r="353" spans="1:46">
      <c r="A353" s="515" t="s">
        <v>1582</v>
      </c>
      <c r="B353" s="515" t="s">
        <v>1582</v>
      </c>
      <c r="K353" s="71"/>
      <c r="AE353" s="512"/>
      <c r="AT353" s="472"/>
    </row>
    <row r="354" spans="1:46">
      <c r="A354" s="515" t="s">
        <v>456</v>
      </c>
      <c r="B354" s="515" t="s">
        <v>456</v>
      </c>
      <c r="K354" s="71"/>
      <c r="AE354" s="512"/>
      <c r="AT354" s="472"/>
    </row>
    <row r="355" spans="1:46">
      <c r="A355" s="515" t="s">
        <v>465</v>
      </c>
      <c r="B355" s="515" t="s">
        <v>465</v>
      </c>
      <c r="K355" s="71"/>
      <c r="AE355" s="512"/>
      <c r="AT355" s="472"/>
    </row>
    <row r="356" spans="1:46">
      <c r="A356" s="515" t="s">
        <v>3182</v>
      </c>
      <c r="B356" s="515" t="s">
        <v>3182</v>
      </c>
      <c r="K356" s="71"/>
      <c r="AE356" s="512"/>
      <c r="AT356" s="472"/>
    </row>
    <row r="357" spans="1:46">
      <c r="A357" s="515" t="s">
        <v>3187</v>
      </c>
      <c r="B357" s="515" t="s">
        <v>3187</v>
      </c>
      <c r="K357" s="71"/>
      <c r="AE357" s="512"/>
      <c r="AT357" s="472"/>
    </row>
    <row r="358" spans="1:46">
      <c r="A358" s="515" t="s">
        <v>3192</v>
      </c>
      <c r="B358" s="515" t="s">
        <v>3192</v>
      </c>
      <c r="K358" s="71"/>
      <c r="AE358" s="512"/>
      <c r="AT358" s="472"/>
    </row>
    <row r="359" spans="1:46">
      <c r="A359" s="515" t="s">
        <v>3198</v>
      </c>
      <c r="B359" s="515" t="s">
        <v>3198</v>
      </c>
      <c r="K359" s="71"/>
      <c r="AE359" s="512"/>
      <c r="AT359" s="472"/>
    </row>
    <row r="360" spans="1:46">
      <c r="A360" s="515" t="s">
        <v>2839</v>
      </c>
      <c r="B360" s="515" t="s">
        <v>2839</v>
      </c>
      <c r="K360" s="71"/>
      <c r="AE360" s="512"/>
      <c r="AT360" s="472"/>
    </row>
    <row r="361" spans="1:46">
      <c r="A361" s="515" t="s">
        <v>1198</v>
      </c>
      <c r="B361" s="515" t="s">
        <v>1198</v>
      </c>
      <c r="K361" s="71"/>
      <c r="AE361" s="512"/>
      <c r="AT361" s="472"/>
    </row>
    <row r="362" spans="1:46">
      <c r="A362" s="515" t="s">
        <v>1204</v>
      </c>
      <c r="B362" s="515" t="s">
        <v>1204</v>
      </c>
      <c r="K362" s="71"/>
      <c r="AE362" s="512"/>
      <c r="AT362" s="472"/>
    </row>
    <row r="363" spans="1:46">
      <c r="A363" s="515" t="s">
        <v>4626</v>
      </c>
      <c r="B363" s="515" t="s">
        <v>4626</v>
      </c>
      <c r="K363" s="71"/>
      <c r="AE363" s="512"/>
      <c r="AT363" s="472"/>
    </row>
    <row r="364" spans="1:46">
      <c r="A364" s="515" t="s">
        <v>1209</v>
      </c>
      <c r="B364" s="515" t="s">
        <v>1209</v>
      </c>
      <c r="K364" s="71"/>
      <c r="AE364" s="512"/>
      <c r="AT364" s="472"/>
    </row>
    <row r="365" spans="1:46">
      <c r="A365" s="515" t="s">
        <v>623</v>
      </c>
      <c r="B365" s="515" t="s">
        <v>623</v>
      </c>
      <c r="K365" s="71"/>
      <c r="AE365" s="512"/>
      <c r="AT365" s="472"/>
    </row>
    <row r="366" spans="1:46">
      <c r="A366" s="515" t="s">
        <v>483</v>
      </c>
      <c r="B366" s="515" t="s">
        <v>483</v>
      </c>
      <c r="K366" s="71"/>
      <c r="AE366" s="512"/>
      <c r="AT366" s="472"/>
    </row>
    <row r="367" spans="1:46">
      <c r="A367" s="517" t="s">
        <v>1215</v>
      </c>
      <c r="B367" s="517" t="s">
        <v>1215</v>
      </c>
      <c r="K367" s="71"/>
      <c r="AE367" s="512"/>
      <c r="AT367" s="472"/>
    </row>
    <row r="368" spans="1:46">
      <c r="A368" s="517" t="s">
        <v>2817</v>
      </c>
      <c r="B368" s="517" t="s">
        <v>2817</v>
      </c>
      <c r="K368" s="71"/>
      <c r="AE368" s="512"/>
      <c r="AT368" s="472"/>
    </row>
    <row r="369" spans="1:46">
      <c r="A369" s="517" t="s">
        <v>2031</v>
      </c>
      <c r="B369" s="517" t="s">
        <v>2031</v>
      </c>
      <c r="K369" s="71"/>
      <c r="AE369" s="512"/>
      <c r="AT369" s="472"/>
    </row>
    <row r="370" spans="1:46">
      <c r="A370" s="517" t="s">
        <v>2821</v>
      </c>
      <c r="B370" s="517" t="s">
        <v>2821</v>
      </c>
      <c r="K370" s="71"/>
      <c r="AE370" s="512"/>
      <c r="AT370" s="472"/>
    </row>
    <row r="371" spans="1:46">
      <c r="A371" s="517" t="s">
        <v>2826</v>
      </c>
      <c r="B371" s="517" t="s">
        <v>2826</v>
      </c>
      <c r="K371" s="71"/>
      <c r="AE371" s="512"/>
      <c r="AT371" s="472"/>
    </row>
    <row r="372" spans="1:46">
      <c r="A372" s="517" t="s">
        <v>1274</v>
      </c>
      <c r="B372" s="517" t="s">
        <v>1274</v>
      </c>
      <c r="K372" s="71"/>
      <c r="AE372" s="512"/>
      <c r="AT372" s="472"/>
    </row>
    <row r="373" spans="1:46">
      <c r="A373" s="517" t="s">
        <v>2831</v>
      </c>
      <c r="B373" s="517" t="s">
        <v>2831</v>
      </c>
      <c r="K373" s="71"/>
      <c r="AE373" s="512"/>
      <c r="AT373" s="472"/>
    </row>
    <row r="374" spans="1:46">
      <c r="A374" s="517" t="s">
        <v>2835</v>
      </c>
      <c r="B374" s="517" t="s">
        <v>2835</v>
      </c>
      <c r="K374" s="71"/>
      <c r="AE374" s="512"/>
      <c r="AT374" s="472"/>
    </row>
    <row r="375" spans="1:46">
      <c r="A375" s="517" t="s">
        <v>2036</v>
      </c>
      <c r="B375" s="517" t="s">
        <v>2036</v>
      </c>
      <c r="K375" s="71"/>
      <c r="AE375" s="512"/>
      <c r="AT375" s="472"/>
    </row>
    <row r="376" spans="1:46">
      <c r="A376" s="517" t="s">
        <v>3203</v>
      </c>
      <c r="B376" s="517" t="s">
        <v>3203</v>
      </c>
      <c r="K376" s="71"/>
      <c r="AE376" s="512"/>
      <c r="AT376" s="472"/>
    </row>
    <row r="377" spans="1:46">
      <c r="A377" s="517" t="s">
        <v>3207</v>
      </c>
      <c r="B377" s="517" t="s">
        <v>3207</v>
      </c>
      <c r="K377" s="71"/>
      <c r="AE377" s="512"/>
      <c r="AT377" s="472"/>
    </row>
    <row r="378" spans="1:46">
      <c r="A378" s="517" t="s">
        <v>1279</v>
      </c>
      <c r="B378" s="517" t="s">
        <v>1279</v>
      </c>
      <c r="K378" s="71"/>
      <c r="AE378" s="512"/>
      <c r="AT378" s="472"/>
    </row>
    <row r="379" spans="1:46">
      <c r="A379" s="517" t="s">
        <v>794</v>
      </c>
      <c r="B379" s="517" t="s">
        <v>794</v>
      </c>
      <c r="K379" s="71"/>
      <c r="AE379" s="512"/>
      <c r="AT379" s="472"/>
    </row>
    <row r="380" spans="1:46">
      <c r="A380" s="517" t="s">
        <v>4650</v>
      </c>
      <c r="B380" s="517" t="s">
        <v>4650</v>
      </c>
      <c r="K380" s="71"/>
      <c r="AE380" s="512"/>
      <c r="AT380" s="472"/>
    </row>
    <row r="381" spans="1:46">
      <c r="A381" s="517" t="s">
        <v>1895</v>
      </c>
      <c r="B381" s="517" t="s">
        <v>1895</v>
      </c>
      <c r="K381" s="71"/>
      <c r="AE381" s="512"/>
      <c r="AT381" s="472"/>
    </row>
    <row r="382" spans="1:46">
      <c r="A382" s="517" t="s">
        <v>3212</v>
      </c>
      <c r="B382" s="517" t="s">
        <v>3212</v>
      </c>
      <c r="K382" s="71"/>
      <c r="AE382" s="512"/>
      <c r="AT382" s="472"/>
    </row>
    <row r="383" spans="1:46">
      <c r="A383" s="517" t="s">
        <v>3216</v>
      </c>
      <c r="B383" s="517" t="s">
        <v>3216</v>
      </c>
      <c r="K383" s="71"/>
      <c r="AE383" s="512"/>
      <c r="AT383" s="472"/>
    </row>
    <row r="384" spans="1:46">
      <c r="A384" s="517" t="s">
        <v>3220</v>
      </c>
      <c r="B384" s="517" t="s">
        <v>3220</v>
      </c>
      <c r="K384" s="71"/>
      <c r="AE384" s="512"/>
      <c r="AT384" s="472"/>
    </row>
    <row r="385" spans="1:46">
      <c r="A385" s="517" t="s">
        <v>3225</v>
      </c>
      <c r="B385" s="517" t="s">
        <v>3225</v>
      </c>
      <c r="K385" s="71"/>
      <c r="AE385" s="512"/>
      <c r="AT385" s="472"/>
    </row>
    <row r="386" spans="1:46">
      <c r="A386" s="517" t="s">
        <v>3230</v>
      </c>
      <c r="B386" s="517" t="s">
        <v>3230</v>
      </c>
      <c r="K386" s="71"/>
      <c r="AE386" s="512"/>
      <c r="AT386" s="472"/>
    </row>
    <row r="387" spans="1:46">
      <c r="A387" s="517" t="s">
        <v>4700</v>
      </c>
      <c r="B387" s="517" t="s">
        <v>4700</v>
      </c>
      <c r="K387" s="71"/>
      <c r="AE387" s="512"/>
      <c r="AT387" s="472"/>
    </row>
    <row r="388" spans="1:46">
      <c r="A388" s="517" t="s">
        <v>3234</v>
      </c>
      <c r="B388" s="517" t="s">
        <v>3234</v>
      </c>
      <c r="K388" s="71"/>
      <c r="AE388" s="512"/>
      <c r="AT388" s="472"/>
    </row>
    <row r="389" spans="1:46">
      <c r="A389" s="517" t="s">
        <v>538</v>
      </c>
      <c r="B389" s="517" t="s">
        <v>538</v>
      </c>
      <c r="K389" s="71"/>
      <c r="AE389" s="512"/>
      <c r="AT389" s="472"/>
    </row>
    <row r="390" spans="1:46">
      <c r="A390" s="517" t="s">
        <v>3239</v>
      </c>
      <c r="B390" s="517" t="s">
        <v>3239</v>
      </c>
      <c r="K390" s="71"/>
      <c r="AE390" s="512"/>
      <c r="AT390" s="472"/>
    </row>
    <row r="391" spans="1:46">
      <c r="A391" s="517" t="s">
        <v>1901</v>
      </c>
      <c r="B391" s="517" t="s">
        <v>1901</v>
      </c>
      <c r="K391" s="71"/>
      <c r="AE391" s="512"/>
      <c r="AT391" s="472"/>
    </row>
    <row r="392" spans="1:46">
      <c r="A392" s="517" t="s">
        <v>3244</v>
      </c>
      <c r="B392" s="517" t="s">
        <v>3244</v>
      </c>
      <c r="K392" s="71"/>
      <c r="AE392" s="512"/>
      <c r="AT392" s="472"/>
    </row>
    <row r="393" spans="1:46">
      <c r="A393" s="517" t="s">
        <v>3249</v>
      </c>
      <c r="B393" s="517" t="s">
        <v>3249</v>
      </c>
      <c r="K393" s="71"/>
      <c r="AE393" s="512"/>
      <c r="AT393" s="472"/>
    </row>
    <row r="394" spans="1:46">
      <c r="A394" s="517" t="s">
        <v>3253</v>
      </c>
      <c r="B394" s="517" t="s">
        <v>3253</v>
      </c>
      <c r="K394" s="71"/>
      <c r="AE394" s="512"/>
      <c r="AT394" s="472"/>
    </row>
    <row r="395" spans="1:46">
      <c r="A395" s="517" t="s">
        <v>3258</v>
      </c>
      <c r="B395" s="517" t="s">
        <v>3258</v>
      </c>
      <c r="K395" s="71"/>
      <c r="AE395" s="512"/>
      <c r="AT395" s="472"/>
    </row>
    <row r="396" spans="1:46">
      <c r="A396" s="517" t="s">
        <v>3263</v>
      </c>
      <c r="B396" s="517" t="s">
        <v>3263</v>
      </c>
      <c r="K396" s="71"/>
      <c r="AE396" s="512"/>
      <c r="AT396" s="472"/>
    </row>
    <row r="397" spans="1:46">
      <c r="A397" s="517" t="s">
        <v>3269</v>
      </c>
      <c r="B397" s="517" t="s">
        <v>3269</v>
      </c>
      <c r="K397" s="71"/>
      <c r="AE397" s="512"/>
      <c r="AT397" s="472"/>
    </row>
    <row r="398" spans="1:46">
      <c r="A398" s="517" t="s">
        <v>3273</v>
      </c>
      <c r="B398" s="517" t="s">
        <v>3273</v>
      </c>
      <c r="K398" s="71"/>
      <c r="AE398" s="512"/>
      <c r="AT398" s="472"/>
    </row>
    <row r="399" spans="1:46">
      <c r="A399" s="517" t="s">
        <v>3277</v>
      </c>
      <c r="B399" s="517" t="s">
        <v>3277</v>
      </c>
      <c r="K399" s="71"/>
      <c r="AE399" s="512"/>
      <c r="AT399" s="472"/>
    </row>
    <row r="400" spans="1:46">
      <c r="A400" s="517" t="s">
        <v>3281</v>
      </c>
      <c r="B400" s="517" t="s">
        <v>3281</v>
      </c>
      <c r="K400" s="71"/>
      <c r="AE400" s="512"/>
      <c r="AT400" s="472"/>
    </row>
    <row r="401" spans="1:46">
      <c r="A401" s="517" t="s">
        <v>3286</v>
      </c>
      <c r="B401" s="517" t="s">
        <v>3286</v>
      </c>
      <c r="K401" s="71"/>
      <c r="AE401" s="512"/>
      <c r="AT401" s="472"/>
    </row>
    <row r="402" spans="1:46">
      <c r="A402" s="517" t="s">
        <v>3292</v>
      </c>
      <c r="B402" s="517" t="s">
        <v>3292</v>
      </c>
      <c r="K402" s="71"/>
      <c r="AE402" s="512"/>
      <c r="AT402" s="472"/>
    </row>
    <row r="403" spans="1:46">
      <c r="A403" s="517" t="s">
        <v>3296</v>
      </c>
      <c r="B403" s="517" t="s">
        <v>3296</v>
      </c>
      <c r="K403" s="71"/>
      <c r="AE403" s="512"/>
      <c r="AT403" s="472"/>
    </row>
    <row r="404" spans="1:46">
      <c r="A404" s="517" t="s">
        <v>3301</v>
      </c>
      <c r="B404" s="517" t="s">
        <v>3301</v>
      </c>
      <c r="K404" s="71"/>
      <c r="AE404" s="512"/>
      <c r="AT404" s="472"/>
    </row>
    <row r="405" spans="1:46">
      <c r="A405" s="517" t="s">
        <v>3306</v>
      </c>
      <c r="B405" s="517" t="s">
        <v>3306</v>
      </c>
      <c r="K405" s="71"/>
      <c r="AE405" s="512"/>
      <c r="AT405" s="472"/>
    </row>
    <row r="406" spans="1:46">
      <c r="A406" s="517" t="s">
        <v>3311</v>
      </c>
      <c r="B406" s="517" t="s">
        <v>3311</v>
      </c>
      <c r="K406" s="71"/>
      <c r="AE406" s="512"/>
      <c r="AT406" s="472"/>
    </row>
    <row r="407" spans="1:46">
      <c r="A407" s="517" t="s">
        <v>3316</v>
      </c>
      <c r="B407" s="517" t="s">
        <v>3316</v>
      </c>
      <c r="K407" s="71"/>
      <c r="AE407" s="512"/>
      <c r="AT407" s="472"/>
    </row>
    <row r="408" spans="1:46">
      <c r="A408" s="517" t="s">
        <v>4703</v>
      </c>
      <c r="B408" s="517" t="s">
        <v>4703</v>
      </c>
      <c r="K408" s="71"/>
      <c r="AE408" s="512"/>
      <c r="AT408" s="472"/>
    </row>
    <row r="409" spans="1:46">
      <c r="A409" s="517" t="s">
        <v>3823</v>
      </c>
      <c r="B409" s="517" t="s">
        <v>3823</v>
      </c>
      <c r="K409" s="71"/>
      <c r="AE409" s="512"/>
      <c r="AT409" s="472"/>
    </row>
    <row r="410" spans="1:46">
      <c r="A410" s="517" t="s">
        <v>4312</v>
      </c>
      <c r="B410" s="517" t="s">
        <v>4312</v>
      </c>
      <c r="K410" s="71"/>
      <c r="AE410" s="512"/>
      <c r="AT410" s="472"/>
    </row>
    <row r="411" spans="1:46">
      <c r="A411" s="517" t="s">
        <v>4706</v>
      </c>
      <c r="B411" s="517" t="s">
        <v>4706</v>
      </c>
      <c r="K411" s="71"/>
      <c r="AE411" s="512"/>
      <c r="AT411" s="472"/>
    </row>
    <row r="412" spans="1:46">
      <c r="A412" s="517" t="s">
        <v>4315</v>
      </c>
      <c r="B412" s="517" t="s">
        <v>4315</v>
      </c>
      <c r="K412" s="71"/>
      <c r="AE412" s="512"/>
      <c r="AT412" s="472"/>
    </row>
    <row r="413" spans="1:46">
      <c r="A413" s="517" t="s">
        <v>4709</v>
      </c>
      <c r="B413" s="517" t="s">
        <v>4709</v>
      </c>
      <c r="K413" s="71"/>
      <c r="AE413" s="512"/>
      <c r="AT413" s="472"/>
    </row>
    <row r="414" spans="1:46">
      <c r="A414" s="517" t="s">
        <v>4318</v>
      </c>
      <c r="B414" s="517" t="s">
        <v>4318</v>
      </c>
      <c r="K414" s="71"/>
      <c r="AE414" s="512"/>
      <c r="AT414" s="472"/>
    </row>
    <row r="415" spans="1:46">
      <c r="A415" s="517" t="s">
        <v>3827</v>
      </c>
      <c r="B415" s="517" t="s">
        <v>3827</v>
      </c>
      <c r="K415" s="71"/>
      <c r="AE415" s="512"/>
      <c r="AT415" s="472"/>
    </row>
    <row r="416" spans="1:46">
      <c r="A416" s="517" t="s">
        <v>3833</v>
      </c>
      <c r="B416" s="517" t="s">
        <v>3833</v>
      </c>
      <c r="K416" s="71"/>
      <c r="AE416" s="512"/>
      <c r="AT416" s="472"/>
    </row>
    <row r="417" spans="1:46">
      <c r="A417" s="517" t="s">
        <v>3322</v>
      </c>
      <c r="B417" s="517" t="s">
        <v>3322</v>
      </c>
      <c r="K417" s="71"/>
      <c r="AE417" s="512"/>
      <c r="AT417" s="472"/>
    </row>
    <row r="418" spans="1:46">
      <c r="A418" s="517" t="s">
        <v>3326</v>
      </c>
      <c r="B418" s="517" t="s">
        <v>3326</v>
      </c>
      <c r="K418" s="71"/>
      <c r="AE418" s="512"/>
      <c r="AT418" s="472"/>
    </row>
    <row r="419" spans="1:46">
      <c r="A419" s="517" t="s">
        <v>3330</v>
      </c>
      <c r="B419" s="517" t="s">
        <v>3330</v>
      </c>
      <c r="K419" s="71"/>
      <c r="AE419" s="512"/>
      <c r="AT419" s="472"/>
    </row>
    <row r="420" spans="1:46">
      <c r="A420" s="517" t="s">
        <v>3334</v>
      </c>
      <c r="B420" s="517" t="s">
        <v>3334</v>
      </c>
      <c r="K420" s="71"/>
      <c r="AE420" s="512"/>
      <c r="AT420" s="472"/>
    </row>
    <row r="421" spans="1:46">
      <c r="A421" s="517" t="s">
        <v>4432</v>
      </c>
      <c r="B421" s="517" t="s">
        <v>4432</v>
      </c>
      <c r="K421" s="71"/>
      <c r="AE421" s="512"/>
      <c r="AT421" s="472"/>
    </row>
    <row r="422" spans="1:46">
      <c r="A422" s="517" t="s">
        <v>3339</v>
      </c>
      <c r="B422" s="517" t="s">
        <v>3339</v>
      </c>
      <c r="K422" s="71"/>
      <c r="AE422" s="512"/>
      <c r="AT422" s="472"/>
    </row>
    <row r="423" spans="1:46">
      <c r="A423" s="517" t="s">
        <v>3344</v>
      </c>
      <c r="B423" s="517" t="s">
        <v>3344</v>
      </c>
      <c r="K423" s="71"/>
      <c r="AE423" s="512"/>
      <c r="AT423" s="472"/>
    </row>
    <row r="424" spans="1:46">
      <c r="A424" s="517" t="s">
        <v>3349</v>
      </c>
      <c r="B424" s="517" t="s">
        <v>3349</v>
      </c>
      <c r="K424" s="71"/>
      <c r="AE424" s="512"/>
      <c r="AT424" s="472"/>
    </row>
    <row r="425" spans="1:46">
      <c r="A425" s="517" t="s">
        <v>3354</v>
      </c>
      <c r="B425" s="517" t="s">
        <v>3354</v>
      </c>
      <c r="K425" s="71"/>
      <c r="AE425" s="512"/>
      <c r="AT425" s="472"/>
    </row>
    <row r="426" spans="1:46">
      <c r="A426" s="517" t="s">
        <v>3359</v>
      </c>
      <c r="B426" s="517" t="s">
        <v>3359</v>
      </c>
      <c r="K426" s="71"/>
      <c r="AE426" s="512"/>
      <c r="AT426" s="472"/>
    </row>
    <row r="427" spans="1:46">
      <c r="A427" s="517" t="s">
        <v>3363</v>
      </c>
      <c r="B427" s="517" t="s">
        <v>3363</v>
      </c>
      <c r="K427" s="71"/>
      <c r="AE427" s="512"/>
      <c r="AT427" s="472"/>
    </row>
    <row r="428" spans="1:46">
      <c r="A428" s="517" t="s">
        <v>3368</v>
      </c>
      <c r="B428" s="517" t="s">
        <v>3368</v>
      </c>
      <c r="K428" s="71"/>
      <c r="AE428" s="512"/>
      <c r="AT428" s="472"/>
    </row>
    <row r="429" spans="1:46">
      <c r="A429" s="517" t="s">
        <v>3372</v>
      </c>
      <c r="B429" s="517" t="s">
        <v>3372</v>
      </c>
      <c r="K429" s="71"/>
      <c r="AE429" s="512"/>
      <c r="AT429" s="472"/>
    </row>
    <row r="430" spans="1:46">
      <c r="A430" s="517" t="s">
        <v>3378</v>
      </c>
      <c r="B430" s="517" t="s">
        <v>3378</v>
      </c>
      <c r="K430" s="71"/>
      <c r="AE430" s="512"/>
      <c r="AT430" s="472"/>
    </row>
    <row r="431" spans="1:46">
      <c r="A431" s="517" t="s">
        <v>3383</v>
      </c>
      <c r="B431" s="517" t="s">
        <v>3383</v>
      </c>
      <c r="K431" s="71"/>
      <c r="AE431" s="512"/>
      <c r="AT431" s="472"/>
    </row>
    <row r="432" spans="1:46">
      <c r="A432" s="517" t="s">
        <v>3388</v>
      </c>
      <c r="B432" s="517" t="s">
        <v>3388</v>
      </c>
      <c r="K432" s="71"/>
      <c r="AE432" s="512"/>
      <c r="AT432" s="472"/>
    </row>
    <row r="433" spans="1:46">
      <c r="A433" s="517" t="s">
        <v>3392</v>
      </c>
      <c r="B433" s="517" t="s">
        <v>3392</v>
      </c>
      <c r="K433" s="71"/>
      <c r="AE433" s="512"/>
      <c r="AT433" s="472"/>
    </row>
    <row r="434" spans="1:46">
      <c r="A434" s="517" t="s">
        <v>1853</v>
      </c>
      <c r="B434" s="517" t="s">
        <v>1853</v>
      </c>
      <c r="K434" s="71"/>
      <c r="AE434" s="512"/>
      <c r="AT434" s="472"/>
    </row>
    <row r="435" spans="1:46">
      <c r="A435" s="517" t="s">
        <v>3397</v>
      </c>
      <c r="B435" s="517" t="s">
        <v>3397</v>
      </c>
      <c r="K435" s="71"/>
      <c r="AE435" s="512"/>
      <c r="AT435" s="472"/>
    </row>
    <row r="436" spans="1:46">
      <c r="A436" s="517" t="s">
        <v>3401</v>
      </c>
      <c r="B436" s="517" t="s">
        <v>3401</v>
      </c>
      <c r="K436" s="71"/>
      <c r="AE436" s="512"/>
      <c r="AT436" s="472"/>
    </row>
    <row r="437" spans="1:46">
      <c r="A437" s="517" t="s">
        <v>543</v>
      </c>
      <c r="B437" s="517" t="s">
        <v>543</v>
      </c>
      <c r="K437" s="71"/>
      <c r="AE437" s="512"/>
      <c r="AT437" s="472"/>
    </row>
    <row r="438" spans="1:46">
      <c r="A438" s="517" t="s">
        <v>3406</v>
      </c>
      <c r="B438" s="517" t="s">
        <v>3406</v>
      </c>
      <c r="K438" s="71"/>
      <c r="AE438" s="512"/>
      <c r="AT438" s="472"/>
    </row>
    <row r="439" spans="1:46">
      <c r="A439" s="517" t="s">
        <v>3411</v>
      </c>
      <c r="B439" s="517" t="s">
        <v>3411</v>
      </c>
      <c r="K439" s="71"/>
      <c r="AE439" s="512"/>
      <c r="AT439" s="472"/>
    </row>
    <row r="440" spans="1:46">
      <c r="A440" s="517" t="s">
        <v>3416</v>
      </c>
      <c r="B440" s="517" t="s">
        <v>3416</v>
      </c>
      <c r="K440" s="71"/>
      <c r="AE440" s="512"/>
      <c r="AT440" s="472"/>
    </row>
    <row r="441" spans="1:46">
      <c r="A441" s="517" t="s">
        <v>549</v>
      </c>
      <c r="B441" s="517" t="s">
        <v>549</v>
      </c>
      <c r="K441" s="71"/>
      <c r="AE441" s="512"/>
      <c r="AT441" s="472"/>
    </row>
    <row r="442" spans="1:46">
      <c r="A442" s="517" t="s">
        <v>3421</v>
      </c>
      <c r="B442" s="517" t="s">
        <v>3421</v>
      </c>
      <c r="K442" s="71"/>
      <c r="AE442" s="512"/>
      <c r="AT442" s="472"/>
    </row>
    <row r="443" spans="1:46">
      <c r="A443" s="517" t="s">
        <v>3426</v>
      </c>
      <c r="B443" s="517" t="s">
        <v>3426</v>
      </c>
      <c r="K443" s="71"/>
      <c r="AE443" s="512"/>
      <c r="AT443" s="472"/>
    </row>
    <row r="444" spans="1:46">
      <c r="A444" s="517" t="s">
        <v>3431</v>
      </c>
      <c r="B444" s="517" t="s">
        <v>3431</v>
      </c>
      <c r="K444" s="71"/>
      <c r="AE444" s="512"/>
      <c r="AT444" s="472"/>
    </row>
    <row r="445" spans="1:46">
      <c r="A445" s="517" t="s">
        <v>3436</v>
      </c>
      <c r="B445" s="517" t="s">
        <v>3436</v>
      </c>
      <c r="K445" s="71"/>
      <c r="AE445" s="512"/>
      <c r="AT445" s="472"/>
    </row>
    <row r="446" spans="1:46">
      <c r="A446" s="517" t="s">
        <v>3440</v>
      </c>
      <c r="B446" s="517" t="s">
        <v>3440</v>
      </c>
      <c r="K446" s="71"/>
      <c r="AE446" s="512"/>
      <c r="AT446" s="472"/>
    </row>
    <row r="447" spans="1:46">
      <c r="A447" s="517" t="s">
        <v>3445</v>
      </c>
      <c r="B447" s="517" t="s">
        <v>3445</v>
      </c>
      <c r="K447" s="71"/>
      <c r="AE447" s="512"/>
      <c r="AT447" s="472"/>
    </row>
    <row r="448" spans="1:46">
      <c r="A448" s="517" t="s">
        <v>2046</v>
      </c>
      <c r="B448" s="517" t="s">
        <v>2046</v>
      </c>
      <c r="K448" s="71"/>
      <c r="AE448" s="512"/>
      <c r="AT448" s="472"/>
    </row>
    <row r="449" spans="1:46">
      <c r="A449" s="517" t="s">
        <v>3450</v>
      </c>
      <c r="B449" s="517" t="s">
        <v>3450</v>
      </c>
      <c r="K449" s="71"/>
      <c r="AE449" s="512"/>
      <c r="AT449" s="472"/>
    </row>
    <row r="450" spans="1:46">
      <c r="A450" s="517" t="s">
        <v>3455</v>
      </c>
      <c r="B450" s="517" t="s">
        <v>3455</v>
      </c>
      <c r="K450" s="71"/>
      <c r="AE450" s="512"/>
      <c r="AT450" s="472"/>
    </row>
    <row r="451" spans="1:46">
      <c r="A451" s="517" t="s">
        <v>3459</v>
      </c>
      <c r="B451" s="517" t="s">
        <v>3459</v>
      </c>
      <c r="K451" s="71"/>
      <c r="AE451" s="512"/>
      <c r="AT451" s="472"/>
    </row>
    <row r="452" spans="1:46">
      <c r="A452" s="517" t="s">
        <v>3464</v>
      </c>
      <c r="B452" s="517" t="s">
        <v>3464</v>
      </c>
      <c r="K452" s="71"/>
      <c r="AE452" s="512"/>
      <c r="AT452" s="472"/>
    </row>
    <row r="453" spans="1:46">
      <c r="A453" s="517" t="s">
        <v>3469</v>
      </c>
      <c r="B453" s="517" t="s">
        <v>3469</v>
      </c>
      <c r="K453" s="71"/>
      <c r="AE453" s="512"/>
      <c r="AT453" s="472"/>
    </row>
    <row r="454" spans="1:46">
      <c r="A454" s="517" t="s">
        <v>3474</v>
      </c>
      <c r="B454" s="517" t="s">
        <v>3474</v>
      </c>
      <c r="K454" s="71"/>
      <c r="AE454" s="512"/>
      <c r="AT454" s="472"/>
    </row>
    <row r="455" spans="1:46">
      <c r="A455" s="517" t="s">
        <v>3479</v>
      </c>
      <c r="B455" s="517" t="s">
        <v>3479</v>
      </c>
      <c r="K455" s="71"/>
      <c r="AE455" s="512"/>
      <c r="AT455" s="472"/>
    </row>
    <row r="456" spans="1:46">
      <c r="A456" s="517" t="s">
        <v>3484</v>
      </c>
      <c r="B456" s="517" t="s">
        <v>3484</v>
      </c>
      <c r="K456" s="71"/>
      <c r="AE456" s="512"/>
      <c r="AT456" s="472"/>
    </row>
    <row r="457" spans="1:46">
      <c r="A457" s="517" t="s">
        <v>3489</v>
      </c>
      <c r="B457" s="517" t="s">
        <v>3489</v>
      </c>
      <c r="K457" s="71"/>
      <c r="AE457" s="512"/>
      <c r="AT457" s="472"/>
    </row>
    <row r="458" spans="1:46">
      <c r="A458" s="517" t="s">
        <v>846</v>
      </c>
      <c r="B458" s="517" t="s">
        <v>846</v>
      </c>
      <c r="K458" s="71"/>
      <c r="AE458" s="512"/>
      <c r="AT458" s="472"/>
    </row>
    <row r="459" spans="1:46">
      <c r="A459" s="517" t="s">
        <v>1808</v>
      </c>
      <c r="B459" s="517" t="s">
        <v>1808</v>
      </c>
      <c r="K459" s="71"/>
      <c r="AE459" s="512"/>
      <c r="AT459" s="472"/>
    </row>
    <row r="460" spans="1:46">
      <c r="A460" s="517" t="s">
        <v>3493</v>
      </c>
      <c r="B460" s="517" t="s">
        <v>3493</v>
      </c>
      <c r="K460" s="71"/>
      <c r="AE460" s="512"/>
      <c r="AT460" s="472"/>
    </row>
    <row r="461" spans="1:46">
      <c r="A461" s="517" t="s">
        <v>1906</v>
      </c>
      <c r="B461" s="517" t="s">
        <v>1906</v>
      </c>
      <c r="K461" s="71"/>
      <c r="AE461" s="512"/>
      <c r="AT461" s="472"/>
    </row>
    <row r="462" spans="1:46">
      <c r="A462" s="517" t="s">
        <v>3498</v>
      </c>
      <c r="B462" s="517" t="s">
        <v>3498</v>
      </c>
      <c r="K462" s="71"/>
      <c r="AE462" s="512"/>
      <c r="AT462" s="472"/>
    </row>
    <row r="463" spans="1:46">
      <c r="A463" s="517" t="s">
        <v>3503</v>
      </c>
      <c r="B463" s="517" t="s">
        <v>3503</v>
      </c>
      <c r="K463" s="71"/>
      <c r="AE463" s="512"/>
      <c r="AT463" s="472"/>
    </row>
    <row r="464" spans="1:46">
      <c r="A464" s="517" t="s">
        <v>2295</v>
      </c>
      <c r="B464" s="517" t="s">
        <v>2295</v>
      </c>
      <c r="K464" s="71"/>
      <c r="AE464" s="512"/>
      <c r="AT464" s="472"/>
    </row>
    <row r="465" spans="1:46">
      <c r="A465" s="517" t="s">
        <v>3508</v>
      </c>
      <c r="B465" s="517" t="s">
        <v>3508</v>
      </c>
      <c r="K465" s="71"/>
      <c r="AE465" s="512"/>
      <c r="AT465" s="472"/>
    </row>
    <row r="466" spans="1:46">
      <c r="A466" s="517" t="s">
        <v>3513</v>
      </c>
      <c r="B466" s="517" t="s">
        <v>3513</v>
      </c>
      <c r="K466" s="71"/>
      <c r="AE466" s="512"/>
      <c r="AT466" s="472"/>
    </row>
    <row r="467" spans="1:46">
      <c r="A467" s="517" t="s">
        <v>3518</v>
      </c>
      <c r="B467" s="517" t="s">
        <v>3518</v>
      </c>
      <c r="K467" s="71"/>
      <c r="AE467" s="512"/>
      <c r="AT467" s="472"/>
    </row>
    <row r="468" spans="1:46">
      <c r="A468" s="517" t="s">
        <v>3524</v>
      </c>
      <c r="B468" s="517" t="s">
        <v>3524</v>
      </c>
      <c r="K468" s="71"/>
      <c r="AE468" s="512"/>
      <c r="AT468" s="472"/>
    </row>
    <row r="469" spans="1:46">
      <c r="A469" s="517" t="s">
        <v>3528</v>
      </c>
      <c r="B469" s="517" t="s">
        <v>3528</v>
      </c>
      <c r="K469" s="71"/>
      <c r="AE469" s="512"/>
      <c r="AT469" s="472"/>
    </row>
    <row r="470" spans="1:46">
      <c r="A470" s="517" t="s">
        <v>3533</v>
      </c>
      <c r="B470" s="517" t="s">
        <v>3533</v>
      </c>
      <c r="K470" s="71"/>
      <c r="AE470" s="512"/>
      <c r="AT470" s="472"/>
    </row>
    <row r="471" spans="1:46">
      <c r="A471" s="517" t="s">
        <v>3538</v>
      </c>
      <c r="B471" s="517" t="s">
        <v>3538</v>
      </c>
      <c r="K471" s="71"/>
      <c r="AE471" s="512"/>
      <c r="AT471" s="472"/>
    </row>
    <row r="472" spans="1:46">
      <c r="A472" s="517" t="s">
        <v>3543</v>
      </c>
      <c r="B472" s="517" t="s">
        <v>3543</v>
      </c>
      <c r="K472" s="71"/>
      <c r="AE472" s="512"/>
      <c r="AT472" s="472"/>
    </row>
    <row r="473" spans="1:46">
      <c r="A473" s="517" t="s">
        <v>3547</v>
      </c>
      <c r="B473" s="517" t="s">
        <v>3547</v>
      </c>
      <c r="K473" s="71"/>
      <c r="AE473" s="512"/>
      <c r="AT473" s="472"/>
    </row>
    <row r="474" spans="1:46">
      <c r="A474" s="517" t="s">
        <v>3552</v>
      </c>
      <c r="B474" s="517" t="s">
        <v>3552</v>
      </c>
      <c r="K474" s="71"/>
      <c r="AE474" s="512"/>
      <c r="AT474" s="472"/>
    </row>
    <row r="475" spans="1:46">
      <c r="A475" s="517" t="s">
        <v>3557</v>
      </c>
      <c r="B475" s="517" t="s">
        <v>3557</v>
      </c>
      <c r="K475" s="71"/>
      <c r="AE475" s="512"/>
      <c r="AT475" s="472"/>
    </row>
    <row r="476" spans="1:46">
      <c r="A476" s="517" t="s">
        <v>3562</v>
      </c>
      <c r="B476" s="517" t="s">
        <v>3562</v>
      </c>
      <c r="K476" s="71"/>
      <c r="AE476" s="512"/>
      <c r="AT476" s="472"/>
    </row>
    <row r="477" spans="1:46">
      <c r="A477" s="517" t="s">
        <v>3567</v>
      </c>
      <c r="B477" s="517" t="s">
        <v>3567</v>
      </c>
      <c r="K477" s="71"/>
      <c r="AE477" s="512"/>
      <c r="AT477" s="472"/>
    </row>
    <row r="478" spans="1:46">
      <c r="A478" s="517" t="s">
        <v>2302</v>
      </c>
      <c r="B478" s="517" t="s">
        <v>2302</v>
      </c>
      <c r="K478" s="71"/>
      <c r="AE478" s="512"/>
      <c r="AT478" s="472"/>
    </row>
    <row r="479" spans="1:46">
      <c r="A479" s="517" t="s">
        <v>2307</v>
      </c>
      <c r="B479" s="517" t="s">
        <v>2307</v>
      </c>
      <c r="K479" s="71"/>
      <c r="AE479" s="512"/>
      <c r="AT479" s="472"/>
    </row>
    <row r="480" spans="1:46">
      <c r="A480" s="517" t="s">
        <v>2311</v>
      </c>
      <c r="B480" s="517" t="s">
        <v>2311</v>
      </c>
      <c r="K480" s="71"/>
      <c r="AE480" s="512"/>
      <c r="AT480" s="472"/>
    </row>
    <row r="481" spans="1:46">
      <c r="A481" s="517" t="s">
        <v>2315</v>
      </c>
      <c r="B481" s="517" t="s">
        <v>2315</v>
      </c>
      <c r="K481" s="71"/>
      <c r="AE481" s="512"/>
      <c r="AT481" s="472"/>
    </row>
    <row r="482" spans="1:46">
      <c r="A482" s="517" t="s">
        <v>2319</v>
      </c>
      <c r="B482" s="517" t="s">
        <v>2319</v>
      </c>
      <c r="K482" s="71"/>
      <c r="AE482" s="512"/>
      <c r="AT482" s="472"/>
    </row>
    <row r="483" spans="1:46">
      <c r="A483" s="517" t="s">
        <v>2323</v>
      </c>
      <c r="B483" s="517" t="s">
        <v>2323</v>
      </c>
      <c r="K483" s="71"/>
      <c r="AE483" s="512"/>
      <c r="AT483" s="472"/>
    </row>
    <row r="484" spans="1:46">
      <c r="A484" s="517" t="s">
        <v>3846</v>
      </c>
      <c r="B484" s="517" t="s">
        <v>3846</v>
      </c>
      <c r="K484" s="71"/>
      <c r="AE484" s="512"/>
      <c r="AT484" s="472"/>
    </row>
    <row r="485" spans="1:46">
      <c r="A485" s="517" t="s">
        <v>2253</v>
      </c>
      <c r="B485" s="517" t="s">
        <v>2253</v>
      </c>
      <c r="K485" s="71"/>
      <c r="AE485" s="512"/>
      <c r="AT485" s="472"/>
    </row>
    <row r="486" spans="1:46">
      <c r="A486" s="517" t="s">
        <v>2269</v>
      </c>
      <c r="B486" s="517" t="s">
        <v>2269</v>
      </c>
      <c r="K486" s="71"/>
      <c r="AE486" s="512"/>
      <c r="AT486" s="472"/>
    </row>
    <row r="487" spans="1:46">
      <c r="A487" s="517" t="s">
        <v>2327</v>
      </c>
      <c r="B487" s="517" t="s">
        <v>2327</v>
      </c>
      <c r="K487" s="71"/>
      <c r="AE487" s="512"/>
      <c r="AT487" s="472"/>
    </row>
    <row r="488" spans="1:46">
      <c r="A488" s="517" t="s">
        <v>2331</v>
      </c>
      <c r="B488" s="517" t="s">
        <v>2331</v>
      </c>
      <c r="K488" s="71"/>
      <c r="AE488" s="512"/>
      <c r="AT488" s="472"/>
    </row>
    <row r="489" spans="1:46">
      <c r="A489" s="517" t="s">
        <v>2335</v>
      </c>
      <c r="B489" s="517" t="s">
        <v>2335</v>
      </c>
      <c r="K489" s="71"/>
      <c r="AE489" s="512"/>
      <c r="AT489" s="472"/>
    </row>
    <row r="490" spans="1:46">
      <c r="A490" s="517" t="s">
        <v>2340</v>
      </c>
      <c r="B490" s="517" t="s">
        <v>2340</v>
      </c>
      <c r="K490" s="71"/>
      <c r="AE490" s="512"/>
      <c r="AT490" s="472"/>
    </row>
    <row r="491" spans="1:46">
      <c r="A491" s="517" t="s">
        <v>2344</v>
      </c>
      <c r="B491" s="517" t="s">
        <v>2344</v>
      </c>
      <c r="K491" s="71"/>
      <c r="AE491" s="512"/>
      <c r="AT491" s="472"/>
    </row>
    <row r="492" spans="1:46">
      <c r="A492" s="517" t="s">
        <v>2348</v>
      </c>
      <c r="B492" s="517" t="s">
        <v>2348</v>
      </c>
      <c r="K492" s="71"/>
      <c r="AE492" s="512"/>
      <c r="AT492" s="472"/>
    </row>
    <row r="493" spans="1:46">
      <c r="A493" s="517" t="s">
        <v>2352</v>
      </c>
      <c r="B493" s="517" t="s">
        <v>2352</v>
      </c>
      <c r="K493" s="71"/>
      <c r="AE493" s="512"/>
      <c r="AT493" s="472"/>
    </row>
    <row r="494" spans="1:46">
      <c r="A494" s="517" t="s">
        <v>2356</v>
      </c>
      <c r="B494" s="517" t="s">
        <v>2356</v>
      </c>
      <c r="K494" s="71"/>
      <c r="AE494" s="512"/>
      <c r="AT494" s="472"/>
    </row>
    <row r="495" spans="1:46">
      <c r="A495" s="517" t="s">
        <v>2360</v>
      </c>
      <c r="B495" s="517" t="s">
        <v>2360</v>
      </c>
      <c r="K495" s="71"/>
      <c r="AE495" s="512"/>
      <c r="AT495" s="472"/>
    </row>
    <row r="496" spans="1:46">
      <c r="A496" s="517" t="s">
        <v>2364</v>
      </c>
      <c r="B496" s="517" t="s">
        <v>2364</v>
      </c>
      <c r="K496" s="71"/>
      <c r="AE496" s="512"/>
      <c r="AT496" s="472"/>
    </row>
    <row r="497" spans="1:46">
      <c r="A497" s="517" t="s">
        <v>2369</v>
      </c>
      <c r="B497" s="517" t="s">
        <v>2369</v>
      </c>
      <c r="K497" s="71"/>
      <c r="AE497" s="512"/>
      <c r="AT497" s="472"/>
    </row>
    <row r="498" spans="1:46">
      <c r="A498" s="517" t="s">
        <v>2373</v>
      </c>
      <c r="B498" s="517" t="s">
        <v>2373</v>
      </c>
      <c r="K498" s="71"/>
      <c r="AE498" s="512"/>
      <c r="AT498" s="472"/>
    </row>
    <row r="499" spans="1:46">
      <c r="A499" s="517" t="s">
        <v>2377</v>
      </c>
      <c r="B499" s="517" t="s">
        <v>2377</v>
      </c>
      <c r="K499" s="71"/>
      <c r="AE499" s="512"/>
      <c r="AT499" s="472"/>
    </row>
    <row r="500" spans="1:46">
      <c r="A500" s="517" t="s">
        <v>2381</v>
      </c>
      <c r="B500" s="517" t="s">
        <v>2381</v>
      </c>
      <c r="K500" s="71"/>
      <c r="AE500" s="512"/>
      <c r="AT500" s="472"/>
    </row>
    <row r="501" spans="1:46">
      <c r="A501" s="517" t="s">
        <v>2385</v>
      </c>
      <c r="B501" s="517" t="s">
        <v>2385</v>
      </c>
      <c r="K501" s="71"/>
      <c r="AE501" s="512"/>
      <c r="AT501" s="472"/>
    </row>
    <row r="502" spans="1:46">
      <c r="A502" s="517" t="s">
        <v>2389</v>
      </c>
      <c r="B502" s="517" t="s">
        <v>2389</v>
      </c>
      <c r="K502" s="71"/>
      <c r="AE502" s="512"/>
      <c r="AT502" s="472"/>
    </row>
    <row r="503" spans="1:46">
      <c r="A503" s="517" t="s">
        <v>2393</v>
      </c>
      <c r="B503" s="517" t="s">
        <v>2393</v>
      </c>
      <c r="K503" s="71"/>
      <c r="AE503" s="512"/>
      <c r="AT503" s="472"/>
    </row>
    <row r="504" spans="1:46">
      <c r="A504" s="517" t="s">
        <v>2397</v>
      </c>
      <c r="B504" s="517" t="s">
        <v>2397</v>
      </c>
      <c r="K504" s="71"/>
      <c r="AE504" s="512"/>
      <c r="AT504" s="472"/>
    </row>
    <row r="505" spans="1:46">
      <c r="A505" s="458" t="s">
        <v>2279</v>
      </c>
      <c r="B505" s="458" t="s">
        <v>2279</v>
      </c>
      <c r="K505" s="71"/>
      <c r="AE505" s="512"/>
      <c r="AT505" s="472"/>
    </row>
    <row r="506" spans="1:46">
      <c r="A506" s="458" t="s">
        <v>2258</v>
      </c>
      <c r="B506" s="458" t="s">
        <v>2258</v>
      </c>
      <c r="K506" s="71"/>
      <c r="AE506" s="512"/>
      <c r="AT506" s="472"/>
    </row>
    <row r="507" spans="1:46">
      <c r="A507" s="458" t="s">
        <v>3850</v>
      </c>
      <c r="B507" s="458" t="s">
        <v>3850</v>
      </c>
      <c r="K507" s="71"/>
      <c r="AE507" s="512"/>
      <c r="AT507" s="472"/>
    </row>
    <row r="508" spans="1:46">
      <c r="A508" s="458" t="s">
        <v>3854</v>
      </c>
      <c r="B508" s="458" t="s">
        <v>3854</v>
      </c>
      <c r="K508" s="71"/>
      <c r="AE508" s="512"/>
      <c r="AT508" s="472"/>
    </row>
    <row r="509" spans="1:46">
      <c r="A509" s="458" t="s">
        <v>3858</v>
      </c>
      <c r="B509" s="458" t="s">
        <v>3858</v>
      </c>
      <c r="K509" s="71"/>
      <c r="AE509" s="512"/>
      <c r="AT509" s="472"/>
    </row>
    <row r="510" spans="1:46">
      <c r="A510" s="458" t="s">
        <v>2402</v>
      </c>
      <c r="B510" s="458" t="s">
        <v>2402</v>
      </c>
      <c r="K510" s="71"/>
      <c r="AE510" s="512"/>
      <c r="AT510" s="472"/>
    </row>
    <row r="511" spans="1:46">
      <c r="A511" s="458" t="s">
        <v>2406</v>
      </c>
      <c r="B511" s="458" t="s">
        <v>2406</v>
      </c>
      <c r="K511" s="71"/>
      <c r="AE511" s="512"/>
      <c r="AT511" s="472"/>
    </row>
    <row r="512" spans="1:46">
      <c r="A512" s="458" t="s">
        <v>2411</v>
      </c>
      <c r="B512" s="458" t="s">
        <v>2411</v>
      </c>
      <c r="K512" s="71"/>
      <c r="AE512" s="512"/>
      <c r="AT512" s="472"/>
    </row>
    <row r="513" spans="1:46">
      <c r="A513" s="458" t="s">
        <v>2416</v>
      </c>
      <c r="B513" s="458" t="s">
        <v>2416</v>
      </c>
      <c r="K513" s="71"/>
      <c r="AE513" s="512"/>
      <c r="AT513" s="472"/>
    </row>
    <row r="514" spans="1:46">
      <c r="A514" s="458" t="s">
        <v>2420</v>
      </c>
      <c r="B514" s="458" t="s">
        <v>2420</v>
      </c>
      <c r="K514" s="71"/>
      <c r="AE514" s="512"/>
      <c r="AT514" s="472"/>
    </row>
    <row r="515" spans="1:46">
      <c r="A515" s="458" t="s">
        <v>2424</v>
      </c>
      <c r="B515" s="458" t="s">
        <v>2424</v>
      </c>
      <c r="K515" s="71"/>
      <c r="AE515" s="512"/>
      <c r="AT515" s="472"/>
    </row>
    <row r="516" spans="1:46">
      <c r="A516" s="458" t="s">
        <v>2428</v>
      </c>
      <c r="B516" s="458" t="s">
        <v>2428</v>
      </c>
      <c r="K516" s="71"/>
      <c r="AE516" s="512"/>
      <c r="AT516" s="472"/>
    </row>
    <row r="517" spans="1:46">
      <c r="A517" s="458" t="s">
        <v>3573</v>
      </c>
      <c r="B517" s="458" t="s">
        <v>3573</v>
      </c>
      <c r="K517" s="71"/>
      <c r="AE517" s="512"/>
      <c r="AT517" s="472"/>
    </row>
    <row r="518" spans="1:46">
      <c r="A518" s="458" t="s">
        <v>3577</v>
      </c>
      <c r="B518" s="458" t="s">
        <v>3577</v>
      </c>
      <c r="K518" s="71"/>
      <c r="AE518" s="512"/>
      <c r="AT518" s="472"/>
    </row>
    <row r="519" spans="1:46">
      <c r="A519" s="458" t="s">
        <v>2247</v>
      </c>
      <c r="B519" s="458" t="s">
        <v>2247</v>
      </c>
      <c r="K519" s="71"/>
      <c r="AE519" s="512"/>
      <c r="AT519" s="472"/>
    </row>
    <row r="520" spans="1:46">
      <c r="A520" s="458" t="s">
        <v>2242</v>
      </c>
      <c r="B520" s="458" t="s">
        <v>2242</v>
      </c>
      <c r="K520" s="71"/>
      <c r="AE520" s="512"/>
      <c r="AT520" s="472"/>
    </row>
    <row r="521" spans="1:46">
      <c r="A521" s="458" t="s">
        <v>2263</v>
      </c>
      <c r="B521" s="458" t="s">
        <v>2263</v>
      </c>
      <c r="K521" s="71"/>
      <c r="AE521" s="512"/>
      <c r="AT521" s="472"/>
    </row>
    <row r="522" spans="1:46">
      <c r="A522" s="458" t="s">
        <v>4546</v>
      </c>
      <c r="B522" s="458" t="s">
        <v>4546</v>
      </c>
      <c r="K522" s="71"/>
      <c r="AE522" s="512"/>
      <c r="AT522" s="472"/>
    </row>
    <row r="523" spans="1:46">
      <c r="A523" s="458" t="s">
        <v>3862</v>
      </c>
      <c r="B523" s="458" t="s">
        <v>3862</v>
      </c>
      <c r="K523" s="71"/>
      <c r="AE523" s="512"/>
      <c r="AT523" s="472"/>
    </row>
    <row r="524" spans="1:46">
      <c r="A524" s="458" t="s">
        <v>4256</v>
      </c>
      <c r="B524" s="458" t="s">
        <v>4256</v>
      </c>
      <c r="K524" s="71"/>
      <c r="AE524" s="512"/>
      <c r="AT524" s="472"/>
    </row>
    <row r="525" spans="1:46">
      <c r="A525" s="458" t="s">
        <v>2274</v>
      </c>
      <c r="B525" s="458" t="s">
        <v>2274</v>
      </c>
      <c r="K525" s="71"/>
      <c r="AE525" s="512"/>
      <c r="AT525" s="472"/>
    </row>
    <row r="526" spans="1:46">
      <c r="A526" s="458" t="s">
        <v>3726</v>
      </c>
      <c r="B526" s="458" t="s">
        <v>3726</v>
      </c>
      <c r="K526" s="71"/>
      <c r="AE526" s="512"/>
      <c r="AT526" s="472"/>
    </row>
    <row r="527" spans="1:46">
      <c r="A527" s="458" t="s">
        <v>2056</v>
      </c>
      <c r="B527" s="458" t="s">
        <v>2056</v>
      </c>
      <c r="K527" s="71"/>
      <c r="AE527" s="512"/>
      <c r="AT527" s="472"/>
    </row>
    <row r="528" spans="1:46">
      <c r="A528" s="458" t="s">
        <v>2227</v>
      </c>
      <c r="B528" s="458" t="s">
        <v>2227</v>
      </c>
      <c r="K528" s="71"/>
      <c r="AE528" s="512"/>
      <c r="AT528" s="472"/>
    </row>
    <row r="529" spans="1:46">
      <c r="A529" s="458" t="s">
        <v>2062</v>
      </c>
      <c r="B529" s="458" t="s">
        <v>2062</v>
      </c>
      <c r="K529" s="71"/>
      <c r="AE529" s="512"/>
      <c r="AT529" s="472"/>
    </row>
    <row r="530" spans="1:46">
      <c r="A530" s="458" t="s">
        <v>3866</v>
      </c>
      <c r="B530" s="458" t="s">
        <v>3866</v>
      </c>
      <c r="K530" s="71"/>
      <c r="AE530" s="512"/>
      <c r="AT530" s="472"/>
    </row>
    <row r="531" spans="1:46">
      <c r="A531" s="458" t="s">
        <v>500</v>
      </c>
      <c r="B531" s="458" t="s">
        <v>500</v>
      </c>
      <c r="K531" s="71"/>
      <c r="AE531" s="512"/>
      <c r="AT531" s="472"/>
    </row>
    <row r="532" spans="1:46">
      <c r="A532" s="458" t="s">
        <v>3992</v>
      </c>
      <c r="B532" s="458" t="s">
        <v>3992</v>
      </c>
      <c r="K532" s="71"/>
      <c r="AE532" s="512"/>
      <c r="AT532" s="472"/>
    </row>
    <row r="533" spans="1:46">
      <c r="A533" s="458" t="s">
        <v>2432</v>
      </c>
      <c r="B533" s="458" t="s">
        <v>2432</v>
      </c>
      <c r="K533" s="71"/>
      <c r="AE533" s="512"/>
      <c r="AT533" s="472"/>
    </row>
    <row r="534" spans="1:46">
      <c r="A534" s="458" t="s">
        <v>2437</v>
      </c>
      <c r="B534" s="458" t="s">
        <v>2437</v>
      </c>
      <c r="K534" s="71"/>
      <c r="AE534" s="512"/>
      <c r="AT534" s="472"/>
    </row>
    <row r="535" spans="1:46">
      <c r="A535" s="458" t="s">
        <v>2442</v>
      </c>
      <c r="B535" s="458" t="s">
        <v>2442</v>
      </c>
      <c r="K535" s="71"/>
      <c r="AE535" s="512"/>
      <c r="AT535" s="472"/>
    </row>
    <row r="536" spans="1:46">
      <c r="A536" s="458" t="s">
        <v>2447</v>
      </c>
      <c r="B536" s="458" t="s">
        <v>2447</v>
      </c>
      <c r="K536" s="71"/>
      <c r="AE536" s="512"/>
      <c r="AT536" s="472"/>
    </row>
    <row r="537" spans="1:46">
      <c r="A537" s="458" t="s">
        <v>769</v>
      </c>
      <c r="B537" s="458" t="s">
        <v>769</v>
      </c>
      <c r="K537" s="71"/>
      <c r="AE537" s="512"/>
      <c r="AT537" s="472"/>
    </row>
    <row r="538" spans="1:46">
      <c r="A538" s="458" t="s">
        <v>2067</v>
      </c>
      <c r="B538" s="458" t="s">
        <v>2067</v>
      </c>
      <c r="K538" s="71"/>
      <c r="AE538" s="512"/>
      <c r="AT538" s="472"/>
    </row>
    <row r="539" spans="1:46">
      <c r="A539" s="458" t="s">
        <v>2453</v>
      </c>
      <c r="B539" s="458" t="s">
        <v>2453</v>
      </c>
      <c r="K539" s="71"/>
      <c r="AE539" s="512"/>
      <c r="AT539" s="472"/>
    </row>
    <row r="540" spans="1:46">
      <c r="A540" s="458" t="s">
        <v>2458</v>
      </c>
      <c r="B540" s="458" t="s">
        <v>2458</v>
      </c>
      <c r="K540" s="71"/>
      <c r="AE540" s="512"/>
      <c r="AT540" s="472"/>
    </row>
    <row r="541" spans="1:46">
      <c r="A541" s="458" t="s">
        <v>2463</v>
      </c>
      <c r="B541" s="458" t="s">
        <v>2463</v>
      </c>
      <c r="K541" s="71"/>
      <c r="AE541" s="512"/>
      <c r="AT541" s="472"/>
    </row>
    <row r="542" spans="1:46">
      <c r="A542" s="458" t="s">
        <v>4570</v>
      </c>
      <c r="B542" s="458" t="s">
        <v>4570</v>
      </c>
      <c r="K542" s="71"/>
      <c r="AE542" s="512"/>
      <c r="AT542" s="472"/>
    </row>
    <row r="543" spans="1:46">
      <c r="A543" s="458" t="s">
        <v>2468</v>
      </c>
      <c r="B543" s="458" t="s">
        <v>2468</v>
      </c>
      <c r="K543" s="71"/>
      <c r="AE543" s="512"/>
      <c r="AT543" s="472"/>
    </row>
    <row r="544" spans="1:46">
      <c r="A544" s="458" t="s">
        <v>2473</v>
      </c>
      <c r="B544" s="458" t="s">
        <v>2473</v>
      </c>
      <c r="K544" s="71"/>
      <c r="AE544" s="512"/>
      <c r="AT544" s="472"/>
    </row>
    <row r="545" spans="1:46">
      <c r="A545" s="458" t="s">
        <v>2477</v>
      </c>
      <c r="B545" s="458" t="s">
        <v>2477</v>
      </c>
      <c r="K545" s="71"/>
      <c r="AE545" s="512"/>
      <c r="AT545" s="472"/>
    </row>
    <row r="546" spans="1:46">
      <c r="A546" s="458" t="s">
        <v>2481</v>
      </c>
      <c r="B546" s="458" t="s">
        <v>2481</v>
      </c>
      <c r="K546" s="71"/>
      <c r="AE546" s="512"/>
      <c r="AT546" s="472"/>
    </row>
    <row r="547" spans="1:46">
      <c r="A547" s="458" t="s">
        <v>2485</v>
      </c>
      <c r="B547" s="458" t="s">
        <v>2485</v>
      </c>
      <c r="K547" s="71"/>
      <c r="AE547" s="512"/>
      <c r="AT547" s="472"/>
    </row>
    <row r="548" spans="1:46">
      <c r="A548" s="458" t="s">
        <v>2489</v>
      </c>
      <c r="B548" s="458" t="s">
        <v>2489</v>
      </c>
      <c r="K548" s="71"/>
      <c r="AE548" s="512"/>
      <c r="AT548" s="472"/>
    </row>
    <row r="549" spans="1:46">
      <c r="A549" s="458" t="s">
        <v>2493</v>
      </c>
      <c r="B549" s="458" t="s">
        <v>2493</v>
      </c>
      <c r="K549" s="71"/>
      <c r="AE549" s="512"/>
      <c r="AT549" s="472"/>
    </row>
    <row r="550" spans="1:46">
      <c r="A550" s="458" t="s">
        <v>2497</v>
      </c>
      <c r="B550" s="458" t="s">
        <v>2497</v>
      </c>
      <c r="K550" s="71"/>
      <c r="AE550" s="512"/>
      <c r="AT550" s="472"/>
    </row>
    <row r="551" spans="1:46">
      <c r="A551" s="458" t="s">
        <v>2501</v>
      </c>
      <c r="B551" s="458" t="s">
        <v>2501</v>
      </c>
      <c r="K551" s="71"/>
      <c r="AE551" s="512"/>
      <c r="AT551" s="472"/>
    </row>
    <row r="552" spans="1:46">
      <c r="A552" s="458" t="s">
        <v>2505</v>
      </c>
      <c r="B552" s="458" t="s">
        <v>2505</v>
      </c>
      <c r="K552" s="71"/>
      <c r="AE552" s="512"/>
      <c r="AT552" s="472"/>
    </row>
    <row r="553" spans="1:46">
      <c r="A553" s="458" t="s">
        <v>4573</v>
      </c>
      <c r="B553" s="458" t="s">
        <v>4573</v>
      </c>
      <c r="K553" s="71"/>
      <c r="AE553" s="512"/>
      <c r="AT553" s="472"/>
    </row>
    <row r="554" spans="1:46">
      <c r="A554" s="458" t="s">
        <v>2509</v>
      </c>
      <c r="B554" s="458" t="s">
        <v>2509</v>
      </c>
      <c r="K554" s="71"/>
      <c r="AE554" s="512"/>
      <c r="AT554" s="472"/>
    </row>
    <row r="555" spans="1:46">
      <c r="A555" s="458" t="s">
        <v>2513</v>
      </c>
      <c r="B555" s="458" t="s">
        <v>2513</v>
      </c>
      <c r="K555" s="71"/>
      <c r="AE555" s="512"/>
      <c r="AT555" s="472"/>
    </row>
    <row r="556" spans="1:46">
      <c r="A556" s="458" t="s">
        <v>2517</v>
      </c>
      <c r="B556" s="458" t="s">
        <v>2517</v>
      </c>
      <c r="K556" s="71"/>
      <c r="AE556" s="512"/>
      <c r="AT556" s="472"/>
    </row>
    <row r="557" spans="1:46">
      <c r="A557" s="458" t="s">
        <v>3870</v>
      </c>
      <c r="B557" s="458" t="s">
        <v>3870</v>
      </c>
      <c r="K557" s="71"/>
      <c r="AE557" s="512"/>
      <c r="AT557" s="472"/>
    </row>
    <row r="558" spans="1:46">
      <c r="A558" s="458" t="s">
        <v>4520</v>
      </c>
      <c r="B558" s="458" t="s">
        <v>4520</v>
      </c>
      <c r="K558" s="71"/>
      <c r="AE558" s="512"/>
      <c r="AT558" s="472"/>
    </row>
    <row r="559" spans="1:46">
      <c r="A559" s="458" t="s">
        <v>2073</v>
      </c>
      <c r="B559" s="458" t="s">
        <v>2073</v>
      </c>
      <c r="K559" s="71"/>
      <c r="AE559" s="512"/>
      <c r="AT559" s="472"/>
    </row>
    <row r="560" spans="1:46">
      <c r="A560" s="458" t="s">
        <v>2521</v>
      </c>
      <c r="B560" s="458" t="s">
        <v>2521</v>
      </c>
      <c r="K560" s="71"/>
      <c r="AE560" s="512"/>
      <c r="AT560" s="472"/>
    </row>
    <row r="561" spans="1:46">
      <c r="A561" s="458" t="s">
        <v>2525</v>
      </c>
      <c r="B561" s="458" t="s">
        <v>2525</v>
      </c>
      <c r="K561" s="71"/>
      <c r="AE561" s="512"/>
      <c r="AT561" s="472"/>
    </row>
    <row r="562" spans="1:46">
      <c r="A562" s="458" t="s">
        <v>2529</v>
      </c>
      <c r="B562" s="458" t="s">
        <v>2529</v>
      </c>
      <c r="K562" s="71"/>
      <c r="AE562" s="512"/>
      <c r="AT562" s="472"/>
    </row>
    <row r="563" spans="1:46">
      <c r="A563" s="458" t="s">
        <v>3876</v>
      </c>
      <c r="B563" s="458" t="s">
        <v>3876</v>
      </c>
      <c r="K563" s="71"/>
      <c r="AE563" s="512"/>
      <c r="AT563" s="472"/>
    </row>
    <row r="564" spans="1:46">
      <c r="A564" s="458" t="s">
        <v>3929</v>
      </c>
      <c r="B564" s="458" t="s">
        <v>3929</v>
      </c>
      <c r="K564" s="71"/>
      <c r="AE564" s="512"/>
      <c r="AT564" s="472"/>
    </row>
    <row r="565" spans="1:46">
      <c r="A565" s="458" t="s">
        <v>2079</v>
      </c>
      <c r="B565" s="458" t="s">
        <v>2079</v>
      </c>
      <c r="K565" s="71"/>
      <c r="AE565" s="512"/>
      <c r="AT565" s="472"/>
    </row>
    <row r="566" spans="1:46">
      <c r="A566" s="458" t="s">
        <v>2533</v>
      </c>
      <c r="B566" s="458" t="s">
        <v>2533</v>
      </c>
      <c r="K566" s="71"/>
      <c r="AE566" s="512"/>
      <c r="AT566" s="472"/>
    </row>
    <row r="567" spans="1:46">
      <c r="A567" s="458" t="s">
        <v>2537</v>
      </c>
      <c r="B567" s="458" t="s">
        <v>2537</v>
      </c>
      <c r="K567" s="71"/>
      <c r="AE567" s="512"/>
      <c r="AT567" s="472"/>
    </row>
    <row r="568" spans="1:46">
      <c r="A568" s="458" t="s">
        <v>2541</v>
      </c>
      <c r="B568" s="458" t="s">
        <v>2541</v>
      </c>
      <c r="K568" s="71"/>
      <c r="AE568" s="512"/>
      <c r="AT568" s="472"/>
    </row>
    <row r="569" spans="1:46">
      <c r="A569" s="458" t="s">
        <v>2545</v>
      </c>
      <c r="B569" s="458" t="s">
        <v>2545</v>
      </c>
      <c r="K569" s="71"/>
      <c r="AE569" s="512"/>
      <c r="AT569" s="472"/>
    </row>
    <row r="570" spans="1:46">
      <c r="A570" s="458" t="s">
        <v>2549</v>
      </c>
      <c r="B570" s="458" t="s">
        <v>2549</v>
      </c>
      <c r="K570" s="71"/>
      <c r="AE570" s="512"/>
      <c r="AT570" s="472"/>
    </row>
    <row r="571" spans="1:46">
      <c r="A571" s="458" t="s">
        <v>2553</v>
      </c>
      <c r="B571" s="458" t="s">
        <v>2553</v>
      </c>
      <c r="K571" s="71"/>
      <c r="AE571" s="512"/>
      <c r="AT571" s="472"/>
    </row>
    <row r="572" spans="1:46">
      <c r="A572" s="458" t="s">
        <v>2084</v>
      </c>
      <c r="B572" s="458" t="s">
        <v>2084</v>
      </c>
      <c r="K572" s="71"/>
      <c r="AE572" s="512"/>
      <c r="AT572" s="472"/>
    </row>
    <row r="573" spans="1:46">
      <c r="A573" s="458" t="s">
        <v>2041</v>
      </c>
      <c r="B573" s="458" t="s">
        <v>2041</v>
      </c>
      <c r="K573" s="71"/>
      <c r="AE573" s="512"/>
      <c r="AT573" s="472"/>
    </row>
    <row r="574" spans="1:46">
      <c r="A574" s="458" t="s">
        <v>2090</v>
      </c>
      <c r="B574" s="458" t="s">
        <v>2090</v>
      </c>
      <c r="K574" s="71"/>
      <c r="AE574" s="512"/>
      <c r="AT574" s="472"/>
    </row>
    <row r="575" spans="1:46">
      <c r="A575" s="458" t="s">
        <v>872</v>
      </c>
      <c r="B575" s="458" t="s">
        <v>872</v>
      </c>
      <c r="K575" s="71"/>
      <c r="AE575" s="512"/>
      <c r="AT575" s="472"/>
    </row>
    <row r="576" spans="1:46">
      <c r="A576" s="458" t="s">
        <v>2557</v>
      </c>
      <c r="B576" s="458" t="s">
        <v>2557</v>
      </c>
      <c r="K576" s="71"/>
      <c r="AE576" s="512"/>
      <c r="AT576" s="472"/>
    </row>
    <row r="577" spans="1:46">
      <c r="A577" s="458" t="s">
        <v>2561</v>
      </c>
      <c r="B577" s="458" t="s">
        <v>2561</v>
      </c>
      <c r="K577" s="71"/>
      <c r="AE577" s="512"/>
      <c r="AT577" s="472"/>
    </row>
    <row r="578" spans="1:46">
      <c r="A578" s="458" t="s">
        <v>2566</v>
      </c>
      <c r="B578" s="458" t="s">
        <v>2566</v>
      </c>
      <c r="K578" s="71"/>
      <c r="AE578" s="512"/>
      <c r="AT578" s="472"/>
    </row>
    <row r="579" spans="1:46">
      <c r="A579" s="458" t="s">
        <v>2570</v>
      </c>
      <c r="B579" s="458" t="s">
        <v>2570</v>
      </c>
      <c r="K579" s="71"/>
      <c r="AE579" s="512"/>
      <c r="AT579" s="472"/>
    </row>
    <row r="580" spans="1:46">
      <c r="A580" s="458" t="s">
        <v>2574</v>
      </c>
      <c r="B580" s="458" t="s">
        <v>2574</v>
      </c>
      <c r="K580" s="71"/>
      <c r="AE580" s="512"/>
      <c r="AT580" s="472"/>
    </row>
    <row r="581" spans="1:46">
      <c r="A581" s="458" t="s">
        <v>2232</v>
      </c>
      <c r="B581" s="458" t="s">
        <v>2232</v>
      </c>
      <c r="K581" s="71"/>
      <c r="AE581" s="512"/>
      <c r="AT581" s="472"/>
    </row>
    <row r="582" spans="1:46">
      <c r="A582" s="458" t="s">
        <v>2578</v>
      </c>
      <c r="B582" s="458" t="s">
        <v>2578</v>
      </c>
      <c r="K582" s="71"/>
      <c r="AE582" s="512"/>
      <c r="AT582" s="472"/>
    </row>
    <row r="583" spans="1:46">
      <c r="A583" s="458" t="s">
        <v>1589</v>
      </c>
      <c r="B583" s="458" t="s">
        <v>1589</v>
      </c>
      <c r="K583" s="71"/>
      <c r="AE583" s="512"/>
      <c r="AT583" s="472"/>
    </row>
    <row r="584" spans="1:46">
      <c r="A584" s="458" t="s">
        <v>2582</v>
      </c>
      <c r="B584" s="458" t="s">
        <v>2582</v>
      </c>
      <c r="K584" s="71"/>
      <c r="AE584" s="512"/>
      <c r="AT584" s="472"/>
    </row>
    <row r="585" spans="1:46">
      <c r="A585" s="458" t="s">
        <v>2586</v>
      </c>
      <c r="B585" s="458" t="s">
        <v>2586</v>
      </c>
      <c r="K585" s="71"/>
      <c r="AE585" s="512"/>
      <c r="AT585" s="472"/>
    </row>
    <row r="586" spans="1:46">
      <c r="A586" s="458" t="s">
        <v>2590</v>
      </c>
      <c r="B586" s="458" t="s">
        <v>2590</v>
      </c>
      <c r="K586" s="71"/>
      <c r="AE586" s="512"/>
      <c r="AT586" s="472"/>
    </row>
    <row r="587" spans="1:46">
      <c r="A587" s="458" t="s">
        <v>2594</v>
      </c>
      <c r="B587" s="458" t="s">
        <v>2594</v>
      </c>
      <c r="K587" s="71"/>
      <c r="AE587" s="512"/>
      <c r="AT587" s="472"/>
    </row>
    <row r="588" spans="1:46">
      <c r="A588" s="458" t="s">
        <v>2599</v>
      </c>
      <c r="B588" s="458" t="s">
        <v>2599</v>
      </c>
      <c r="K588" s="71"/>
      <c r="AE588" s="512"/>
      <c r="AT588" s="472"/>
    </row>
    <row r="589" spans="1:46">
      <c r="A589" s="458" t="s">
        <v>469</v>
      </c>
      <c r="B589" s="458" t="s">
        <v>469</v>
      </c>
      <c r="K589" s="71"/>
      <c r="AE589" s="512"/>
      <c r="AT589" s="472"/>
    </row>
    <row r="590" spans="1:46">
      <c r="A590" s="458" t="s">
        <v>475</v>
      </c>
      <c r="B590" s="458" t="s">
        <v>475</v>
      </c>
      <c r="K590" s="71"/>
      <c r="AE590" s="512"/>
      <c r="AT590" s="472"/>
    </row>
    <row r="591" spans="1:46">
      <c r="A591" s="458" t="s">
        <v>479</v>
      </c>
      <c r="B591" s="458" t="s">
        <v>479</v>
      </c>
      <c r="K591" s="71"/>
      <c r="AE591" s="512"/>
      <c r="AT591" s="472"/>
    </row>
    <row r="592" spans="1:46">
      <c r="A592" s="458" t="s">
        <v>1595</v>
      </c>
      <c r="B592" s="458" t="s">
        <v>1595</v>
      </c>
      <c r="K592" s="71"/>
      <c r="AE592" s="512"/>
      <c r="AT592" s="472"/>
    </row>
    <row r="593" spans="1:46">
      <c r="A593" s="458" t="s">
        <v>1220</v>
      </c>
      <c r="B593" s="458" t="s">
        <v>1220</v>
      </c>
      <c r="K593" s="71"/>
      <c r="AE593" s="512"/>
      <c r="AT593" s="472"/>
    </row>
    <row r="594" spans="1:46">
      <c r="A594" s="458" t="s">
        <v>2603</v>
      </c>
      <c r="B594" s="458" t="s">
        <v>2603</v>
      </c>
      <c r="K594" s="71"/>
      <c r="AE594" s="512"/>
      <c r="AT594" s="472"/>
    </row>
    <row r="595" spans="1:46">
      <c r="A595" s="458" t="s">
        <v>687</v>
      </c>
      <c r="B595" s="458" t="s">
        <v>687</v>
      </c>
      <c r="K595" s="71"/>
      <c r="AE595" s="512"/>
      <c r="AT595" s="472"/>
    </row>
    <row r="596" spans="1:46">
      <c r="A596" s="458" t="s">
        <v>661</v>
      </c>
      <c r="B596" s="458" t="s">
        <v>661</v>
      </c>
      <c r="K596" s="71"/>
      <c r="AE596" s="512"/>
      <c r="AT596" s="472"/>
    </row>
    <row r="597" spans="1:46">
      <c r="A597" s="458" t="s">
        <v>2095</v>
      </c>
      <c r="B597" s="458" t="s">
        <v>2095</v>
      </c>
      <c r="K597" s="71"/>
      <c r="AE597" s="512"/>
      <c r="AT597" s="472"/>
    </row>
    <row r="598" spans="1:46">
      <c r="A598" s="458" t="s">
        <v>607</v>
      </c>
      <c r="B598" s="458" t="s">
        <v>607</v>
      </c>
      <c r="K598" s="71"/>
      <c r="AE598" s="512"/>
      <c r="AT598" s="472"/>
    </row>
    <row r="599" spans="1:46">
      <c r="A599" s="458" t="s">
        <v>4555</v>
      </c>
      <c r="B599" s="458" t="s">
        <v>4555</v>
      </c>
      <c r="K599" s="71"/>
      <c r="AE599" s="512"/>
      <c r="AT599" s="472"/>
    </row>
    <row r="600" spans="1:46">
      <c r="A600" s="458" t="s">
        <v>2100</v>
      </c>
      <c r="B600" s="458" t="s">
        <v>2100</v>
      </c>
      <c r="K600" s="71"/>
      <c r="AE600" s="512"/>
      <c r="AT600" s="472"/>
    </row>
    <row r="601" spans="1:46">
      <c r="A601" s="458" t="s">
        <v>759</v>
      </c>
      <c r="B601" s="458" t="s">
        <v>759</v>
      </c>
      <c r="K601" s="71"/>
      <c r="AE601" s="512"/>
      <c r="AT601" s="472"/>
    </row>
    <row r="602" spans="1:46">
      <c r="A602" s="458" t="s">
        <v>707</v>
      </c>
      <c r="B602" s="458" t="s">
        <v>707</v>
      </c>
      <c r="K602" s="71"/>
      <c r="AE602" s="512"/>
      <c r="AT602" s="472"/>
    </row>
    <row r="603" spans="1:46">
      <c r="A603" s="458" t="s">
        <v>702</v>
      </c>
      <c r="B603" s="458" t="s">
        <v>702</v>
      </c>
      <c r="K603" s="71"/>
      <c r="AE603" s="512"/>
      <c r="AT603" s="472"/>
    </row>
    <row r="604" spans="1:46">
      <c r="A604" s="458" t="s">
        <v>697</v>
      </c>
      <c r="B604" s="458" t="s">
        <v>697</v>
      </c>
      <c r="K604" s="71"/>
      <c r="AE604" s="512"/>
      <c r="AT604" s="472"/>
    </row>
    <row r="605" spans="1:46">
      <c r="A605" s="458" t="s">
        <v>727</v>
      </c>
      <c r="B605" s="458" t="s">
        <v>727</v>
      </c>
      <c r="K605" s="71"/>
      <c r="AE605" s="512"/>
      <c r="AT605" s="472"/>
    </row>
    <row r="606" spans="1:46">
      <c r="A606" s="458" t="s">
        <v>655</v>
      </c>
      <c r="B606" s="458" t="s">
        <v>655</v>
      </c>
      <c r="K606" s="71"/>
      <c r="AE606" s="512"/>
      <c r="AT606" s="472"/>
    </row>
    <row r="607" spans="1:46">
      <c r="A607" s="458" t="s">
        <v>2105</v>
      </c>
      <c r="B607" s="458" t="s">
        <v>2105</v>
      </c>
      <c r="K607" s="71"/>
      <c r="AE607" s="512"/>
      <c r="AT607" s="472"/>
    </row>
    <row r="608" spans="1:46">
      <c r="A608" s="458" t="s">
        <v>1867</v>
      </c>
      <c r="B608" s="458" t="s">
        <v>1867</v>
      </c>
      <c r="K608" s="71"/>
      <c r="AE608" s="512"/>
      <c r="AT608" s="472"/>
    </row>
    <row r="609" spans="1:46">
      <c r="A609" s="458" t="s">
        <v>2209</v>
      </c>
      <c r="B609" s="458" t="s">
        <v>2209</v>
      </c>
      <c r="K609" s="71"/>
      <c r="AE609" s="512"/>
      <c r="AT609" s="472"/>
    </row>
    <row r="610" spans="1:46">
      <c r="A610" s="458" t="s">
        <v>4560</v>
      </c>
      <c r="B610" s="458" t="s">
        <v>4560</v>
      </c>
      <c r="K610" s="71"/>
      <c r="AE610" s="512"/>
      <c r="AT610" s="472"/>
    </row>
    <row r="611" spans="1:46">
      <c r="A611" s="458" t="s">
        <v>2110</v>
      </c>
      <c r="B611" s="458" t="s">
        <v>2110</v>
      </c>
      <c r="K611" s="71"/>
      <c r="AE611" s="512"/>
      <c r="AT611" s="472"/>
    </row>
    <row r="612" spans="1:46">
      <c r="A612" s="458" t="s">
        <v>4565</v>
      </c>
      <c r="B612" s="458" t="s">
        <v>4565</v>
      </c>
      <c r="K612" s="71"/>
      <c r="AE612" s="512"/>
      <c r="AT612" s="472"/>
    </row>
    <row r="613" spans="1:46">
      <c r="A613" s="458" t="s">
        <v>682</v>
      </c>
      <c r="B613" s="458" t="s">
        <v>682</v>
      </c>
      <c r="K613" s="71"/>
      <c r="AE613" s="512"/>
      <c r="AT613" s="472"/>
    </row>
    <row r="614" spans="1:46">
      <c r="A614" s="458" t="s">
        <v>4000</v>
      </c>
      <c r="B614" s="458" t="s">
        <v>4000</v>
      </c>
      <c r="K614" s="71"/>
      <c r="AE614" s="512"/>
      <c r="AT614" s="472"/>
    </row>
    <row r="615" spans="1:46">
      <c r="A615" s="458" t="s">
        <v>4008</v>
      </c>
      <c r="B615" s="458" t="s">
        <v>4008</v>
      </c>
      <c r="K615" s="71"/>
      <c r="AE615" s="512"/>
      <c r="AT615" s="472"/>
    </row>
    <row r="616" spans="1:46">
      <c r="A616" s="458" t="s">
        <v>754</v>
      </c>
      <c r="B616" s="458" t="s">
        <v>754</v>
      </c>
      <c r="K616" s="71"/>
      <c r="AE616" s="512"/>
      <c r="AT616" s="472"/>
    </row>
    <row r="617" spans="1:46">
      <c r="A617" s="458" t="s">
        <v>738</v>
      </c>
      <c r="B617" s="458" t="s">
        <v>738</v>
      </c>
      <c r="K617" s="71"/>
      <c r="AE617" s="512"/>
      <c r="AT617" s="472"/>
    </row>
    <row r="618" spans="1:46">
      <c r="A618" s="458" t="s">
        <v>2116</v>
      </c>
      <c r="B618" s="458" t="s">
        <v>2116</v>
      </c>
      <c r="K618" s="71"/>
      <c r="AE618" s="512"/>
      <c r="AT618" s="472"/>
    </row>
    <row r="619" spans="1:46">
      <c r="A619" s="458" t="s">
        <v>4493</v>
      </c>
      <c r="B619" s="458" t="s">
        <v>4493</v>
      </c>
      <c r="K619" s="71"/>
      <c r="AE619" s="512"/>
      <c r="AT619" s="472"/>
    </row>
    <row r="620" spans="1:46">
      <c r="A620" s="458" t="s">
        <v>1831</v>
      </c>
      <c r="B620" s="458" t="s">
        <v>1831</v>
      </c>
      <c r="K620" s="71"/>
      <c r="AE620" s="512"/>
      <c r="AT620" s="472"/>
    </row>
    <row r="621" spans="1:46">
      <c r="A621" s="458" t="s">
        <v>494</v>
      </c>
      <c r="B621" s="458" t="s">
        <v>494</v>
      </c>
      <c r="K621" s="71"/>
      <c r="AE621" s="512"/>
      <c r="AT621" s="472"/>
    </row>
    <row r="622" spans="1:46">
      <c r="A622" s="458" t="s">
        <v>501</v>
      </c>
      <c r="B622" s="458" t="s">
        <v>501</v>
      </c>
      <c r="K622" s="71"/>
      <c r="AE622" s="512"/>
      <c r="AT622" s="472"/>
    </row>
    <row r="623" spans="1:46">
      <c r="A623" s="458" t="s">
        <v>1924</v>
      </c>
      <c r="B623" s="458" t="s">
        <v>1924</v>
      </c>
      <c r="K623" s="71"/>
      <c r="AE623" s="512"/>
      <c r="AT623" s="472"/>
    </row>
    <row r="624" spans="1:46">
      <c r="A624" s="458" t="s">
        <v>2121</v>
      </c>
      <c r="B624" s="458" t="s">
        <v>2121</v>
      </c>
      <c r="K624" s="71"/>
      <c r="AE624" s="512"/>
      <c r="AT624" s="472"/>
    </row>
    <row r="625" spans="1:46">
      <c r="A625" s="458" t="s">
        <v>507</v>
      </c>
      <c r="B625" s="458" t="s">
        <v>507</v>
      </c>
      <c r="K625" s="71"/>
      <c r="AE625" s="512"/>
      <c r="AT625" s="472"/>
    </row>
    <row r="626" spans="1:46">
      <c r="A626" s="458" t="s">
        <v>722</v>
      </c>
      <c r="B626" s="458" t="s">
        <v>722</v>
      </c>
      <c r="K626" s="71"/>
      <c r="AE626" s="512"/>
      <c r="AT626" s="472"/>
    </row>
    <row r="627" spans="1:46">
      <c r="A627" s="458" t="s">
        <v>784</v>
      </c>
      <c r="B627" s="458" t="s">
        <v>784</v>
      </c>
      <c r="K627" s="71"/>
      <c r="AE627" s="512"/>
      <c r="AT627" s="472"/>
    </row>
    <row r="628" spans="1:46">
      <c r="A628" s="458" t="s">
        <v>2126</v>
      </c>
      <c r="B628" s="458" t="s">
        <v>2126</v>
      </c>
      <c r="K628" s="71"/>
      <c r="AE628" s="512"/>
      <c r="AT628" s="472"/>
    </row>
    <row r="629" spans="1:46">
      <c r="A629" s="458" t="s">
        <v>2132</v>
      </c>
      <c r="B629" s="458" t="s">
        <v>2132</v>
      </c>
      <c r="K629" s="71"/>
      <c r="AE629" s="512"/>
      <c r="AT629" s="472"/>
    </row>
    <row r="630" spans="1:46">
      <c r="A630" s="458" t="s">
        <v>2137</v>
      </c>
      <c r="B630" s="458" t="s">
        <v>2137</v>
      </c>
      <c r="K630" s="71"/>
      <c r="AE630" s="512"/>
      <c r="AT630" s="472"/>
    </row>
    <row r="631" spans="1:46">
      <c r="A631" s="458" t="s">
        <v>612</v>
      </c>
      <c r="B631" s="458" t="s">
        <v>612</v>
      </c>
      <c r="K631" s="71"/>
      <c r="AE631" s="512"/>
      <c r="AT631" s="472"/>
    </row>
    <row r="632" spans="1:46">
      <c r="A632" s="458" t="s">
        <v>4732</v>
      </c>
      <c r="B632" s="458" t="s">
        <v>4732</v>
      </c>
      <c r="K632" s="71"/>
      <c r="AE632" s="512"/>
      <c r="AT632" s="472"/>
    </row>
    <row r="633" spans="1:46">
      <c r="A633" s="458" t="s">
        <v>1858</v>
      </c>
      <c r="B633" s="458" t="s">
        <v>1858</v>
      </c>
      <c r="K633" s="71"/>
      <c r="AE633" s="512"/>
      <c r="AT633" s="472"/>
    </row>
    <row r="634" spans="1:46">
      <c r="A634" s="458" t="s">
        <v>512</v>
      </c>
      <c r="B634" s="458" t="s">
        <v>512</v>
      </c>
      <c r="K634" s="71"/>
      <c r="AE634" s="512"/>
      <c r="AT634" s="472"/>
    </row>
    <row r="635" spans="1:46">
      <c r="A635" s="458" t="s">
        <v>4482</v>
      </c>
      <c r="B635" s="458" t="s">
        <v>4482</v>
      </c>
      <c r="K635" s="71"/>
      <c r="AE635" s="512"/>
      <c r="AT635" s="472"/>
    </row>
    <row r="636" spans="1:46">
      <c r="A636" s="458" t="s">
        <v>805</v>
      </c>
      <c r="B636" s="458" t="s">
        <v>805</v>
      </c>
      <c r="K636" s="71"/>
      <c r="AE636" s="512"/>
      <c r="AT636" s="472"/>
    </row>
    <row r="637" spans="1:46">
      <c r="A637" s="458" t="s">
        <v>2142</v>
      </c>
      <c r="B637" s="458" t="s">
        <v>2142</v>
      </c>
      <c r="K637" s="71"/>
      <c r="AE637" s="512"/>
      <c r="AT637" s="472"/>
    </row>
    <row r="638" spans="1:46">
      <c r="A638" s="458" t="s">
        <v>2148</v>
      </c>
      <c r="B638" s="458" t="s">
        <v>2148</v>
      </c>
      <c r="K638" s="71"/>
      <c r="AE638" s="512"/>
      <c r="AT638" s="472"/>
    </row>
    <row r="639" spans="1:46">
      <c r="A639" s="458" t="s">
        <v>2154</v>
      </c>
      <c r="B639" s="458" t="s">
        <v>2154</v>
      </c>
      <c r="K639" s="71"/>
      <c r="AE639" s="512"/>
      <c r="AT639" s="472"/>
    </row>
    <row r="640" spans="1:46">
      <c r="A640" s="458" t="s">
        <v>789</v>
      </c>
      <c r="B640" s="458" t="s">
        <v>789</v>
      </c>
      <c r="K640" s="71"/>
      <c r="AE640" s="512"/>
      <c r="AT640" s="472"/>
    </row>
    <row r="641" spans="1:46">
      <c r="A641" s="458" t="s">
        <v>2160</v>
      </c>
      <c r="B641" s="458" t="s">
        <v>2160</v>
      </c>
      <c r="K641" s="71"/>
      <c r="AE641" s="512"/>
      <c r="AT641" s="472"/>
    </row>
    <row r="642" spans="1:46">
      <c r="A642" s="458" t="s">
        <v>1915</v>
      </c>
      <c r="B642" s="458" t="s">
        <v>1915</v>
      </c>
      <c r="K642" s="71"/>
      <c r="AE642" s="512"/>
      <c r="AT642" s="472"/>
    </row>
    <row r="643" spans="1:46">
      <c r="A643" s="458" t="s">
        <v>3941</v>
      </c>
      <c r="B643" s="458" t="s">
        <v>3941</v>
      </c>
      <c r="K643" s="71"/>
      <c r="AE643" s="512"/>
      <c r="AT643" s="472"/>
    </row>
    <row r="644" spans="1:46">
      <c r="A644" s="458" t="s">
        <v>712</v>
      </c>
      <c r="B644" s="458" t="s">
        <v>712</v>
      </c>
      <c r="K644" s="71"/>
      <c r="AE644" s="512"/>
      <c r="AT644" s="472"/>
    </row>
    <row r="645" spans="1:46">
      <c r="A645" s="458" t="s">
        <v>764</v>
      </c>
      <c r="B645" s="458" t="s">
        <v>764</v>
      </c>
      <c r="K645" s="71"/>
      <c r="AE645" s="512"/>
      <c r="AT645" s="472"/>
    </row>
    <row r="646" spans="1:46">
      <c r="A646" s="458" t="s">
        <v>671</v>
      </c>
      <c r="B646" s="458" t="s">
        <v>671</v>
      </c>
      <c r="K646" s="71"/>
      <c r="AE646" s="512"/>
      <c r="AT646" s="472"/>
    </row>
    <row r="647" spans="1:46">
      <c r="A647" s="458" t="s">
        <v>800</v>
      </c>
      <c r="B647" s="458" t="s">
        <v>800</v>
      </c>
      <c r="K647" s="71"/>
      <c r="AE647" s="512"/>
      <c r="AT647" s="472"/>
    </row>
    <row r="648" spans="1:46">
      <c r="A648" s="458" t="s">
        <v>4489</v>
      </c>
      <c r="B648" s="458" t="s">
        <v>4489</v>
      </c>
      <c r="K648" s="71"/>
      <c r="AE648" s="512"/>
      <c r="AT648" s="472"/>
    </row>
    <row r="649" spans="1:46">
      <c r="A649" s="458" t="s">
        <v>4496</v>
      </c>
      <c r="B649" s="458" t="s">
        <v>4496</v>
      </c>
      <c r="K649" s="71"/>
      <c r="AE649" s="512"/>
      <c r="AT649" s="472"/>
    </row>
    <row r="650" spans="1:46">
      <c r="A650" s="458" t="s">
        <v>1920</v>
      </c>
      <c r="B650" s="458" t="s">
        <v>1920</v>
      </c>
      <c r="K650" s="71"/>
      <c r="AE650" s="512"/>
      <c r="AT650" s="472"/>
    </row>
    <row r="651" spans="1:46">
      <c r="A651" s="458" t="s">
        <v>2166</v>
      </c>
      <c r="B651" s="458" t="s">
        <v>2166</v>
      </c>
      <c r="K651" s="71"/>
      <c r="AE651" s="512"/>
      <c r="AT651" s="472"/>
    </row>
    <row r="652" spans="1:46">
      <c r="A652" s="458" t="s">
        <v>2173</v>
      </c>
      <c r="B652" s="458" t="s">
        <v>2173</v>
      </c>
      <c r="K652" s="71"/>
      <c r="AE652" s="512"/>
      <c r="AT652" s="472"/>
    </row>
    <row r="653" spans="1:46">
      <c r="A653" s="458" t="s">
        <v>2180</v>
      </c>
      <c r="B653" s="458" t="s">
        <v>2180</v>
      </c>
      <c r="K653" s="71"/>
      <c r="AE653" s="512"/>
      <c r="AT653" s="472"/>
    </row>
    <row r="654" spans="1:46">
      <c r="A654" s="458" t="s">
        <v>732</v>
      </c>
      <c r="B654" s="458" t="s">
        <v>732</v>
      </c>
      <c r="K654" s="71"/>
      <c r="AE654" s="512"/>
      <c r="AT654" s="472"/>
    </row>
    <row r="655" spans="1:46">
      <c r="A655" s="458" t="s">
        <v>649</v>
      </c>
      <c r="B655" s="458" t="s">
        <v>649</v>
      </c>
      <c r="K655" s="71"/>
      <c r="AE655" s="512"/>
      <c r="AT655" s="472"/>
    </row>
    <row r="656" spans="1:46">
      <c r="A656" s="458" t="s">
        <v>4485</v>
      </c>
      <c r="B656" s="458" t="s">
        <v>4485</v>
      </c>
      <c r="K656" s="71"/>
      <c r="AE656" s="512"/>
      <c r="AT656" s="472"/>
    </row>
    <row r="657" spans="1:46">
      <c r="A657" s="458" t="s">
        <v>748</v>
      </c>
      <c r="B657" s="458" t="s">
        <v>748</v>
      </c>
      <c r="K657" s="71"/>
      <c r="AE657" s="512"/>
      <c r="AT657" s="472"/>
    </row>
    <row r="658" spans="1:46">
      <c r="A658" s="458" t="s">
        <v>2186</v>
      </c>
      <c r="B658" s="458" t="s">
        <v>2186</v>
      </c>
      <c r="K658" s="71"/>
      <c r="AE658" s="512"/>
      <c r="AT658" s="472"/>
    </row>
    <row r="659" spans="1:46">
      <c r="A659" s="458" t="s">
        <v>692</v>
      </c>
      <c r="B659" s="458" t="s">
        <v>692</v>
      </c>
      <c r="K659" s="71"/>
      <c r="AE659" s="512"/>
      <c r="AT659" s="472"/>
    </row>
    <row r="660" spans="1:46">
      <c r="A660" s="458" t="s">
        <v>779</v>
      </c>
      <c r="B660" s="458" t="s">
        <v>779</v>
      </c>
      <c r="K660" s="71"/>
      <c r="AE660" s="512"/>
      <c r="AT660" s="472"/>
    </row>
    <row r="661" spans="1:46">
      <c r="A661" s="458" t="s">
        <v>676</v>
      </c>
      <c r="B661" s="458" t="s">
        <v>676</v>
      </c>
      <c r="K661" s="71"/>
      <c r="AE661" s="512"/>
      <c r="AT661" s="472"/>
    </row>
    <row r="662" spans="1:46">
      <c r="A662" s="458" t="s">
        <v>666</v>
      </c>
      <c r="B662" s="458" t="s">
        <v>666</v>
      </c>
      <c r="K662" s="71"/>
      <c r="AE662" s="512"/>
      <c r="AT662" s="472"/>
    </row>
    <row r="663" spans="1:46">
      <c r="A663" s="458" t="s">
        <v>518</v>
      </c>
      <c r="B663" s="458" t="s">
        <v>518</v>
      </c>
      <c r="K663" s="71"/>
      <c r="AE663" s="512"/>
      <c r="AT663" s="472"/>
    </row>
    <row r="664" spans="1:46">
      <c r="A664" s="458" t="s">
        <v>774</v>
      </c>
      <c r="B664" s="458" t="s">
        <v>774</v>
      </c>
      <c r="K664" s="71"/>
      <c r="AE664" s="512"/>
      <c r="AT664" s="472"/>
    </row>
    <row r="665" spans="1:46">
      <c r="A665" s="458" t="s">
        <v>2607</v>
      </c>
      <c r="B665" s="458" t="s">
        <v>2607</v>
      </c>
      <c r="K665" s="71"/>
      <c r="AE665" s="512"/>
      <c r="AT665" s="472"/>
    </row>
    <row r="666" spans="1:46">
      <c r="A666" s="458" t="s">
        <v>2611</v>
      </c>
      <c r="B666" s="458" t="s">
        <v>2611</v>
      </c>
      <c r="K666" s="71"/>
      <c r="AE666" s="512"/>
      <c r="AT666" s="472"/>
    </row>
    <row r="667" spans="1:46">
      <c r="A667" s="458" t="s">
        <v>2615</v>
      </c>
      <c r="B667" s="458" t="s">
        <v>2615</v>
      </c>
      <c r="K667" s="71"/>
      <c r="AE667" s="512"/>
      <c r="AT667" s="472"/>
    </row>
    <row r="668" spans="1:46">
      <c r="A668" s="458" t="s">
        <v>2619</v>
      </c>
      <c r="B668" s="458" t="s">
        <v>2619</v>
      </c>
      <c r="K668" s="71"/>
      <c r="AE668" s="512"/>
      <c r="AT668" s="472"/>
    </row>
    <row r="669" spans="1:46">
      <c r="A669" s="458" t="s">
        <v>2623</v>
      </c>
      <c r="B669" s="458" t="s">
        <v>2623</v>
      </c>
      <c r="K669" s="71"/>
      <c r="AE669" s="512"/>
      <c r="AT669" s="472"/>
    </row>
    <row r="670" spans="1:46">
      <c r="A670" s="458" t="s">
        <v>3946</v>
      </c>
      <c r="B670" s="458" t="s">
        <v>3946</v>
      </c>
      <c r="K670" s="71"/>
      <c r="AE670" s="512"/>
      <c r="AT670" s="472"/>
    </row>
    <row r="671" spans="1:46">
      <c r="A671" s="458" t="s">
        <v>2627</v>
      </c>
      <c r="B671" s="458" t="s">
        <v>2627</v>
      </c>
      <c r="K671" s="71"/>
      <c r="AE671" s="512"/>
      <c r="AT671" s="472"/>
    </row>
    <row r="672" spans="1:46">
      <c r="A672" s="458" t="s">
        <v>2631</v>
      </c>
      <c r="B672" s="458" t="s">
        <v>2631</v>
      </c>
      <c r="K672" s="71"/>
      <c r="AE672" s="512"/>
      <c r="AT672" s="472"/>
    </row>
    <row r="673" spans="1:46">
      <c r="A673" s="458" t="s">
        <v>2192</v>
      </c>
      <c r="B673" s="458" t="s">
        <v>2192</v>
      </c>
      <c r="K673" s="71"/>
      <c r="AE673" s="512"/>
      <c r="AT673" s="472"/>
    </row>
    <row r="674" spans="1:46">
      <c r="A674" s="458" t="s">
        <v>2198</v>
      </c>
      <c r="B674" s="458" t="s">
        <v>2198</v>
      </c>
      <c r="K674" s="71"/>
      <c r="AE674" s="512"/>
      <c r="AT674" s="472"/>
    </row>
    <row r="675" spans="1:46">
      <c r="A675" s="458" t="s">
        <v>2635</v>
      </c>
      <c r="B675" s="458" t="s">
        <v>2635</v>
      </c>
      <c r="K675" s="71"/>
      <c r="AE675" s="512"/>
      <c r="AT675" s="472"/>
    </row>
    <row r="676" spans="1:46">
      <c r="A676" s="458" t="s">
        <v>2640</v>
      </c>
      <c r="B676" s="458" t="s">
        <v>2640</v>
      </c>
      <c r="K676" s="71"/>
      <c r="AE676" s="512"/>
      <c r="AT676" s="472"/>
    </row>
    <row r="677" spans="1:46">
      <c r="A677" s="458" t="s">
        <v>2644</v>
      </c>
      <c r="B677" s="458" t="s">
        <v>2644</v>
      </c>
      <c r="K677" s="71"/>
      <c r="AE677" s="512"/>
      <c r="AT677" s="472"/>
    </row>
    <row r="678" spans="1:46">
      <c r="A678" s="458" t="s">
        <v>2648</v>
      </c>
      <c r="B678" s="458" t="s">
        <v>2648</v>
      </c>
      <c r="K678" s="71"/>
      <c r="AE678" s="512"/>
      <c r="AT678" s="472"/>
    </row>
    <row r="679" spans="1:46">
      <c r="A679" s="458" t="s">
        <v>2652</v>
      </c>
      <c r="B679" s="458" t="s">
        <v>2652</v>
      </c>
      <c r="K679" s="71"/>
      <c r="AE679" s="512"/>
      <c r="AT679" s="472"/>
    </row>
    <row r="680" spans="1:46">
      <c r="A680" s="458" t="s">
        <v>2656</v>
      </c>
      <c r="B680" s="458" t="s">
        <v>2656</v>
      </c>
      <c r="K680" s="71"/>
      <c r="AE680" s="512"/>
      <c r="AT680" s="472"/>
    </row>
    <row r="681" spans="1:46">
      <c r="A681" s="458" t="s">
        <v>523</v>
      </c>
      <c r="B681" s="458" t="s">
        <v>523</v>
      </c>
      <c r="K681" s="71"/>
      <c r="AE681" s="512"/>
      <c r="AT681" s="472"/>
    </row>
    <row r="682" spans="1:46">
      <c r="A682" s="458" t="s">
        <v>2660</v>
      </c>
      <c r="B682" s="458" t="s">
        <v>2660</v>
      </c>
      <c r="K682" s="71"/>
      <c r="AE682" s="512"/>
      <c r="AT682" s="472"/>
    </row>
    <row r="683" spans="1:46">
      <c r="A683" s="458" t="s">
        <v>4042</v>
      </c>
      <c r="B683" s="458" t="s">
        <v>4042</v>
      </c>
      <c r="K683" s="71"/>
      <c r="AE683" s="512"/>
      <c r="AT683" s="472"/>
    </row>
    <row r="684" spans="1:46">
      <c r="A684" s="458" t="s">
        <v>2203</v>
      </c>
      <c r="B684" s="458" t="s">
        <v>2203</v>
      </c>
      <c r="K684" s="71"/>
      <c r="AE684" s="512"/>
      <c r="AT684" s="472"/>
    </row>
    <row r="685" spans="1:46">
      <c r="A685" s="458" t="s">
        <v>2214</v>
      </c>
      <c r="B685" s="458" t="s">
        <v>2214</v>
      </c>
      <c r="K685" s="71"/>
      <c r="AE685" s="512"/>
      <c r="AT685" s="472"/>
    </row>
    <row r="686" spans="1:46">
      <c r="A686" s="458" t="s">
        <v>628</v>
      </c>
      <c r="B686" s="458" t="s">
        <v>628</v>
      </c>
      <c r="K686" s="71"/>
      <c r="AE686" s="512"/>
      <c r="AT686" s="472"/>
    </row>
    <row r="687" spans="1:46">
      <c r="A687" s="458" t="s">
        <v>1297</v>
      </c>
      <c r="B687" s="458" t="s">
        <v>1297</v>
      </c>
      <c r="K687" s="71"/>
      <c r="AE687" s="512"/>
      <c r="AT687" s="472"/>
    </row>
    <row r="688" spans="1:46">
      <c r="A688" s="458" t="s">
        <v>851</v>
      </c>
      <c r="B688" s="458" t="s">
        <v>851</v>
      </c>
      <c r="K688" s="71"/>
      <c r="AE688" s="512"/>
      <c r="AT688" s="472"/>
    </row>
    <row r="689" spans="1:46">
      <c r="A689" s="458" t="s">
        <v>4502</v>
      </c>
      <c r="B689" s="458" t="s">
        <v>4502</v>
      </c>
      <c r="K689" s="71"/>
      <c r="AE689" s="512"/>
      <c r="AT689" s="472"/>
    </row>
    <row r="690" spans="1:46">
      <c r="A690" s="458" t="s">
        <v>4061</v>
      </c>
      <c r="B690" s="458" t="s">
        <v>4061</v>
      </c>
      <c r="K690" s="71"/>
      <c r="AE690" s="512"/>
      <c r="AT690" s="472"/>
    </row>
    <row r="691" spans="1:46">
      <c r="A691" s="458" t="s">
        <v>531</v>
      </c>
      <c r="B691" s="458" t="s">
        <v>531</v>
      </c>
      <c r="K691" s="71"/>
      <c r="AE691" s="512"/>
      <c r="AT691" s="472"/>
    </row>
    <row r="692" spans="1:46">
      <c r="A692" s="458" t="s">
        <v>2220</v>
      </c>
      <c r="B692" s="458" t="s">
        <v>2220</v>
      </c>
      <c r="K692" s="71"/>
      <c r="AE692" s="512"/>
      <c r="AT692" s="472"/>
    </row>
    <row r="693" spans="1:46">
      <c r="A693" s="458" t="s">
        <v>2237</v>
      </c>
      <c r="B693" s="458" t="s">
        <v>2237</v>
      </c>
      <c r="K693" s="71"/>
      <c r="AE693" s="512"/>
      <c r="AT693" s="472"/>
    </row>
    <row r="694" spans="1:46">
      <c r="A694" s="458" t="s">
        <v>856</v>
      </c>
      <c r="B694" s="458" t="s">
        <v>856</v>
      </c>
      <c r="K694" s="71"/>
      <c r="AE694" s="512"/>
      <c r="AT694" s="472"/>
    </row>
    <row r="695" spans="1:46">
      <c r="A695" s="458" t="s">
        <v>1882</v>
      </c>
      <c r="B695" s="458" t="s">
        <v>1882</v>
      </c>
      <c r="K695" s="71"/>
      <c r="AE695" s="512"/>
      <c r="AT695" s="472"/>
    </row>
    <row r="696" spans="1:46">
      <c r="A696" s="458" t="s">
        <v>2290</v>
      </c>
      <c r="B696" s="458" t="s">
        <v>2290</v>
      </c>
      <c r="K696" s="71"/>
      <c r="AE696" s="512"/>
      <c r="AT696" s="472"/>
    </row>
    <row r="697" spans="1:46">
      <c r="A697" s="458" t="s">
        <v>861</v>
      </c>
      <c r="B697" s="458" t="s">
        <v>861</v>
      </c>
      <c r="K697" s="71"/>
      <c r="AE697" s="512"/>
      <c r="AT697" s="472"/>
    </row>
    <row r="698" spans="1:46">
      <c r="A698" s="458" t="s">
        <v>633</v>
      </c>
      <c r="B698" s="458" t="s">
        <v>633</v>
      </c>
      <c r="K698" s="71"/>
      <c r="AE698" s="512"/>
      <c r="AT698" s="472"/>
    </row>
    <row r="699" spans="1:46">
      <c r="A699" s="458" t="s">
        <v>4064</v>
      </c>
      <c r="B699" s="458" t="s">
        <v>4064</v>
      </c>
      <c r="K699" s="71"/>
      <c r="AE699" s="512"/>
      <c r="AT699" s="472"/>
    </row>
    <row r="700" spans="1:46">
      <c r="A700" s="458" t="s">
        <v>555</v>
      </c>
      <c r="B700" s="458" t="s">
        <v>555</v>
      </c>
      <c r="K700" s="71"/>
      <c r="AE700" s="512"/>
      <c r="AT700" s="472"/>
    </row>
    <row r="701" spans="1:46">
      <c r="A701" s="458" t="s">
        <v>638</v>
      </c>
      <c r="B701" s="458" t="s">
        <v>638</v>
      </c>
      <c r="K701" s="71"/>
      <c r="AE701" s="512"/>
      <c r="AT701" s="472"/>
    </row>
    <row r="702" spans="1:46">
      <c r="A702" s="458" t="s">
        <v>4479</v>
      </c>
      <c r="B702" s="458" t="s">
        <v>4479</v>
      </c>
      <c r="K702" s="71"/>
      <c r="AE702" s="512"/>
      <c r="AT702" s="472"/>
    </row>
    <row r="703" spans="1:46">
      <c r="A703" s="458" t="s">
        <v>643</v>
      </c>
      <c r="B703" s="458" t="s">
        <v>643</v>
      </c>
      <c r="K703" s="71"/>
      <c r="AE703" s="512"/>
      <c r="AT703" s="472"/>
    </row>
    <row r="704" spans="1:46">
      <c r="A704" s="458" t="s">
        <v>582</v>
      </c>
      <c r="B704" s="458" t="s">
        <v>582</v>
      </c>
      <c r="K704" s="71"/>
      <c r="AE704" s="512"/>
      <c r="AT704" s="472"/>
    </row>
    <row r="705" spans="1:46">
      <c r="A705" s="458" t="s">
        <v>560</v>
      </c>
      <c r="B705" s="458" t="s">
        <v>560</v>
      </c>
      <c r="K705" s="71"/>
      <c r="AE705" s="512"/>
      <c r="AT705" s="472"/>
    </row>
    <row r="706" spans="1:46">
      <c r="A706" s="458" t="s">
        <v>2051</v>
      </c>
      <c r="B706" s="458" t="s">
        <v>2051</v>
      </c>
      <c r="K706" s="71"/>
      <c r="AE706" s="512"/>
      <c r="AT706" s="472"/>
    </row>
    <row r="707" spans="1:46">
      <c r="A707" s="515" t="s">
        <v>567</v>
      </c>
      <c r="B707" s="515" t="s">
        <v>567</v>
      </c>
      <c r="K707" s="71"/>
      <c r="AE707" s="512"/>
      <c r="AT707" s="472"/>
    </row>
    <row r="708" spans="1:46">
      <c r="A708" s="515" t="s">
        <v>572</v>
      </c>
      <c r="B708" s="515" t="s">
        <v>572</v>
      </c>
      <c r="K708" s="71"/>
      <c r="AE708" s="512"/>
      <c r="AT708" s="472"/>
    </row>
    <row r="709" spans="1:46">
      <c r="A709" s="515" t="s">
        <v>577</v>
      </c>
      <c r="B709" s="515" t="s">
        <v>577</v>
      </c>
      <c r="K709" s="71"/>
      <c r="AE709" s="512"/>
      <c r="AT709" s="472"/>
    </row>
    <row r="710" spans="1:46">
      <c r="A710" s="515" t="s">
        <v>2664</v>
      </c>
      <c r="B710" s="515" t="s">
        <v>2664</v>
      </c>
      <c r="K710" s="71"/>
      <c r="AE710" s="512"/>
      <c r="AT710" s="472"/>
    </row>
    <row r="711" spans="1:46">
      <c r="A711" s="515" t="s">
        <v>2668</v>
      </c>
      <c r="B711" s="515" t="s">
        <v>2668</v>
      </c>
      <c r="K711" s="71"/>
      <c r="AE711" s="512"/>
      <c r="AT711" s="472"/>
    </row>
    <row r="712" spans="1:46">
      <c r="A712" s="515" t="s">
        <v>3722</v>
      </c>
      <c r="B712" s="515" t="s">
        <v>3722</v>
      </c>
      <c r="K712" s="71"/>
      <c r="AE712" s="512"/>
      <c r="AT712" s="472"/>
    </row>
    <row r="713" spans="1:46">
      <c r="A713" s="515" t="s">
        <v>2674</v>
      </c>
      <c r="B713" s="515" t="s">
        <v>2674</v>
      </c>
      <c r="K713" s="71"/>
      <c r="AE713" s="512"/>
      <c r="AT713" s="472"/>
    </row>
    <row r="714" spans="1:46">
      <c r="A714" s="515" t="s">
        <v>2678</v>
      </c>
      <c r="B714" s="515" t="s">
        <v>2678</v>
      </c>
      <c r="K714" s="71"/>
      <c r="AE714" s="512"/>
      <c r="AT714" s="472"/>
    </row>
    <row r="715" spans="1:46">
      <c r="A715" s="515" t="s">
        <v>2683</v>
      </c>
      <c r="B715" s="515" t="s">
        <v>2683</v>
      </c>
      <c r="K715" s="71"/>
      <c r="AE715" s="512"/>
      <c r="AT715" s="472"/>
    </row>
    <row r="716" spans="1:46">
      <c r="A716" s="515" t="s">
        <v>2687</v>
      </c>
      <c r="B716" s="515" t="s">
        <v>2687</v>
      </c>
      <c r="K716" s="71"/>
      <c r="AE716" s="512"/>
      <c r="AT716" s="472"/>
    </row>
    <row r="717" spans="1:46">
      <c r="A717" s="515" t="s">
        <v>1838</v>
      </c>
      <c r="B717" s="515" t="s">
        <v>1838</v>
      </c>
      <c r="K717" s="71"/>
      <c r="AE717" s="512"/>
      <c r="AT717" s="472"/>
    </row>
    <row r="718" spans="1:46">
      <c r="A718" s="515" t="s">
        <v>3582</v>
      </c>
      <c r="B718" s="515" t="s">
        <v>3582</v>
      </c>
      <c r="K718" s="71"/>
      <c r="AE718" s="512"/>
      <c r="AT718" s="472"/>
    </row>
    <row r="719" spans="1:46">
      <c r="A719" s="515" t="s">
        <v>3717</v>
      </c>
      <c r="B719" s="515" t="s">
        <v>3717</v>
      </c>
      <c r="K719" s="71"/>
      <c r="AE719" s="512"/>
      <c r="AT719" s="472"/>
    </row>
    <row r="720" spans="1:46">
      <c r="A720" s="515" t="s">
        <v>3588</v>
      </c>
      <c r="B720" s="515" t="s">
        <v>3588</v>
      </c>
      <c r="K720" s="71"/>
      <c r="AE720" s="512"/>
      <c r="AT720" s="472"/>
    </row>
    <row r="721" spans="1:46">
      <c r="A721" s="515" t="s">
        <v>3592</v>
      </c>
      <c r="B721" s="515" t="s">
        <v>3592</v>
      </c>
      <c r="K721" s="71"/>
      <c r="AE721" s="512"/>
      <c r="AT721" s="472"/>
    </row>
    <row r="722" spans="1:46">
      <c r="A722" s="515" t="s">
        <v>3597</v>
      </c>
      <c r="B722" s="515" t="s">
        <v>3597</v>
      </c>
      <c r="K722" s="71"/>
      <c r="AE722" s="512"/>
      <c r="AT722" s="472"/>
    </row>
    <row r="723" spans="1:46">
      <c r="A723" s="515" t="s">
        <v>590</v>
      </c>
      <c r="B723" s="515" t="s">
        <v>590</v>
      </c>
      <c r="K723" s="71"/>
      <c r="AE723" s="512"/>
      <c r="AT723" s="472"/>
    </row>
    <row r="724" spans="1:46">
      <c r="A724" s="515" t="s">
        <v>596</v>
      </c>
      <c r="B724" s="515" t="s">
        <v>596</v>
      </c>
      <c r="K724" s="71"/>
      <c r="AE724" s="512"/>
      <c r="AT724" s="472"/>
    </row>
    <row r="725" spans="1:46">
      <c r="A725" s="515" t="s">
        <v>602</v>
      </c>
      <c r="B725" s="515" t="s">
        <v>602</v>
      </c>
      <c r="K725" s="71"/>
      <c r="AE725" s="512"/>
      <c r="AT725" s="472"/>
    </row>
    <row r="726" spans="1:46">
      <c r="A726" s="515" t="s">
        <v>4476</v>
      </c>
      <c r="B726" s="515" t="s">
        <v>4476</v>
      </c>
      <c r="K726" s="71"/>
      <c r="AE726" s="512"/>
      <c r="AT726" s="472"/>
    </row>
    <row r="727" spans="1:46">
      <c r="A727" s="515" t="s">
        <v>3797</v>
      </c>
      <c r="B727" s="515" t="s">
        <v>3797</v>
      </c>
      <c r="K727" s="71"/>
      <c r="AE727" s="512"/>
      <c r="AT727" s="472"/>
    </row>
    <row r="728" spans="1:46">
      <c r="A728" s="515" t="s">
        <v>743</v>
      </c>
      <c r="B728" s="515" t="s">
        <v>743</v>
      </c>
      <c r="K728" s="71"/>
      <c r="AE728" s="512"/>
      <c r="AT728" s="472"/>
    </row>
    <row r="729" spans="1:46">
      <c r="A729" s="515" t="s">
        <v>717</v>
      </c>
      <c r="B729" s="515" t="s">
        <v>717</v>
      </c>
      <c r="K729" s="71"/>
      <c r="AE729" s="512"/>
      <c r="AT729" s="472"/>
    </row>
    <row r="730" spans="1:46">
      <c r="A730" s="515" t="s">
        <v>2691</v>
      </c>
      <c r="B730" s="515" t="s">
        <v>2691</v>
      </c>
      <c r="K730" s="71"/>
      <c r="AE730" s="512"/>
      <c r="AT730" s="472"/>
    </row>
    <row r="731" spans="1:46">
      <c r="A731" s="515" t="s">
        <v>4575</v>
      </c>
      <c r="B731" s="515" t="s">
        <v>4575</v>
      </c>
      <c r="K731" s="71"/>
      <c r="AE731" s="512"/>
      <c r="AT731" s="472"/>
    </row>
    <row r="732" spans="1:46">
      <c r="A732" s="515" t="s">
        <v>2695</v>
      </c>
      <c r="B732" s="515" t="s">
        <v>2695</v>
      </c>
      <c r="K732" s="71"/>
      <c r="AE732" s="512"/>
      <c r="AT732" s="472"/>
    </row>
    <row r="733" spans="1:46">
      <c r="A733" s="515" t="s">
        <v>2699</v>
      </c>
      <c r="B733" s="515" t="s">
        <v>2699</v>
      </c>
      <c r="K733" s="71"/>
      <c r="AE733" s="512"/>
      <c r="AT733" s="472"/>
    </row>
    <row r="734" spans="1:46">
      <c r="A734" s="515" t="s">
        <v>2703</v>
      </c>
      <c r="B734" s="515" t="s">
        <v>2703</v>
      </c>
      <c r="K734" s="71"/>
      <c r="AE734" s="512"/>
      <c r="AT734" s="472"/>
    </row>
    <row r="735" spans="1:46">
      <c r="A735" s="515" t="s">
        <v>2707</v>
      </c>
      <c r="B735" s="515" t="s">
        <v>2707</v>
      </c>
      <c r="K735" s="71"/>
      <c r="AE735" s="512"/>
      <c r="AT735" s="472"/>
    </row>
    <row r="736" spans="1:46">
      <c r="A736" s="515" t="s">
        <v>2714</v>
      </c>
      <c r="B736" s="515" t="s">
        <v>2714</v>
      </c>
      <c r="K736" s="71"/>
      <c r="AE736" s="512"/>
      <c r="AT736" s="472"/>
    </row>
    <row r="737" spans="1:46">
      <c r="A737" s="515" t="s">
        <v>2718</v>
      </c>
      <c r="B737" s="515" t="s">
        <v>2718</v>
      </c>
      <c r="K737" s="71"/>
      <c r="AE737" s="512"/>
      <c r="AT737" s="472"/>
    </row>
    <row r="738" spans="1:46">
      <c r="A738" s="515" t="s">
        <v>2724</v>
      </c>
      <c r="B738" s="515" t="s">
        <v>2724</v>
      </c>
      <c r="K738" s="71"/>
      <c r="AE738" s="512"/>
      <c r="AT738" s="472"/>
    </row>
    <row r="739" spans="1:46">
      <c r="A739" s="515" t="s">
        <v>2729</v>
      </c>
      <c r="B739" s="515" t="s">
        <v>2729</v>
      </c>
      <c r="K739" s="71"/>
      <c r="AE739" s="512"/>
      <c r="AT739" s="472"/>
    </row>
    <row r="740" spans="1:46">
      <c r="A740" s="515" t="s">
        <v>2734</v>
      </c>
      <c r="B740" s="515" t="s">
        <v>2734</v>
      </c>
      <c r="K740" s="71"/>
      <c r="AE740" s="512"/>
      <c r="AT740" s="472"/>
    </row>
    <row r="741" spans="1:46">
      <c r="A741" s="515" t="s">
        <v>2739</v>
      </c>
      <c r="B741" s="515" t="s">
        <v>2739</v>
      </c>
      <c r="K741" s="71"/>
      <c r="AE741" s="512"/>
      <c r="AT741" s="472"/>
    </row>
    <row r="742" spans="1:46">
      <c r="A742" s="515" t="s">
        <v>2744</v>
      </c>
      <c r="B742" s="515" t="s">
        <v>2744</v>
      </c>
      <c r="K742" s="71"/>
      <c r="AE742" s="512"/>
      <c r="AT742" s="472"/>
    </row>
    <row r="743" spans="1:46">
      <c r="A743" s="515" t="s">
        <v>2748</v>
      </c>
      <c r="B743" s="515" t="s">
        <v>2748</v>
      </c>
      <c r="K743" s="71"/>
      <c r="AE743" s="512"/>
      <c r="AT743" s="472"/>
    </row>
    <row r="744" spans="1:46">
      <c r="A744" s="516" t="s">
        <v>2752</v>
      </c>
      <c r="B744" s="516" t="s">
        <v>2752</v>
      </c>
      <c r="K744" s="71"/>
      <c r="AE744" s="512"/>
      <c r="AT744" s="472"/>
    </row>
    <row r="745" spans="1:46">
      <c r="A745" s="55" t="s">
        <v>2756</v>
      </c>
      <c r="B745" s="55" t="s">
        <v>2756</v>
      </c>
      <c r="K745" s="71"/>
      <c r="AE745" s="512"/>
      <c r="AT745" s="472"/>
    </row>
    <row r="746" spans="1:46">
      <c r="A746" s="515" t="s">
        <v>2760</v>
      </c>
      <c r="B746" s="515" t="s">
        <v>2760</v>
      </c>
      <c r="K746" s="71"/>
      <c r="AE746" s="512"/>
      <c r="AT746" s="472"/>
    </row>
    <row r="747" spans="1:46">
      <c r="A747" s="515" t="s">
        <v>2764</v>
      </c>
      <c r="B747" s="515" t="s">
        <v>2764</v>
      </c>
      <c r="K747" s="71"/>
      <c r="AE747" s="512"/>
      <c r="AT747" s="472"/>
    </row>
    <row r="748" spans="1:46">
      <c r="A748" s="515" t="s">
        <v>2769</v>
      </c>
      <c r="B748" s="515" t="s">
        <v>2769</v>
      </c>
      <c r="K748" s="71"/>
      <c r="AE748" s="512"/>
      <c r="AT748" s="472"/>
    </row>
    <row r="749" spans="1:46">
      <c r="A749" s="515" t="s">
        <v>2773</v>
      </c>
      <c r="B749" s="515" t="s">
        <v>2773</v>
      </c>
      <c r="K749" s="71"/>
      <c r="AE749" s="512"/>
      <c r="AT749" s="472"/>
    </row>
    <row r="750" spans="1:46">
      <c r="A750" s="515" t="s">
        <v>2776</v>
      </c>
      <c r="B750" s="515" t="s">
        <v>2776</v>
      </c>
      <c r="K750" s="71"/>
      <c r="AE750" s="512"/>
      <c r="AT750" s="472"/>
    </row>
    <row r="751" spans="1:46">
      <c r="A751" s="515" t="s">
        <v>3601</v>
      </c>
      <c r="B751" s="515" t="s">
        <v>3601</v>
      </c>
      <c r="K751" s="71"/>
      <c r="AE751" s="512"/>
      <c r="AT751" s="472"/>
    </row>
    <row r="752" spans="1:46">
      <c r="A752" s="515" t="s">
        <v>3605</v>
      </c>
      <c r="B752" s="515" t="s">
        <v>3605</v>
      </c>
      <c r="K752" s="71"/>
      <c r="AE752" s="512"/>
      <c r="AT752" s="472"/>
    </row>
    <row r="753" spans="1:46">
      <c r="A753" s="515" t="s">
        <v>3608</v>
      </c>
      <c r="B753" s="515" t="s">
        <v>3608</v>
      </c>
      <c r="K753" s="71"/>
      <c r="AE753" s="512"/>
      <c r="AT753" s="472"/>
    </row>
    <row r="754" spans="1:46">
      <c r="A754" s="515" t="s">
        <v>3611</v>
      </c>
      <c r="B754" s="515" t="s">
        <v>3611</v>
      </c>
      <c r="K754" s="71"/>
      <c r="AE754" s="512"/>
      <c r="AT754" s="472"/>
    </row>
    <row r="755" spans="1:46">
      <c r="A755" s="515" t="s">
        <v>3614</v>
      </c>
      <c r="B755" s="515" t="s">
        <v>3614</v>
      </c>
      <c r="K755" s="71"/>
      <c r="AE755" s="512"/>
      <c r="AT755" s="472"/>
    </row>
    <row r="756" spans="1:46">
      <c r="A756" s="515" t="s">
        <v>3617</v>
      </c>
      <c r="B756" s="515" t="s">
        <v>3617</v>
      </c>
      <c r="K756" s="71"/>
      <c r="AE756" s="512"/>
      <c r="AT756" s="472"/>
    </row>
    <row r="757" spans="1:46">
      <c r="A757" s="515" t="s">
        <v>3620</v>
      </c>
      <c r="B757" s="515" t="s">
        <v>3620</v>
      </c>
      <c r="K757" s="71"/>
      <c r="AE757" s="512"/>
      <c r="AT757" s="472"/>
    </row>
    <row r="758" spans="1:46">
      <c r="A758" s="515" t="s">
        <v>3624</v>
      </c>
      <c r="B758" s="515" t="s">
        <v>3624</v>
      </c>
      <c r="K758" s="71"/>
      <c r="AE758" s="512"/>
      <c r="AT758" s="472"/>
    </row>
    <row r="759" spans="1:46">
      <c r="A759" s="515" t="s">
        <v>3627</v>
      </c>
      <c r="B759" s="515" t="s">
        <v>3627</v>
      </c>
      <c r="K759" s="71"/>
      <c r="AE759" s="512"/>
      <c r="AT759" s="472"/>
    </row>
    <row r="760" spans="1:46">
      <c r="A760" s="515" t="s">
        <v>4577</v>
      </c>
      <c r="B760" s="515" t="s">
        <v>4577</v>
      </c>
      <c r="K760" s="71"/>
      <c r="AE760" s="512"/>
      <c r="AT760" s="472"/>
    </row>
    <row r="761" spans="1:46">
      <c r="A761" s="515" t="s">
        <v>3632</v>
      </c>
      <c r="B761" s="515" t="s">
        <v>3632</v>
      </c>
      <c r="K761" s="71"/>
      <c r="AE761" s="512"/>
      <c r="AT761" s="472"/>
    </row>
    <row r="762" spans="1:46">
      <c r="A762" s="515" t="s">
        <v>3637</v>
      </c>
      <c r="B762" s="515" t="s">
        <v>3637</v>
      </c>
      <c r="K762" s="71"/>
      <c r="AE762" s="512"/>
      <c r="AT762" s="472"/>
    </row>
    <row r="763" spans="1:46">
      <c r="A763" s="515" t="s">
        <v>3642</v>
      </c>
      <c r="B763" s="515" t="s">
        <v>3642</v>
      </c>
      <c r="K763" s="71"/>
      <c r="AE763" s="512"/>
      <c r="AT763" s="472"/>
    </row>
    <row r="764" spans="1:46">
      <c r="A764" s="515" t="s">
        <v>4642</v>
      </c>
      <c r="B764" s="515" t="s">
        <v>4642</v>
      </c>
      <c r="K764" s="71"/>
      <c r="AE764" s="512"/>
      <c r="AT764" s="472"/>
    </row>
    <row r="765" spans="1:46">
      <c r="A765" s="515" t="s">
        <v>3648</v>
      </c>
      <c r="B765" s="515" t="s">
        <v>3648</v>
      </c>
      <c r="K765" s="71"/>
      <c r="AE765" s="512"/>
      <c r="AT765" s="472"/>
    </row>
    <row r="766" spans="1:46">
      <c r="A766" s="515" t="s">
        <v>3652</v>
      </c>
      <c r="B766" s="515" t="s">
        <v>3652</v>
      </c>
      <c r="K766" s="71"/>
      <c r="AE766" s="512"/>
      <c r="AT766" s="472"/>
    </row>
    <row r="767" spans="1:46">
      <c r="A767" s="515" t="s">
        <v>3658</v>
      </c>
      <c r="B767" s="515" t="s">
        <v>3658</v>
      </c>
      <c r="K767" s="71"/>
      <c r="AE767" s="512"/>
      <c r="AT767" s="472"/>
    </row>
    <row r="768" spans="1:46">
      <c r="A768" s="515" t="s">
        <v>3664</v>
      </c>
      <c r="B768" s="515" t="s">
        <v>3664</v>
      </c>
      <c r="K768" s="71"/>
      <c r="AE768" s="512"/>
      <c r="AT768" s="472"/>
    </row>
    <row r="769" spans="1:46">
      <c r="A769" s="515" t="s">
        <v>3669</v>
      </c>
      <c r="B769" s="515" t="s">
        <v>3669</v>
      </c>
      <c r="K769" s="71"/>
      <c r="AE769" s="512"/>
      <c r="AT769" s="472"/>
    </row>
    <row r="770" spans="1:46">
      <c r="A770" s="515" t="s">
        <v>3673</v>
      </c>
      <c r="B770" s="515" t="s">
        <v>3673</v>
      </c>
      <c r="K770" s="71"/>
      <c r="AE770" s="512"/>
      <c r="AT770" s="472"/>
    </row>
    <row r="771" spans="1:46">
      <c r="A771" s="515" t="s">
        <v>3678</v>
      </c>
      <c r="B771" s="515" t="s">
        <v>3678</v>
      </c>
      <c r="K771" s="71"/>
      <c r="AE771" s="512"/>
      <c r="AT771" s="472"/>
    </row>
    <row r="772" spans="1:46">
      <c r="A772" s="515" t="s">
        <v>3682</v>
      </c>
      <c r="B772" s="515" t="s">
        <v>3682</v>
      </c>
      <c r="K772" s="71"/>
      <c r="AE772" s="512"/>
      <c r="AT772" s="472"/>
    </row>
    <row r="773" spans="1:46">
      <c r="A773" s="515" t="s">
        <v>2780</v>
      </c>
      <c r="B773" s="515" t="s">
        <v>2780</v>
      </c>
      <c r="K773" s="71"/>
      <c r="AE773" s="512"/>
      <c r="AT773" s="472"/>
    </row>
    <row r="774" spans="1:46">
      <c r="A774" s="515" t="s">
        <v>3687</v>
      </c>
      <c r="B774" s="515" t="s">
        <v>3687</v>
      </c>
      <c r="K774" s="71"/>
      <c r="AE774" s="512"/>
      <c r="AT774" s="472"/>
    </row>
    <row r="775" spans="1:46">
      <c r="A775" s="515" t="s">
        <v>3693</v>
      </c>
      <c r="B775" s="515" t="s">
        <v>3693</v>
      </c>
      <c r="K775" s="71"/>
      <c r="AE775" s="512"/>
      <c r="AT775" s="472"/>
    </row>
    <row r="776" spans="1:46">
      <c r="A776" s="515" t="s">
        <v>3698</v>
      </c>
      <c r="B776" s="515" t="s">
        <v>3698</v>
      </c>
      <c r="K776" s="71"/>
      <c r="AE776" s="512"/>
      <c r="AT776" s="472"/>
    </row>
    <row r="777" spans="1:46">
      <c r="A777" s="515" t="s">
        <v>3703</v>
      </c>
      <c r="B777" s="515" t="s">
        <v>3703</v>
      </c>
      <c r="K777" s="71"/>
      <c r="AE777" s="512"/>
      <c r="AT777" s="472"/>
    </row>
    <row r="778" spans="1:46">
      <c r="A778" s="515" t="s">
        <v>3707</v>
      </c>
      <c r="B778" s="515" t="s">
        <v>3707</v>
      </c>
      <c r="K778" s="71"/>
      <c r="AE778" s="512"/>
      <c r="AT778" s="472"/>
    </row>
    <row r="779" spans="1:46">
      <c r="A779" s="515" t="s">
        <v>3712</v>
      </c>
      <c r="B779" s="515" t="s">
        <v>3712</v>
      </c>
      <c r="K779" s="71"/>
      <c r="AE779" s="512"/>
      <c r="AT779" s="472"/>
    </row>
    <row r="780" spans="1:46">
      <c r="A780" s="515" t="s">
        <v>4582</v>
      </c>
      <c r="B780" s="515" t="s">
        <v>4582</v>
      </c>
      <c r="K780" s="71"/>
      <c r="AE780" s="512"/>
      <c r="AT780" s="472"/>
    </row>
    <row r="781" spans="1:46">
      <c r="A781" s="515" t="s">
        <v>2787</v>
      </c>
      <c r="B781" s="515" t="s">
        <v>2787</v>
      </c>
      <c r="K781" s="71"/>
      <c r="AE781" s="512"/>
      <c r="AT781" s="472"/>
    </row>
    <row r="782" spans="1:46">
      <c r="A782" s="515" t="s">
        <v>4259</v>
      </c>
      <c r="B782" s="515" t="s">
        <v>4259</v>
      </c>
      <c r="K782" s="71"/>
      <c r="AE782" s="512"/>
      <c r="AT782" s="472"/>
    </row>
    <row r="783" spans="1:46">
      <c r="A783" s="515" t="s">
        <v>4267</v>
      </c>
      <c r="B783" s="515" t="s">
        <v>4267</v>
      </c>
      <c r="K783" s="71"/>
      <c r="AE783" s="512"/>
      <c r="AT783" s="472"/>
    </row>
    <row r="784" spans="1:46">
      <c r="A784" s="515" t="s">
        <v>4585</v>
      </c>
      <c r="B784" s="515" t="s">
        <v>4585</v>
      </c>
      <c r="K784" s="71"/>
      <c r="AE784" s="512"/>
      <c r="AT784" s="472"/>
    </row>
    <row r="785" spans="1:46">
      <c r="A785" s="515" t="s">
        <v>4588</v>
      </c>
      <c r="B785" s="515" t="s">
        <v>4588</v>
      </c>
      <c r="K785" s="71"/>
      <c r="AE785" s="512"/>
      <c r="AT785" s="472"/>
    </row>
    <row r="786" spans="1:46">
      <c r="A786" s="515" t="s">
        <v>4274</v>
      </c>
      <c r="B786" s="515" t="s">
        <v>4274</v>
      </c>
      <c r="K786" s="71"/>
      <c r="AE786" s="512"/>
      <c r="AT786" s="472"/>
    </row>
    <row r="787" spans="1:46">
      <c r="A787" s="515" t="s">
        <v>4282</v>
      </c>
      <c r="B787" s="515" t="s">
        <v>4282</v>
      </c>
      <c r="K787" s="71"/>
      <c r="AE787" s="512"/>
      <c r="AT787" s="472"/>
    </row>
    <row r="788" spans="1:46">
      <c r="A788" s="515" t="s">
        <v>4289</v>
      </c>
      <c r="B788" s="515" t="s">
        <v>4289</v>
      </c>
      <c r="K788" s="71"/>
      <c r="AE788" s="512"/>
      <c r="AT788" s="472"/>
    </row>
    <row r="789" spans="1:46">
      <c r="A789" s="515" t="s">
        <v>3729</v>
      </c>
      <c r="B789" s="515" t="s">
        <v>3729</v>
      </c>
      <c r="K789" s="71"/>
      <c r="AE789" s="512"/>
      <c r="AT789" s="472"/>
    </row>
    <row r="790" spans="1:46">
      <c r="A790" s="515" t="s">
        <v>3735</v>
      </c>
      <c r="B790" s="515" t="s">
        <v>3735</v>
      </c>
      <c r="K790" s="71"/>
      <c r="AE790" s="512"/>
      <c r="AT790" s="472"/>
    </row>
    <row r="791" spans="1:46">
      <c r="A791" s="515" t="s">
        <v>3742</v>
      </c>
      <c r="B791" s="515" t="s">
        <v>3742</v>
      </c>
      <c r="K791" s="71"/>
      <c r="AE791" s="512"/>
      <c r="AT791" s="472"/>
    </row>
    <row r="792" spans="1:46">
      <c r="A792" s="515" t="s">
        <v>3746</v>
      </c>
      <c r="B792" s="515" t="s">
        <v>3746</v>
      </c>
      <c r="K792" s="71"/>
      <c r="AE792" s="512"/>
      <c r="AT792" s="472"/>
    </row>
    <row r="793" spans="1:46">
      <c r="A793" s="515" t="s">
        <v>3750</v>
      </c>
      <c r="B793" s="515" t="s">
        <v>3750</v>
      </c>
      <c r="K793" s="71"/>
      <c r="AE793" s="512"/>
      <c r="AT793" s="472"/>
    </row>
    <row r="794" spans="1:46">
      <c r="A794" s="515" t="s">
        <v>3754</v>
      </c>
      <c r="B794" s="515" t="s">
        <v>3754</v>
      </c>
      <c r="K794" s="71"/>
      <c r="AE794" s="512"/>
      <c r="AT794" s="472"/>
    </row>
    <row r="795" spans="1:46">
      <c r="A795" s="515" t="s">
        <v>3759</v>
      </c>
      <c r="B795" s="515" t="s">
        <v>3759</v>
      </c>
      <c r="K795" s="71"/>
      <c r="AE795" s="512"/>
      <c r="AT795" s="472"/>
    </row>
    <row r="796" spans="1:46">
      <c r="A796" s="515" t="s">
        <v>3763</v>
      </c>
      <c r="B796" s="515" t="s">
        <v>3763</v>
      </c>
      <c r="K796" s="71"/>
      <c r="AE796" s="512"/>
      <c r="AT796" s="472"/>
    </row>
    <row r="797" spans="1:46">
      <c r="A797" s="515" t="s">
        <v>3770</v>
      </c>
      <c r="B797" s="515" t="s">
        <v>3770</v>
      </c>
      <c r="K797" s="71"/>
      <c r="AE797" s="512"/>
      <c r="AT797" s="472"/>
    </row>
    <row r="798" spans="1:46">
      <c r="A798" s="515" t="s">
        <v>4654</v>
      </c>
      <c r="B798" s="515" t="s">
        <v>4654</v>
      </c>
      <c r="K798" s="71"/>
      <c r="AE798" s="512"/>
      <c r="AT798" s="472"/>
    </row>
    <row r="799" spans="1:46">
      <c r="A799" s="515" t="s">
        <v>4658</v>
      </c>
      <c r="B799" s="515" t="s">
        <v>4658</v>
      </c>
      <c r="K799" s="71"/>
      <c r="AE799" s="512"/>
      <c r="AT799" s="472"/>
    </row>
    <row r="800" spans="1:46">
      <c r="A800" s="515" t="s">
        <v>4662</v>
      </c>
      <c r="B800" s="515" t="s">
        <v>4662</v>
      </c>
      <c r="K800" s="71"/>
      <c r="AE800" s="512"/>
      <c r="AT800" s="472"/>
    </row>
    <row r="801" spans="1:46">
      <c r="A801" s="515" t="s">
        <v>4666</v>
      </c>
      <c r="B801" s="515" t="s">
        <v>4666</v>
      </c>
      <c r="K801" s="71"/>
      <c r="AE801" s="512"/>
      <c r="AT801" s="472"/>
    </row>
    <row r="802" spans="1:46">
      <c r="A802" s="515" t="s">
        <v>4670</v>
      </c>
      <c r="B802" s="515" t="s">
        <v>4670</v>
      </c>
      <c r="K802" s="71"/>
      <c r="AE802" s="512"/>
      <c r="AT802" s="472"/>
    </row>
    <row r="803" spans="1:46">
      <c r="A803" s="515" t="s">
        <v>4674</v>
      </c>
      <c r="B803" s="515" t="s">
        <v>4674</v>
      </c>
      <c r="K803" s="71"/>
      <c r="AE803" s="512"/>
      <c r="AT803" s="472"/>
    </row>
    <row r="804" spans="1:46">
      <c r="A804" s="515" t="s">
        <v>4678</v>
      </c>
      <c r="B804" s="515" t="s">
        <v>4678</v>
      </c>
      <c r="K804" s="71"/>
      <c r="AE804" s="512"/>
      <c r="AT804" s="472"/>
    </row>
    <row r="805" spans="1:46">
      <c r="A805" s="515" t="s">
        <v>4682</v>
      </c>
      <c r="B805" s="515" t="s">
        <v>4682</v>
      </c>
      <c r="K805" s="71"/>
      <c r="AE805" s="512"/>
      <c r="AT805" s="472"/>
    </row>
    <row r="806" spans="1:46">
      <c r="A806" s="515" t="s">
        <v>4686</v>
      </c>
      <c r="B806" s="515" t="s">
        <v>4686</v>
      </c>
      <c r="K806" s="71"/>
      <c r="AE806" s="512"/>
      <c r="AT806" s="472"/>
    </row>
    <row r="807" spans="1:46">
      <c r="A807" s="515" t="s">
        <v>3774</v>
      </c>
      <c r="B807" s="515" t="s">
        <v>3774</v>
      </c>
      <c r="K807" s="71"/>
      <c r="AE807" s="512"/>
      <c r="AT807" s="472"/>
    </row>
    <row r="808" spans="1:46">
      <c r="A808" s="515" t="s">
        <v>3780</v>
      </c>
      <c r="B808" s="515" t="s">
        <v>3780</v>
      </c>
      <c r="K808" s="71"/>
      <c r="AE808" s="512"/>
      <c r="AT808" s="472"/>
    </row>
    <row r="809" spans="1:46">
      <c r="A809" s="515" t="s">
        <v>3784</v>
      </c>
      <c r="B809" s="515" t="s">
        <v>3784</v>
      </c>
      <c r="K809" s="71"/>
      <c r="AE809" s="512"/>
      <c r="AT809" s="472"/>
    </row>
    <row r="810" spans="1:46">
      <c r="A810" s="515" t="s">
        <v>3789</v>
      </c>
      <c r="B810" s="515" t="s">
        <v>3789</v>
      </c>
      <c r="K810" s="71"/>
      <c r="AE810" s="512"/>
      <c r="AT810" s="472"/>
    </row>
    <row r="811" spans="1:46" ht="15.75">
      <c r="A811" s="518" t="s">
        <v>3793</v>
      </c>
      <c r="B811" s="518" t="s">
        <v>3793</v>
      </c>
      <c r="K811" s="71"/>
      <c r="AE811" s="512"/>
      <c r="AT811" s="472"/>
    </row>
    <row r="812" spans="1:46" ht="15.75">
      <c r="A812" s="518" t="s">
        <v>4591</v>
      </c>
      <c r="B812" s="518" t="s">
        <v>4591</v>
      </c>
      <c r="K812" s="71"/>
      <c r="AE812" s="512"/>
      <c r="AT812" s="472"/>
    </row>
    <row r="813" spans="1:46" ht="15.75">
      <c r="A813" s="518" t="s">
        <v>4295</v>
      </c>
      <c r="B813" s="518" t="s">
        <v>4295</v>
      </c>
      <c r="K813" s="71"/>
      <c r="AE813" s="512"/>
      <c r="AT813" s="472"/>
    </row>
    <row r="814" spans="1:46" ht="15.75">
      <c r="A814" s="518" t="s">
        <v>4298</v>
      </c>
      <c r="B814" s="518" t="s">
        <v>4298</v>
      </c>
      <c r="K814" s="71"/>
      <c r="AE814" s="512"/>
      <c r="AT814" s="472"/>
    </row>
    <row r="815" spans="1:46" ht="15.75">
      <c r="A815" s="518" t="s">
        <v>3802</v>
      </c>
      <c r="B815" s="518" t="s">
        <v>3802</v>
      </c>
      <c r="K815" s="71"/>
      <c r="AE815" s="512"/>
      <c r="AT815" s="472"/>
    </row>
    <row r="816" spans="1:46" ht="15.75">
      <c r="A816" s="518" t="s">
        <v>3807</v>
      </c>
      <c r="B816" s="518" t="s">
        <v>3807</v>
      </c>
      <c r="K816" s="71"/>
      <c r="AE816" s="512"/>
      <c r="AT816" s="472"/>
    </row>
    <row r="817" spans="1:46" ht="15.75">
      <c r="A817" s="518" t="s">
        <v>4300</v>
      </c>
      <c r="B817" s="518" t="s">
        <v>4300</v>
      </c>
      <c r="K817" s="71"/>
      <c r="AE817" s="512"/>
      <c r="AT817" s="472"/>
    </row>
    <row r="818" spans="1:46" ht="15.75">
      <c r="A818" s="518" t="s">
        <v>4302</v>
      </c>
      <c r="B818" s="518" t="s">
        <v>4302</v>
      </c>
      <c r="K818" s="71"/>
      <c r="AE818" s="512"/>
      <c r="AT818" s="472"/>
    </row>
    <row r="819" spans="1:46" ht="15.75">
      <c r="A819" s="518" t="s">
        <v>4305</v>
      </c>
      <c r="B819" s="518" t="s">
        <v>4305</v>
      </c>
      <c r="K819" s="71"/>
      <c r="AE819" s="512"/>
      <c r="AT819" s="472"/>
    </row>
    <row r="820" spans="1:46" ht="15.75">
      <c r="A820" s="518" t="s">
        <v>4307</v>
      </c>
      <c r="B820" s="518" t="s">
        <v>4307</v>
      </c>
      <c r="K820" s="71"/>
      <c r="AE820" s="512"/>
      <c r="AT820" s="472"/>
    </row>
    <row r="821" spans="1:46" ht="15.75">
      <c r="A821" s="518" t="s">
        <v>3811</v>
      </c>
      <c r="B821" s="518" t="s">
        <v>3811</v>
      </c>
      <c r="K821" s="71"/>
      <c r="AE821" s="512"/>
      <c r="AT821" s="472"/>
    </row>
    <row r="822" spans="1:46" ht="15.75">
      <c r="A822" s="518" t="s">
        <v>3814</v>
      </c>
      <c r="B822" s="518" t="s">
        <v>3814</v>
      </c>
      <c r="K822" s="71"/>
      <c r="AE822" s="512"/>
      <c r="AT822" s="472"/>
    </row>
    <row r="823" spans="1:46" ht="15.75">
      <c r="A823" s="518" t="s">
        <v>3818</v>
      </c>
      <c r="B823" s="518" t="s">
        <v>3818</v>
      </c>
      <c r="K823" s="71"/>
      <c r="AE823" s="512"/>
      <c r="AT823" s="472"/>
    </row>
    <row r="824" spans="1:46">
      <c r="A824" s="519"/>
      <c r="B824" s="519" t="s">
        <v>338</v>
      </c>
      <c r="K824" s="71"/>
      <c r="AE824" s="512"/>
      <c r="AT824" s="472"/>
    </row>
    <row r="825" spans="1:46">
      <c r="A825" s="520"/>
      <c r="B825" s="520" t="s">
        <v>5395</v>
      </c>
      <c r="K825" s="71"/>
      <c r="AE825" s="512"/>
      <c r="AT825" s="472"/>
    </row>
    <row r="826" spans="1:46">
      <c r="A826" s="520"/>
      <c r="B826" s="520" t="s">
        <v>5386</v>
      </c>
      <c r="K826" s="71"/>
      <c r="AE826" s="512"/>
      <c r="AT826" s="472"/>
    </row>
    <row r="827" spans="1:46">
      <c r="A827" s="520"/>
      <c r="B827" s="520" t="s">
        <v>5387</v>
      </c>
      <c r="K827" s="71"/>
      <c r="AE827" s="512"/>
      <c r="AT827" s="472"/>
    </row>
    <row r="828" spans="1:46">
      <c r="A828" s="520"/>
      <c r="B828" s="520" t="s">
        <v>5388</v>
      </c>
      <c r="K828" s="71"/>
      <c r="AE828" s="512"/>
      <c r="AT828" s="472"/>
    </row>
    <row r="829" spans="1:46">
      <c r="A829" s="520"/>
      <c r="B829" s="520" t="s">
        <v>5396</v>
      </c>
      <c r="K829" s="71"/>
      <c r="AE829" s="512"/>
      <c r="AT829" s="472"/>
    </row>
    <row r="830" spans="1:46">
      <c r="A830" s="520"/>
      <c r="B830" s="520" t="s">
        <v>5389</v>
      </c>
      <c r="K830" s="71"/>
      <c r="AE830" s="512"/>
      <c r="AT830" s="472"/>
    </row>
    <row r="831" spans="1:46">
      <c r="A831" s="520"/>
      <c r="B831" s="520" t="s">
        <v>5391</v>
      </c>
      <c r="K831" s="71"/>
      <c r="AE831" s="512"/>
      <c r="AT831" s="472"/>
    </row>
    <row r="832" spans="1:46" ht="15.75">
      <c r="A832" s="10"/>
      <c r="B832" s="10" t="s">
        <v>1075</v>
      </c>
      <c r="K832" s="71"/>
      <c r="AE832" s="512"/>
      <c r="AT832" s="472"/>
    </row>
    <row r="833" spans="1:46" ht="15.75">
      <c r="A833" s="10"/>
      <c r="B833" s="10" t="s">
        <v>1081</v>
      </c>
      <c r="K833" s="71"/>
      <c r="AE833" s="512"/>
      <c r="AT833" s="472"/>
    </row>
    <row r="834" spans="1:46">
      <c r="A834" s="519"/>
      <c r="B834" s="519" t="s">
        <v>5390</v>
      </c>
      <c r="K834" s="71"/>
      <c r="AE834" s="512"/>
      <c r="AT834" s="472"/>
    </row>
    <row r="835" spans="1:46">
      <c r="A835" s="519"/>
      <c r="B835" s="519" t="s">
        <v>362</v>
      </c>
      <c r="K835" s="71"/>
      <c r="AE835" s="512"/>
      <c r="AT835" s="472"/>
    </row>
    <row r="836" spans="1:46">
      <c r="A836" s="519"/>
      <c r="B836" s="519" t="s">
        <v>1600</v>
      </c>
      <c r="K836" s="71"/>
      <c r="AE836" s="512"/>
      <c r="AT836" s="472"/>
    </row>
    <row r="837" spans="1:46">
      <c r="A837" s="520"/>
      <c r="B837" s="520" t="s">
        <v>4612</v>
      </c>
      <c r="K837" s="71"/>
      <c r="AE837" s="512"/>
      <c r="AT837" s="472"/>
    </row>
    <row r="838" spans="1:46">
      <c r="A838" s="520"/>
      <c r="B838" s="520" t="s">
        <v>595</v>
      </c>
      <c r="K838" s="71"/>
      <c r="AE838" s="512"/>
      <c r="AT838" s="472"/>
    </row>
    <row r="839" spans="1:46">
      <c r="B839" s="71"/>
      <c r="K839" s="71"/>
      <c r="AE839" s="512"/>
      <c r="AT839" s="472"/>
    </row>
  </sheetData>
  <mergeCells count="4">
    <mergeCell ref="N52:P52"/>
    <mergeCell ref="Q52:S52"/>
    <mergeCell ref="U52:X52"/>
    <mergeCell ref="Y52:AB52"/>
  </mergeCells>
  <conditionalFormatting sqref="A824:B824">
    <cfRule type="duplicateValues" dxfId="11" priority="12"/>
  </conditionalFormatting>
  <conditionalFormatting sqref="B825:B831">
    <cfRule type="duplicateValues" dxfId="10" priority="11"/>
  </conditionalFormatting>
  <conditionalFormatting sqref="B832:B833">
    <cfRule type="duplicateValues" dxfId="9" priority="10"/>
  </conditionalFormatting>
  <conditionalFormatting sqref="A834:B834">
    <cfRule type="duplicateValues" dxfId="8" priority="9"/>
  </conditionalFormatting>
  <conditionalFormatting sqref="A835:B835">
    <cfRule type="duplicateValues" dxfId="7" priority="8"/>
  </conditionalFormatting>
  <conditionalFormatting sqref="A836:B836">
    <cfRule type="duplicateValues" dxfId="6" priority="7"/>
  </conditionalFormatting>
  <conditionalFormatting sqref="B837:B838">
    <cfRule type="duplicateValues" dxfId="5" priority="6"/>
  </conditionalFormatting>
  <conditionalFormatting sqref="AV2:AV28">
    <cfRule type="duplicateValues" dxfId="4" priority="5"/>
  </conditionalFormatting>
  <conditionalFormatting sqref="AV2:AV28">
    <cfRule type="duplicateValues" dxfId="3" priority="4"/>
  </conditionalFormatting>
  <conditionalFormatting sqref="A825:A831">
    <cfRule type="duplicateValues" dxfId="2" priority="3"/>
  </conditionalFormatting>
  <conditionalFormatting sqref="A832:A833">
    <cfRule type="duplicateValues" dxfId="1" priority="2"/>
  </conditionalFormatting>
  <conditionalFormatting sqref="A837:A838">
    <cfRule type="duplicateValues" dxfId="0" priority="1"/>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105E0-DFC2-433E-9B76-41EA5538ED2C}">
  <dimension ref="A1:E73"/>
  <sheetViews>
    <sheetView topLeftCell="A66" workbookViewId="0"/>
  </sheetViews>
  <sheetFormatPr defaultRowHeight="15"/>
  <cols>
    <col min="1" max="1" width="12" customWidth="1"/>
    <col min="2" max="2" width="21.7109375" customWidth="1"/>
    <col min="3" max="3" width="18.7109375" customWidth="1"/>
    <col min="4" max="4" width="33.5703125" customWidth="1"/>
    <col min="5" max="5" width="15.140625" style="71" customWidth="1"/>
  </cols>
  <sheetData>
    <row r="1" spans="1:5">
      <c r="A1" s="235"/>
      <c r="B1" s="235"/>
      <c r="C1" s="235"/>
      <c r="D1" s="235"/>
      <c r="E1" s="542"/>
    </row>
    <row r="2" spans="1:5" ht="15.75">
      <c r="A2" s="102" t="s">
        <v>353</v>
      </c>
      <c r="B2" s="497" t="s">
        <v>1774</v>
      </c>
      <c r="C2" s="102" t="s">
        <v>1774</v>
      </c>
      <c r="D2" s="546" t="s">
        <v>1775</v>
      </c>
      <c r="E2" s="549">
        <v>45211</v>
      </c>
    </row>
    <row r="3" spans="1:5" ht="15.75">
      <c r="A3" s="102" t="s">
        <v>353</v>
      </c>
      <c r="B3" s="497" t="s">
        <v>344</v>
      </c>
      <c r="C3" s="102" t="s">
        <v>344</v>
      </c>
      <c r="D3" s="546" t="s">
        <v>345</v>
      </c>
      <c r="E3" s="549">
        <v>45275</v>
      </c>
    </row>
    <row r="4" spans="1:5" ht="15.75">
      <c r="A4" s="102" t="s">
        <v>353</v>
      </c>
      <c r="B4" s="497" t="s">
        <v>355</v>
      </c>
      <c r="C4" s="102" t="s">
        <v>355</v>
      </c>
      <c r="D4" s="546" t="s">
        <v>356</v>
      </c>
      <c r="E4" s="549">
        <v>45294</v>
      </c>
    </row>
    <row r="5" spans="1:5" ht="15.75">
      <c r="A5" s="541" t="s">
        <v>353</v>
      </c>
      <c r="B5" s="539" t="s">
        <v>2673</v>
      </c>
      <c r="C5" s="541" t="e">
        <v>#N/A</v>
      </c>
      <c r="D5" s="547" t="s">
        <v>5632</v>
      </c>
      <c r="E5" s="549">
        <v>45294</v>
      </c>
    </row>
    <row r="6" spans="1:5" ht="15.75">
      <c r="A6" s="102" t="s">
        <v>353</v>
      </c>
      <c r="B6" s="497" t="s">
        <v>1543</v>
      </c>
      <c r="C6" s="102" t="s">
        <v>1543</v>
      </c>
      <c r="D6" s="546" t="s">
        <v>1544</v>
      </c>
      <c r="E6" s="549">
        <v>45320</v>
      </c>
    </row>
    <row r="7" spans="1:5" ht="15.75">
      <c r="A7" s="102" t="s">
        <v>353</v>
      </c>
      <c r="B7" s="497" t="s">
        <v>1788</v>
      </c>
      <c r="C7" s="102" t="s">
        <v>1788</v>
      </c>
      <c r="D7" s="546" t="s">
        <v>1789</v>
      </c>
      <c r="E7" s="549">
        <v>45308</v>
      </c>
    </row>
    <row r="8" spans="1:5" ht="15.75">
      <c r="A8" s="102" t="s">
        <v>353</v>
      </c>
      <c r="B8" s="497" t="s">
        <v>4049</v>
      </c>
      <c r="C8" s="102" t="s">
        <v>4049</v>
      </c>
      <c r="D8" s="546" t="s">
        <v>4050</v>
      </c>
      <c r="E8" s="549">
        <v>45329</v>
      </c>
    </row>
    <row r="9" spans="1:5" ht="15.75">
      <c r="A9" s="541" t="s">
        <v>353</v>
      </c>
      <c r="B9" s="539" t="s">
        <v>4079</v>
      </c>
      <c r="C9" s="541" t="e">
        <v>#N/A</v>
      </c>
      <c r="D9" s="547" t="s">
        <v>4073</v>
      </c>
      <c r="E9" s="549">
        <v>45300</v>
      </c>
    </row>
    <row r="10" spans="1:5" ht="15.75">
      <c r="A10" s="102" t="s">
        <v>353</v>
      </c>
      <c r="B10" s="497" t="s">
        <v>1551</v>
      </c>
      <c r="C10" s="102" t="s">
        <v>1551</v>
      </c>
      <c r="D10" s="546" t="s">
        <v>1552</v>
      </c>
      <c r="E10" s="549">
        <v>45329</v>
      </c>
    </row>
    <row r="11" spans="1:5" ht="15.75">
      <c r="A11" s="102" t="s">
        <v>353</v>
      </c>
      <c r="B11" s="497" t="s">
        <v>3987</v>
      </c>
      <c r="C11" s="102" t="s">
        <v>3987</v>
      </c>
      <c r="D11" s="546" t="s">
        <v>3988</v>
      </c>
      <c r="E11" s="549">
        <v>45356</v>
      </c>
    </row>
    <row r="12" spans="1:5" ht="15.75">
      <c r="A12" s="541" t="s">
        <v>353</v>
      </c>
      <c r="B12" s="539" t="s">
        <v>4198</v>
      </c>
      <c r="C12" s="541" t="e">
        <v>#N/A</v>
      </c>
      <c r="D12" s="547" t="s">
        <v>4196</v>
      </c>
      <c r="E12" s="549">
        <v>45346</v>
      </c>
    </row>
    <row r="13" spans="1:5" ht="15.75">
      <c r="A13" s="102" t="s">
        <v>353</v>
      </c>
      <c r="B13" s="497" t="s">
        <v>1558</v>
      </c>
      <c r="C13" s="102" t="s">
        <v>1558</v>
      </c>
      <c r="D13" s="546" t="s">
        <v>1559</v>
      </c>
      <c r="E13" s="549">
        <v>45357</v>
      </c>
    </row>
    <row r="14" spans="1:5" ht="15.75">
      <c r="A14" s="102" t="s">
        <v>353</v>
      </c>
      <c r="B14" s="497" t="s">
        <v>1674</v>
      </c>
      <c r="C14" s="102" t="s">
        <v>1674</v>
      </c>
      <c r="D14" s="546" t="s">
        <v>1671</v>
      </c>
      <c r="E14" s="549">
        <v>45386</v>
      </c>
    </row>
    <row r="15" spans="1:5" ht="15.75">
      <c r="A15" s="102" t="s">
        <v>353</v>
      </c>
      <c r="B15" s="497" t="s">
        <v>375</v>
      </c>
      <c r="C15" s="102" t="s">
        <v>375</v>
      </c>
      <c r="D15" s="546" t="s">
        <v>376</v>
      </c>
      <c r="E15" s="549">
        <v>45416</v>
      </c>
    </row>
    <row r="16" spans="1:5" ht="15.75">
      <c r="A16" s="102" t="s">
        <v>353</v>
      </c>
      <c r="B16" s="497" t="s">
        <v>1665</v>
      </c>
      <c r="C16" s="102" t="s">
        <v>1665</v>
      </c>
      <c r="D16" s="546" t="s">
        <v>1666</v>
      </c>
      <c r="E16" s="549">
        <v>45434</v>
      </c>
    </row>
    <row r="17" spans="1:5" ht="15.75">
      <c r="A17" s="102" t="s">
        <v>353</v>
      </c>
      <c r="B17" s="497" t="s">
        <v>385</v>
      </c>
      <c r="C17" s="102" t="s">
        <v>385</v>
      </c>
      <c r="D17" s="546" t="s">
        <v>386</v>
      </c>
      <c r="E17" s="549">
        <v>45435</v>
      </c>
    </row>
    <row r="18" spans="1:5" ht="15.75">
      <c r="A18" s="102" t="s">
        <v>353</v>
      </c>
      <c r="B18" s="497" t="s">
        <v>1873</v>
      </c>
      <c r="C18" s="102" t="s">
        <v>1873</v>
      </c>
      <c r="D18" s="546" t="s">
        <v>1874</v>
      </c>
      <c r="E18" s="549">
        <v>45435</v>
      </c>
    </row>
    <row r="19" spans="1:5" ht="15.75">
      <c r="A19" s="102" t="s">
        <v>353</v>
      </c>
      <c r="B19" s="497" t="s">
        <v>1566</v>
      </c>
      <c r="C19" s="102" t="s">
        <v>1566</v>
      </c>
      <c r="D19" s="546" t="s">
        <v>1567</v>
      </c>
      <c r="E19" s="549">
        <v>45441</v>
      </c>
    </row>
    <row r="20" spans="1:5" ht="15.75">
      <c r="A20" s="102" t="s">
        <v>353</v>
      </c>
      <c r="B20" s="497" t="s">
        <v>820</v>
      </c>
      <c r="C20" s="102" t="s">
        <v>820</v>
      </c>
      <c r="D20" s="546" t="s">
        <v>821</v>
      </c>
      <c r="E20" s="549">
        <v>45457</v>
      </c>
    </row>
    <row r="21" spans="1:5" ht="32.25">
      <c r="A21" s="102" t="s">
        <v>353</v>
      </c>
      <c r="B21" s="497" t="s">
        <v>4035</v>
      </c>
      <c r="C21" s="102" t="s">
        <v>4035</v>
      </c>
      <c r="D21" s="548" t="s">
        <v>4036</v>
      </c>
      <c r="E21" s="549">
        <v>45467</v>
      </c>
    </row>
    <row r="22" spans="1:5" ht="15.75">
      <c r="A22" s="102" t="s">
        <v>353</v>
      </c>
      <c r="B22" s="497" t="s">
        <v>399</v>
      </c>
      <c r="C22" s="102" t="s">
        <v>399</v>
      </c>
      <c r="D22" s="546" t="s">
        <v>400</v>
      </c>
      <c r="E22" s="549">
        <v>45455</v>
      </c>
    </row>
    <row r="23" spans="1:5" ht="15.75">
      <c r="A23" s="541" t="s">
        <v>353</v>
      </c>
      <c r="B23" s="539" t="s">
        <v>354</v>
      </c>
      <c r="C23" s="541" t="e">
        <v>#N/A</v>
      </c>
      <c r="D23" s="547" t="s">
        <v>2285</v>
      </c>
      <c r="E23" s="549">
        <v>45525</v>
      </c>
    </row>
    <row r="24" spans="1:5" ht="15.75">
      <c r="A24" s="541" t="s">
        <v>353</v>
      </c>
      <c r="B24" s="539" t="s">
        <v>362</v>
      </c>
      <c r="C24" s="541" t="e">
        <v>#N/A</v>
      </c>
      <c r="D24" s="547" t="s">
        <v>1660</v>
      </c>
      <c r="E24" s="549">
        <v>45603</v>
      </c>
    </row>
    <row r="25" spans="1:5" ht="15.75">
      <c r="A25" s="102" t="s">
        <v>353</v>
      </c>
      <c r="B25" s="497" t="s">
        <v>1081</v>
      </c>
      <c r="C25" s="102" t="s">
        <v>1081</v>
      </c>
      <c r="D25" s="546" t="s">
        <v>1082</v>
      </c>
      <c r="E25" s="549">
        <v>45604</v>
      </c>
    </row>
    <row r="26" spans="1:5" ht="16.5">
      <c r="A26" s="541" t="s">
        <v>353</v>
      </c>
      <c r="B26" s="540" t="s">
        <v>5633</v>
      </c>
      <c r="C26" s="541" t="e">
        <v>#N/A</v>
      </c>
      <c r="D26" s="547" t="s">
        <v>1577</v>
      </c>
      <c r="E26" s="549">
        <v>45607</v>
      </c>
    </row>
    <row r="27" spans="1:5" ht="15.75">
      <c r="A27" s="102" t="s">
        <v>353</v>
      </c>
      <c r="B27" s="497" t="s">
        <v>3951</v>
      </c>
      <c r="C27" s="102" t="s">
        <v>3951</v>
      </c>
      <c r="D27" s="546" t="s">
        <v>3952</v>
      </c>
      <c r="E27" s="549">
        <v>45656</v>
      </c>
    </row>
    <row r="28" spans="1:5" ht="15.75">
      <c r="A28" s="541" t="s">
        <v>353</v>
      </c>
      <c r="B28" s="539" t="s">
        <v>392</v>
      </c>
      <c r="C28" s="541" t="e">
        <v>#N/A</v>
      </c>
      <c r="D28" s="547" t="s">
        <v>1832</v>
      </c>
      <c r="E28" s="497"/>
    </row>
    <row r="29" spans="1:5" ht="15.75">
      <c r="A29" s="102" t="s">
        <v>353</v>
      </c>
      <c r="B29" s="497" t="s">
        <v>3956</v>
      </c>
      <c r="C29" s="102" t="s">
        <v>3956</v>
      </c>
      <c r="D29" s="546" t="s">
        <v>5634</v>
      </c>
      <c r="E29" s="549">
        <v>45656</v>
      </c>
    </row>
    <row r="30" spans="1:5" ht="15.75">
      <c r="A30" s="102" t="s">
        <v>353</v>
      </c>
      <c r="B30" s="497" t="s">
        <v>3982</v>
      </c>
      <c r="C30" s="102" t="s">
        <v>3982</v>
      </c>
      <c r="D30" s="546" t="s">
        <v>3983</v>
      </c>
      <c r="E30" s="549">
        <v>45656</v>
      </c>
    </row>
    <row r="31" spans="1:5" ht="15.75">
      <c r="A31" s="102" t="s">
        <v>353</v>
      </c>
      <c r="B31" s="497" t="s">
        <v>4208</v>
      </c>
      <c r="C31" s="102" t="s">
        <v>4208</v>
      </c>
      <c r="D31" s="546" t="s">
        <v>4209</v>
      </c>
      <c r="E31" s="549">
        <v>45656</v>
      </c>
    </row>
    <row r="32" spans="1:5" ht="15.75">
      <c r="A32" s="102" t="s">
        <v>353</v>
      </c>
      <c r="B32" s="497" t="s">
        <v>4012</v>
      </c>
      <c r="C32" s="102" t="s">
        <v>4012</v>
      </c>
      <c r="D32" s="546" t="s">
        <v>4013</v>
      </c>
      <c r="E32" s="549">
        <v>45656</v>
      </c>
    </row>
    <row r="33" spans="1:5" ht="15.75">
      <c r="A33" s="102" t="s">
        <v>353</v>
      </c>
      <c r="B33" s="497" t="s">
        <v>3961</v>
      </c>
      <c r="C33" s="102" t="s">
        <v>3961</v>
      </c>
      <c r="D33" s="546" t="s">
        <v>3962</v>
      </c>
      <c r="E33" s="549">
        <v>45656</v>
      </c>
    </row>
    <row r="34" spans="1:5" ht="15.75">
      <c r="A34" s="102" t="s">
        <v>353</v>
      </c>
      <c r="B34" s="497" t="s">
        <v>1086</v>
      </c>
      <c r="C34" s="102" t="s">
        <v>1086</v>
      </c>
      <c r="D34" s="546" t="s">
        <v>1087</v>
      </c>
      <c r="E34" s="549">
        <v>45639</v>
      </c>
    </row>
    <row r="35" spans="1:5" ht="16.5">
      <c r="A35" s="541" t="s">
        <v>353</v>
      </c>
      <c r="B35" s="540" t="s">
        <v>445</v>
      </c>
      <c r="C35" s="541" t="e">
        <v>#N/A</v>
      </c>
      <c r="D35" s="547" t="s">
        <v>3775</v>
      </c>
      <c r="E35" s="497"/>
    </row>
    <row r="36" spans="1:5" ht="18" customHeight="1">
      <c r="A36" s="102" t="s">
        <v>353</v>
      </c>
      <c r="B36" s="536" t="s">
        <v>436</v>
      </c>
      <c r="C36" s="102" t="s">
        <v>436</v>
      </c>
      <c r="D36" s="548" t="s">
        <v>437</v>
      </c>
      <c r="E36" s="549">
        <v>45677</v>
      </c>
    </row>
    <row r="37" spans="1:5" ht="15.75" customHeight="1">
      <c r="A37" s="102" t="s">
        <v>353</v>
      </c>
      <c r="B37" s="536" t="s">
        <v>4020</v>
      </c>
      <c r="C37" s="102" t="s">
        <v>4020</v>
      </c>
      <c r="D37" s="548" t="s">
        <v>4021</v>
      </c>
      <c r="E37" s="549">
        <v>45667</v>
      </c>
    </row>
    <row r="38" spans="1:5" ht="15.75">
      <c r="A38" s="541" t="s">
        <v>353</v>
      </c>
      <c r="B38" s="539" t="s">
        <v>464</v>
      </c>
      <c r="C38" s="541" t="e">
        <v>#N/A</v>
      </c>
      <c r="D38" s="547" t="s">
        <v>3019</v>
      </c>
      <c r="E38" s="549">
        <v>45677</v>
      </c>
    </row>
    <row r="39" spans="1:5" ht="15.75">
      <c r="A39" s="102" t="s">
        <v>353</v>
      </c>
      <c r="B39" s="497" t="s">
        <v>451</v>
      </c>
      <c r="C39" s="102" t="s">
        <v>451</v>
      </c>
      <c r="D39" s="546" t="s">
        <v>452</v>
      </c>
      <c r="E39" s="549">
        <v>45678</v>
      </c>
    </row>
    <row r="40" spans="1:5" ht="15.75">
      <c r="A40" s="102" t="s">
        <v>353</v>
      </c>
      <c r="B40" s="497" t="s">
        <v>1106</v>
      </c>
      <c r="C40" s="102" t="s">
        <v>1106</v>
      </c>
      <c r="D40" s="546" t="s">
        <v>1107</v>
      </c>
      <c r="E40" s="549">
        <v>45679</v>
      </c>
    </row>
    <row r="41" spans="1:5" ht="15.75">
      <c r="A41" s="102" t="s">
        <v>353</v>
      </c>
      <c r="B41" s="497" t="s">
        <v>3850</v>
      </c>
      <c r="C41" s="102" t="s">
        <v>3850</v>
      </c>
      <c r="D41" s="546" t="s">
        <v>3851</v>
      </c>
      <c r="E41" s="497"/>
    </row>
    <row r="42" spans="1:5" ht="15.75">
      <c r="A42" s="102" t="s">
        <v>353</v>
      </c>
      <c r="B42" s="497" t="s">
        <v>3854</v>
      </c>
      <c r="C42" s="102" t="s">
        <v>3854</v>
      </c>
      <c r="D42" s="546" t="s">
        <v>3855</v>
      </c>
      <c r="E42" s="497"/>
    </row>
    <row r="43" spans="1:5" ht="15.75">
      <c r="A43" s="102" t="s">
        <v>353</v>
      </c>
      <c r="B43" s="497" t="s">
        <v>3858</v>
      </c>
      <c r="C43" s="102" t="s">
        <v>3858</v>
      </c>
      <c r="D43" s="546" t="s">
        <v>3859</v>
      </c>
      <c r="E43" s="497"/>
    </row>
    <row r="44" spans="1:5" ht="15.75">
      <c r="A44" s="541" t="s">
        <v>353</v>
      </c>
      <c r="B44" s="539" t="s">
        <v>4732</v>
      </c>
      <c r="C44" s="541" t="e">
        <v>#N/A</v>
      </c>
      <c r="D44" s="547" t="s">
        <v>1601</v>
      </c>
      <c r="E44" s="549">
        <v>45776</v>
      </c>
    </row>
    <row r="45" spans="1:5" ht="15.75">
      <c r="A45" s="541" t="s">
        <v>353</v>
      </c>
      <c r="B45" s="539" t="s">
        <v>500</v>
      </c>
      <c r="C45" s="541" t="e">
        <v>#N/A</v>
      </c>
      <c r="D45" s="547" t="s">
        <v>1849</v>
      </c>
      <c r="E45" s="549">
        <v>45906</v>
      </c>
    </row>
    <row r="46" spans="1:5" ht="15.75">
      <c r="A46" s="102" t="s">
        <v>353</v>
      </c>
      <c r="B46" s="497" t="s">
        <v>1934</v>
      </c>
      <c r="C46" s="102" t="s">
        <v>1934</v>
      </c>
      <c r="D46" s="546" t="s">
        <v>1935</v>
      </c>
      <c r="E46" s="549">
        <v>45841</v>
      </c>
    </row>
    <row r="47" spans="1:5" ht="15.75">
      <c r="A47" s="102" t="s">
        <v>353</v>
      </c>
      <c r="B47" s="497" t="s">
        <v>840</v>
      </c>
      <c r="C47" s="102" t="s">
        <v>840</v>
      </c>
      <c r="D47" s="546" t="s">
        <v>841</v>
      </c>
      <c r="E47" s="549">
        <v>45841</v>
      </c>
    </row>
    <row r="48" spans="1:5" ht="15.75">
      <c r="A48" s="102" t="s">
        <v>353</v>
      </c>
      <c r="B48" s="497" t="s">
        <v>820</v>
      </c>
      <c r="C48" s="102" t="s">
        <v>820</v>
      </c>
      <c r="D48" s="546" t="s">
        <v>5635</v>
      </c>
      <c r="E48" s="497" t="s">
        <v>5636</v>
      </c>
    </row>
    <row r="49" spans="1:5" ht="15.75">
      <c r="A49" s="102" t="s">
        <v>353</v>
      </c>
      <c r="B49" s="497" t="s">
        <v>4008</v>
      </c>
      <c r="C49" s="102" t="s">
        <v>4008</v>
      </c>
      <c r="D49" s="546" t="s">
        <v>4009</v>
      </c>
      <c r="E49" s="497" t="s">
        <v>5637</v>
      </c>
    </row>
    <row r="50" spans="1:5" ht="15.75">
      <c r="A50" s="102" t="s">
        <v>353</v>
      </c>
      <c r="B50" s="497" t="s">
        <v>456</v>
      </c>
      <c r="C50" s="102" t="s">
        <v>456</v>
      </c>
      <c r="D50" s="546" t="s">
        <v>457</v>
      </c>
      <c r="E50" s="497" t="s">
        <v>5638</v>
      </c>
    </row>
    <row r="51" spans="1:5" ht="15.75">
      <c r="A51" s="102" t="s">
        <v>353</v>
      </c>
      <c r="B51" s="497" t="s">
        <v>465</v>
      </c>
      <c r="C51" s="102" t="s">
        <v>465</v>
      </c>
      <c r="D51" s="546" t="s">
        <v>466</v>
      </c>
      <c r="E51" s="497" t="s">
        <v>5638</v>
      </c>
    </row>
    <row r="52" spans="1:5" ht="15.75">
      <c r="A52" s="102" t="s">
        <v>353</v>
      </c>
      <c r="B52" s="497" t="s">
        <v>4000</v>
      </c>
      <c r="C52" s="102" t="s">
        <v>4000</v>
      </c>
      <c r="D52" s="546" t="s">
        <v>4001</v>
      </c>
      <c r="E52" s="497" t="s">
        <v>5637</v>
      </c>
    </row>
    <row r="53" spans="1:5" ht="15.75">
      <c r="A53" s="541" t="s">
        <v>353</v>
      </c>
      <c r="B53" s="539" t="s">
        <v>4473</v>
      </c>
      <c r="C53" s="541" t="e">
        <v>#N/A</v>
      </c>
      <c r="D53" s="547" t="s">
        <v>816</v>
      </c>
      <c r="E53" s="549">
        <v>45422</v>
      </c>
    </row>
    <row r="54" spans="1:5" ht="15.75">
      <c r="A54" s="102" t="s">
        <v>353</v>
      </c>
      <c r="B54" s="497" t="s">
        <v>422</v>
      </c>
      <c r="C54" s="102" t="s">
        <v>422</v>
      </c>
      <c r="D54" s="546" t="s">
        <v>423</v>
      </c>
      <c r="E54" s="549">
        <v>45422</v>
      </c>
    </row>
    <row r="55" spans="1:5" ht="15.75">
      <c r="A55" s="102" t="s">
        <v>353</v>
      </c>
      <c r="B55" s="497" t="s">
        <v>2780</v>
      </c>
      <c r="C55" s="102" t="s">
        <v>2780</v>
      </c>
      <c r="D55" s="546" t="s">
        <v>5639</v>
      </c>
      <c r="E55" s="549">
        <v>46143</v>
      </c>
    </row>
    <row r="56" spans="1:5" ht="15.75">
      <c r="A56" s="102" t="s">
        <v>353</v>
      </c>
      <c r="B56" s="497" t="s">
        <v>413</v>
      </c>
      <c r="C56" s="102" t="s">
        <v>413</v>
      </c>
      <c r="D56" s="546" t="s">
        <v>5640</v>
      </c>
      <c r="E56" s="497" t="s">
        <v>5641</v>
      </c>
    </row>
    <row r="57" spans="1:5" ht="15.75">
      <c r="A57" s="541" t="s">
        <v>353</v>
      </c>
      <c r="B57" s="539" t="s">
        <v>3647</v>
      </c>
      <c r="C57" s="541" t="e">
        <v>#N/A</v>
      </c>
      <c r="D57" s="547" t="s">
        <v>5642</v>
      </c>
      <c r="E57" s="549">
        <v>45545</v>
      </c>
    </row>
    <row r="58" spans="1:5" ht="15.75">
      <c r="A58" s="102" t="s">
        <v>874</v>
      </c>
      <c r="B58" s="497" t="s">
        <v>872</v>
      </c>
      <c r="C58" s="102" t="s">
        <v>872</v>
      </c>
      <c r="D58" s="497" t="s">
        <v>867</v>
      </c>
      <c r="E58" s="543"/>
    </row>
    <row r="59" spans="1:5" ht="15.75">
      <c r="A59" s="102" t="s">
        <v>874</v>
      </c>
      <c r="B59" s="537" t="s">
        <v>952</v>
      </c>
      <c r="C59" s="102" t="s">
        <v>952</v>
      </c>
      <c r="D59" s="537" t="s">
        <v>953</v>
      </c>
      <c r="E59" s="302"/>
    </row>
    <row r="60" spans="1:5" ht="15.75">
      <c r="A60" s="541" t="s">
        <v>874</v>
      </c>
      <c r="B60" s="539" t="s">
        <v>4473</v>
      </c>
      <c r="C60" s="541" t="e">
        <v>#N/A</v>
      </c>
      <c r="D60" s="539" t="s">
        <v>816</v>
      </c>
      <c r="E60" s="310"/>
    </row>
    <row r="61" spans="1:5" ht="15.75">
      <c r="A61" s="541" t="s">
        <v>874</v>
      </c>
      <c r="B61" s="539" t="s">
        <v>595</v>
      </c>
      <c r="C61" s="541" t="e">
        <v>#N/A</v>
      </c>
      <c r="D61" s="539" t="s">
        <v>4428</v>
      </c>
      <c r="E61" s="302"/>
    </row>
    <row r="62" spans="1:5" ht="15.75">
      <c r="A62" s="541" t="s">
        <v>874</v>
      </c>
      <c r="B62" s="539" t="s">
        <v>4832</v>
      </c>
      <c r="C62" s="541" t="e">
        <v>#N/A</v>
      </c>
      <c r="D62" s="539" t="s">
        <v>4437</v>
      </c>
      <c r="E62" s="302"/>
    </row>
    <row r="63" spans="1:5" ht="15.75">
      <c r="A63" s="102" t="s">
        <v>874</v>
      </c>
      <c r="B63" s="537" t="s">
        <v>4055</v>
      </c>
      <c r="C63" s="102" t="s">
        <v>4055</v>
      </c>
      <c r="D63" s="537" t="s">
        <v>4056</v>
      </c>
      <c r="E63" s="302"/>
    </row>
    <row r="64" spans="1:5" ht="15.75">
      <c r="A64" s="102" t="s">
        <v>874</v>
      </c>
      <c r="B64" s="497" t="s">
        <v>1940</v>
      </c>
      <c r="C64" s="102" t="s">
        <v>1940</v>
      </c>
      <c r="D64" s="497" t="s">
        <v>4759</v>
      </c>
      <c r="E64" s="302"/>
    </row>
    <row r="65" spans="1:5">
      <c r="A65" s="102" t="s">
        <v>874</v>
      </c>
      <c r="B65" s="102" t="s">
        <v>1946</v>
      </c>
      <c r="C65" s="102" t="s">
        <v>1946</v>
      </c>
      <c r="D65" s="102" t="s">
        <v>4760</v>
      </c>
      <c r="E65" s="302"/>
    </row>
    <row r="66" spans="1:5" ht="15.75">
      <c r="A66" s="102" t="s">
        <v>874</v>
      </c>
      <c r="B66" s="497" t="s">
        <v>1956</v>
      </c>
      <c r="C66" s="102" t="s">
        <v>1956</v>
      </c>
      <c r="D66" s="497" t="s">
        <v>4762</v>
      </c>
      <c r="E66" s="302"/>
    </row>
    <row r="67" spans="1:5" ht="15.75">
      <c r="A67" s="102" t="s">
        <v>874</v>
      </c>
      <c r="B67" s="497" t="s">
        <v>1981</v>
      </c>
      <c r="C67" s="102" t="s">
        <v>1981</v>
      </c>
      <c r="D67" s="497" t="s">
        <v>4768</v>
      </c>
      <c r="E67" s="302"/>
    </row>
    <row r="68" spans="1:5" ht="15" customHeight="1">
      <c r="A68" s="102" t="s">
        <v>874</v>
      </c>
      <c r="B68" s="538" t="s">
        <v>1097</v>
      </c>
      <c r="C68" s="102" t="s">
        <v>1097</v>
      </c>
      <c r="D68" s="538" t="s">
        <v>1098</v>
      </c>
      <c r="E68" s="302"/>
    </row>
    <row r="69" spans="1:5" ht="15.75">
      <c r="A69" s="102" t="s">
        <v>874</v>
      </c>
      <c r="B69" s="537" t="s">
        <v>1582</v>
      </c>
      <c r="C69" s="102" t="s">
        <v>1582</v>
      </c>
      <c r="D69" s="537" t="s">
        <v>1583</v>
      </c>
      <c r="E69" s="302"/>
    </row>
    <row r="70" spans="1:5" ht="15.75">
      <c r="A70" s="541" t="s">
        <v>874</v>
      </c>
      <c r="B70" s="539" t="s">
        <v>5009</v>
      </c>
      <c r="C70" s="541" t="e">
        <v>#N/A</v>
      </c>
      <c r="D70" s="539" t="s">
        <v>5643</v>
      </c>
      <c r="E70" s="302"/>
    </row>
    <row r="71" spans="1:5" ht="15.75">
      <c r="A71" s="541" t="s">
        <v>874</v>
      </c>
      <c r="B71" s="541" t="s">
        <v>5041</v>
      </c>
      <c r="C71" s="541" t="e">
        <v>#N/A</v>
      </c>
      <c r="D71" s="539" t="s">
        <v>5644</v>
      </c>
      <c r="E71" s="302"/>
    </row>
    <row r="72" spans="1:5" ht="15.75">
      <c r="A72" s="541" t="s">
        <v>874</v>
      </c>
      <c r="B72" s="539" t="s">
        <v>5045</v>
      </c>
      <c r="C72" s="541" t="e">
        <v>#N/A</v>
      </c>
      <c r="D72" s="539" t="s">
        <v>5645</v>
      </c>
      <c r="E72" s="302"/>
    </row>
    <row r="73" spans="1:5" ht="15.75">
      <c r="A73" s="541" t="s">
        <v>874</v>
      </c>
      <c r="B73" s="541" t="s">
        <v>5091</v>
      </c>
      <c r="C73" s="541" t="e">
        <v>#N/A</v>
      </c>
      <c r="D73" s="539" t="s">
        <v>5646</v>
      </c>
      <c r="E73" s="30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criptIds xmlns="http://schemas.microsoft.com/office/extensibility/maker/v1.0" id="script-ids-node-id">
  <scriptId id="ms-officescript%3A%2F%2Fonedrive_business_itemlink%2F01RVTQACHLIP3OEXYJ3ZAILAFXZ6OQ4KI2:ms-officescript%3A%2F%2Fonedrive_business_sharinglink%2Fu!aHR0cHM6Ly90emFybGFicy1teS5zaGFyZXBvaW50LmNvbS86dTovcC9hYWthc2hfY2hhcmkvSVFEclFfYmlYd25lUUlXQXQ4LWREaWthQWVSVXVSTXQ3Y1RHbDUtMEwwSkNXLTA"/>
  <scriptId xmlns="" id="ms-officescript%3A%2F%2Fonedrive_business_itemlink%2F01RVTQACHZD3JCG5RENBHY4QSICXI3WSO5:ms-officescript%3A%2F%2Fonedrive_business_sharinglink%2Fu!aHR0cHM6Ly90emFybGFicy1teS5zaGFyZXBvaW50LmNvbS86dTovcC9hYWthc2hfY2hhcmkvSVFENUh0SWpkaVJvVDQ1Q1NCWFJ1MG5kQWJNUzBMZE1UdFFvOVVMQ2ZSQ1pRLWs"/>
  <scriptId xmlns="" id="ms-officescript%3A%2F%2Fonedrive_business_itemlink%2F01RVTQACC7OFCESGV3ZRCYXUKTI22JV6ON:ms-officescript%3A%2F%2Fonedrive_business_sharinglink%2Fu!aHR0cHM6Ly90emFybGFicy1teS5zaGFyZXBvaW50LmNvbS86dTovcC9hYWthc2hfY2hhcmkvSVFCZmNVUkpHcnZNUll2UlUwYTBtdm5OQWRiQVU3NW9jRDZqSlZGY0VkSmU0bkE"/>
  <scriptId xmlns="" id="ms-officescript%3A%2F%2Fonedrive_business_itemlink%2F01RVTQACCILBBXFYKZMBH2FKZKUIJPUV3F:ms-officescript%3A%2F%2Fonedrive_business_sharinglink%2Fu!aHR0cHM6Ly90emFybGFicy1teS5zaGFyZXBvaW50LmNvbS86dTovcC9hYWthc2hfY2hhcmkvSVFCSVdFTnk0VmxnVDZLcktxSVMtbGRsQVZDR1RHaVFDWExERUpqWjRQMWlvZ3c"/>
</scriptIds>
</file>

<file path=customXml/itemProps1.xml><?xml version="1.0" encoding="utf-8"?>
<ds:datastoreItem xmlns:ds="http://schemas.openxmlformats.org/officeDocument/2006/customXml" ds:itemID="{EF7B1D01-159C-4420-A74D-D99438A56D0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2025-12-18T05:41:54Z</dcterms:created>
  <dcterms:modified xsi:type="dcterms:W3CDTF">2026-03-02T07:37:06Z</dcterms:modified>
  <cp:category/>
  <cp:contentStatus/>
</cp:coreProperties>
</file>